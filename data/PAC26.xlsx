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usuario\Desktop\ST_abastecimiento\ST_abastecimiento\data\"/>
    </mc:Choice>
  </mc:AlternateContent>
  <xr:revisionPtr revIDLastSave="0" documentId="13_ncr:1_{851D8926-72CB-40BA-B080-234293D2F2D4}" xr6:coauthVersionLast="47" xr6:coauthVersionMax="47" xr10:uidLastSave="{00000000-0000-0000-0000-000000000000}"/>
  <bookViews>
    <workbookView xWindow="-105" yWindow="0" windowWidth="14610" windowHeight="15585" firstSheet="4" activeTab="8" xr2:uid="{87600DDE-BBA8-4929-8162-D1AFAC4E918A}"/>
  </bookViews>
  <sheets>
    <sheet name="TD MEMO" sheetId="18" state="hidden" r:id="rId1"/>
    <sheet name="TD (2)" sheetId="19" r:id="rId2"/>
    <sheet name="TD3" sheetId="4" r:id="rId3"/>
    <sheet name="Hoja6" sheetId="7" r:id="rId4"/>
    <sheet name="Hoja16" sheetId="17" r:id="rId5"/>
    <sheet name="TD" sheetId="16" r:id="rId6"/>
    <sheet name="Oficial Panel" sheetId="8" r:id="rId7"/>
    <sheet name="Oficial" sheetId="5" r:id="rId8"/>
    <sheet name="OficialReal" sheetId="20" r:id="rId9"/>
    <sheet name="ListadoProyectos (10)" sheetId="1" r:id="rId10"/>
  </sheets>
  <definedNames>
    <definedName name="_xlnm._FilterDatabase" localSheetId="9" hidden="1">'ListadoProyectos (10)'!$A$1:$AB$1360</definedName>
    <definedName name="_xlnm._FilterDatabase" localSheetId="7" hidden="1">Oficial!$A$1:$N$704</definedName>
    <definedName name="_xlnm._FilterDatabase" localSheetId="5" hidden="1">TD!$A$1:$G$394</definedName>
    <definedName name="_xlnm._FilterDatabase" localSheetId="1" hidden="1">'TD (2)'!$A$1:$G$394</definedName>
  </definedNames>
  <calcPr calcId="191029"/>
  <pivotCaches>
    <pivotCache cacheId="3" r:id="rId11"/>
    <pivotCache cacheId="4" r:id="rId12"/>
    <pivotCache cacheId="5"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 i="1" l="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2"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alcChain>
</file>

<file path=xl/sharedStrings.xml><?xml version="1.0" encoding="utf-8"?>
<sst xmlns="http://schemas.openxmlformats.org/spreadsheetml/2006/main" count="50404" uniqueCount="2285">
  <si>
    <t>Organismo</t>
  </si>
  <si>
    <t>Unidad de Compra</t>
  </si>
  <si>
    <t>ID Proyecto</t>
  </si>
  <si>
    <t>Tipo Proyecto</t>
  </si>
  <si>
    <t>Estado Proyecto</t>
  </si>
  <si>
    <t>Código presupuestario</t>
  </si>
  <si>
    <t>Nombre Proyecto</t>
  </si>
  <si>
    <t>Descripción Proyecto</t>
  </si>
  <si>
    <t>Cantidad de Ítems</t>
  </si>
  <si>
    <t>Nombre ítem</t>
  </si>
  <si>
    <t>Tipo compra</t>
  </si>
  <si>
    <t>Cantidad Productos</t>
  </si>
  <si>
    <t>Monto Unitario Ítem</t>
  </si>
  <si>
    <t>Monto Total Ítem Año 2026</t>
  </si>
  <si>
    <t>Cantidad OC</t>
  </si>
  <si>
    <t>Meses envío OC</t>
  </si>
  <si>
    <t>Nombre responsable</t>
  </si>
  <si>
    <t>Cargo responsable</t>
  </si>
  <si>
    <t>Teléfono responsable</t>
  </si>
  <si>
    <t>Correo responsable</t>
  </si>
  <si>
    <t>Fecha de Inicio Compra</t>
  </si>
  <si>
    <t>Fecha Publicación PAC 2026</t>
  </si>
  <si>
    <t>Cantidad OC Asociadas Ítem 2026</t>
  </si>
  <si>
    <t>OC Asociada Item 2026</t>
  </si>
  <si>
    <t>Item De Arraste</t>
  </si>
  <si>
    <t>Monto De Arrastre</t>
  </si>
  <si>
    <t>Meses envio OC de Arraste</t>
  </si>
  <si>
    <t>SERVICIO DE SALUD OSORNO</t>
  </si>
  <si>
    <t>Bienes y Servicios</t>
  </si>
  <si>
    <t>1057532-156-PC24</t>
  </si>
  <si>
    <t>Proyecto operacional</t>
  </si>
  <si>
    <t>Publicado</t>
  </si>
  <si>
    <t>22.11.003</t>
  </si>
  <si>
    <t>servicios de control de asistencia del servicio de salud osorno</t>
  </si>
  <si>
    <t>El presente proyecto tiene por objeto la contratación de un servicio de software y equipamiento de reloj control para todos los establecimientos dependientes de la Dirección del Servicio de Salud Osorno, por un período de 36 meses.</t>
  </si>
  <si>
    <t>Servicio Control Asistencia</t>
  </si>
  <si>
    <t>01-01-2024,01-02-2024,01-03-2024,01-04-2024,01-05-2024,01-06-2024,01-07-2024,01-08-2024,01-09-2024,01-10-2024,01-11-2024,01-12-2024,01-01-2025,01-02-2025,01-03-2025,01-04-2025,01-05-2025,01-06-2025,01-07-2025,01-08-2025,01-09-2025,01-10-2025,01-11-2025,01-12-2025,01-01-2026,01-02-2026,01-03-2026,01-04-2026,01-05-2026,01-06-2026,01-07-2026,01-08-2026,01-09-2026,01-10-2026,01-11-2026,01-12-2026</t>
  </si>
  <si>
    <t>Bruno Ojeda Alvarez</t>
  </si>
  <si>
    <t>Jefe Depto. Tecnologías de la Información</t>
  </si>
  <si>
    <t>64-2335840-</t>
  </si>
  <si>
    <t>bruno.ojeda@redsalud.gov.cl</t>
  </si>
  <si>
    <t>1057532-268-SE25</t>
  </si>
  <si>
    <t>1057532-266-SE25</t>
  </si>
  <si>
    <t>1057532-267-SE25</t>
  </si>
  <si>
    <t>1057532-163-PC24</t>
  </si>
  <si>
    <t>Proyecto estratégico</t>
  </si>
  <si>
    <t>Servicio gestión flota vehicular SSO</t>
  </si>
  <si>
    <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t>
  </si>
  <si>
    <t>Control Flota</t>
  </si>
  <si>
    <t>Jefe Depto.</t>
  </si>
  <si>
    <t>1057532-1544-SE24</t>
  </si>
  <si>
    <t>1057532-1-PC24</t>
  </si>
  <si>
    <t>Sistema control de flota vehicular del Servicio de Salud Osorno</t>
  </si>
  <si>
    <t>Tiene como finalidad realizar un adecuado control y gestión de flota de vehículos, aumentando la eficiencia en lo operacional, como también disminuyendo el riesgo de accidentes de tránsito.</t>
  </si>
  <si>
    <t>Sistema de control de flota</t>
  </si>
  <si>
    <t>Felipe Salvo Barriga</t>
  </si>
  <si>
    <t>Enc. Sección Mant. de Vehículos</t>
  </si>
  <si>
    <t>64-2565654-</t>
  </si>
  <si>
    <t>felipe.salvob@redsalud.gob.cl</t>
  </si>
  <si>
    <t>1057532-30-PC24</t>
  </si>
  <si>
    <t>SISTEMAS DE COMUNICACIONES LTE WAVE PTX SERVICIO DE SALUD OSORNO</t>
  </si>
  <si>
    <t>SERVICIO DE SUSCRIPCION WAVE PTX, INCLUYE INTERPERABILIDAD CON SISTEMA VHF, GATEWAY, INSTALACION, LICENCIAS, GPS EN LOS EQUIPOS WAVE PTX.</t>
  </si>
  <si>
    <t>Servicio</t>
  </si>
  <si>
    <t>01-06-2024,01-07-2024,01-08-2024,01-09-2024,01-10-2024,01-11-2024,01-12-2024,01-01-2025,01-02-2025,01-03-2025,01-04-2025,01-05-2025,01-06-2025,01-07-2025,01-08-2025,01-09-2025,01-10-2025,01-11-2025,01-12-2025,01-01-2026,01-02-2026,01-03-2026,01-04-2026,01-05-2026,01-06-2026,01-07-2026,01-08-2026,01-09-2026,01-10-2026,01-11-2026,01-12-2026,01-01-2027,01-02-2027,01-03-2027,01-04-2027,01-05-2024</t>
  </si>
  <si>
    <t>CATALINA VERA</t>
  </si>
  <si>
    <t>COORDINADORA EMERGENCIA</t>
  </si>
  <si>
    <t>64-337728-</t>
  </si>
  <si>
    <t>CATALINA.VERAC@REDSALUD.GOB.CL</t>
  </si>
  <si>
    <t>1057532-308-PC24</t>
  </si>
  <si>
    <t>22.12.999.022</t>
  </si>
  <si>
    <t>Convenio - 3 cupos Residencia Protegida para el Servicio de Salud Osorno en la Región Metropolitana</t>
  </si>
  <si>
    <t>3 cupos Residencia Protegida por 24 meses, en la Región Metropolitana, por un total de 2190 días de residencia protegida.</t>
  </si>
  <si>
    <t>Residencia</t>
  </si>
  <si>
    <t>01-01-2025,01-02-2025,01-03-2025,01-04-2025,01-05-2025,01-06-2025,01-07-2025,01-08-2025,01-09-2025,01-10-2025,01-11-2025,01-12-2025,01-01-2026,01-02-2026,01-03-2026,01-04-2026,01-05-2026,01-06-2026,01-07-2026,01-08-2026,01-09-2026,01-10-2026,01-11-2026,01-12-2026</t>
  </si>
  <si>
    <t>Antonia Caifil</t>
  </si>
  <si>
    <t>Jefa Subdepto. Gestión Clinica y Adm.</t>
  </si>
  <si>
    <t>64-335813-</t>
  </si>
  <si>
    <t>antonia.caifil@redsalud.gob.cl</t>
  </si>
  <si>
    <t>1057532-1987-SE24</t>
  </si>
  <si>
    <t>1057532-1299-SE24</t>
  </si>
  <si>
    <t>1057532-1831-SE24</t>
  </si>
  <si>
    <t>1057532-4506-SE25</t>
  </si>
  <si>
    <t>1057532-311-PC24</t>
  </si>
  <si>
    <t>Convenio - ( cupos Hogar Protegido Varones para el Servicio de Salud Osorno en la ciudad de Osorno</t>
  </si>
  <si>
    <t>08 cupos Hogar Protegido Varones para el SSO en la ciudad de Osorno, por un periodo de 24 meses.</t>
  </si>
  <si>
    <t>Jefa Subdepto. Gestión Clínica y Adm.</t>
  </si>
  <si>
    <t>caifil.antonia@redsalud.gob.cl</t>
  </si>
  <si>
    <t>1057532-1988-SE24</t>
  </si>
  <si>
    <t>1057532-1758-SE24</t>
  </si>
  <si>
    <t>1057532-2054-SE24</t>
  </si>
  <si>
    <t>1057532-2053-SE24</t>
  </si>
  <si>
    <t>1057532-315-PC24</t>
  </si>
  <si>
    <t>Convenio - 08 Cupos Hogar Protegido Mujeres para el Servicio de Salud Osorno en la ciudad de Osorno</t>
  </si>
  <si>
    <t>Se requiere la contratación del servicio denominado Hogar Protegido (beneficiarios 08 usuarios/as), para un periodo de 24 meses, por un total de 5840 días hogar protegido.</t>
  </si>
  <si>
    <t>64-334581-</t>
  </si>
  <si>
    <t>1057532-16-SE25</t>
  </si>
  <si>
    <t>1057532-4507-SE25</t>
  </si>
  <si>
    <t>1057532-4668-SE25</t>
  </si>
  <si>
    <t>1057532-4851-SE25</t>
  </si>
  <si>
    <t>1057532-5669-SE25</t>
  </si>
  <si>
    <t>1057532-5016-SE25</t>
  </si>
  <si>
    <t>1057532-5224-SE25</t>
  </si>
  <si>
    <t>1057532-5514-SE25</t>
  </si>
  <si>
    <t>1057532-320-PC24</t>
  </si>
  <si>
    <t>22.04.012</t>
  </si>
  <si>
    <t>Convenio - SERVICIOS DE MANTENCIÓN, RECARGA E INSPECCION PREVENTIVA PARA RED HÚMEDA Y EXTINTORES EN ESTABLECIMIENTOS SSO</t>
  </si>
  <si>
    <t>SERVICIO DE MANTENCIÓN, RECARGA E INSPECCION PREVENTIVA PARA RED HÚMEDA Y EXTINTORES DE LOS ESTABLECIMIENTOS PERTENECIENTES AL SERVICIO DE SALUD OSORNO, POR UN PERIODO DE 3 AÑOS.</t>
  </si>
  <si>
    <t>Recarga</t>
  </si>
  <si>
    <t>01-01-2025,01-02-2025,01-03-2025,01-04-2025,01-05-2025,01-06-2025,01-07-2025,01-08-2025,01-09-2025,01-10-2025,01-11-2025,01-12-2025,01-01-2026,01-02-2026,01-03-2026,01-04-2026,01-05-2026,01-06-2026,01-07-2026,01-08-2026,01-09-2026,01-10-2026,01-11-2026,01-12-2026,01-01-2027,01-02-2027,01-03-2027,01-04-2027,01-05-2027,01-06-2027</t>
  </si>
  <si>
    <t>KARIN SCHOLZ</t>
  </si>
  <si>
    <t>Jefatura Dpto. de Calidad de Vida</t>
  </si>
  <si>
    <t>64-337046-</t>
  </si>
  <si>
    <t>karin.scholz@redsalud.gob.cl</t>
  </si>
  <si>
    <t>1057532-1505-SE24</t>
  </si>
  <si>
    <t>1057532-2252-SE24</t>
  </si>
  <si>
    <t>1057532-2255-SE24</t>
  </si>
  <si>
    <t>1057532-2251-SE24</t>
  </si>
  <si>
    <t>1057532-321-PC24</t>
  </si>
  <si>
    <t>22.06.002.001</t>
  </si>
  <si>
    <t>Convenio - DE SERVICIOS DE MANTENCIÓN PREVENTIVA, CORRECTIVA Y/O REPARATIVA PARA VEHÍCULOS MERCEDES-BENZ DEL SSO Y HOSPITA</t>
  </si>
  <si>
    <t>Mantenciones Preventivas, correctivas y/o reparativas de vehículos motorizados de la Red Asistencial del Servicio de Salud Osorno.</t>
  </si>
  <si>
    <t>Mantenimiento</t>
  </si>
  <si>
    <t>Felipe Salvo</t>
  </si>
  <si>
    <t>Encargado Mantenimineto</t>
  </si>
  <si>
    <t>64-2567046-</t>
  </si>
  <si>
    <t>1057532-119-SE25</t>
  </si>
  <si>
    <t>1057532-127-SE25</t>
  </si>
  <si>
    <t>1057532-125-SE25</t>
  </si>
  <si>
    <t>1057532-322-PC24</t>
  </si>
  <si>
    <t>22.08.001</t>
  </si>
  <si>
    <t>Convenio - SERVICIO DE MANEJO, RETIRO, TRANSPORTE Y DISPOSICIÓN FINAL DE RESIDUOS PELIGROSOS Y ESPECIALES</t>
  </si>
  <si>
    <t>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t>
  </si>
  <si>
    <t>Servicio residuos</t>
  </si>
  <si>
    <t>JEFA DE DEPTO DE CALIDAD DE VIDA</t>
  </si>
  <si>
    <t>1057532-3993-TD25</t>
  </si>
  <si>
    <t>1057532-3992-TD25</t>
  </si>
  <si>
    <t>1057532-328-PC24</t>
  </si>
  <si>
    <t>22.01.001.002</t>
  </si>
  <si>
    <t>Convenio - BENEFICIO ALIMENTACION 2024</t>
  </si>
  <si>
    <t>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t>
  </si>
  <si>
    <t>Tarjeta</t>
  </si>
  <si>
    <t>JORGE OYARZUN SILVA</t>
  </si>
  <si>
    <t>REFERENTE TARJETA ALIMENTACION</t>
  </si>
  <si>
    <t>64-335780-</t>
  </si>
  <si>
    <t>JORGE.OYARZUNS@REDSALUD.GOB.CL</t>
  </si>
  <si>
    <t>1057532-131-SE25</t>
  </si>
  <si>
    <t>1057532-1236-SE24</t>
  </si>
  <si>
    <t>1057532-4087-SE25</t>
  </si>
  <si>
    <t>1057532-331-PC24</t>
  </si>
  <si>
    <t>22.04.003.001</t>
  </si>
  <si>
    <t>Convenio - Suministro de oxígeno medicinal para Red de Hospitales de mediana y baja complejidad y SAMU</t>
  </si>
  <si>
    <t>Contrato suministro de oxígeno medicinal para la Red de Hospitales de Baja y Mediana Complejidad así como para Base SAMU dependiente del Servicio Salud Osorno, en formato de cilindros de 0,4 m3 - 0,7 m3 - 6 m3 y 10 m3.</t>
  </si>
  <si>
    <t>Suministro Oxigeno</t>
  </si>
  <si>
    <t>Mario Aburto Foitzich</t>
  </si>
  <si>
    <t>Encargado Gestión Salud Respiratoria</t>
  </si>
  <si>
    <t>64-335809-</t>
  </si>
  <si>
    <t>mario.aburto@redsalud.gov.cl</t>
  </si>
  <si>
    <t>1057532-4736-SE25</t>
  </si>
  <si>
    <t>1057532-4671-SE25</t>
  </si>
  <si>
    <t>1057532-5144-SE25</t>
  </si>
  <si>
    <t>1057532-5012-SE25</t>
  </si>
  <si>
    <t>1057532-5655-SE25</t>
  </si>
  <si>
    <t>1057532-5098-SE25</t>
  </si>
  <si>
    <t>1057532-5207-SE25</t>
  </si>
  <si>
    <t>1057532-5543-SE25</t>
  </si>
  <si>
    <t>1057532-333-PC24</t>
  </si>
  <si>
    <t>22.05.008</t>
  </si>
  <si>
    <t>Convenio - SOPORTE Y MANTENIMIENTO SISTEMA DE REPETICIÓN VHF SERVICIO DE SALUD OSORNO 2025-2026</t>
  </si>
  <si>
    <t>Aquisición de Soporte y mantenimiento de Sistema de repetición VHF del Servicio de Salud osorno, para el periodo 2025 - 2026.</t>
  </si>
  <si>
    <t>CATALINA VERA CASTRO</t>
  </si>
  <si>
    <t>1057532-4472-AG25</t>
  </si>
  <si>
    <t>1057532-5273-TD25</t>
  </si>
  <si>
    <t>1057532-4618-TD25</t>
  </si>
  <si>
    <t>1057532-4242-TD25</t>
  </si>
  <si>
    <t>1057532-5093-TD25</t>
  </si>
  <si>
    <t>1057532-4665-TD25</t>
  </si>
  <si>
    <t>1057532-5045-TD25</t>
  </si>
  <si>
    <t>1057532-356-PC24</t>
  </si>
  <si>
    <t>22.08</t>
  </si>
  <si>
    <t>Convenio servicio de guardias para la DSSO y sus establecimientos y dispositivos dependientes</t>
  </si>
  <si>
    <t>Se requiere la contratación de un convenio de servicio de guardias para la DSSO y sus establecimientos y dispositivos dependientes, cumpliendo los estándares requeridos en concordancia con las bases administrativas, especificaciones técnicas, por un período de 24 meses.</t>
  </si>
  <si>
    <t>Servicio de guardias</t>
  </si>
  <si>
    <t>Lorena Torres Castillo</t>
  </si>
  <si>
    <t>Encargada (S) Sección Administración de Contratos</t>
  </si>
  <si>
    <t>64-2567381-</t>
  </si>
  <si>
    <t>lorena.torresc@redsalud.gob.cl</t>
  </si>
  <si>
    <t>1057532-205-SE25</t>
  </si>
  <si>
    <t>1057532-4654-TD25</t>
  </si>
  <si>
    <t>1057532-4651-TD25</t>
  </si>
  <si>
    <t>1057532-4264-TD25</t>
  </si>
  <si>
    <t>1057532-4652-TD25</t>
  </si>
  <si>
    <t>1057532-193-PC25</t>
  </si>
  <si>
    <t>22.09.006</t>
  </si>
  <si>
    <t>Convenio - ARRIENDO 159 EQUIPOS PC AIO PARA APOYAR LOS PROCESOS CLINICOS Y ADMINISTRATIVOS</t>
  </si>
  <si>
    <t>Licitar en modalidad el servicio de arriendo equipos computacionales PC AIO con licenciamiento de Sistema Operativo (Windows), Office 365 y antivirus.</t>
  </si>
  <si>
    <t>Insumos</t>
  </si>
  <si>
    <t>01-01-2026,01-02-2026,01-03-2026,01-04-2026,01-05-2026,01-06-2026,01-07-2026,01-08-2026,01-09-2026,01-10-2026,01-11-2026,01-12-2026,01-01-2027,01-02-2027,01-03-2027,01-04-2027,01-05-2027,01-06-2027,01-07-2027,01-08-2027,01-09-2027,01-10-2027,01-11-2027,01-12-2027,01-01-2028,01-02-2028,01-03-2028,01-04-2028,01-05-2028,01-06-2028,01-07-2028,01-08-2028</t>
  </si>
  <si>
    <t>Alvaro Montecinos</t>
  </si>
  <si>
    <t>Jefe (S) Subdepto. Soporte TIC</t>
  </si>
  <si>
    <t>64-2335838-</t>
  </si>
  <si>
    <t>alvaro.montecinos@redsalud.gob.cl</t>
  </si>
  <si>
    <t>Convenio - ARRIENDO 159 EQUIPOS PC AIO PARA APOYAR LOS PORCESOS CLINICOS Y ADMINISTRATIVOS</t>
  </si>
  <si>
    <t>1057532-195-PC25</t>
  </si>
  <si>
    <t>Convenio - SERVICIO DE ASEO PARA LA DSSO (BASE SAMU, EDIFICIO PLAZA SUR Y EDIFICIO M. RODRIGUEZ) POR 18 MESES (DESDE 01 JULIO 2025)</t>
  </si>
  <si>
    <t>Se requiere contar con servicios de aseo en los Edificios Plaza Sur, Manuel Rodriguez y Base SAMU, dependientes de la Dirección del Servicio de Salud Osorno. Todo lo anterior, por un periodo de 18 meses (desde el 01 de julio 2025 hasta el 31 de diciembre del 2026)</t>
  </si>
  <si>
    <t>Aseo</t>
  </si>
  <si>
    <t>01-07-2025,01-08-2025,01-09-2025,01-10-2025,01-11-2025,01-12-2025,01-01-2026,01-02-2026,01-03-2026,01-04-2026,01-05-2026,01-06-2026,01-07-2026,01-08-2026,01-09-2026,01-10-2026,01-11-2026,01-12-2026</t>
  </si>
  <si>
    <t>Encargada (s) Sección Administración de Contratos</t>
  </si>
  <si>
    <t>64-2337381-</t>
  </si>
  <si>
    <t>1057532-4942-SE25</t>
  </si>
  <si>
    <t>1057532-4948-SE25</t>
  </si>
  <si>
    <t>1057532-4604-SE25</t>
  </si>
  <si>
    <t>1057532-5193-SE25</t>
  </si>
  <si>
    <t>1057532-5191-SE25</t>
  </si>
  <si>
    <t>1057532-196-PC25</t>
  </si>
  <si>
    <t>22.06.001</t>
  </si>
  <si>
    <t>Convenio - SERVICIO DE SOPORTE Y MANTENCION RPT VHF SSO (PERIODO DOS AÑOS)</t>
  </si>
  <si>
    <t>ADQUISICION SERVICIO DE SOPORTE Y MANTENIMIENTO DE LOS DOS SITIOS DE REPETICION VHF DE EMERGENCIAS, SERVICIO DE SALUD OSORNO (COMPRA ENERO A MARZO 2025)</t>
  </si>
  <si>
    <t>ESTEBAN ALARCON BOHLE</t>
  </si>
  <si>
    <t>TECNICO RADIOCOMUNICACIONES</t>
  </si>
  <si>
    <t>64-2335606-</t>
  </si>
  <si>
    <t>ESTEBAN.ALARCONB@REDSALUD.GOB.CL</t>
  </si>
  <si>
    <t>1057532-209-PC25</t>
  </si>
  <si>
    <t>22.12.999</t>
  </si>
  <si>
    <t>Convenio - ADQUISICION DE 3 CUPOS DE RESIDENCIA PROTEGIDA PARA EL SERVICIO DE SALUD OSORNO EN LA PROVINCIA DE CONCEPCIÓN</t>
  </si>
  <si>
    <t>Se requiere la contratación del servicio denominado Residencia Protegida (beneficiarios 3 usuarios) para usuarios/as por un periodo de 24 meses. Modificando PAC ID: 1057532-188-PC23</t>
  </si>
  <si>
    <t>Servicio Residencial</t>
  </si>
  <si>
    <t>Angelo Palma</t>
  </si>
  <si>
    <t>Jefe (s) Subdepto. Gestión Clínica y Administrativa Red Temática de Salud Mental de Especialidad</t>
  </si>
  <si>
    <t>64-2335813-</t>
  </si>
  <si>
    <t>angelo.palma@redsalud.gob.cl</t>
  </si>
  <si>
    <t>1057532-274-SE25</t>
  </si>
  <si>
    <t>1057532-4551-SE25</t>
  </si>
  <si>
    <t>1057532-4191-SE25</t>
  </si>
  <si>
    <t>1057532-3967-SE25</t>
  </si>
  <si>
    <t>1057532-4423-SE25</t>
  </si>
  <si>
    <t>1057532-4746-SE25</t>
  </si>
  <si>
    <t>1057532-5466-SE25</t>
  </si>
  <si>
    <t>1057532-210-PC25</t>
  </si>
  <si>
    <t>Convenio - ADQUISICION DE 12 CUPOS DE RESIDENCIA PROTEGIDA PARA EL SERVICIO DE SALUD OSORNO EN LA CIUDAD DE OSORNO</t>
  </si>
  <si>
    <t>Se requiere la contratación del servicio denominado Residencia Protegida (beneficiarios 12 usuarios) para usuarios/as por un periodo de 24 meses.</t>
  </si>
  <si>
    <t>1057532-4430-SE25</t>
  </si>
  <si>
    <t>1057532-4137-TD25</t>
  </si>
  <si>
    <t>1057532-4210-SE25</t>
  </si>
  <si>
    <t>1057532-211-PC25</t>
  </si>
  <si>
    <t>Convenio - ADQUISICION DE 10 CUPOS RESIDENCIA PROTEGIDA DE ALTA COMPLEJIDAD PARA EL SERVICIO DE SALUD OSORNO DE LA CIUDAD DE OSORNO</t>
  </si>
  <si>
    <t>Se requiere la contratación del servicio denominado Residencia Protegida alta complejidad (beneficiarios 10 usuarios) para usuarios/as por un periodo de 24 meses.</t>
  </si>
  <si>
    <t>1057532-4192-SE25</t>
  </si>
  <si>
    <t>1057532-4505-SE25</t>
  </si>
  <si>
    <t>1057532-4347-SE25</t>
  </si>
  <si>
    <t>1057532-4859-SE25</t>
  </si>
  <si>
    <t>1057532-66-PC25</t>
  </si>
  <si>
    <t>22.06.005</t>
  </si>
  <si>
    <t>Mantención de Equipos Médicos e Industriales</t>
  </si>
  <si>
    <t>Dar cobertura a las necesidades de mantención de Equipos Médicos e Industriales de los establecimientos de la Red del Servicio de Salud Osorno.</t>
  </si>
  <si>
    <t>Equipos Lavanderia</t>
  </si>
  <si>
    <t>01-06-2026,01-12-2026,01-06-2027,01-12-2027</t>
  </si>
  <si>
    <t>Khris Silva Vargas</t>
  </si>
  <si>
    <t>Jefa Subdepto. Mantención de Equipos Médicos e Industriales</t>
  </si>
  <si>
    <t>64-2337431-</t>
  </si>
  <si>
    <t>khris.silva@redsalud.gob.cl</t>
  </si>
  <si>
    <t>Equipo Calderas</t>
  </si>
  <si>
    <t>01-03-2026,01-12-2026,01-03-2027,01-12-2027</t>
  </si>
  <si>
    <t>Equipo Aire Acondicionado</t>
  </si>
  <si>
    <t>01-10-2026,01-10-2027</t>
  </si>
  <si>
    <t>Grupo Electrogenos</t>
  </si>
  <si>
    <t>01-07-2026,01-07-2027</t>
  </si>
  <si>
    <t>Equipos Criticos</t>
  </si>
  <si>
    <t>01-03-2026,01-09-2026,01-03-2027,01-09-2027</t>
  </si>
  <si>
    <t>Imagenelogia</t>
  </si>
  <si>
    <t>01-06-2026,01-11-2026,01-12-2026,01-06-2027,01-11-2027,01-12-2027</t>
  </si>
  <si>
    <t>Mamografia</t>
  </si>
  <si>
    <t>Mantención Equipos Medicos</t>
  </si>
  <si>
    <t>01-04-2027,01-05-2027,01-08-2027,01-10-2027,01-04-2026,01-05-2026,01-08-2026,01-10-2026</t>
  </si>
  <si>
    <t>1057532-5462-SE25</t>
  </si>
  <si>
    <t>Mantención Auto Claves</t>
  </si>
  <si>
    <t>01-02-2026,01-05-2026,01-08-2026,01-11-2026,01-02-2027,01-05-2027,01-08-2027,01-11-2027</t>
  </si>
  <si>
    <t>Mantención Preventiva Equipos</t>
  </si>
  <si>
    <t>01-01-2026,01-02-2026,01-03-2026,01-04-2026,01-05-2026,01-06-2026,01-07-2026,01-08-2026,01-09-2026,01-10-2026,01-11-2026,01-12-2026,01-01-2027,01-02-2027,01-03-2027,01-04-2027,01-05-2027,01-06-2027,01-07-2027,01-08-2027,01-09-2027,01-10-2027,01-11-2027,01-12-2027</t>
  </si>
  <si>
    <t>1057532-4799-AG25</t>
  </si>
  <si>
    <t>1057532-5363-AG25</t>
  </si>
  <si>
    <t>Mantención Otros</t>
  </si>
  <si>
    <t>01-03-2026,01-03-2027</t>
  </si>
  <si>
    <t>1057532-4785-AG25</t>
  </si>
  <si>
    <t>1057532-162-PC25</t>
  </si>
  <si>
    <t>22.04.004</t>
  </si>
  <si>
    <t>Convenio - de Suministro para adquisición de medicamentos faltantes CENABAST para establecimientos dependientes del SSO.</t>
  </si>
  <si>
    <t>Abril 2025. Convenio de suministro a iniciar en abril 2025 con duración de 2 años calendario para licitar listado de 353 productos de los arsenales farmacológicos de la Red que se envian en archivo adjunto para efectos de licitación.</t>
  </si>
  <si>
    <t>Medicamentos</t>
  </si>
  <si>
    <t>01-05-2025,01-06-2025,01-07-2025,01-08-2025,01-09-2025,01-10-2025,01-11-2025,01-12-2025,01-01-2026,01-02-2026,01-03-2026,01-04-2026,01-05-2026,01-06-2026,01-07-2026,01-08-2026,01-09-2026,01-10-2026,01-11-2026,01-12-2026,01-01-2027,01-02-2027,01-03-2027,01-04-2027</t>
  </si>
  <si>
    <t>ELEUTERIO ROMAN</t>
  </si>
  <si>
    <t>JEFE SUBDEPTO FARMACIA</t>
  </si>
  <si>
    <t>64-335811-</t>
  </si>
  <si>
    <t>eleuterio.roman@redsalud.gob.cl</t>
  </si>
  <si>
    <t>1057532-5204-SE25</t>
  </si>
  <si>
    <t>1057532-5140-SE25</t>
  </si>
  <si>
    <t>1057532-5142-SE25</t>
  </si>
  <si>
    <t>1057532-5148-SE25</t>
  </si>
  <si>
    <t>1057532-172-PC25</t>
  </si>
  <si>
    <t>22.04.005.003</t>
  </si>
  <si>
    <t>Convenio - CONVENIO SERVICIO DE ASEO POR 18 MESES, PARA LA DIRECCION DEL SSO Y ESTABLECIMIENTOS DEPENDIENTES DE LA RED ASISTENCIAL</t>
  </si>
  <si>
    <t>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t>
  </si>
  <si>
    <t>ENCARGADA (S) SECCIÓN DE ADMINISTRACIÓN DE CONTRATOS</t>
  </si>
  <si>
    <t>64-337381-</t>
  </si>
  <si>
    <t>1057532-173-PC25</t>
  </si>
  <si>
    <t>Convenio - CONVENIO DE ADQUISICION DE KIT POINT OF CARE (POC) CON ARRIENDO DE EQUIPO PARA ANALISIS DE MUESTRAS, SSO</t>
  </si>
  <si>
    <t>INSUMOS PARA EXAMENES DE LABORATORIO TIPO POC, CON ARRIENDO DE EQUIPOS (HOSPITAL RIO NEGRO, HOSPITAL PUERTO OCTAY, HOSPITAL PU MULEN QUILACAHUIN, HOSPITAL FUKA SRUKA LAWENCHE KUNKO MAPU MO, CESFAM PUYEHUE).</t>
  </si>
  <si>
    <t>Equipo</t>
  </si>
  <si>
    <t>01-08-2025,01-09-2025,01-10-2025,01-11-2025,01-12-2025,01-01-2026,01-02-2026,01-03-2026,01-04-2026,01-05-2026,01-06-2026,01-07-2026</t>
  </si>
  <si>
    <t>Sofia Reyes</t>
  </si>
  <si>
    <t>Encargada</t>
  </si>
  <si>
    <t>64-335827-</t>
  </si>
  <si>
    <t>sofiav.reyes@redsalud.gob.cl</t>
  </si>
  <si>
    <t>1057532-373-PC25</t>
  </si>
  <si>
    <t>22.08.007</t>
  </si>
  <si>
    <t>Convenio - Movilización para el traslado de usuarios y funcionarios CDR adulto mayor Kumelen año 2026</t>
  </si>
  <si>
    <t>Movilización para el traslado de usuarios y funcionarios CDR adulto mayor Kumelen de la Comuna de Osorno. Inicio de servicio 01/01/2026.</t>
  </si>
  <si>
    <t>Movilizacion Kumelen</t>
  </si>
  <si>
    <t>01-02-2026,01-03-2026,01-04-2026,01-05-2026,01-06-2026,01-07-2026,01-08-2026,01-09-2026,01-10-2026,01-11-2026,01-12-2026,01-01-2027</t>
  </si>
  <si>
    <t>Luis Flores Merino</t>
  </si>
  <si>
    <t>Coordinador</t>
  </si>
  <si>
    <t>64-647366-</t>
  </si>
  <si>
    <t>luis.floresme@redsalud.gob.cl</t>
  </si>
  <si>
    <t>1057532-374-PC25</t>
  </si>
  <si>
    <t>Convenio - Movilizacion para el traslado de funcionarios CDR Adulto Mayor KÜMELEN 2026</t>
  </si>
  <si>
    <t>Servicio de Movilizacion para Funcionarios CDR Adulto Mayor Kumelen,Vencimiento del contrato actual finaliza el 31/12/2025. Inicio del servicio 01/01/2026.</t>
  </si>
  <si>
    <t>Movilizacion</t>
  </si>
  <si>
    <t>64-2647366-</t>
  </si>
  <si>
    <t>1057532-375-PC25</t>
  </si>
  <si>
    <t>Convenio - ADQUISICION DE KIT POINT OF CARE (POC) CON ARRIENDO DE EQUIPO PARA ANALISIS DE MUESTRAS POR 12 MESES, SSO</t>
  </si>
  <si>
    <t>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t>
  </si>
  <si>
    <t>Suministro KIT Point</t>
  </si>
  <si>
    <t>SOFIA REYES ALARCON</t>
  </si>
  <si>
    <t>COMPRADOR</t>
  </si>
  <si>
    <t>nicolas.asencio@redsalud.gob.cl</t>
  </si>
  <si>
    <t>1057532-4808-AG25</t>
  </si>
  <si>
    <t>1057532-5641-SE25</t>
  </si>
  <si>
    <t>1057532-376-PC25</t>
  </si>
  <si>
    <t>Convenio - Pac PASAJES 2025-2026 DSSO</t>
  </si>
  <si>
    <t>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t>
  </si>
  <si>
    <t>Pasajes</t>
  </si>
  <si>
    <t>Sandra Espinoza</t>
  </si>
  <si>
    <t>PAC Pasajes DSSO 2025-2026</t>
  </si>
  <si>
    <t>64-2565594-</t>
  </si>
  <si>
    <t>sandra.espinoza@redsalud.gob.cl</t>
  </si>
  <si>
    <t>1057532-4718-CM25</t>
  </si>
  <si>
    <t>1057532-4720-CM25</t>
  </si>
  <si>
    <t>1057532-4762-SE25</t>
  </si>
  <si>
    <t>1057532-5071-CM25</t>
  </si>
  <si>
    <t>1057532-4899-CM25</t>
  </si>
  <si>
    <t>1057532-5070-CM25</t>
  </si>
  <si>
    <t>1057532-5352-CM25</t>
  </si>
  <si>
    <t>1057532-5096-CM25</t>
  </si>
  <si>
    <t>1057532-5599-CM25</t>
  </si>
  <si>
    <t>1057532-5335-CM25</t>
  </si>
  <si>
    <t>1057532-377-PC25</t>
  </si>
  <si>
    <t>22.01.001.001</t>
  </si>
  <si>
    <t>Convenio - ALIMENTOS CT PEULLA</t>
  </si>
  <si>
    <t>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t>
  </si>
  <si>
    <t>Alimentación</t>
  </si>
  <si>
    <t>Maria Ines Asenjo Soto</t>
  </si>
  <si>
    <t>DIRECTORA</t>
  </si>
  <si>
    <t>64-2565492-</t>
  </si>
  <si>
    <t>mariaines.asenjo@redsalud.gob.cl</t>
  </si>
  <si>
    <t>1057532-5735-AG25</t>
  </si>
  <si>
    <t>1057532-5753-AG25</t>
  </si>
  <si>
    <t>1057532-378-PC25</t>
  </si>
  <si>
    <t>22.01.001.003</t>
  </si>
  <si>
    <t>Convenio - PAC Convenio Cafeteria DSSO</t>
  </si>
  <si>
    <t>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t>
  </si>
  <si>
    <t>Cafeteria</t>
  </si>
  <si>
    <t>01-02-2026,01-03-2026,01-04-2026,01-05-2026,01-06-2026,01-07-2026,01-08-2026,01-09-2026,01-10-2026,01-11-2026,01-12-2026,01-01-2026</t>
  </si>
  <si>
    <t>Jefa Subdepto Abastecimiento</t>
  </si>
  <si>
    <t>1057532-5233-SE25</t>
  </si>
  <si>
    <t>Administración de Fondos</t>
  </si>
  <si>
    <t>1077241-51-PC25</t>
  </si>
  <si>
    <t>Convenio - Servicio movilización COSAM Rahue periodo 2026. (Financiamiento a través de fondo extrapresupuestario SENDA PAI)</t>
  </si>
  <si>
    <t>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t>
  </si>
  <si>
    <t>Yuvit García-Chacur</t>
  </si>
  <si>
    <t>Directora</t>
  </si>
  <si>
    <t>64-2565555-</t>
  </si>
  <si>
    <t>yuvit.garciachacur@redsalud.gob.cl</t>
  </si>
  <si>
    <t>1057532-379-PC25</t>
  </si>
  <si>
    <t>Convenio - SERVICIO DE MOVILIZACION PARA EL AÑO 2026</t>
  </si>
  <si>
    <t>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t>
  </si>
  <si>
    <t>Pedro Fritz Cardeans</t>
  </si>
  <si>
    <t>DIRECTOR COSAM</t>
  </si>
  <si>
    <t>64-2565610-</t>
  </si>
  <si>
    <t>pedro.fritz@redsalud.gob.cl</t>
  </si>
  <si>
    <t>1057532-380-PC25</t>
  </si>
  <si>
    <t>Convenio - SERVICIO DE MOVILIZACION PARA EL AÑO 2026 Servicio movilización COSAM Rahue, Programa Atención Domiciliaria y PAZGA periodo 2026 (Financiamiento SSO)</t>
  </si>
  <si>
    <t>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t>
  </si>
  <si>
    <t>1057532-381-PC25</t>
  </si>
  <si>
    <t>Convenio - Servicio movilización UID Newen</t>
  </si>
  <si>
    <t>ejecución de la compra mes julio año 2025, duración del convenio corresponde a los meses de enero a diciembre 2026</t>
  </si>
  <si>
    <t>Camila Roa</t>
  </si>
  <si>
    <t>Coordinadora UID NEWEN</t>
  </si>
  <si>
    <t>64-2567766-</t>
  </si>
  <si>
    <t>camila.roa@redsalud.gob.cl</t>
  </si>
  <si>
    <t>1057532-382-PC25</t>
  </si>
  <si>
    <t>Convenio - Movilización para el traslado de funcionarios y cuidadores Unidad de Memoria Ayekan año 2026</t>
  </si>
  <si>
    <t>Cumplir con los requerimientos GES 85 Enfemedad de</t>
  </si>
  <si>
    <t>Ximena Campos Gueicha</t>
  </si>
  <si>
    <t>64-2567363-</t>
  </si>
  <si>
    <t>ximena.campos@redsalud.gob.cl</t>
  </si>
  <si>
    <t>1057532-383-PC25</t>
  </si>
  <si>
    <t>Convenio Movil CT Peulla</t>
  </si>
  <si>
    <t>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t>
  </si>
  <si>
    <t>1057532-384-PC25</t>
  </si>
  <si>
    <t>22.12.999.002.01</t>
  </si>
  <si>
    <t>Convenio - Servicio de arriendo (comodato) e informes de teleelectrocardiografía para población bajo control en PSCV.</t>
  </si>
  <si>
    <t>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t>
  </si>
  <si>
    <t>Servicio Medico</t>
  </si>
  <si>
    <t>01-01-2026,01-02-2026,01-03-2026,01-04-2026,01-05-2026,01-06-2026,01-07-2026,01-08-2026,01-09-2026,01-10-2026,01-11-2026,01-12-2026</t>
  </si>
  <si>
    <t>Consuelo Cordova</t>
  </si>
  <si>
    <t>jefa subdepto gestión de programas en curso de vida</t>
  </si>
  <si>
    <t>64-2565810-</t>
  </si>
  <si>
    <t>consuelo.cordova@redsalud.gob.cl</t>
  </si>
  <si>
    <t>1057532-385-PC25</t>
  </si>
  <si>
    <t>Convenio - CONVENIO PARA DESRATIZACION, SANITIZACION, DESINSECTACION PARA EL SERVICIO DE SALUD OSORNO</t>
  </si>
  <si>
    <t>El servicio requerido consta de la sanitización de baños, desratización y desinsectación de todos los hospitales de la red y establecimientos dependientes del SSO</t>
  </si>
  <si>
    <t>Convenio Desratización</t>
  </si>
  <si>
    <t>Carlos López</t>
  </si>
  <si>
    <t>INGENIERO AMBIENTAL</t>
  </si>
  <si>
    <t>64-2567030-</t>
  </si>
  <si>
    <t>carlos.lopez@redsalud.gob.cl</t>
  </si>
  <si>
    <t>1057532-386-PC25</t>
  </si>
  <si>
    <t>22.04.003.002</t>
  </si>
  <si>
    <t>Convenio - Adquisición de kit toma de muestra para Virus Papiloma Humano</t>
  </si>
  <si>
    <t>Adquirir kit de detección de VPH y arriendo de equipo.</t>
  </si>
  <si>
    <t>Javiera Gajardo</t>
  </si>
  <si>
    <t>Encargada Programas</t>
  </si>
  <si>
    <t>64-2565818-</t>
  </si>
  <si>
    <t>Javiera.gajardom@redsalud.gob.cl</t>
  </si>
  <si>
    <t>1057532-389-PC25</t>
  </si>
  <si>
    <t>Convenio - Servicio de Alimentación para usuarios CDR adulto Mayor Kumelen 2026</t>
  </si>
  <si>
    <t>Servicio de alimentación CDR Kumelen para usuarios que participan en talleres de lunes a viernes. Proceso licitatorio año 2025 finaliza 31/12/2025. Iniciar con Servicio 01/01/2026.</t>
  </si>
  <si>
    <t>64-2567366-</t>
  </si>
  <si>
    <t>1057532-390-PC25</t>
  </si>
  <si>
    <t>22.03.003</t>
  </si>
  <si>
    <t>Convenio - CALEFACCION GASTOS PARA AMBULATORIO Y REDIDENCIAL - CT PEULLA</t>
  </si>
  <si>
    <t>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t>
  </si>
  <si>
    <t>Convenio Leña</t>
  </si>
  <si>
    <t>Vale Gas</t>
  </si>
  <si>
    <t>1057532-391-PC25</t>
  </si>
  <si>
    <t>Convenio - Arriendo 159 PC Computacionales para establecimientos dependientes de la Dirección de Servicio de Salud Osorno</t>
  </si>
  <si>
    <t>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t>
  </si>
  <si>
    <t>Arriendo Equipo</t>
  </si>
  <si>
    <t>01-11-2025,01-12-2025,01-01-2026,01-02-2026,01-03-2026,01-04-2026,01-05-2026,01-06-2026,01-07-2026,01-08-2026,01-09-2026,01-10-2026,01-11-2026,01-12-2026,01-01-2027,01-02-2027,01-03-2027,01-04-2027,01-05-2027,01-06-2027,01-07-2027,01-08-2027,01-09-2027,01-10-2027,01-11-2027,01-12-2027,01-01-2028,01-02-2028,01-03-2028,01-04-2028,01-05-2028,01-06-2028</t>
  </si>
  <si>
    <t>Jefe Depto. Tecnologías de la Información y Comunicaiciones</t>
  </si>
  <si>
    <t>64-2565840-</t>
  </si>
  <si>
    <t>bruno.ojeda@redsalud.gob.cl</t>
  </si>
  <si>
    <t>1057532-392-PC25</t>
  </si>
  <si>
    <t>22.08.008</t>
  </si>
  <si>
    <t>Convenio - Servicio de Sala Cuna, para el año 2026 de enero a diciembre, se requiere compra de 40 cupos para hijos/as de madres fun</t>
  </si>
  <si>
    <t>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t>
  </si>
  <si>
    <t>Sala Cuna</t>
  </si>
  <si>
    <t>Claudia Muñoz</t>
  </si>
  <si>
    <t>Encargada Cuidados Infantiles y Conciliación</t>
  </si>
  <si>
    <t>64-2567096-</t>
  </si>
  <si>
    <t>claudia.munozga@redsalud.gob.cl</t>
  </si>
  <si>
    <t>1057532-393-PC25</t>
  </si>
  <si>
    <t>Convenio - Servicio DIAS PROGRAMA DE REHABILITACIÓN TIPO II Desde el 01/01/2026 hasta el 31/12/2026.</t>
  </si>
  <si>
    <t>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t>
  </si>
  <si>
    <t>Programa</t>
  </si>
  <si>
    <t>Antonia Caifil Martínez</t>
  </si>
  <si>
    <t>Jefa Subdepto. Gestión Clínica y Adm. Red Temática de Salud Mental de Especialidad</t>
  </si>
  <si>
    <t>64-2565813-</t>
  </si>
  <si>
    <t>1077241-52-PC25</t>
  </si>
  <si>
    <t>22.04.004.006</t>
  </si>
  <si>
    <t>Convenio - ADQUISICION AYUDAS TECNICAS. CONVENIO SUMINISTRO AÑO 2026</t>
  </si>
  <si>
    <t>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t>
  </si>
  <si>
    <t>Ayudas Técnicas</t>
  </si>
  <si>
    <t>Camila Alvarez Velasquez</t>
  </si>
  <si>
    <t>KINESIÓLOGA ENCARGADA PROGRAMA AYUDAS TÉCNICAS</t>
  </si>
  <si>
    <t>camila.alvarez@redsalud.gob.cl</t>
  </si>
  <si>
    <t>1057532-394-PC25</t>
  </si>
  <si>
    <t>Convenio - 8 CUPOS HOGAR PROTEGIDO HOMBRES PARA EL SERVICIO DE SALUD OSORNO, 12 MESES, ENERO A DICIEMBRE AÑO 2026.</t>
  </si>
  <si>
    <t>Se requiere la contratación del servicio denominado Hogar Protegido para Hombres, para 8 usuarios beneficiados, por un periodo de 12 meses. Incluyendo 1 usuario en categoría 3. Periodo Enero a diciembre 2026. Vigencia desde el 1 de enero del 2026.</t>
  </si>
  <si>
    <t>Hogar Protegido (7)</t>
  </si>
  <si>
    <t>Coordinador Unidad de Gestión de Procesos Clínicos de Atención de Especialidad Ambulatoria, Cerrada</t>
  </si>
  <si>
    <t>Hogar Protegido (1)</t>
  </si>
  <si>
    <t>1057532-395-PC25</t>
  </si>
  <si>
    <t>22.04.001</t>
  </si>
  <si>
    <t>Convenio - ARTICULOS LIBRERIA AÑO 2025-2026 (Pedidos Mensuales)</t>
  </si>
  <si>
    <t>Articulos de Libreria para entrega a Deptos, Unidades, etc, del Servicio de Salud Osorno, por un periodo de 12 meses.</t>
  </si>
  <si>
    <t>Material de Oficina</t>
  </si>
  <si>
    <t>Cecilia Garay L</t>
  </si>
  <si>
    <t>Encargado Bodega General</t>
  </si>
  <si>
    <t>64-2565716-</t>
  </si>
  <si>
    <t>cecilia.garay@redsalud.gob.cl</t>
  </si>
  <si>
    <t>1057532-5287-AG25</t>
  </si>
  <si>
    <t>1057532-5446-CM25</t>
  </si>
  <si>
    <t>1057532-396-PC25</t>
  </si>
  <si>
    <t>Convenio - SUMINISTRO DE CHIP PARA CALDERAS DE HOSPITALES PÜ MÜLEN Y FÜTA SRÜKA LAWENCHE KUNKO MAPU, AÑO 2026-2027</t>
  </si>
  <si>
    <t>Producto solicitado: Se requiere m3 de chip Duración del Convenio: 24 meses Fecha Inicio convenio: 01-01-2026 Fecha Término de Convenio: 31-12-2027 Vigencia: 24 meses</t>
  </si>
  <si>
    <t>Convenio</t>
  </si>
  <si>
    <t>Daniela Jara Cerda</t>
  </si>
  <si>
    <t>daniela.jarac@redsalud.gob.cl</t>
  </si>
  <si>
    <t>1057532-397-PC25</t>
  </si>
  <si>
    <t>22.09.003</t>
  </si>
  <si>
    <t>Convenio - CONVENIO DE ARRIENDO DE AMBULANCIAS SAMU POR EL PERIODO COMPRENDIDO ENTRE SEPTIEMBRE 2025 A DICIEMBRE 2026</t>
  </si>
  <si>
    <t>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t>
  </si>
  <si>
    <t>Arriendo Ambulancia</t>
  </si>
  <si>
    <t>01-09-2025,01-10-2025,01-11-2025,01-12-2025,01-01-2026,01-02-2026,01-03-2026,01-04-2026,01-05-2026,01-06-2026,01-07-2026,01-08-2026,01-09-2026,01-10-2026,01-11-2026,01-12-2026</t>
  </si>
  <si>
    <t>Raul Nuñez Vega</t>
  </si>
  <si>
    <t>JEFE SAMU OSORNO</t>
  </si>
  <si>
    <t>64-2567353-</t>
  </si>
  <si>
    <t>raul.nunezv@redsalud.gob.cl</t>
  </si>
  <si>
    <t>1057532-398-PC25</t>
  </si>
  <si>
    <t>Convenio - MANTENCION Y OBRAS MENORES INFRAESTRUCTURA DE LOS ESTABLECIMIENTOS DEL SERVICIO DE SALUD OSORNO 2026</t>
  </si>
  <si>
    <t>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t>
  </si>
  <si>
    <t>Mantención</t>
  </si>
  <si>
    <t>Garibe Gallardo Trujillo</t>
  </si>
  <si>
    <t>PROFESIONAL</t>
  </si>
  <si>
    <t>64-2565596-</t>
  </si>
  <si>
    <t>GARIBE.GALLARDO@REDSALUD.GOB.CL</t>
  </si>
  <si>
    <t>1057532-399-PC25</t>
  </si>
  <si>
    <t>Convenio - Convenio de suministro de oxigenoterapia domiciliaria para pacientes del Programa Cuidados Paliativos Universales APS</t>
  </si>
  <si>
    <t>Servicio de oxigenoterapia domiciliaria para personas beneficiarias de ley 21.375 ingresadas al Programa CPU APS. Convenio a ejecutar por 15 meses, a partir del 23 de octubre 2025 al 31 diciembre 2026.</t>
  </si>
  <si>
    <t>Convenio Oxigeno</t>
  </si>
  <si>
    <t>01-10-2025,01-11-2025,01-12-2025,01-01-2026,01-02-2026,01-03-2026,01-04-2026,01-05-2026,01-06-2026,01-07-2026,01-08-2026,01-09-2026,01-10-2026,01-11-2026,01-12-2026</t>
  </si>
  <si>
    <t>María Teresa Jaramillo Vergara</t>
  </si>
  <si>
    <t>Encargada Alivio del Dolor y Cuidados Paliativos Universales</t>
  </si>
  <si>
    <t>64-2565809-</t>
  </si>
  <si>
    <t>maria.jaramillov@redsalud.gob.cl</t>
  </si>
  <si>
    <t>1057532-5742-SE25</t>
  </si>
  <si>
    <t>1057532-400-PC25</t>
  </si>
  <si>
    <t>Convenio - Convenio año 2026 Combustible calefacción para dispositivos del Servicio de Salud Osorno</t>
  </si>
  <si>
    <t>Adquisición Combustible calefacción para dispositivos del Servicio de Salud Osorno , desde mes Enero a Diciembre año 2026</t>
  </si>
  <si>
    <t>Combustible</t>
  </si>
  <si>
    <t>Pablo Oyarzo</t>
  </si>
  <si>
    <t>Encargado (S) Administracion Interna</t>
  </si>
  <si>
    <t>64-2565660-</t>
  </si>
  <si>
    <t>pablo.oyarzo@redsalud.gob.cl</t>
  </si>
  <si>
    <t>1057532-401-PC25</t>
  </si>
  <si>
    <t>22.04.007.002</t>
  </si>
  <si>
    <t>Convenio - CONVENIO INSUMOS DE ASEO PARA DISPOSITIVOS DE LA RED AÑO 2026</t>
  </si>
  <si>
    <t>CONVENIO DE ENERO A DICIEMBRE DEL AÑO 2026 ( Formulario enviado)</t>
  </si>
  <si>
    <t>1057532-402-PC25</t>
  </si>
  <si>
    <t>22..10.002</t>
  </si>
  <si>
    <t>Convenio - CONTRATACION DE SEGUROS GENERALES PARA VEHICULOS MOTORIZADOS PERTENECIENTES AL SERVICIO DE SALUD OSORNO 2026 - 2027</t>
  </si>
  <si>
    <t>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t>
  </si>
  <si>
    <t>Convenios Seguros</t>
  </si>
  <si>
    <t>Encargado Seccion</t>
  </si>
  <si>
    <t>1077241-53-PC25</t>
  </si>
  <si>
    <t>Convenio - Servicio de arriendo e informes de teleelectrocardiografía (sospecha IAM), para 13 establecimientos de urgencia de APS</t>
  </si>
  <si>
    <t>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t>
  </si>
  <si>
    <t>1057532-403-PC25</t>
  </si>
  <si>
    <t>22.06.002</t>
  </si>
  <si>
    <t>Convenio - CONVENIO SERVICIOS DE MANTENCION PREVENTIVA, CORRECTIVA Y/O REPARATIVAS PARA LAS CONVERSIONES EN AMBULANCIAS Y VEHÍCULOS</t>
  </si>
  <si>
    <t>Realizar mantenciones preventivas a todos los sistemas de las conversiones de las Ambulancias y vehículos con equipos especiales, como también realizar mantenciones correctivas y/o reparativas, según sea requerido.</t>
  </si>
  <si>
    <t>1057532-404-PC25</t>
  </si>
  <si>
    <t>Convenio - SERVICIOS DE MANTENCION PREVENTIVA, CORRECTIVA Y/O REPARATIVAS PARA VEHICULOS MULTIMARCAS AÑO 2026-2027</t>
  </si>
  <si>
    <t>Mantenciones 2026 Preventivas, correctivas y/o reparativas para vehículos motorizados mutimarcas de la Red Asistencial del Servicio de Salud Osorno. Enero2026 - Diciembre2026</t>
  </si>
  <si>
    <t>Encargado Sección Mantenimiento de Vehículos</t>
  </si>
  <si>
    <t>1057532-5558-SE25</t>
  </si>
  <si>
    <t>1057532-405-PC25</t>
  </si>
  <si>
    <t>Convenio - SERVICIOS DE MANTENCION PREVENTIVA, CORRECTIVA Y/O REPARATIVAS PARA BUS MITSUBISHI FUSO ROSA AÑO 2026</t>
  </si>
  <si>
    <t>Convenio 2026 -Mantenciones Preventivas, correctivas y/o reparativas de vehículos motorizados de la marca Mitsubishi - Fuso de la Red Asistencial del Servicio de Salud Osorno. Enero 26 - Diciembre 26</t>
  </si>
  <si>
    <t>1057532-419-PC25</t>
  </si>
  <si>
    <t>22.05</t>
  </si>
  <si>
    <t>Convenio - ADQUISICIÓN E IMPLEMENTACIÓN DE SISTEMA DIGITAL DE COMUNICACIONES CON TECNOLOGÍA PTT Y CONTROL DE FLOTA DE SALUD OSORNO</t>
  </si>
  <si>
    <t>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t>
  </si>
  <si>
    <t>Radio comunicaciones</t>
  </si>
  <si>
    <t>Catalina Vera Castro</t>
  </si>
  <si>
    <t>64-2337728-</t>
  </si>
  <si>
    <t>Bienestar</t>
  </si>
  <si>
    <t>1057727-2-PC26</t>
  </si>
  <si>
    <t>Enviado</t>
  </si>
  <si>
    <t>PAC General Bienestar 2026, se agrupa el total de actividades realizadas por Bienestar SSO.</t>
  </si>
  <si>
    <t>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t>
  </si>
  <si>
    <t>Proyecto Concunsable</t>
  </si>
  <si>
    <t>Claudia Centeno</t>
  </si>
  <si>
    <t>Cajera</t>
  </si>
  <si>
    <t>64-2336164-</t>
  </si>
  <si>
    <t>claudia.centeno@redsalud.gob.cl</t>
  </si>
  <si>
    <t>Concurso Fotografia</t>
  </si>
  <si>
    <t>Festival de la Voz</t>
  </si>
  <si>
    <t>Gala 18</t>
  </si>
  <si>
    <t>Full Day</t>
  </si>
  <si>
    <t>Olimpiadas DSSO</t>
  </si>
  <si>
    <t>Navidad</t>
  </si>
  <si>
    <t>Alimentación Navidad</t>
  </si>
  <si>
    <t>1077241-61-PC26</t>
  </si>
  <si>
    <t>22.12.999.02</t>
  </si>
  <si>
    <t>Adquisición de prestaciones de rehabilitación integral a niños, niñas y adolescentes con Trastorno del Espectro Autista</t>
  </si>
  <si>
    <t>Se requiere la ADQUISICIÓN DE PRESTACIONES DE REHABILITACIÓN INTEGRAL PARA EVALUACIÓN DIAGNÓSTICA Y TRATAMIENTO EN NIÑOS, NIÑAS Y ADOLESCENTES CON TRASTORNO DEL ESPECTRO AUTISTA (TEA). Se entregarán prestaciones a usuarios de la provincia de Osorno. Se realizará pago por prestaciones realizadas de acuerdo a arancel de modalidad de libre elección nivel 3, para cada una de ellas. Debido a que cada usuario tiene un Plan de tratamiento distinto, la cantidad de prestaciones no se puede definir, al igual que el numero de NNA.</t>
  </si>
  <si>
    <t>Convenio TEA</t>
  </si>
  <si>
    <t>01-03-2026,01-04-2026,01-05-2026,01-06-2026,01-07-2026,01-08-2026,01-09-2026,01-10-2026,01-11-2026,01-12-2026</t>
  </si>
  <si>
    <t>Karin Avila</t>
  </si>
  <si>
    <t>Referente Rehabilitación Integral</t>
  </si>
  <si>
    <t>64-2335807-</t>
  </si>
  <si>
    <t>karin.avila@redsalud.gob.cl</t>
  </si>
  <si>
    <t>Compras Convenio GORE Region de Los Lagos</t>
  </si>
  <si>
    <t>1180747-5-PC26</t>
  </si>
  <si>
    <t>29.05.002</t>
  </si>
  <si>
    <t>GORE: Apoyo de Rehabilitación Integral e Inclusión Social para niños, niñas y adolescentes con TEA</t>
  </si>
  <si>
    <t>Compra de Insumos y equipamiento para el desarrollo del Programa (GORE) ?Apoyo de Rehabilitación Integral e Inclusión Social para niños, niñas y adolescentes con Trastorno del Espectro Autista, para su ejecución enero-diciembre 2025. Programa que será ejecutido con la implementación de una sala de rehabilitación y un equipo de profesionales T. Ocupacional, Fonoaudiologo y Psicologo, para las 7 comunas de la provincia de Osorno. En algunas de ellas se considera el arriendo de un espacio y en otras la implementación en espacios publicos municipal</t>
  </si>
  <si>
    <t>Servicio Movilización</t>
  </si>
  <si>
    <t>Arriendo</t>
  </si>
  <si>
    <t>Arriendo Informatico</t>
  </si>
  <si>
    <t>Servicio Cafeteria</t>
  </si>
  <si>
    <t>Impresión</t>
  </si>
  <si>
    <t>Equipo Sensorial</t>
  </si>
  <si>
    <t>1077241-62-PC26</t>
  </si>
  <si>
    <t>22.04.005</t>
  </si>
  <si>
    <t>PRAPS Fondo de Farmacia para enfermedades crónicas no transmisibles en APS (FOFAR)</t>
  </si>
  <si>
    <t>Medicamentos e insumos para dar apoyo a la red cuando se requiera asociado al programa Fondo de Farmacia para enfermedades crónicas no transmisibles en establecimientos de APS (FOFAR) periodo 2026.</t>
  </si>
  <si>
    <t>Chessarina Tuchie Fischer</t>
  </si>
  <si>
    <t>Encargada Programa Fofar</t>
  </si>
  <si>
    <t>64-2335833-</t>
  </si>
  <si>
    <t>chessarina.tuchief@redsalud.gob.cl</t>
  </si>
  <si>
    <t>Insumos Medicos</t>
  </si>
  <si>
    <t>1077241-63-PC26</t>
  </si>
  <si>
    <t>22.04</t>
  </si>
  <si>
    <t>Adquisición de insumos para la atención en domicilio del Equipo Rehabilitación Rural SSO.</t>
  </si>
  <si>
    <t>Compra de elementos de higiene para el funiconamiento del Equipo Rural de Rehabilitación</t>
  </si>
  <si>
    <t>Materiales de Aseo</t>
  </si>
  <si>
    <t>1057532-281-PC26</t>
  </si>
  <si>
    <t>22.06.007</t>
  </si>
  <si>
    <t>Mantención Plotter Canon IPF 770, del depto. de Proyectos.</t>
  </si>
  <si>
    <t>Mantención anual preventiva, limpieza, cambio de cabezales y revisión de componentes.</t>
  </si>
  <si>
    <t>Mantencion</t>
  </si>
  <si>
    <t>Mario Barrientos</t>
  </si>
  <si>
    <t>Jefe Subdepto. Diseño De Infraestructura De Salud</t>
  </si>
  <si>
    <t>64-2335843-</t>
  </si>
  <si>
    <t>mario.barrientos@redsalud.gob.cl</t>
  </si>
  <si>
    <t>1057532-282-PC26</t>
  </si>
  <si>
    <t>Compra rollos papel para impresión del Departamento de Proyectos SSO.</t>
  </si>
  <si>
    <t>Adquisición de rollos de 50 mts de papel bond 80 grs, para la impresión de expedientes técnicos de la cartera de Inversión del SSO.</t>
  </si>
  <si>
    <t>Rollos</t>
  </si>
  <si>
    <t>1057532-283-PC26</t>
  </si>
  <si>
    <t>22.04.009</t>
  </si>
  <si>
    <t>Compra Tinta Plotter Canon IPF 770</t>
  </si>
  <si>
    <t>Compra de 2 set completos (6 tintas cada set) de tinta originales para Plotter Canon IPF 770.</t>
  </si>
  <si>
    <t>Tinta Plotter</t>
  </si>
  <si>
    <t>1057532-284-PC26</t>
  </si>
  <si>
    <t>Adquisicición Hojas Prehospitalarias</t>
  </si>
  <si>
    <t>Talonarios</t>
  </si>
  <si>
    <t>Silvia Delgado</t>
  </si>
  <si>
    <t>Encargada Proceso De Urgencia</t>
  </si>
  <si>
    <t>64-2335844-</t>
  </si>
  <si>
    <t>silvia.delgado@redsalud.gob.cl</t>
  </si>
  <si>
    <t>1057532-285-PC26</t>
  </si>
  <si>
    <t>22.04.999</t>
  </si>
  <si>
    <t>Adquisicición Kit de Triage y Sistema de comando incidente</t>
  </si>
  <si>
    <t>Permitirá estandarizar la evaluación, clasificación y priorización de pacientes según su gravedad clínica, asegurando una atención oportuna y eficiente. Su ejecución sera entre enero a marzo 2026.</t>
  </si>
  <si>
    <t>Kit Sistema</t>
  </si>
  <si>
    <t>1057532-286-PC26</t>
  </si>
  <si>
    <t>II Jornada de Capacitación Red de Urgencia</t>
  </si>
  <si>
    <t>Proyecto de Capacitación ?Curso de Atención Inicial en Urgencias y Entorno Prehospitalario para el Paciente Crítico?. Busca abordar brechas críticas identificadas en la evaluación y manejo inicial de pacientes en situación de urgencia vital, en el ámbito prehospitalario como en servicios de urgencia, mediante un enfoque estandarizado y protocolizado que fortalezca las competencias del equipo clínico. Se requiere servicio de cafeteria y para generar certificación a los asistentes, a ejecutar en marzo 2026, previo a campaña de invierno.</t>
  </si>
  <si>
    <t>Opalina</t>
  </si>
  <si>
    <t>1057532-287-PC26</t>
  </si>
  <si>
    <t>22.01.001</t>
  </si>
  <si>
    <t>?DIAGNÓSTICO Y DIALOGO PARTICIPATIVO COSAM RAHUE ?NOVIEMBRE 2026?</t>
  </si>
  <si>
    <t>Entregar un coffe break para jornada ?Diálogo participativo 2026" a realizarse en el mes de noviembre 2026. En este espacio significativo se busca capturar información relevante, conocer puntos de vista de las /os participantes, identificando y comprendiendo las problemáticas en salud mental de nuestro territorio a cargo, siendo de importancia para nuestra labor en salud publica generar espacios de integración y trabajo en red , que contribuyan a la salud mental de nuestros usuarios /as. Con cargo a fondo extrapresupuestario SENDA-PAI</t>
  </si>
  <si>
    <t>Camilo Martínez</t>
  </si>
  <si>
    <t>Director(S)</t>
  </si>
  <si>
    <t>64-2335608-</t>
  </si>
  <si>
    <t>camilo.martinez@redsalud.gob.cl</t>
  </si>
  <si>
    <t>1057532-288-PC26</t>
  </si>
  <si>
    <t>Jornadas de encuentro y autocuidado Para usuarios y cuidadores ?SALUDABLE-MENTE en dispositivo COSAM RAHUE 2026</t>
  </si>
  <si>
    <t>4 servicios de cafetería, mas colación saludable para 20 personas en los meses de abril ?julio ?septiembre y diciembre del 2026. Con cargo a fondo extrapresupuestario SENDA-PAI</t>
  </si>
  <si>
    <t>01-07-2026,01-09-2026,01-12-2026</t>
  </si>
  <si>
    <t>1057532-317-PC26</t>
  </si>
  <si>
    <t>22.04.015</t>
  </si>
  <si>
    <t>?Eco-huerto sustentable -Sistema de acuaponía sin suelo? COSAM RAHUE 2026</t>
  </si>
  <si>
    <t>5 Kits Torre PRO48, Sistema Aero/Hidropónico vertical con macetero de 40 lts con ruedas para mover con mayor facilidad en superficies planas. Capacidad de hasta 48 plantas. Incluye fertilizantes y plantas seleccionadas a elección. Se requiere para el mes de marzo 2026. Con cargo a presupuesto de SSO.</t>
  </si>
  <si>
    <t>Macetero</t>
  </si>
  <si>
    <t>1057532-320-PC26</t>
  </si>
  <si>
    <t>Insumos y medicamentos Farmacia COSAM RAHUE</t>
  </si>
  <si>
    <t>Garantizar disponibilidad de medicamentos para el tratamiento de los usuarios. Realizar correctamente la dispensación de medicamentos a los usuarios, con la correspondiente etiqueta y comprobante de entrega de fármacos. INSUMOS SE REQUIEREN PARA EL MES DE ENERO 2026</t>
  </si>
  <si>
    <t>Insumos y Repuestos</t>
  </si>
  <si>
    <t>1057532-321-PC26</t>
  </si>
  <si>
    <t>Capacitación en Salud Mental Intercultural COSAM Rahue.</t>
  </si>
  <si>
    <t>Se requiere servicio de cafetería con pertinencia cultural, para jornadas de Capacitación a dotación de COSAM Rahue y Comunidad Mapuche Huilliche, en el contexto de cambio a nuevas instalaciones, la incorporación de Facilitador Intercultural, el aumento de dotación de funcionarios de COSAM Rahue. Lo anterior trae desafíos para la implementación de Salud Mental Intercultural que se espera abordad a través de capacitación continua como una de las estrategias. Se programan 1 jornada en el mes de mayo y otra en noviembre. Con cargo a SENDA-PAI</t>
  </si>
  <si>
    <t>1057532-322-PC26</t>
  </si>
  <si>
    <t>Celebración de We Tripantu en COSAM Rahue 2026</t>
  </si>
  <si>
    <t>Se requiere contratación de servicio de cafetería con pertinencia cultural, a fin de llevar a cabo Celebración de We Tripantu, ceremonia que marca el nuevo ciclo para la comunidad Mapuche Huilliche. Está programada para el viernes 19 de junio de 2026, con la participación de 140 personas entre usuarios y participantes de la comunidad del territorio de COSAM Rahue. Con cargo a fondo extrapresupuestario SENDA-PAI</t>
  </si>
  <si>
    <t>1057532-323-PC26</t>
  </si>
  <si>
    <t>Jornadas de autocuidado equipo profesional PAI COSAM Rahue</t>
  </si>
  <si>
    <t>Servicio de cafetería para jornada Autocuidado programa PAI COSAM Rahue, para 30 personas, en el mes de septiembre 2026. Con cargo a fondo extrapresupuestario SENDA-PAI</t>
  </si>
  <si>
    <t>1077241-64-PC26</t>
  </si>
  <si>
    <t>Ceremonia de alta SENDA-PAI COSAM Rahue 2026</t>
  </si>
  <si>
    <t>1 servicio de cafetería para 50 personas para ceremonia alta de Programa SENDA-PAI COSAM Rahue, en el mes de agosto de 2026.</t>
  </si>
  <si>
    <t>1057532-324-PC26</t>
  </si>
  <si>
    <t>CONVENIO - ADQUISICION DE 8 CUPOS HOGAR PROTEGIDO MUJERES PARA EL SERVICIO DE SALUD OSORNO POR PERIODO DE 12 MESES</t>
  </si>
  <si>
    <t>Se requiere la contratación del servicio denominado Hogar Protegido Mujeres (beneficiarios 8 usuarios) para usuarios/as por un periodo de 12 meses. Vigencia desde el 22 de marzo de 2026 al 23 de marzo de 2027. Incluye: $ 35.500 valor prestación Día Hogar Protegido (6 usuarios). $ 54.145 valor prestación categoría 2 (1 usuario) $ 65.546 valor prestación categoría 3 (1 usuario)</t>
  </si>
  <si>
    <t>Hogar Protegido 6</t>
  </si>
  <si>
    <t>01-03-2026,01-04-2026,01-05-2026,01-06-2026,01-07-2026,01-08-2026,01-09-2026,01-10-2026,01-11-2026,01-12-2026,01-01-2027,01-02-2027</t>
  </si>
  <si>
    <t>Coordinador Unidad De Gestión De Procesos Clínicos De Atención De Especialidad Ambulatoria, Cerrada</t>
  </si>
  <si>
    <t>Hogar Protegido 1</t>
  </si>
  <si>
    <t>1077241-65-PC26</t>
  </si>
  <si>
    <t>Anilladora e insumos para preparación de material Cosam Rahue. Fondo extrapresupuestarios SENDA PAI</t>
  </si>
  <si>
    <t>Se requiere adquirir anilladora e insumos para la elaboración de material de trabajo y difusión para el mes de febrero. Lo anterior con cargo a fondo extrapresupuestario SENDA PAI.</t>
  </si>
  <si>
    <t>1057532-325-PC26</t>
  </si>
  <si>
    <t>SERVICIO CAFETERÍA CEREMONIA ANIVERSARIO COSAM RAHUE</t>
  </si>
  <si>
    <t>Se requiere servicio de cafetería para 150 personas para el mes de mayo 2026. Se espera: ? La participación de Directivos del Servicio de Salud Osorno, funcionarios de COSAM Rahue, usuarios y comunidad.</t>
  </si>
  <si>
    <t>1077241-66-PC26</t>
  </si>
  <si>
    <t>Jornada de Autocuidado funcionarios COSAM Rahue, con cargo a fondo extrapresupuestario SENDA-PAI</t>
  </si>
  <si>
    <t>Se requiere la contratación de 2 servicios de cafetería para jornadas de autocuidado de la comunidad funcionaria para 100 personas cada uno: mes de junio y mes de diciembre. La contratación de este servicio será cargada a fondos extrapresupuestarios SENDA-PAI</t>
  </si>
  <si>
    <t>1077241-67-PC26</t>
  </si>
  <si>
    <t>Celebración fiestas patrias usuarios y cuidadores COSAM RAHUE.</t>
  </si>
  <si>
    <t>Se requiere la compra de insumos de alimentación para actividad de celebración de fiestas patrias con usuarios y cuidadores de Programa de Atención Domiciliaria, Programa Calle, Programa SENDA PAI, Consejo Consultivo Adulto e Infanto-adolescente y usuarios de talleres, para el 04/09/2026. Con cargo a fondo extrapresupuestario SENDA-PAI</t>
  </si>
  <si>
    <t>Alimentos 18 Sept</t>
  </si>
  <si>
    <t>1057532-326-PC26</t>
  </si>
  <si>
    <t>Adquisición de insumos para la atención en domicilio del Equipo Rehabilitación Rural SSO. (Articulos de Libreria)</t>
  </si>
  <si>
    <t>Compra de articulos de libreria para el funiconamiento del Equipo Rural de Rehabilitación (marzo 2026)</t>
  </si>
  <si>
    <t>1077241-68-PC26</t>
  </si>
  <si>
    <t>Adquisición de insumos para la atención en domicilio del Equipo Rehabilitación Rural SSO (material Ergoterapia)</t>
  </si>
  <si>
    <t>Compra de material de ergoterapia para el funiconamiento del Equipo Rural de Rehabilitación</t>
  </si>
  <si>
    <t>Pistola Silicona</t>
  </si>
  <si>
    <t>1057532-327-PC26</t>
  </si>
  <si>
    <t>Convenio - 3 CUPOS DE RESIDENCIA PROTEGIDA PARA EL SERVICIO DE SALUD OSORNO EN LA PROVINCIA DE CONCEPCIÓN, POR PERIODO DE 24 MESES.</t>
  </si>
  <si>
    <t>Se requiere la contratación del servicio denominado Residencia Protegida (beneficiarios 3 usuarios) para usuarios/as por un periodo de 24 meses. Vigencia desde el 31 de marzo de 2026 al 1 de abril de 2028. $ 54.154 valor prestación Día residencia Protegida (3 usuarios). Estos usuarias cuentan actualmente con domicilio en la comuna de Hualqui, derivados bajo la responsabilidad de nuestro Servicio de Salud.</t>
  </si>
  <si>
    <t>Residencia Protegia</t>
  </si>
  <si>
    <t>01-03-2026,01-04-2026,01-05-2026,01-06-2026,01-07-2026,01-08-2026,01-09-2026,01-10-2026,01-11-2026,01-12-2026,01-01-2027,01-02-2027,01-03-2027,01-04-2027,01-05-2027,01-06-2027,01-07-2027,01-08-2027,01-09-2027,01-10-2027,01-11-2027,01-12-2027,01-01-2028,01-02-2028</t>
  </si>
  <si>
    <t>1057532-328-PC26</t>
  </si>
  <si>
    <t>Rollos Etiquetas para impresora ZEBRA ZD 220 y rollos de cinta para impresora SOME, COSAM RAHUE</t>
  </si>
  <si>
    <t>Se requiere la compra de 50 Rollos Etiquetas para impresora ZEBRA ZD 888T y 50 rollos de cinta para impresora SOME para el mes de enero 2026.</t>
  </si>
  <si>
    <t>1057532-329-PC26</t>
  </si>
  <si>
    <t>Convenio - 10 CUPOS RESIDENCIA PROTEGIDA DE ALTA COMPLEJIDAD PARA EL SERVICIO DE SALUD OSORNO POR PERIODO DE 12 MESES.</t>
  </si>
  <si>
    <t>Se requiere la contratación del servicio denominado Residencia Protegida alta complejidad (beneficiarios 10 usuarios) para usuarios/as por un periodo de 12 meses. Vigencia desde el 15 de marzo de 2026 al 16 de marzo de 2027. $ 81.432 valor prestación Día residencia Protegida alta complejidad (10 usuarios).</t>
  </si>
  <si>
    <t>1057532-330-PC26</t>
  </si>
  <si>
    <t>22.04.007</t>
  </si>
  <si>
    <t>INSUMOS DE ASEO COSAM RAHUE</t>
  </si>
  <si>
    <t>Contar con insumos de aseo para el buen funcionamiento del dispositivo, no disponibles en maestro de abastecimiento. Insumos se requieren para el mes de marzo 2026.</t>
  </si>
  <si>
    <t>Insumos de Aseo</t>
  </si>
  <si>
    <t>1057532-331-PC26</t>
  </si>
  <si>
    <t>22.12.999.015</t>
  </si>
  <si>
    <t>Compra de Insumos de Cafetería reuniones ordinarias anuales de Salud Pueblos Originarios</t>
  </si>
  <si>
    <t>Compra Insumos de cafetería para reuniones mensuales Salud Pueblos Originarios, se proyectan 18 reuniones ordinarias (marzo a diciembre) con un aproximado de 365 personas.</t>
  </si>
  <si>
    <t>Pedro Huito</t>
  </si>
  <si>
    <t>Apoyo Salud Intercultural</t>
  </si>
  <si>
    <t>64-2335814-</t>
  </si>
  <si>
    <t>pedro.huito@redsalud.gob.cl</t>
  </si>
  <si>
    <t>1077241-69-PC26</t>
  </si>
  <si>
    <t>Insumos cafetería actividades con usuarios Cosam Rahue y comunidad 2026, fondo extrapresupuestario SENDA PAI</t>
  </si>
  <si>
    <t>Insumos de cafetería para la ejecución de talleres, actividades grupales y psicoeducativas que se desarrollan con usuarios/as de Cosam Rahue y la comunidad para el año 2026, con cargo a fondo extrapresupuestario SENDA PAI. Se requiere compra para enero 2026.</t>
  </si>
  <si>
    <t>Alimentos</t>
  </si>
  <si>
    <t>1077241-70-PC26</t>
  </si>
  <si>
    <t>INSUMOS ESCRITORIO COSAM RAHUE, FONDO EXTRAPRESUPUESTARIO SENDA-PAI</t>
  </si>
  <si>
    <t>Insumos de escritorio que no se encuentran en el maestro de Depto de Abastecimiento o que son insuficientes para el correcto funcionamiento del dispositivo. Se requieren para el mes de marzo 2026. con cargo a fondo extrapresupuestario SENDA-PAI</t>
  </si>
  <si>
    <t>1057532-332-PC26</t>
  </si>
  <si>
    <t>Actualizado</t>
  </si>
  <si>
    <t>Protectores solares FPS 50 para funcionarios y usuarios taller huerto</t>
  </si>
  <si>
    <t>En el contexto de atención clínica comunitaria, el equipo técnico-profesional de Cosam Rahue realiza acciones en la comunidad, tales como talleres, visitas domiciliarias y actividades al aire libre, por lo que se requiere protector solar para enero 2026.</t>
  </si>
  <si>
    <t>Protectores Solares</t>
  </si>
  <si>
    <t>1077241-71-PC26</t>
  </si>
  <si>
    <t>Compra de tintas de repuesto impresoras Cosam Rahue</t>
  </si>
  <si>
    <t>Se requiere la compra de tinta de repuesto para la operatividad de impresoras que se utilizan para la elaboración de material a color para las diversas actividades de promoción y prevención, para el mes de abril 2026, con a SENDA-PAI.</t>
  </si>
  <si>
    <t>Tintas</t>
  </si>
  <si>
    <t>1077241-74-PC26</t>
  </si>
  <si>
    <t>Insumos alimenticios para el Programa SENDA Calle. Fondo extrapresupuestario SENDA PAI</t>
  </si>
  <si>
    <t>Se requiere adquirir insumos alimenticios para usuarios pertenecientes al Programa para personas en situación de calle con consumo de alcohol y otras drogas. Lo anterior con cargo a fondo extrapresupuestario SENDA PAI</t>
  </si>
  <si>
    <t>1057532-333-PC26</t>
  </si>
  <si>
    <t>22.04.003</t>
  </si>
  <si>
    <t>TEST DE DETECCION DE DROGAS</t>
  </si>
  <si>
    <t>Se requiere la adquisición de test de detección de drogas con capacidad para reconocer nueve o más tipos de sustancias, destinados a procesos de evaluación y control del programa. Los test deberán venir en envases individuales sellados, garantizando higiene y seguridad. Su diseño debe evitar el contacto directo con la orina, mediante sistema de activación tipo llave o mecanismo interno, asegurando fiabilidad, trazabilidad y resultados confiables. Ejecución: octubre 2026.</t>
  </si>
  <si>
    <t>Test</t>
  </si>
  <si>
    <t>Carolina Silva</t>
  </si>
  <si>
    <t>Encargada De Compras</t>
  </si>
  <si>
    <t>64-2335492-</t>
  </si>
  <si>
    <t>CAROLINA.SILVALL@REDSALUD.GOB.CL</t>
  </si>
  <si>
    <t>1077241-75-PC26</t>
  </si>
  <si>
    <t>Taller de Herramientas Psicológicas, Taller PEERS</t>
  </si>
  <si>
    <t>Estos espacios buscan generar un ambiente de confianza, cercanía y participación activa de los usuarios, por lo que ofrecen un momento de compartir alimentos contribuye directamente a los objetivos terapéuticos. Otros materiales contribuyen en el manejo de ansiedad (como bolsas de papel Kraft, pelotas antiestrés, pañuelos desechables), y permite enseñar técnicas de manejo de síntomas ansiosos.</t>
  </si>
  <si>
    <t>Pedro Fritz</t>
  </si>
  <si>
    <t>Director Cosam</t>
  </si>
  <si>
    <t>64-2335610-</t>
  </si>
  <si>
    <t>Caja, Pelotas</t>
  </si>
  <si>
    <t>Pañuelos faciales</t>
  </si>
  <si>
    <t>1057532-334-PC26</t>
  </si>
  <si>
    <t>PAC insumos clínicos unidad de enfermería 2026.</t>
  </si>
  <si>
    <t>Los insumos clínicos son elementos fundamentales para la prestación de cuidados de enfermería entregados en COSAM Oriente. Estos materiales permiten que el personal de enfermería pueda cumplir con las funciones de tomas de muestras y procedimientos, para garantizar una atención segura y de calidad a la población usuaria. Es importante que la adquisición sea entre los meses de febrero y marzo 2026, para evitar quiebre de stock de insumos clínicos.</t>
  </si>
  <si>
    <t>Tiras, test rápido, alcohol</t>
  </si>
  <si>
    <t>Insumos clínicos</t>
  </si>
  <si>
    <t>Biombo, pesa</t>
  </si>
  <si>
    <t>Equipo curación, algodón</t>
  </si>
  <si>
    <t>Cooler</t>
  </si>
  <si>
    <t>Caja</t>
  </si>
  <si>
    <t>1077241-76-PC26</t>
  </si>
  <si>
    <t>22.01.002</t>
  </si>
  <si>
    <t>INTERVENCIÓN PSICOSOCIAL GRUPAL TALLER PARA JOVENES Y ADOLESCENTES EN TRATAMIENTO EN COSAM ORIENTE</t>
  </si>
  <si>
    <t>Taller con duración de 8 sesiones se desarrolla durante todo el año. Solicitud de compra para el mes de enero 2026</t>
  </si>
  <si>
    <t>Material de Enseñanza</t>
  </si>
  <si>
    <t>1057532-335-PC26</t>
  </si>
  <si>
    <t>Compra de Insumos de Cafetería reuniones ordinarias anuales Participación, Trato Usuario, Salud Pueblos Originarios</t>
  </si>
  <si>
    <t>Insumos de cafetería para reuniones mensuales Trato Usuario, se proyecta 12 reuniones, con un aprox. de 225 personas</t>
  </si>
  <si>
    <t>Daniela Barria</t>
  </si>
  <si>
    <t>Encargada Trato Usuario</t>
  </si>
  <si>
    <t>64-2335775-</t>
  </si>
  <si>
    <t>daniela.barriaa@redsalud.gob.cl</t>
  </si>
  <si>
    <t>1077241-77-PC26</t>
  </si>
  <si>
    <t>Taller Huertos 2026</t>
  </si>
  <si>
    <t>Taller se realiza durante todo el año, sin suspensión, por lo que se solicita material a contar de enero en lo posible</t>
  </si>
  <si>
    <t>Productos Jardín</t>
  </si>
  <si>
    <t>Bolsas</t>
  </si>
  <si>
    <t>1077241-78-PC26</t>
  </si>
  <si>
    <t>22.04.002</t>
  </si>
  <si>
    <t>Comité de Participación y gestión Intercultural - Dia de la Mujer 2026</t>
  </si>
  <si>
    <t>La conmemoración del día de la mujer se realizará el día miércoles 11 de marzo del 2026, idealmente la compra debe estar un mes antes, ya que debemos preparar los recuerdos y las actividades para ese día. En esta actividad se invitará a mujeres que se encuentran atendiendo en Cosam Oriente, se realizará una sesión educativa y reflexiva y luego una actividad práctica y de autocuidado.</t>
  </si>
  <si>
    <t>1180747-6-PC26</t>
  </si>
  <si>
    <t>31.02.002</t>
  </si>
  <si>
    <t>Consultorías adecuación Diseño PSR Coligual, comuna de Purranque.</t>
  </si>
  <si>
    <t>Desarrollar las adecuaciones a los proyectos de arquitectura y especialidades del diseño del la PSR tipo para el sector de Coligual, comuna de Purranque.</t>
  </si>
  <si>
    <t>Consultorias</t>
  </si>
  <si>
    <t>1180747-7-PC26</t>
  </si>
  <si>
    <t>Consultorías adecuación Diseño PSR Caracol, comuna de San Pablo.</t>
  </si>
  <si>
    <t>Desarrollar las adecuaciones a los proyectos de arquitectura y especialidades del diseño del la PSR tipo para el sector de Caracol, comuna de San Pablo.</t>
  </si>
  <si>
    <t>1057532-336-PC26</t>
  </si>
  <si>
    <t>22.07.002</t>
  </si>
  <si>
    <t>Impresión Talonarios de Registro de Solicitudes Ciudadanas</t>
  </si>
  <si>
    <t>Los talonarios deben contener 50 formularios en duplicado autocopiativo, se envía modelo con información en la parte inferior se debe señalar Formulario Original Establecimiento; Formulario Duplicado Usuario, según corresponda.</t>
  </si>
  <si>
    <t>folleteria</t>
  </si>
  <si>
    <t>1057532-337-PC26</t>
  </si>
  <si>
    <t>INSUMOS DE FARMACIA 2026</t>
  </si>
  <si>
    <t>Compra de serie de productos para el buen funcionamiento de la Unidad de Farmacia durante el año 2026</t>
  </si>
  <si>
    <t>Recetarios</t>
  </si>
  <si>
    <t>Refrigerador</t>
  </si>
  <si>
    <t>Insumos Computacionales</t>
  </si>
  <si>
    <t>1077241-81-PC26</t>
  </si>
  <si>
    <t>Taller de baile entretenido y acondicionamiento físico 2026</t>
  </si>
  <si>
    <t>Actividades en sesiones del taller, presentación de fiestas patrias y presentación en el día de la salud mental. Inicio de actividades en enero.</t>
  </si>
  <si>
    <t>Ropa</t>
  </si>
  <si>
    <t>Material Taller</t>
  </si>
  <si>
    <t>1057532-338-PC26</t>
  </si>
  <si>
    <t>ACTIVIDADES DE DIFUSIÓN Y DE PREVENCIÓN EN LA PROVINCIA DE OSORNO</t>
  </si>
  <si>
    <t>Se requiere la adquisición de artículos promocionales para fortalecer la imagen corporativa de la Comunidad, incluyendo lienzos y pendones con información institucional y de contacto. También se contemplan trofeos, galardones, bolsas y suvenires personalizados con la identidad visual de la organización, con el fin de mantener coherencia en la comunicación institucional y reforzar el reconocimiento de la Comunidad en actividades, eventos y campañas de promoción.</t>
  </si>
  <si>
    <t>Galvanos y Placa</t>
  </si>
  <si>
    <t>Bolsas Ecologicas</t>
  </si>
  <si>
    <t>Pendon</t>
  </si>
  <si>
    <t>Merchandising Publicidad</t>
  </si>
  <si>
    <t>1057532-339-PC26</t>
  </si>
  <si>
    <t>Jornada de Humanización del Trato Usuario</t>
  </si>
  <si>
    <t>Compra de Servicio de Cafetería para asistentes a Jornada de Humanización del Trato Usuario, dirigido a 50 participantes, jornada AM - PM.</t>
  </si>
  <si>
    <t>1057532-340-PC26</t>
  </si>
  <si>
    <t>Despensa para Unidad de Secretaria</t>
  </si>
  <si>
    <t>Se requiere en Enero la compra de una despensa con cierre para resguardo y protección de equipos Notebook y Celulares del Cosam</t>
  </si>
  <si>
    <t>Mueble</t>
  </si>
  <si>
    <t>1077241-82-PC26</t>
  </si>
  <si>
    <t>22.04.014</t>
  </si>
  <si>
    <t>Yoga Sensible al Trauma: Regulación emocional desde el Cuerpo y la Conciencia.</t>
  </si>
  <si>
    <t>Se espera adquisición para el mes de enero del 2026 para dar inicio a intervenciones desde febrero a diciembre.</t>
  </si>
  <si>
    <t>Material Yoga</t>
  </si>
  <si>
    <t>Frazadas</t>
  </si>
  <si>
    <t>1077241-83-PC26</t>
  </si>
  <si>
    <t>Comité de Participación y Gestión Intercultural - Dia del Niño 2026</t>
  </si>
  <si>
    <t>La actividad se realizará en el mes de agosto del 2026, por lo que las compras deberían estar un mes antes para preparar los recuerdos y material para ese día.</t>
  </si>
  <si>
    <t>Material Didactico</t>
  </si>
  <si>
    <t>1077241-84-PC26</t>
  </si>
  <si>
    <t>Comité de Participación y Gestión Intercultural - Fiestas Patrias 2026</t>
  </si>
  <si>
    <t>La actividad de fiestas patrias 2026 se desarrollará en el mes de septiembre, por lo que se recomienda realizar la compra un mes antes, en este ítem y para la ejecución de dicho evento se requiere insumos para decorar y alimentación para los usuarios y sus familias, quienes son el público objetivo.</t>
  </si>
  <si>
    <t>Material Decoración</t>
  </si>
  <si>
    <t>Menaje</t>
  </si>
  <si>
    <t>1077241-85-PC26</t>
  </si>
  <si>
    <t>Intervención psicosocial grupal de Música</t>
  </si>
  <si>
    <t>La Intervención psicosocial grupal se desarrollará desde abril del 2026, a cargo de profesional de cosam oriente, y está enmarcada en 2 ciclos anuales para diferentes personas, cada ciclo constan de 4 meses en total, y finaliza con una presentación.</t>
  </si>
  <si>
    <t>Guitarra</t>
  </si>
  <si>
    <t>1057532-342-PC26</t>
  </si>
  <si>
    <t>COMPRA MATERIALES DE OFICINA DEPARTAMENTO DE PROYECTOS</t>
  </si>
  <si>
    <t>COMPRA DE MATERIALES DE OFICINA QUE NO SE ENCUENTRA DISPONIBLE EN BODEGA DE INSUMOS DE OFICINA, TALES COMO: PAQUETE DE MICAS TRANSPARENTES TAMAÑO CARTA PAQUETE DE MICAS TRANSPARENTES, TIJERAS GRANDES PARA CORTAR PLANOS TIJERAS DE OFICINA, CORCHETERAS, PORTA PLANOS, TERMOLAMINADORA, ENTRE OTROS.</t>
  </si>
  <si>
    <t>Papeleria</t>
  </si>
  <si>
    <t>Yanet Gutierrez</t>
  </si>
  <si>
    <t>Secretaria</t>
  </si>
  <si>
    <t>64-2335764-</t>
  </si>
  <si>
    <t>yanet.gutierrez@redsalud.gob.cl</t>
  </si>
  <si>
    <t>1057532-345-PC26</t>
  </si>
  <si>
    <t>Estudio e Informe Estructural COSAM Oriente.</t>
  </si>
  <si>
    <t>Desarrollar el estudio y modelación estructural del actual COSAM Oriente, de tal forma de evaluar una ampliación para la normalización del edificio al estándar MINSAL actual.</t>
  </si>
  <si>
    <t>1057532-347-PC26</t>
  </si>
  <si>
    <t>ARTICULOS PARA TERAPIA OCUPACIONAL</t>
  </si>
  <si>
    <t>Artículos para uso en los talleres de Terapia Ocupacional en unidades Residencial y Ambulatorio. Que tengan durabilidad, higiene, que cumplan funciones de estimulación, que sean seguros, que el tamaño vaya de acuerdo a la edad para la cual esté dirigido y que la forma facilite la manipulación, diseño adecuado para todos los beneficiarios, Sin olvidar la buena calidad. EJECUCIÓN: JULIO 2026</t>
  </si>
  <si>
    <t>Material Educativo</t>
  </si>
  <si>
    <t>1057532-348-PC26</t>
  </si>
  <si>
    <t>TOLDOS</t>
  </si>
  <si>
    <t>Se requiere la adquisición de una cubierta textil o lona de alta resistencia para su instalación en jardines y áreas abiertas del establecimiento. Su finalidad es brindar protección ante radiación solar y condiciones climáticas, favoreciendo el uso seguro y confortable de los espacios exteriores. El material deberá ser lona acrílica impermeable, transpirable y duradera, resistente al sol, viento y lluvia, con estructura estable y apta para espacios institucionales. EJECUCION MARZO 2026</t>
  </si>
  <si>
    <t>Toldo</t>
  </si>
  <si>
    <t>1057532-349-PC26</t>
  </si>
  <si>
    <t>MANTENCIONES, REPUESTOS Y REPARACIONES</t>
  </si>
  <si>
    <t>Se requiere la adquisición de materiales para mantenciones y reparaciones en la unidad de salud con el fin de asegurar el correcto funcionamiento de las instalaciones, equipos e infraestructura, garantizando condiciones seguras y adecuadas para la atención de usuarios y el trabajo del personal. Estos insumos permiten realizar reparaciones oportunas, prevenir deterioros mayores, mantener la continuidad operativa y cumplir con las normas de seguridad y salud laboral establecidas.</t>
  </si>
  <si>
    <t>Mantenciones</t>
  </si>
  <si>
    <t>Repuestos</t>
  </si>
  <si>
    <t>1057532-350-PC26</t>
  </si>
  <si>
    <t>INSUMOS COMPUTACIONALES</t>
  </si>
  <si>
    <t>Se requiere la adquisición de repuestos e insumos computacionales para garantizar el correcto funcionamiento de los equipos tecnológicos de la unidad de salud, asegurando la continuidad de los servicios administrativos, clínicos y de registro de información. Estos insumos permiten reparar, mantener y optimizar el desempeño de computadores, impresoras y otros dispositivos electrónicos, reduciendo tiempos de inactividad, previniendo fallas mayores y asegurando eficiencia, seguridad y confiabilidad en los procesos del establecimiento.</t>
  </si>
  <si>
    <t>WI FI</t>
  </si>
  <si>
    <t>1057532-351-PC26</t>
  </si>
  <si>
    <t>Convenio - CONVENIO DE ADQUISICION DE KIT POINT OF CARE (POC) CON ARRIENDO DE EQUIPOS PARA ANALISIS DE MUESTRAS, SSO</t>
  </si>
  <si>
    <t>INSUMOS PARA EXAMENES DE LABORATORIO TIPO POC, CON ARRIENDO DE EQUIPOS, PARA HOSPITAL PUERTO OCTAY, HOSPITAL RIO NEGRO, HOSPITAL PU MULEN QUILACAHUIN, HOSPITAL FUKA SRUKA LAWENCHE KUNKO MAPU MO Y SAR CHUYACA. MES DE EJECUCION DE LA COMPRA SE REQUIERE PARA JULIO DEL 2026, CON DURACION DE 12 MESES.</t>
  </si>
  <si>
    <t>Convenio Kit Point</t>
  </si>
  <si>
    <t>01-08-2026,01-09-2026,01-10-2026,01-11-2026,01-12-2026,01-01-2027,01-02-2027,01-03-2027,01-04-2027,01-05-2027,01-06-2027,01-07-2027</t>
  </si>
  <si>
    <t>Encargada Apoyo Diagnóstico Laboratorio</t>
  </si>
  <si>
    <t>64-2335827-</t>
  </si>
  <si>
    <t>1057532-352-PC26</t>
  </si>
  <si>
    <t>Muestra tu Pausa Activa</t>
  </si>
  <si>
    <t>Con motivo de conmemorar el Día Mundial de la Actividad Física (6 de abril) y el Día Mundial de la Salud (7 de abril), la Unidad SAFU invita a participar a los funcionarios de los diferentes Servicios/Establecimientos/Dispositivos de la Red SSO para que envíen un video que muestre una pausa activa en su trabajo, ya sea una rutina simple de ejercicios o un baile entretenido en grupo. La pausa activa más creativa será premiada con un ?set de pausas activas?, que incluye herramientas para desarrollar pausas activas en su lugar de trabajo.</t>
  </si>
  <si>
    <t>Instrumentos Deportivos</t>
  </si>
  <si>
    <t>Marcia Delarze</t>
  </si>
  <si>
    <t>Kinesióloga</t>
  </si>
  <si>
    <t>64-2337097-</t>
  </si>
  <si>
    <t>marcia.delarze@redsalud.gob.cl</t>
  </si>
  <si>
    <t>1057532-353-PC26</t>
  </si>
  <si>
    <t>PLAN DE COMPRAS AÑO 2026 LEY N°19.664 Y FORMACION DE ESPECIALISTAS S.S.O</t>
  </si>
  <si>
    <t>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t>
  </si>
  <si>
    <t>Jocelyne Prieto</t>
  </si>
  <si>
    <t>Jefa Seccion Gestion Y Desarrollo Ley Medica</t>
  </si>
  <si>
    <t>64-2335767-</t>
  </si>
  <si>
    <t>jocelyne.prieto@redsalud.gob.cl</t>
  </si>
  <si>
    <t>Servicio Traslado</t>
  </si>
  <si>
    <t>Pendrive</t>
  </si>
  <si>
    <t>Materiales de Oficina</t>
  </si>
  <si>
    <t>Publicación Diario</t>
  </si>
  <si>
    <t>Menaje Cafeteria</t>
  </si>
  <si>
    <t>1077241-86-PC26</t>
  </si>
  <si>
    <t>Comité de Participación y Gestión Intercultural - Navidad 2026</t>
  </si>
  <si>
    <t>El Festival Navideño se realizará en el mes de diciembre, por lo que las compras deberían estar en noviembre, para poder organizar los recuerdos y actividades a realizar en este evento, además de la comida que se va a entregar a los invitados. Es una actividad de cierre de año y de reflexión en torno a lo realizado en las vidas de los usuarios y sus familiares</t>
  </si>
  <si>
    <t>Bolsas Regalo</t>
  </si>
  <si>
    <t>1077241-87-PC26</t>
  </si>
  <si>
    <t>Implementos de Terapia Ocupacional.</t>
  </si>
  <si>
    <t>Idealmente en enero ya contar con los materiales.</t>
  </si>
  <si>
    <t>1057532-354-PC26</t>
  </si>
  <si>
    <t>Convenio - COMPRA DE KITS PARA DETECCION DE VIRUS Y BACTERIAS RESPIRATORIAS POR METODO MOLECULAR RAPIDO (POC MOLECULAR)</t>
  </si>
  <si>
    <t>COMPRA DE KITS PARA DETECCION DE VIRUS Y BACTERIAS RESPIRATORIAS POR METODO MOLECULAR RAPIDO (POC MOLECULAR) QUE PERMITIRAN A HPO, HRN Y HPU OTORGAR PRESTACIONES DE LABORATORIO RELATIVAS A LA DETECCION DE INFECCIONES RESPIRATORIAS POR METODOS RAPIDOS Y ALTAMENTE ESPECIFICOS/SENSIBLES. SE REQUIERE QUE LA COMPRA SE REALICE EN MAYO DEL 2026, CON RECURSOS DE LA CAMPAÑA DE INVIERNO DEL AÑO 2026, CON DURACION DEL CONVENIO POR 12 MESES.</t>
  </si>
  <si>
    <t>01-05-2026,01-06-2026,01-07-2026,01-08-2026,01-09-2026,01-10-2026,01-11-2026,01-12-2026,01-01-2027,01-02-2027,01-03-2027,01-04-2027</t>
  </si>
  <si>
    <t>Daniela Soto</t>
  </si>
  <si>
    <t>1077241-88-PC26</t>
  </si>
  <si>
    <t>AUTOCUIDADO CONVENIO SENDA 2026</t>
  </si>
  <si>
    <t>Se requiere contar con los insumos en los siguientes meses: Febrero, Marzo, Abril, Mayo, Junio, Julio, Agosto y Noviembre</t>
  </si>
  <si>
    <t>1057532-355-PC26</t>
  </si>
  <si>
    <t>MEDICINA INTEGRATIVA SAFU</t>
  </si>
  <si>
    <t>Adquirir productos para realización de medicina integrativa en los/las funcionarios/as que se atiendas en SAFU, por lo cual, para dar continuidad a los tratamientos realizados, el mes de ejecución de la compra debe ser realizado en enero 2026 , el cual estará vigente hasta diciembre 2026.</t>
  </si>
  <si>
    <t>Aromaterapia</t>
  </si>
  <si>
    <t>Lhya Kortmann</t>
  </si>
  <si>
    <t>Enfermera</t>
  </si>
  <si>
    <t>64-2337034-</t>
  </si>
  <si>
    <t>lhya.kortmann@redsalud.gob.cl</t>
  </si>
  <si>
    <t>1057532-356-PC26</t>
  </si>
  <si>
    <t>Adquisición Insumos para realizar el aseo y confort de usuarios/as con Dependencia Severa.</t>
  </si>
  <si>
    <t>COMPRA DE INSUMOS PARA USUARIOS DEL PROGRAMA ATENCIÓN DOMICILIARIA PARA PERSONAS CON DEPENDENCIA SEVERA. LA COMPRA SE REALIZARÁ EN EL MES DE ABRIL, SEGÚN DISTRIBUCIÓN DE RECURSOS FINANCIEROS.</t>
  </si>
  <si>
    <t>Producto de Aseo</t>
  </si>
  <si>
    <t>Camila Alvarez</t>
  </si>
  <si>
    <t>Kinesióloga Encargada Programa Atencion Domiciliaria Para Personas Con Dependencia Severa</t>
  </si>
  <si>
    <t>64-2335818-</t>
  </si>
  <si>
    <t>Pañales</t>
  </si>
  <si>
    <t>Crema</t>
  </si>
  <si>
    <t>1057532-357-PC26</t>
  </si>
  <si>
    <t>INSUMOS LEY 20.000</t>
  </si>
  <si>
    <t>Compra se ejecutará en Marzo 2026.</t>
  </si>
  <si>
    <t>Fernando Roman</t>
  </si>
  <si>
    <t>Jefe Subdepartamento Farmacia</t>
  </si>
  <si>
    <t>64-2335811-</t>
  </si>
  <si>
    <t>Toner</t>
  </si>
  <si>
    <t>1057532-358-PC26</t>
  </si>
  <si>
    <t>Zumba a todo corazón</t>
  </si>
  <si>
    <t>Ejecutar actividad de Zumba dirigida a funcionarios/as y comunidad en conmemoración al mes del corazón (Agosto 2026), además de entregar colaciones saludables y premios posterior a la realización de la actividad. Actividad inserta en Programa Apoyo a la Gestión en establecimiento dependientes - componente Salud Cardiovascular (Presupuesto 2026).</t>
  </si>
  <si>
    <t>Instructora</t>
  </si>
  <si>
    <t>Daniela Cancino</t>
  </si>
  <si>
    <t>Nutricionista</t>
  </si>
  <si>
    <t>64-2337032-</t>
  </si>
  <si>
    <t>daniela.cancino01@redsalud.gob.cl</t>
  </si>
  <si>
    <t>Decoración</t>
  </si>
  <si>
    <t>1057532-359-PC26</t>
  </si>
  <si>
    <t>Mantenimiento baños y camarines</t>
  </si>
  <si>
    <t>Mes en el que se deberá gestionar FSC es febrero 2026. la mantención se considera 1 vez en el año.</t>
  </si>
  <si>
    <t>Director</t>
  </si>
  <si>
    <t>64-2335588-</t>
  </si>
  <si>
    <t>roberto.nunez@redsalud.gob.cl</t>
  </si>
  <si>
    <t>1057532-360-PC26</t>
  </si>
  <si>
    <t>Construcción de radieres en estacionamiento</t>
  </si>
  <si>
    <t>Febrero, marzo, abril año 2026. El trabajo se debe hacer en 3 meses son 12 estacionamientos, se debe realizar de a 4 por motivo de no congestionar espacios destinados a estacionamientos</t>
  </si>
  <si>
    <t>1057532-361-PC26</t>
  </si>
  <si>
    <t>Mantención comedor lado patio interior</t>
  </si>
  <si>
    <t>marzo 2026, corresponde a 1 trabajo que se debe ejecutar</t>
  </si>
  <si>
    <t>1057532-362-PC26</t>
  </si>
  <si>
    <t>Pintado de muros perimetrales de edificio.</t>
  </si>
  <si>
    <t>Se deberá ejecutar en marzo 2026, es un sólo trabajo</t>
  </si>
  <si>
    <t>1057532-363-PC26</t>
  </si>
  <si>
    <t>Mantenimiento caseta de guardias</t>
  </si>
  <si>
    <t>Se deberá ejecutar en marzo 2026, corresponde a 1 trabajo</t>
  </si>
  <si>
    <t>1057532-364-PC26</t>
  </si>
  <si>
    <t>Instalación de manillas en puertas metálicas de sala REAS, Caldera, Generador</t>
  </si>
  <si>
    <t>Se deberá ejecutar en abril 2026, El trabajo se hace 1 vez</t>
  </si>
  <si>
    <t>1057532-366-PC26</t>
  </si>
  <si>
    <t>Reparar fuga red de agua alimentación invernadero.</t>
  </si>
  <si>
    <t>Se deberá ejecutar en Enero 2026. Corresponde a un trabajo</t>
  </si>
  <si>
    <t>1057532-367-PC26</t>
  </si>
  <si>
    <t>Habilitación de sala pagoda como sala de recuperación pacientes.</t>
  </si>
  <si>
    <t>Se deberá ejecutar en julio 2026, corresponde a una obra de adecuación.</t>
  </si>
  <si>
    <t>1057532-368-PC26</t>
  </si>
  <si>
    <t>Mantenimiento de cámaras y red ed aguas lluvia y reemplazo de bomba de impulsión</t>
  </si>
  <si>
    <t>Ejecución en marzo 2026. Corresponde a 1 trabajo.</t>
  </si>
  <si>
    <t>1057532-369-PC26</t>
  </si>
  <si>
    <t>Mantenimiento de cámaras y red de alcantarillado, artefactos sanitarios.</t>
  </si>
  <si>
    <t>Ejecución en abril 2026, corresponde a 1 solo trabajo</t>
  </si>
  <si>
    <t>1057532-370-PC26</t>
  </si>
  <si>
    <t>TALONARIOS DE LICENCIA MÉDICA</t>
  </si>
  <si>
    <t>El talonario para licencias médicas es un suministro de formularios de papel que los médicos pueden solicitar a través de la COMPIN. Si bien la emisión de licencias médicas electrónicas es obligatoria desde enero de 2021, existen excepciones que requieren el uso de papel, como cuando hay error en la lectura de la huella del prestador , intermitencia de la plataforma, etc..., por lo cual, se requiere adquirir estos talonarios de licencia médica a través de COMPIN , donde el mes de ejecución de la compra es enero 2026.</t>
  </si>
  <si>
    <t>64-2335663-</t>
  </si>
  <si>
    <t>1057532-371-PC26</t>
  </si>
  <si>
    <t>Mantenimiento planta elevadora aguas servidas</t>
  </si>
  <si>
    <t>Junio 2026, corresponde a 1 trabajo</t>
  </si>
  <si>
    <t>1057532-372-PC26</t>
  </si>
  <si>
    <t>Suministro de Pellet para sistema de calefacción</t>
  </si>
  <si>
    <t>El insumo se deberá adquiquir de la siguiente forma: 600 bolsas de pellet 15kg en marzo, 500 bolsas de pellet 15kg en mayo, 600 bolsas de pellet 15kg en julio y 700 bolsas de pellet 15kg en septiembre</t>
  </si>
  <si>
    <t>Pellet</t>
  </si>
  <si>
    <t>01-03-2026,01-05-2026,01-07-2026,01-09-2026</t>
  </si>
  <si>
    <t>1057532-373-PC26</t>
  </si>
  <si>
    <t>22.03.999</t>
  </si>
  <si>
    <t>Suministro de diesel para generador eléctrico</t>
  </si>
  <si>
    <t>Se deberá adquirir en mayo 2026, se comprará una sola vez.</t>
  </si>
  <si>
    <t>Combustibles</t>
  </si>
  <si>
    <t>1057532-374-PC26</t>
  </si>
  <si>
    <t>Reemplazo de equipo iluminación interior.</t>
  </si>
  <si>
    <t>julio 2026. Corresponde a compra de insumos.</t>
  </si>
  <si>
    <t>1057532-375-PC26</t>
  </si>
  <si>
    <t>Mantenimiento sensores de humo</t>
  </si>
  <si>
    <t>Junio 2026. Corresponde a 1 trabajo.</t>
  </si>
  <si>
    <t>1057532-376-PC26</t>
  </si>
  <si>
    <t>Mantenimiento sistema de cierre/apertura puertas de PVC</t>
  </si>
  <si>
    <t>Dejar operativas puertas comunes, puertas de emergencia y puerta doble acceso a pasillo clínico).</t>
  </si>
  <si>
    <t>1057532-377-PC26</t>
  </si>
  <si>
    <t>Mantención de enchufes e interruptores lampistería instalación interior.</t>
  </si>
  <si>
    <t>Agosto 2026.</t>
  </si>
  <si>
    <t>1057532-378-PC26</t>
  </si>
  <si>
    <t>MOVIL AÑO 2027</t>
  </si>
  <si>
    <t>SE REQUIERE EL SERVICIO DE MOVILIZACIÓN PARA COSAM ORIENTE A PARTIR DE ENERO A DICIEMBRE DEL 2027</t>
  </si>
  <si>
    <t>Movilización</t>
  </si>
  <si>
    <t>01-01-2027,01-02-2027,01-03-2027,01-04-2027,01-05-2027,01-06-2027,01-07-2027,01-08-2027,01-09-2027,01-10-2027,01-11-2027,01-12-2027</t>
  </si>
  <si>
    <t>1077241-89-PC26</t>
  </si>
  <si>
    <t>29.05.001</t>
  </si>
  <si>
    <t>PROGRAMA MEL</t>
  </si>
  <si>
    <t>QUE LOS FUNCIONARIOS/AS TENGANUN ENTORNO LABORAL ADECUADO PARA EL DESARROLLO DE SUS FUNCIONES. Inicio de ejecucion Marzo del 2026 hasta noviembre 2026</t>
  </si>
  <si>
    <t>Equipos</t>
  </si>
  <si>
    <t>Kassandra Fernandez</t>
  </si>
  <si>
    <t>Trabajadora Social</t>
  </si>
  <si>
    <t>64-2336339-</t>
  </si>
  <si>
    <t>kassandra.fernandez@redsalud.gob.cl</t>
  </si>
  <si>
    <t>1057532-379-PC26</t>
  </si>
  <si>
    <t>Materiales de Secretaria para uso del Cosam 2026</t>
  </si>
  <si>
    <t>Se requiere comprar en Marzo</t>
  </si>
  <si>
    <t>1057532-380-PC26</t>
  </si>
  <si>
    <t>22.03.001</t>
  </si>
  <si>
    <t>Convenio - Convenio Adquisición de combustible móviles de la DSSO y Ambulancias SAMU año 2026</t>
  </si>
  <si>
    <t>Se requiere la compra de combustible para el funcionamiento de los móviles de la Dirección del Servicio de Salud Osorno y Ambulancias de la Base SAMU</t>
  </si>
  <si>
    <t>64-2335660-</t>
  </si>
  <si>
    <t>1057532-381-PC26</t>
  </si>
  <si>
    <t>23.03.003</t>
  </si>
  <si>
    <t>Convenio - Convenio Adquisición de combustible Diesel para equipos generadores dispositivos del SSO Cosam Rahue y Cosam Oriente</t>
  </si>
  <si>
    <t>Convenio Adquisición de 10.000 litros de combustible Diesel para equipos generadores dispositivos del SSO Cosam Rahue y Cosam Oriente año 2026</t>
  </si>
  <si>
    <t>Encargado (S) Administración Interna</t>
  </si>
  <si>
    <t>1077241-90-PC26</t>
  </si>
  <si>
    <t>Intervención Psicosocial Grupal para Familiares de Usuarios/as con Diagnóstico de Esquizofrenia</t>
  </si>
  <si>
    <t>Se requieren las compras para el mes de marzo</t>
  </si>
  <si>
    <t>1077241-91-PC26</t>
  </si>
  <si>
    <t>Intervención Psicosocial Grupal para Usuarios y Usuarias con Consumo de Alcohol y Drogas</t>
  </si>
  <si>
    <t>Se requieren los insumos para el mes de marzo</t>
  </si>
  <si>
    <t>Pañuelos</t>
  </si>
  <si>
    <t>1057532-383-PC26</t>
  </si>
  <si>
    <t>Jornada de Buenas Prácticas en Hospital Amigo y Ley Mila 2026</t>
  </si>
  <si>
    <t>Compra se servicio de cafetería mañana y tarde para 50 personas, centro de costo Trato Usuario. Instancia de encuentro orientada a compartir experiencias significativas, fortalecer la implementación de buenas prácticas en humanización del trato y cuidado, y promover la mejora continua en la atención centrada en las personas y sus familias.</t>
  </si>
  <si>
    <t>Capacitacion</t>
  </si>
  <si>
    <t>1057532-384-PC26</t>
  </si>
  <si>
    <t>Jornada de Evaluación Comité de Gestión Usuaria 2026</t>
  </si>
  <si>
    <t>Compra de servicio de cafetería y materiales de apoyo (papelería, lápices, papelógrafos) para 50 personas, jornada de un día completo. Centro de costo Trato Usuario</t>
  </si>
  <si>
    <t>1077241-92-PC26</t>
  </si>
  <si>
    <t>Jornada de Fortalecimiento OIRS 2026</t>
  </si>
  <si>
    <t>Compra de servicio de cafetería y papelería para 50 personas durante dos jornadas. Centro de costo Trato Usuario.</t>
  </si>
  <si>
    <t>1057532-385-PC26</t>
  </si>
  <si>
    <t>Recetarios Médicos SAFU</t>
  </si>
  <si>
    <t>Adquirir recetarios médicos para la Unidad SAFU enero 2026</t>
  </si>
  <si>
    <t>1057532-386-PC26</t>
  </si>
  <si>
    <t>MATERIALES DE OFICINA</t>
  </si>
  <si>
    <t>Materiales e insumos que no se encuentran en bodega general y son necesarios para las actividades y salidas a terreno que desarrolla Prevención de Riesgos , S.O. y G.A.</t>
  </si>
  <si>
    <t>Venecia Recabarren</t>
  </si>
  <si>
    <t>Jefatura Unidad Prev. Riesgos</t>
  </si>
  <si>
    <t>64-2336130-</t>
  </si>
  <si>
    <t>david.serrano@redsalud.gob.cl</t>
  </si>
  <si>
    <t>1057532-387-PC26</t>
  </si>
  <si>
    <t>22.02.002</t>
  </si>
  <si>
    <t>Vestuario y equipamiento Tecnico Referentes Prevención de Riesgos DSSO</t>
  </si>
  <si>
    <t>Vestuario institucional y de proteccion para actividades de terreno del SDPR.</t>
  </si>
  <si>
    <t>Geologo</t>
  </si>
  <si>
    <t>venecia.recabarren@redsalud.gob.cl</t>
  </si>
  <si>
    <t>1057532-388-PC26</t>
  </si>
  <si>
    <t>INSUMOS DE ENFERMERÍA SAFU</t>
  </si>
  <si>
    <t>Se requiere adquirir insumos del área de enfermería para dar continuidad a la atención y una mejora de ésta a la comunidad funcionaria durante el mes de febrero 2026.</t>
  </si>
  <si>
    <t>Insumos de Enfermeria</t>
  </si>
  <si>
    <t>1057532-389-PC26</t>
  </si>
  <si>
    <t>Almacenamiento,organización y resguardo de los insumos clínicos del área de enfermería</t>
  </si>
  <si>
    <t>Se requiere adquirir cajas de almacenamiento de 28 LT para la conservación y resguardo de los insumos de enfermería, con el fin de prevenir deterioro de los insumos , mes de ejecución febrero 2026</t>
  </si>
  <si>
    <t>1057532-390-PC26</t>
  </si>
  <si>
    <t>CONMEMORACIÓN DÍA INTERNACIONAL DE LA SALUD MENTAL 2026</t>
  </si>
  <si>
    <t>COMPRAR CROQUERAS PEQUEÑAS Y LAPICES GEL PARA QUE CADA FUNCIONARIO/A, PUEDA, A TRAVÉS, DE LA PSICOTERAPIA NARRATIVA EXPLORAR RECURSOS PERSONALES, HABILIDADES Y COMPETENCIAS QUE FAVORECEN EL CUIDADO Y LA PROTECCIÓN DE LA SALUD MENTAL EN LOS CONTEXTOS LABORALES. ESTAS JORNADAS SE REALIZARAN EN TODOS LOS DISPOSITIVOS DE LA RED DURANTE LA SEGUNDA SEMANA DE OCTUBRE (CONMEMORACIÓN DIA MUNDIAL DE LA SALUD MENTAL)</t>
  </si>
  <si>
    <t>Pilar Mora</t>
  </si>
  <si>
    <t>Encargada Saludablemente Funcionarios</t>
  </si>
  <si>
    <t>64-2337096-</t>
  </si>
  <si>
    <t>pilar.mora@redsalud.gob.cl</t>
  </si>
  <si>
    <t>1057532-391-PC26</t>
  </si>
  <si>
    <t>"JORNADA DE FORTALECIMIENTO DE COMPETENCIAS PARENTALES Y BIENESTAR FAMILIAR "</t>
  </si>
  <si>
    <t>SE NECESITAN INSUMOS PARA REALIZAR COFFEE PARA EXPOSITORES EXTERNOS, Y COMUNIDAD USUARIA Y FUNCIONARIA, LA CUAL ACTIVIDAD ESTA DIRIGIDO A AMBOS PUBLICO OBJETIVO, COMPRA EN MAYO 2026.</t>
  </si>
  <si>
    <t>Encargada Cuidados Infantiles Y Conciliación</t>
  </si>
  <si>
    <t>1057532-392-PC26</t>
  </si>
  <si>
    <t>Contratación de visitas obras civiles consultoría obra ?SALA DE ACOGIDA INTERCULTURAL (SRUKA) HBO.</t>
  </si>
  <si>
    <t>se requiere contratar las visitas de los siguientes proyectistas para el mes de octubre 2026; 1 visita proyectista Mecánica de suelos 20 uf; 1 visita proyectista Arquitectura 20 uf; 2 visitas proyectista Calculo Estructural 20 uf; 2 visitas proyectista Instalaciones electricas 20 uf; 1 visita proyectista Paisajismo 15 uf; 1 visita Revisor independiente de arquitectura 20 uf ( nota el valor de la uf será del dia de la visita del especialista).</t>
  </si>
  <si>
    <t>Raul Rojas</t>
  </si>
  <si>
    <t>Itos</t>
  </si>
  <si>
    <t>64-2335596-</t>
  </si>
  <si>
    <t>raul.rojasc@redsalud.gob.cl</t>
  </si>
  <si>
    <t>1057532-393-PC26</t>
  </si>
  <si>
    <t>FESTIVAL DEL DÍA DE LA NIÑEZ</t>
  </si>
  <si>
    <t>LA ACTIVIDAD REQUIERE COMPRA DE INSUMOS, SERVCIOS Y MATERIALES NECESARIOS PARA LA ORGANIZACIÓN, LA COMPRA DEBE HACERSE EL MES DE JULIO 2026.</t>
  </si>
  <si>
    <t>1057532-394-PC26</t>
  </si>
  <si>
    <t>22.09.005.002</t>
  </si>
  <si>
    <t>Convenio - CONVENIO SUMINISTRO DE REACTIVOS CON ARRIENDO DE EQUIPOS Y SISTEMA INFORMATICO INTEGRADO DE LABORATORIO CLINICO, SSO</t>
  </si>
  <si>
    <t>EL SERVICIO DE SALUD OSORNO REQUIERE SUSCRIBIR UN CONVENIO CON EL OBJETIVO DE CONTRATAR EL SERVICIO DE ARRIENDO DE EQUIPOS CON SISTEMA INFORMATICO INTEGRADO, PARA LA REALIZACION DE EXAMENES DE QUIMICA CLINICA, ORINAS, HORMONAS, HEMATOLOGIA, MICROBIOLOGIA Y COAGULACION, JUNTO A LOS REACTIVOS E INSUMOS NECESARIOS PARA EL PROCESAMIENTO DE EXAMENES. LOS ESTABLECIMIENTOS SON HPU, HRN, HPO, HPMQ Y HFSLKMM. LA COMPRA SE REQUIERE EN ABRIL 2026 (PUBLICADO EN MERCADO PUBLICO), Y EL CONVENIO TENDRA VIGENCIA 5 AÑOS (60 MESES).</t>
  </si>
  <si>
    <t>Convenio Equipos</t>
  </si>
  <si>
    <t>01-05-2026,01-06-2026,01-07-2026,01-08-2026,01-09-2026,01-10-2026,01-11-2026,01-12-2026,01-01-2027,01-02-2027,01-03-2027,01-04-2027,01-05-2027,01-06-2027,01-07-2027,01-08-2027,01-09-2027,01-10-2027,01-11-2027,01-12-2027,01-01-2028,01-02-2028,01-03-2028,01-04-2028,01-05-2028,01-06-2028,01-07-2028,01-08-2028,01-09-2028,01-10-2028,01-11-2028,01-12-2028</t>
  </si>
  <si>
    <t>1057532-395-PC26</t>
  </si>
  <si>
    <t>Adquisición Carro de Transporte Droguería-Bodega General</t>
  </si>
  <si>
    <t>Carro</t>
  </si>
  <si>
    <t>Leonor Araneda</t>
  </si>
  <si>
    <t>Directora Técnica Droguería</t>
  </si>
  <si>
    <t>64-2335651-</t>
  </si>
  <si>
    <t>LEONOR.ARANEDAA@REDSALUD.GOB.CL</t>
  </si>
  <si>
    <t>1057532-396-PC26</t>
  </si>
  <si>
    <t>Adquisición de Amarras Plásticas y Elásticos para Optimizar el Almacenamiento y Distribución</t>
  </si>
  <si>
    <t>Adquisición de Amarras Plásticas y Elásticos para Optimizar el Almacenamiento y Distribución primer Trimestre del año 2026. Adquirir 300 bolsas de 1/2 kilo dividido en 3 colores diferentes de tal manera poder ligar cajas con diferentes colores según su lote . Adquirir 20.000 unidades de amarras plásticas o amarras cables para el cierre de los contenedores de transporte de medicamentos.</t>
  </si>
  <si>
    <t>Amarras y Elasticos</t>
  </si>
  <si>
    <t>1057532-397-PC26</t>
  </si>
  <si>
    <t>EEPP para funcionarios de Droguería-Bodega General-Bodega Inversiones</t>
  </si>
  <si>
    <t>Ropa- Zapatos : DT: 02 Poleras, 01 Parka , 01Polar ; 2 TENS- 2 Bodegueros : 02 Poleras c/u, 02 Pantalones c/u , 01 Parka c/u , 01 Polar c/u y 01 Zapatos de Seguridad c/u. ; 2 Administrativas: 02 Poleras c/u , 01 polar c/u , 01 parka c/u. Cascos : 4unidades Guantes para carga: 14 pares de guantes.</t>
  </si>
  <si>
    <t>EPP</t>
  </si>
  <si>
    <t>1057532-398-PC26</t>
  </si>
  <si>
    <t>Implementación de Sistema de Cerradura Digital para Control de Acceso</t>
  </si>
  <si>
    <t>Adquisición de 3 cerraduras digitales para el acceso a Droguería y Bodega General. Primer Trimestre 2026.</t>
  </si>
  <si>
    <t>Cerraduras</t>
  </si>
  <si>
    <t>1057532-399-PC26</t>
  </si>
  <si>
    <t>29.05.999</t>
  </si>
  <si>
    <t>Adquisición de Sensores de Temperatura para Droguería ( Bodega de Dispositivos Médicos)</t>
  </si>
  <si>
    <t>Adquisición de 15 Sensores de Temperatura y humedad calibrados para Droguería ( Bodega de Dispositivos Médicos) Primer Trimestre 2026. Velar por monitoreo de temperatura y humedad en espacios de almacenamiento de Dispositivos Médicos, se debe considerar poder :poder contar con un sensor en 3 puntos de cada zona de almacenamiento. ( Mas variable, mayor temperatura y menor temperatura) y descargar la información para realizar un monitoreo continuo.</t>
  </si>
  <si>
    <t>Sensores</t>
  </si>
  <si>
    <t>1077241-93-PC26</t>
  </si>
  <si>
    <t>Altas Senda año 2026</t>
  </si>
  <si>
    <t>Ceremonia a realizar en septiembre del 2026</t>
  </si>
  <si>
    <t>Tazon</t>
  </si>
  <si>
    <t>Lapiz Pasta</t>
  </si>
  <si>
    <t>Arreglos</t>
  </si>
  <si>
    <t>1077241-95-PC26</t>
  </si>
  <si>
    <t>Formación facilitadores Talleres Prenatales para matronas y matrones de la red de atención primaria</t>
  </si>
  <si>
    <t>Servicio de cafetería e insumos de librería para la realización de capacitación en talleres prenatales.</t>
  </si>
  <si>
    <t>Estrella Azocar</t>
  </si>
  <si>
    <t>Enc. Chcc</t>
  </si>
  <si>
    <t>64-2335829-</t>
  </si>
  <si>
    <t>estrella.azocarv@redsalud.gob.cl</t>
  </si>
  <si>
    <t>1057532-400-PC26</t>
  </si>
  <si>
    <t>22.06</t>
  </si>
  <si>
    <t>Mantención de Equipos Médicos e Industriales 2026</t>
  </si>
  <si>
    <t>Dar cobertura a las necesidades de calibración y mantención de equipos médicos e industriales de los establecimientos de la Red del Servicio de Salud Osorno. Corresponde a diferentes servicios a ejecutarse en dichos equipos los años 2026 y 2027, para mantener su buen, continuo y seguro funcionamiento asociados a la atención en unidades clinicas y unidades de apoyo de los diferentes establecimientos y dispositivos de la Red del Servicio de Salud Osorno, dando así continuidad a las prestaciones de salud de la provincia.</t>
  </si>
  <si>
    <t>Servicio Calibración-Certificación</t>
  </si>
  <si>
    <t>01-03-2026,01-06-2026,01-09-2026</t>
  </si>
  <si>
    <t>Khris Silva</t>
  </si>
  <si>
    <t>Jefa Subdepto. Mantención De Equipos Médicos E Industriales</t>
  </si>
  <si>
    <t>Mantención equipos médicos</t>
  </si>
  <si>
    <t>Mantenciones correctivas</t>
  </si>
  <si>
    <t>Mantenciones Preventivas</t>
  </si>
  <si>
    <t>Mantención Correctiva Equipos</t>
  </si>
  <si>
    <t>1057532-402-PC26</t>
  </si>
  <si>
    <t>Convenio - Convenio de Accesorios para Equipos Médicos Criticos de Base SAMU Osorno año 2027</t>
  </si>
  <si>
    <t>Dar cobertura a las necesidades de accesorios y consumibles asociados al funcionamiento de equipos médicos criticos de ambulancias de emergencia de Base SAMU (enero a diciembre 2027)</t>
  </si>
  <si>
    <t>1077241-96-PC26</t>
  </si>
  <si>
    <t>Insumos para aumentar la lactancia materna exclusiva</t>
  </si>
  <si>
    <t>Insumos para aumentar la lactancia materna exclusiva, mes de julio. Fantoma mamario/Pechera de Lactancia Insumos de lactancia.</t>
  </si>
  <si>
    <t>Insumos Clinicos</t>
  </si>
  <si>
    <t>Equipamiento Medico</t>
  </si>
  <si>
    <t>1057532-403-PC26</t>
  </si>
  <si>
    <t>Insumos de Box de rehabilitación kinésica SAFU</t>
  </si>
  <si>
    <t>La adquisición de implementos kinésicos para el box es fundamental para garantizar la calidad y la eficacia de los servicios de rehabilitación y tratamiento hacia los funcionarios del servicio y el Hospital (marzo- abril)</t>
  </si>
  <si>
    <t>Insumos Kinesicos</t>
  </si>
  <si>
    <t>Felipe Barriga</t>
  </si>
  <si>
    <t>Kinesiólogo</t>
  </si>
  <si>
    <t>felipe.barriga@redsalud.gob.cl</t>
  </si>
  <si>
    <t>1057532-404-PC26</t>
  </si>
  <si>
    <t>22.12.003</t>
  </si>
  <si>
    <t>Cuenta Pública Gestión 2025</t>
  </si>
  <si>
    <t>Compra de Servicio de cafetería, artículos de librería y arriendo de pantalla led con atril para una asistencia promedio de 300 personas.</t>
  </si>
  <si>
    <t>Gesto Ceremonial</t>
  </si>
  <si>
    <t>1057532-405-PC26</t>
  </si>
  <si>
    <t>Diálogo Provincial en Salud</t>
  </si>
  <si>
    <t>Compra de servicio de cafetería para comunidad asistente y autoridades asistentes a la actividad, compra de artículos de librería que se ocuparan en dinámicas de trabajo, además de carpetas y lápices. También se necesita adquirir 300 vasos de polipapel y 300 yogurt.</t>
  </si>
  <si>
    <t>Evento</t>
  </si>
  <si>
    <t>Yogurth</t>
  </si>
  <si>
    <t>1077241-97-PC26</t>
  </si>
  <si>
    <t>Jornada de Inducción a médicos EDF, sobre Interculturalidad en Salud con pueblos originarios</t>
  </si>
  <si>
    <t>Compra de servicio de cafetería para 200 personas en total. La actividad contempla 02 jornadas de día completo y se realizaran una en julio y la segunda en octubre.</t>
  </si>
  <si>
    <t>1180747-8-PC26</t>
  </si>
  <si>
    <t>Contratación de visitas de Consultorías de Obra " Mejoramiento Hospital de Río Negro"</t>
  </si>
  <si>
    <t>SE REQUIERE CONTRATAR LAS VISITAS DE LOS SIGUIENTES PROYECTISTAS PARA EL MES DE DICIEMBRE DE 2026 DEL PROYECTO MEJORAMIENTO ELECTRICIDAD Y CORRIENTES DEBILES DEL HOSPITAL DE RIO NEGRO; 3 VISITAS DEL PROYECTISTA, VALOR POR VISITA 14 UF IVA INCLUIDO. Y MEJORAMIENTO CLIMATIZACION DEL HOSPITAL DE RIO NEGRO; 3 VISITAS DEL PROYECTISTA, VALOR POR VISITA 14 UF IVA INCLUIDO. NOTA: EL VALOR DE LA UF SERA DEL DÍA DE LA VISITA</t>
  </si>
  <si>
    <t>Remodelación</t>
  </si>
  <si>
    <t>Gustavo Marin</t>
  </si>
  <si>
    <t>Profesional</t>
  </si>
  <si>
    <t>64-2337385-</t>
  </si>
  <si>
    <t>gustavo.marin@redsalud.gob.cl</t>
  </si>
  <si>
    <t>1180747-9-PC26</t>
  </si>
  <si>
    <t>Consultorías adecuación Diseño PSR Hueyusca, comuna de Purranque.</t>
  </si>
  <si>
    <t>Desarrollar las adecuaciones a los proyectos de arquitectura y especialidades del diseño de la PSR tipo para el sector de Hueyusca, comuna de Purranque.</t>
  </si>
  <si>
    <t>1057532-410-PC26</t>
  </si>
  <si>
    <t>Artículos de limpieza y higiene</t>
  </si>
  <si>
    <t>Se requiere la adquisición de insumos de limpieza y artículos de higiene, destinados al mantenimiento y sanitización de las dependencias del Dispositivo Comunitario, asegurando condiciones adecuadas de funcionamiento e higiene para usuarios y personal, a partir de marzo de 2026.</t>
  </si>
  <si>
    <t>Artículos de limpieza</t>
  </si>
  <si>
    <t>Luis Flores</t>
  </si>
  <si>
    <t>64-2337366-</t>
  </si>
  <si>
    <t>1057532-412-PC26</t>
  </si>
  <si>
    <t>Insumos para actividades grupales con usuarios y familiares de UID Newen.</t>
  </si>
  <si>
    <t>Adquisición de insumos destinados al desarrollo de taller socio recreativo que se realizara con usuarios/as de UID Newen a contar del mes de enero de 2026.</t>
  </si>
  <si>
    <t>Productos Cafeteria</t>
  </si>
  <si>
    <t>Coordinadora</t>
  </si>
  <si>
    <t>64-2337766-</t>
  </si>
  <si>
    <t>1057532-415-PC26</t>
  </si>
  <si>
    <t>Insumos para actividades de promoción, prevención e intervención comunitaria con usuarios/as y familiares de UID Newen.</t>
  </si>
  <si>
    <t>Adquisición de insumos orientados al desarrollo de actividades de promoción, prevención e intervenciones que se realizaran con usuarios/as y familiares de UID Newen a contar del mes de enero del 2026.</t>
  </si>
  <si>
    <t>Sillas, Toldos, Mesas</t>
  </si>
  <si>
    <t>Parlante</t>
  </si>
  <si>
    <t>1057532-416-PC26</t>
  </si>
  <si>
    <t>Material de papelería centro Kümelen</t>
  </si>
  <si>
    <t>La presente adquisición corresponde a la compra de materiales de papelería y oficina destinados al funcionamiento operativo del Centro Comunitario de Apoyo a Personas con Demencia Kümelen. Los insumos serán utilizados para el desarrollo de talleres grupales, atenciones individuales, actividades comunitarias y labores administrativas internas, permitiendo asegurar la continuidad de las prestaciones clínicas y comunitarias que realiza el equipo multidisciplinario del centro. el mes de ejecución es para Abril del 2026</t>
  </si>
  <si>
    <t>Reloj</t>
  </si>
  <si>
    <t>1057532-418-PC26</t>
  </si>
  <si>
    <t>Mochilas e insumos EMT (Equipos Médicos de Emergencia)</t>
  </si>
  <si>
    <t>Contar con 2 mochilas acordes a funcionamiento en terreno de EMT y herramientas manuales básicas necesarias para despliegues en emergencias. mes ejecucion: enero</t>
  </si>
  <si>
    <t>Catalina Vera</t>
  </si>
  <si>
    <t>Coordinadora Emergencia</t>
  </si>
  <si>
    <t>Mochila</t>
  </si>
  <si>
    <t>1057532-421-PC26</t>
  </si>
  <si>
    <t>software de cartografía web</t>
  </si>
  <si>
    <t>Contar con licencia de software de cartografía web, para la creación de mapas territoriales y análisis de amenazas 12 meses. Desde mes de enero</t>
  </si>
  <si>
    <t>Software</t>
  </si>
  <si>
    <t>Activos Fijos</t>
  </si>
  <si>
    <t>1057922-5-PC26</t>
  </si>
  <si>
    <t>29.03</t>
  </si>
  <si>
    <t>COMPRA DE AMBULANCIA PARA CESFAM CON SAR DE RAHUE ALTO</t>
  </si>
  <si>
    <t>COMPRA DE AMBULANCIA PARA CESFAM CON SAR DE RAHUE ALTO // MES DE FEBRERO 2026.</t>
  </si>
  <si>
    <t>Ambulancia</t>
  </si>
  <si>
    <t>64-2335654-</t>
  </si>
  <si>
    <t>1057532-422-PC26</t>
  </si>
  <si>
    <t>22.02</t>
  </si>
  <si>
    <t>COMPRA ELEMENTOS DE PROTECCION PERSONAL SECCION MANT. DE VEHICULOS</t>
  </si>
  <si>
    <t>COMPRA DE EPP PARA PERSONAL DE LA SECCION DE MANTENIMIENTO DE VEHICULOS DEL SSO</t>
  </si>
  <si>
    <t>Calzado</t>
  </si>
  <si>
    <t>Vestuario</t>
  </si>
  <si>
    <t>Bloqueador solar</t>
  </si>
  <si>
    <t>1057532-423-PC26</t>
  </si>
  <si>
    <t>COMPRA DE TARJETAS BLANCAS PARA CREDENCIALES PARA CAMAPAÑA SELLO BUEN TRATO.</t>
  </si>
  <si>
    <t>MES DE EJECUCION DE LA COMPRA DE TARJETAS BLANCAS PARA CREDENCIALES SE REALIZARA EN EL MES DE FEBRERO DE 2026.</t>
  </si>
  <si>
    <t>Gustavo Aravena</t>
  </si>
  <si>
    <t>Jefe Depto. Desarrollo Organizacional</t>
  </si>
  <si>
    <t>64-2335819-</t>
  </si>
  <si>
    <t>gustavo.aravena@redsalud.gob.cl</t>
  </si>
  <si>
    <t>1057532-424-PC26</t>
  </si>
  <si>
    <t>Adquisición de insumos clínicos para usuarios/as UID Newen.</t>
  </si>
  <si>
    <t>Brindar una atención integral, segura y oportuna a los usuarios/as de UID Newen, a contar de enero y durante el año 2026.</t>
  </si>
  <si>
    <t>Insumos Clínicos</t>
  </si>
  <si>
    <t>Insumos de Pastillas</t>
  </si>
  <si>
    <t>1077241-99-PC26</t>
  </si>
  <si>
    <t>22.04-22-01</t>
  </si>
  <si>
    <t>Taller Mindfulness - Anclando la Calma: Regulación Emocional y Conexión</t>
  </si>
  <si>
    <t>Se espera adquisición para el mes de enero y/o febrero del 2026 para dar inicio a intervenciones desde abril.</t>
  </si>
  <si>
    <t>Abarrotes</t>
  </si>
  <si>
    <t>1057532-425-PC26</t>
  </si>
  <si>
    <t>CREDENCIAL DE IDENTIFICACION INSTITUCIONAL</t>
  </si>
  <si>
    <t>TRIMESTRAL, SEGUN NECESIDAD DEL STOCK</t>
  </si>
  <si>
    <t>Cinta Porta Credencial</t>
  </si>
  <si>
    <t>Karen Silva</t>
  </si>
  <si>
    <t>64-2335712-</t>
  </si>
  <si>
    <t>karen.silva@redsalud.gob.cl</t>
  </si>
  <si>
    <t>Porta Credencial</t>
  </si>
  <si>
    <t>Cinta Color Impresora</t>
  </si>
  <si>
    <t>Tarjeta PVC</t>
  </si>
  <si>
    <t>Kit Limpieza</t>
  </si>
  <si>
    <t>1180747-10-PC26</t>
  </si>
  <si>
    <t>Consultorías adecuación Diseño PSR Forrahue, etapa 1</t>
  </si>
  <si>
    <t>Ejecutar un Pozo profundo para la PSR Forrahue, comuna de Osorno.</t>
  </si>
  <si>
    <t>1180747-11-PC26</t>
  </si>
  <si>
    <t>Consultorías adecuación Diseño PSR Forrahue, Etapa 2.</t>
  </si>
  <si>
    <t>Desarrollar las adecuaciones a los proyectos de arquitectura y especialidades del diseño del la PSR tipo para el sector de Forrahue, comuna de Osorno.</t>
  </si>
  <si>
    <t>1180747-12-PC26</t>
  </si>
  <si>
    <t>Diseño SAR Puyehue.</t>
  </si>
  <si>
    <t>Consultoría para el desarrollo de los proyectos de arquitectura, estructuras y especialidades concurrentes para el diseño del Servicio de Alta Resolutividad (SAR), comuna de Puyehue</t>
  </si>
  <si>
    <t>1057922-6-PC26</t>
  </si>
  <si>
    <t>29.04</t>
  </si>
  <si>
    <t>Sillas Ergonómicas</t>
  </si>
  <si>
    <t>Se requieren para enero 2026</t>
  </si>
  <si>
    <t>Sillas</t>
  </si>
  <si>
    <t>64-2336510-</t>
  </si>
  <si>
    <t>1057922-7-PC26</t>
  </si>
  <si>
    <t>31.02.005</t>
  </si>
  <si>
    <t>CONSTRUCCION CESFAM CON SAR CHUYACA OSORNO; CODIGO BIP: 30430122 CONSTRUCCION CESFAM CON SAR CHUYACA, OSORNO</t>
  </si>
  <si>
    <t>Proyecto con fuente de financiamiento sectorial. Ejecución proyectada para abril 2026.</t>
  </si>
  <si>
    <t>Maria Elena Muñoz</t>
  </si>
  <si>
    <t>Jefa (S) Sub. Dpto. De Inversiones De Equipos Y Equipamiento</t>
  </si>
  <si>
    <t>64-2337386-</t>
  </si>
  <si>
    <t>maria.munozp@redsalud.gob.cl</t>
  </si>
  <si>
    <t>Equipo Medico</t>
  </si>
  <si>
    <t>Obras Civiles</t>
  </si>
  <si>
    <t>1057976-2-PC26</t>
  </si>
  <si>
    <t>Diseño nuevo Hospital de Purranque.</t>
  </si>
  <si>
    <t>Desarrollar los proyectos de arquitectura, estructuras, especialidades y estudios concurrentes del diseño del nuevo Hospital de Purranque.</t>
  </si>
  <si>
    <t>1057976-3-PC26</t>
  </si>
  <si>
    <t>Diseño Centro de Diálisis Municipal, comuna de Osorno.</t>
  </si>
  <si>
    <t>Desarrollar los proyectos de arquitectura, estructura y especialidades para la habilitación de un centro de diálisis municipal, el que se ubicara en el ex edificio de la PDI de Osorno.</t>
  </si>
  <si>
    <t>1057976-4-PC26</t>
  </si>
  <si>
    <t>31.02.003</t>
  </si>
  <si>
    <t>Consultoría Estudio Preinversional de Reposición Hospital de Alta Complejidad provincia de Osorno</t>
  </si>
  <si>
    <t>Contratación del estudio de preinversión hospitalario para el proyecto de reposición del Hospital de alta complejidad de la provincia, el cual contempla los módulos de producción, recursos humanos, TICs, equipos y equipamiento, infraestructura y sustentabilidad financiera. Subtitulo 31</t>
  </si>
  <si>
    <t>Sandra Cardenas</t>
  </si>
  <si>
    <t>Jefa Subdepartamento Estudios De Preinversión</t>
  </si>
  <si>
    <t>64-2335823-</t>
  </si>
  <si>
    <t>sandra.cardenass@redsalud.gob.cl</t>
  </si>
  <si>
    <t>1057976-5-PC26</t>
  </si>
  <si>
    <t>Diseño SAMU Provincial y Centro de Despacho.</t>
  </si>
  <si>
    <t>Desarrollar los proyectos de arquitectura, estructuras y especialidades concurrentes para la nueva Base SAMU Provincial y Centro de Despacho.</t>
  </si>
  <si>
    <t>1057976-6-PC26</t>
  </si>
  <si>
    <t>Consultoría Estudio Preinversional Reposición Hospital Hospital de Río Negro</t>
  </si>
  <si>
    <t>Contratación del estudio de preinversión hospitalario para el proyecto de reposición del Hospital de baja complejidad de Río Negro, el cual contempla los módulos de producción, recursos humanos, TICs, equipo y equipamiento, infraestructura y sustentabilidad financiera. Subtítulo 31</t>
  </si>
  <si>
    <t>Javier Donoso</t>
  </si>
  <si>
    <t>Jefe (S) Subdepartamento De Pre Inversion</t>
  </si>
  <si>
    <t>JAVIER.DONOSO@REDSALUD.GOB.CL</t>
  </si>
  <si>
    <t>1057976-7-PC26</t>
  </si>
  <si>
    <t>Consultoría Estudio Preinversional Reposición Hospital Hospital de Puerto Octay</t>
  </si>
  <si>
    <t>Contratación del estudio de preinversión hospitalario para el proyecto de reposición del Hospital de baja complejidad de Puerto Octay, el cual contempla los módulos de producción, recursos humanos, TICs, equipo y equipamiento, infraestructura y sustentabilidad financiera. Subtítulo 31</t>
  </si>
  <si>
    <t>1057976-8-PC26</t>
  </si>
  <si>
    <t>Diseño CESFAM Puerto Octay.</t>
  </si>
  <si>
    <t>Desarrollar los diseños de Arquitectura, Estructuras y Especialidades concurrentes para el nuevo CESFAM de la comuna de Puerto Octay.</t>
  </si>
  <si>
    <t>1057976-9-PC26</t>
  </si>
  <si>
    <t>Contratación de Visita a Obra 2026 de las Consultorías: Especialidades y Arquitectura Obra CESFAM Bahía Mansa</t>
  </si>
  <si>
    <t>Contratar visitas para diciembre de 2026 de: *02 visita Estructural por 20 UF *02 visita Electricidad por 14 UF *02 visita Clima por 14 UF *01 visita Gas por 14 UF *01 visita Seguridad por 14 UF *01 visita Gases Clínicos por 14 UF *02 visita Pav. y AA.LL por 20UF *02 visita A.P y Alcantarillado por 15 UF * 01 Visita Revisor Independiente de Arquitectura Nota: el valor de la UF será calculado el día de la visita del especialista.</t>
  </si>
  <si>
    <t>Rodrigo Neira</t>
  </si>
  <si>
    <t>rodrigo.neirar@redsalud.gob.cl</t>
  </si>
  <si>
    <t>1057976-10-PC26</t>
  </si>
  <si>
    <t>CONSTRUCCION CESFAM CON SAR CHUYACA OSORNO; CODIGO BIP: 30430122</t>
  </si>
  <si>
    <t>SE REQUIETE 1 VISITA DE ESPECIALIDAD DE ARQUITECTURA PARA LA OBRA CONSTRUCCION CESFAM CON SAR CHUYACA OSORNO PARA EL MES DE JUNIO DE 2026. EL COSTO DE LA VISITA ES DE 14 UF IVA INCLUIDO. NOTA: EL VALOR DE LA UF SERA DEL DIA DE LA VISITA.</t>
  </si>
  <si>
    <t>Fernando Wulf</t>
  </si>
  <si>
    <t>Ito</t>
  </si>
  <si>
    <t>fernando.wulf@redsalud.gob.cl</t>
  </si>
  <si>
    <t>1057532-426-PC26</t>
  </si>
  <si>
    <t>22..02.002</t>
  </si>
  <si>
    <t>EPP PARA DEPTO. DE INGENIERÍA CLÍNICA</t>
  </si>
  <si>
    <t>Fuente de financiamiento con recursos propios del Servicio de Salud Osorno. Ejecución proyectada para abril 2026</t>
  </si>
  <si>
    <t>1057922-8-PC26</t>
  </si>
  <si>
    <t>PLAN NACIONAL DEL CÁNCER 2026</t>
  </si>
  <si>
    <t>Proyecto con fuente de financiamiento sectorial. Ejecución proyectada para abril 2026</t>
  </si>
  <si>
    <t>1057922-9-PC26</t>
  </si>
  <si>
    <t>REPOSICION POSTA DE SALUD RURAL LA POZA, COMUNA DE SAN PABLO</t>
  </si>
  <si>
    <t>Proyecto con fuente de financiamiento F.N.D.R. Ejecución proyectada para julio 2026</t>
  </si>
  <si>
    <t>1180747-13-PC26</t>
  </si>
  <si>
    <t>CONSTRUCCION SALA DE ACOGIDA INTERCULTURAL (SRUKA) HOSPITAL BASE SAN JOSE, OSORNO</t>
  </si>
  <si>
    <t>1180747-14-PC26</t>
  </si>
  <si>
    <t>REPOSICION CONSULTORIO DE SALUD RURAL BAHIA MANSA, SAN JUAN DE LA COSTA</t>
  </si>
  <si>
    <t>Proyecto con fuente de financiamiento F.N.D.R. Ejecución proyectada para junio 2026</t>
  </si>
  <si>
    <t>1180747-15-PC26</t>
  </si>
  <si>
    <t>Consultorías adecuación Diseño PSR Cuinco, comuna de San Juan de La Costa.</t>
  </si>
  <si>
    <t>Desarrollar las adecuaciones a los proyectos de arquitectura y especialidades del diseño de la PSR tipo para el sector de Cuinco, comuna de San Juan de La Costa.</t>
  </si>
  <si>
    <t>1180747-16-PC26</t>
  </si>
  <si>
    <t>CONSTRUCCION CECOSF URBANO CHIFIN, COMUNA DE RIO NEGRO</t>
  </si>
  <si>
    <t>Proyecto con fuente de financiamiento F.N.D.R. Ejecución proyectada para mayo 2026</t>
  </si>
  <si>
    <t>1180747-17-PC26</t>
  </si>
  <si>
    <t>Diseño Ampliación CESFAM San Pablo</t>
  </si>
  <si>
    <t>Desarrollar el diseño de arquitectura, estructuras y especialidades para la ampliación y normalización del actual CESFAM de San Pablo.</t>
  </si>
  <si>
    <t>1057922-10-PC26</t>
  </si>
  <si>
    <t>REPOSICION CESFAM CON SAR RAHUE ALTO, OSORNO</t>
  </si>
  <si>
    <t>1057976-11-PC26</t>
  </si>
  <si>
    <t>31.02.004</t>
  </si>
  <si>
    <t>CONSTRUCCION POSTA SALUD RURAL EL PONCHO</t>
  </si>
  <si>
    <t>SE REQUIERE LICITAR PARA EL MES DE ABRIL DE 2026 EL SERVICIO DE CONSTRUCCION DE POSTA DE SALUD RURAL EL PONCHO.</t>
  </si>
  <si>
    <t>Construcción</t>
  </si>
  <si>
    <t>1057976-12-PC26</t>
  </si>
  <si>
    <t>REPOSICION POSTA DE SALUD RURAL HUILMA, COMUNA DE RIO NEGRO</t>
  </si>
  <si>
    <t>SE REQUIERE CONTRATAR EL SERCIVIO DE CONSTRUCCION DE POSTA DE SALUD RURAL DE HUILMA, UBICADO EN EL CRUCE HUILMA COMUNA DE RIO NEGRO ENTRE LA RUTA U-72 Y LA RUTA U-506. SE CONTEMPLA LA CONSTRUCCION DE UNA INFRAESTRUCTURA DE 225,6 M2 MAS UNA CASA DE PARAMEDICO DE 55 M2 EN UN TERRENO DE 11.000 M2. COMPUESTA DE MATERIALIDAD DE ACERO GALVANIZADO, CUBIERTA DE ZINC ALUM, REVESTIMIENTO EXTERIOR AISLADO, FUNDACIONES DE HORMIGON ARMADO, REVESTIMIENTO INTERIOR DE YESO CARTON . EL SERVICIO DEBERA ESTAR DISPONIBLE PARA ABRIL DEL 2026.</t>
  </si>
  <si>
    <t>1057976-13-PC26</t>
  </si>
  <si>
    <t>REPOSICION POSTA DE SALUD RURAL RUPANCO, COMUNA PUERTO OCTAY</t>
  </si>
  <si>
    <t>SE REQUIERE CONTRATAR PARA EL MES DE ABRIL DE 2026, EL SERVICIO DE CONSTRUCCION DE POSTA DE SALUD RURAL DE RUPANCO, COMUNA DE PUERTO OCTAY UBICADO EN EL KM 60,3 LADO DERECHO DE LA RUTA U911,COMUNA DE DE PUERTO OCTAY ( SECTOR ADMINISTRACION HACIENDA RUPANCO) CONTEMPLA UNA CONSTRUCCION DE 295 M2 PARA LA POSTA Y UNA VIVIENDA DE PARAMEDICO DE 55 M2 AMBAS EN ESTRUCTURA DE ACERO GALVANIZADO,RADIER DE HORMIGON ARMADO, REVESTIMIENTO EXTERIOR CON AISLACION, CUBIERTA DE ZIN ALUM Y REVESTIMIENTO INTERIOR DE YESO-CARTON</t>
  </si>
  <si>
    <t>1180747-18-PC26</t>
  </si>
  <si>
    <t>CONSTRUCCIÓN POSTA DE SALUD RURAL COSTA RIO BLANCO, COMUNA DE RIO NEGRO</t>
  </si>
  <si>
    <t>Proyecto con fuente de financiamiento F.N.D.R. Ejecución proyectada para abril 2026</t>
  </si>
  <si>
    <t>1057922-11-PC26</t>
  </si>
  <si>
    <t>HABILITACION ANGIOGRAFO HOSPITAL BASE DE OSORNO</t>
  </si>
  <si>
    <t>1057922-12-PC26</t>
  </si>
  <si>
    <t>CONSTRUCCION COSAM RAHUE, COMUNA OSORNO</t>
  </si>
  <si>
    <t>1057976-14-PC26</t>
  </si>
  <si>
    <t>CONTRATACION DE VISITA DE ESPECIALIDAD DE ARQUITECTURA PARA LA OBRA REPOSICION CESFAM CON SAR RAHUE ALTO.</t>
  </si>
  <si>
    <t>SE REQUIERE LA CONTRATACION DE 01 VISITA DE ESPECIALIDAD DE ARQUITECTURA PARA LA OBRA REPOSICIÓN CESFAM CON SAR RAHUE ALTO OSORNO PARA EL MES DE JUNIO DE 2026. EL COSTO DE LA VISITA ES DE 16 UF IVA INCLUIDO. NOTA EL VALOR DE LA UF SERA CALCULADO DEL DIA DE LA VISITA. INSPECCION DE PROYECTISTA DE ESPECIALIDAD DE ARQUITECTURA PARA INFORME FAVORABLE DE RECEPCION DE OBRA.</t>
  </si>
  <si>
    <t>Fos (S)</t>
  </si>
  <si>
    <t>1057922-13-PC26</t>
  </si>
  <si>
    <t>SUBTÍTULO 29 SECTORIAL 2026</t>
  </si>
  <si>
    <t>1057532-427-PC26</t>
  </si>
  <si>
    <t>Vestuario terreno y EPP funcionario nuevo</t>
  </si>
  <si>
    <t>elementos de protección personal y vestuario institucional para actividades en terreno de nuevo funcionario de Sub Depto. Fecha ejecucion: febrero</t>
  </si>
  <si>
    <t>1057922-14-PC26</t>
  </si>
  <si>
    <t>SUBTÍTULO 29 OPERACIONAL SSO 2026</t>
  </si>
  <si>
    <t>Fuente de financiamiento con recursos propios del Servicio de Salud Osorno. Ejecución proyectada para mayo 2026</t>
  </si>
  <si>
    <t>1180747-19-PC26</t>
  </si>
  <si>
    <t>ADQUISICION Y REPOSICION EQUIPOS Y EQUIPAMIENTO OTORRINOLARINGOLOGIA HOSPITAL BASE OSORNO</t>
  </si>
  <si>
    <t>1057532-428-PC26</t>
  </si>
  <si>
    <t>Conmemoración día internacional de la eliminación de la violencia contra la mujer 2026</t>
  </si>
  <si>
    <t>Se requiere productos para la elaboracion de un Coffe para jornada de conmemoración del día internacional de la eliminación de la violencia contra la mujer.</t>
  </si>
  <si>
    <t>Servilletas</t>
  </si>
  <si>
    <t>1057532-429-PC26</t>
  </si>
  <si>
    <t>Adquisición de insumos para atención en domicilio del Equipo Rehabilitación Rural SSO. (Sarten electrico para ortesis)</t>
  </si>
  <si>
    <t>Compra para realizar rehabilitación Terapia Ocupacional (confección de Ortesis) bajo la estrategia de rehabilitación del equipo Rural de la Dirección de Servicio. La población beneficiaria serán aquellos usuarios(as) de todo el ciclo vital y de localidades rurales de la Provincia. se espera lograr una mejora o mantención de sus participación de la comunidad a través del desarrollo de la rehabilitación, logrando la participación en la comunidad</t>
  </si>
  <si>
    <t>Equipo Terapia</t>
  </si>
  <si>
    <t>1057532-430-PC26</t>
  </si>
  <si>
    <t>22.06.006</t>
  </si>
  <si>
    <t>MANTENCIÓN PREVENTIVA DE AGUA POTABLE DE LA BASE SAMU</t>
  </si>
  <si>
    <t>CONTRATAR LOS TRABAJOS DE MANTENCIMIENTO DEL SISTEMA DE ALMACENAMIENTO E IMPULSIÓN DE AGUA POTABLE DE LA BASE SAMU OSORNO. EJECUCCIÓN PARA EL MES DE JUNIO</t>
  </si>
  <si>
    <t>Garibe Gallardo</t>
  </si>
  <si>
    <t>1057532-431-PC26</t>
  </si>
  <si>
    <t>Mantenciones emergentes para establecimientos dependientes del Servicio de Salud Osorno</t>
  </si>
  <si>
    <t>REALIZAR MANTENCIONES EMERGENTES EN CUALQUIERA DE LOS ESTABLECIMIENTOS DEPENDIENTES DEL SERVICIO DE SALUD OSORNO. EJECUCCIÓN DICIEMBRE.</t>
  </si>
  <si>
    <t>1057532-432-PC26</t>
  </si>
  <si>
    <t>Convenio - CONVENIO DE MANTENCION Y OBRAS MENORES INFRAESTRUCTURA DE LOS ESTABLECIMIENTOS DEL SERVICIO DE SALUD OSORNO 2027</t>
  </si>
  <si>
    <t>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DESDE ENERO A DICIEMBRE 2027. MES DE EJECUCIÓN DEL CONVENIO DICIEMBRE 2026</t>
  </si>
  <si>
    <t>1057532-433-PC26</t>
  </si>
  <si>
    <t>Mantención de Cubiertas de Edificios y Dispositivos dependientes del Servicio de Salud Osorno</t>
  </si>
  <si>
    <t>Realizar la mantención de cubierta de los Edificios y dispositivos dependientes del Servicio de Salud Osorno, para mantener su infraestructura en buenas condiciones y evitar filtraciones al interior de los dispositivos . EJECUCCIÓN NOVIEMBRE 2026.</t>
  </si>
  <si>
    <t>Mantenimiento Cubiertas</t>
  </si>
  <si>
    <t>1057532-434-PC26</t>
  </si>
  <si>
    <t>Mejoramiento Eléctrico y de Datos en Oficina 2do piso del Edificio Institucional de Manuel Rodríguez.</t>
  </si>
  <si>
    <t>Mejoramiento de Oficina 2do piso correspondiente a trabajos eléctricos y datos, en Edificio Institucional de Manuel Rodríguez. NOVIEMBRE 2026.</t>
  </si>
  <si>
    <t>1057532-435-PC26</t>
  </si>
  <si>
    <t>MANTENIMIENTO PREVENTIVO Y ADECUACIONES MENORES A TABLEROS ELECTRICOS DE LOS HOSPITALES Y DISPOSITIVOS DE LA RED 2027</t>
  </si>
  <si>
    <t>Mantenimiento preventivo a protecciones termomagnéticas, dispositivos de fuerza y control, en conjunto con diversos sistemas y componentes que conforman los tableros de distribución de energía eléctrica en el Hospital Intercultural Futa Sruka Lawenche Kunko Mapu Mo. Igualmente en los Hospitales de Purranque y Puerto Octay. Establecimiento COSAM Oriente y dispositivos de la red. Ejecución mes octubre 2026.</t>
  </si>
  <si>
    <t>Diego Saldivia</t>
  </si>
  <si>
    <t>Referente</t>
  </si>
  <si>
    <t>64-2335653-</t>
  </si>
  <si>
    <t>diego.saldivia@redsalud.gob.cl</t>
  </si>
  <si>
    <t>1057532-436-PC26</t>
  </si>
  <si>
    <t>22.04-22.02</t>
  </si>
  <si>
    <t>Materiales para simulacros</t>
  </si>
  <si>
    <t>Adquirir materiales para la caracterización de victimas de los simulacros con tecnica moulage, aumentando el realismo de las lesiones. mes de ejecucion de la compra: agosto.</t>
  </si>
  <si>
    <t>Chalecos</t>
  </si>
  <si>
    <t>Moulage</t>
  </si>
  <si>
    <t>1057532-437-PC26</t>
  </si>
  <si>
    <t>Conmemoración Día Mundial de Prevención Contra el Cáncer Cervicouterino</t>
  </si>
  <si>
    <t>La compra se realizará en el mes de Febrero 2026 por una única vez. La vigencia será solamente por Febrero 2026.</t>
  </si>
  <si>
    <t>Francisca Contreras</t>
  </si>
  <si>
    <t>Matrona</t>
  </si>
  <si>
    <t>64-2335806-</t>
  </si>
  <si>
    <t>francisca.contreras.c@redsalud.gob.cl</t>
  </si>
  <si>
    <t>1057532-438-PC26</t>
  </si>
  <si>
    <t>Elementos de Protección Personal para el Subdepto. Prevención de Riesgos DSSO</t>
  </si>
  <si>
    <t>Elementos de proteccion personal para funcionarios del del subdepto. prevencion de riesgos del SSO.</t>
  </si>
  <si>
    <t>Zapatos Seguridad</t>
  </si>
  <si>
    <t>1057532-439-PC26</t>
  </si>
  <si>
    <t>Abordaje integral de trastornos de salud mental y conducta alimentaria en adolescentes</t>
  </si>
  <si>
    <t>Ejecución en el mes de Abril 2026. Compra una única vez.</t>
  </si>
  <si>
    <t>1057532-443-PC26</t>
  </si>
  <si>
    <t>Adquisición de herramientas básicas para mantenimiento Centro Comunitario Kümelen</t>
  </si>
  <si>
    <t>Se requiere la adquisición de herramientas básicas y elementos de mantención (como taladro, destornilladores, martillos ,alicates ,set de llaves, entre otros) destinados a l mantenimiento de centro Kümelen , estas herramientas permitan realizar reparaciones menores, ajustes y mejoras en infraestructura y mobiliario, asegurando condiciones adecuadas para la atención y desarrollo de actividades comunitarias. la compra se ejecuta en febrero 2026.</t>
  </si>
  <si>
    <t>Materiales</t>
  </si>
  <si>
    <t>1057532-444-PC26</t>
  </si>
  <si>
    <t>Equipamiento Ergonómico</t>
  </si>
  <si>
    <t>Elementos y dispositivos ergonómicos para funcionarios de la DSSO.</t>
  </si>
  <si>
    <t>Apoya Pies - Alzador Pies - Alza Monitor</t>
  </si>
  <si>
    <t>1057922-15-PC26</t>
  </si>
  <si>
    <t>Equipamiento Ergonómico - Sillas</t>
  </si>
  <si>
    <t>1057532-445-PC26</t>
  </si>
  <si>
    <t>TEST PSICOLOGICOS PARA LA UNIDAD DE RECLUTAMIENTO Y SELECCIÓN DEL S.S.O.</t>
  </si>
  <si>
    <t>EL MES DE EJECUCION DE LA COMPRA DE TEST PSICOLOGICOS SE REALIZARA EN FEBRERO DE 2026.</t>
  </si>
  <si>
    <t>Guissela Franco</t>
  </si>
  <si>
    <t>Jefa Unidad Reclutamiento Y Seleccion</t>
  </si>
  <si>
    <t>64-2335640-</t>
  </si>
  <si>
    <t>guisella.franco@redsalud.gob.cl</t>
  </si>
  <si>
    <t>1057532-446-PC26</t>
  </si>
  <si>
    <t>ADQUISICION INSUMOS MANTENCION RED DE RADIOCOMUNICACIONES EN EMERGENCIAS SERVICIO DE SALUD OSORNO</t>
  </si>
  <si>
    <t>ADQUISICION INSUMOS MANTENCION RED DE RADIOCOMUNICACIONES EN EMERGERNCIAS SERVICIO DE SALUD OSORNO (COMPRA ENERO A MARZO DE 2026)</t>
  </si>
  <si>
    <t>Articulos Mantenimiento</t>
  </si>
  <si>
    <t>Esteban Alarcon</t>
  </si>
  <si>
    <t>Tecnico Radiocomunicaciones</t>
  </si>
  <si>
    <t>1057532-447-PC26</t>
  </si>
  <si>
    <t>Jornada SSYR Provincial</t>
  </si>
  <si>
    <t>Ejecución en Abril 2026. Compra única.</t>
  </si>
  <si>
    <t>1057532-448-PC26</t>
  </si>
  <si>
    <t>REPOSICION Y MANTENIMIENTO COMPONENTES RADIOS PORTATILES VHF DIRECCION</t>
  </si>
  <si>
    <t>ADQUISICION DE INSUMOS RADIALES PARA REPOSICION Y MANTENIMIENTO PORTATILES VHF DE DIRECCION DEL SERVICIO DE SALUD OSORNO (COMPRA ENERO A MARZO 2026)</t>
  </si>
  <si>
    <t>1057922-16-PC26</t>
  </si>
  <si>
    <t>Adquisición de micrófono y cámara para videoconferencias del Centro Comunitario Kümelen</t>
  </si>
  <si>
    <t>Se requiere adquisición de un micrófono de escritorio con reducción de ruido y una cámara web de alta definición, ambos con conexión USB, destinados a mejorar la calidad de sonido e imagen durante videoconferencias, reuniones técnicas y consejerías familiares virtuales realizadas por el equipo clínico-comunitario. La compra se ejecutará en el mes de Febrero del 2026, asegurando la continuidad y calidad de la atención remota y la participación en actividades interinstitucionales.</t>
  </si>
  <si>
    <t>Cámara - Micrófono</t>
  </si>
  <si>
    <t>1057532-449-PC26</t>
  </si>
  <si>
    <t>Insumos y servicio de Coffee Break para Curso de Monitores 2026 del Centro Kümelen</t>
  </si>
  <si>
    <t>Se requiere de insumos alimenticios para apoyo en jornada PM de Curso de Monitores realizado desde Abril a Diciembre 2026 (mes de ejecución Abril 2026).</t>
  </si>
  <si>
    <t>1057532-450-PC26</t>
  </si>
  <si>
    <t>22.04.990</t>
  </si>
  <si>
    <t>Adquisición de insumos para la atención en domicilio del Equipo Rehabilitación Rural SSO. (Equipo Médico Fonoaudiologa)</t>
  </si>
  <si>
    <t>Compra de Equipo de Terapia para rehabilitación fonoaudiologica a través de estrategia Equipo Rural de Rehabilitación. Equipo de Rehabilitación Fonoaudiologica Kit esta compuesto por: Batería Flex Cervical Estándar (Flex estándar, 50 etiquetas protectoras, 50 alcohol pads y bolso protector) Balón Terapéutico Tubo Terapéutico Bandas de goma marcadora; Estimulador Térmico Oral</t>
  </si>
  <si>
    <t>23-35807-</t>
  </si>
  <si>
    <t>1057532-451-PC26</t>
  </si>
  <si>
    <t>Cintas de Seguridad</t>
  </si>
  <si>
    <t>Cintas de seguridad para demarcación e instalación de señaletica en zonas de peligro en lugares de trabajo.</t>
  </si>
  <si>
    <t>Cinta</t>
  </si>
  <si>
    <t>1057532-452-PC26</t>
  </si>
  <si>
    <t>Reciclaje en Edificio Plaza Sur</t>
  </si>
  <si>
    <t>Retiro y traslado de residuos valorizables desde edificio plaza sur. Enero 2026</t>
  </si>
  <si>
    <t>Retiro</t>
  </si>
  <si>
    <t>Carlos Lopez Gutierrez</t>
  </si>
  <si>
    <t>Ingeniero Ambiental</t>
  </si>
  <si>
    <t>64-2337030-</t>
  </si>
  <si>
    <t>carloslopez.amb@gmail.com</t>
  </si>
  <si>
    <t>1057532-453-PC26</t>
  </si>
  <si>
    <t>Adquisición de insumos para la atención en domicilio del Equipo Rehabilitación Rural SSO. (Articulos de Fonoaudiología)</t>
  </si>
  <si>
    <t>Adquisición de Elementos de rehabilitación fonoaudiologica a través de la estrategia de equipo Rural de Rehabilitación</t>
  </si>
  <si>
    <t>Balon-Pinza-Especulo</t>
  </si>
  <si>
    <t>Insumos Rehabilitación</t>
  </si>
  <si>
    <t>1057532-454-PC26</t>
  </si>
  <si>
    <t>Protección Solar</t>
  </si>
  <si>
    <t>Bloqueador Solar para proteccion de radiacion UV de funcionarios (as) que se exponen habitualmente.</t>
  </si>
  <si>
    <t>Bloqueador Solar</t>
  </si>
  <si>
    <t>1057532-455-PC26</t>
  </si>
  <si>
    <t>22.02-22.04</t>
  </si>
  <si>
    <t>EQUIPAMIENTO AMBULATORIO FONDOS PPV</t>
  </si>
  <si>
    <t>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t>
  </si>
  <si>
    <t>Tela - Alfombra</t>
  </si>
  <si>
    <t>Cojines</t>
  </si>
  <si>
    <t>Equipamiento no Medico</t>
  </si>
  <si>
    <t>1057532-456-PC26</t>
  </si>
  <si>
    <t>Contenedores para segregación de residuos valorizables. La idea es reciclar residuos que permitan disminuir la huella de carbono del edificio plaza sur. ENERO 2026</t>
  </si>
  <si>
    <t>Contenedor</t>
  </si>
  <si>
    <t>1057532-457-PC26</t>
  </si>
  <si>
    <t>Equipamiento Tecnologico</t>
  </si>
  <si>
    <t>Equipamiento informático.</t>
  </si>
  <si>
    <t>Presentador láser</t>
  </si>
  <si>
    <t>1057532-458-PC26</t>
  </si>
  <si>
    <t>ARTICULOS DE FERRETERIA AMBULATORIO FONDOS PPV</t>
  </si>
  <si>
    <t>Cortinas</t>
  </si>
  <si>
    <t>Materiales de Mantenimiento Reparaciones</t>
  </si>
  <si>
    <t>Basurero</t>
  </si>
  <si>
    <t>Hacha</t>
  </si>
  <si>
    <t>Luces, manguera, tapa</t>
  </si>
  <si>
    <t>1057532-459-PC26</t>
  </si>
  <si>
    <t>Ceremonia de Egreso del Curso de Formación de Monitores del centro Kümelen.</t>
  </si>
  <si>
    <t>La presente adquisición tiene como finalidad contar con los insumos y servicios necesarios para la realización de la ceremonia de egreso del curso de formación de monitores al cuidado de personas con demencia. La actividad esta dirigida a reconocer el proceso formación y el compromiso comunitario de las participantes que completaron la capacitación, quienes se integran como agente de apoyo y sensibilización en sus comunidades. Noviembre 2026.</t>
  </si>
  <si>
    <t>1057532-460-PC26</t>
  </si>
  <si>
    <t>Protección Visual RUV</t>
  </si>
  <si>
    <t>Lentes de seguridad con proteccion UV para conducción de vehículos.</t>
  </si>
  <si>
    <t>Lentes de Seguridad</t>
  </si>
  <si>
    <t>1057532-461-PC26</t>
  </si>
  <si>
    <t>22.04.008</t>
  </si>
  <si>
    <t>ARTICULOS DE COCINA AMBULATORIO FONDOS PPV</t>
  </si>
  <si>
    <t>Artículos Cocina</t>
  </si>
  <si>
    <t>Caja Plastica</t>
  </si>
  <si>
    <t>1057532-462-PC26</t>
  </si>
  <si>
    <t>22.08.003</t>
  </si>
  <si>
    <t>ARTICULOS DE JARDINERIA AMBULATORIO FONDOS PPV</t>
  </si>
  <si>
    <t>Artículos Jardín</t>
  </si>
  <si>
    <t>1057532-463-PC26</t>
  </si>
  <si>
    <t>Adquisición de 120 Endoscopias Digestivas Altas para establecimientos de la Red Asistencial del Servicio de Salud Osorno.</t>
  </si>
  <si>
    <t>Adquisición de 120 Endoscopias Digestivas Altas para Establecimientos de la red Asistencial del Servicio de Salud Osorno, a partir del mes de marzo 2026.</t>
  </si>
  <si>
    <t>Endoscopia</t>
  </si>
  <si>
    <t>Omar Contreras</t>
  </si>
  <si>
    <t>Jefe Subdetpo. Apoyo Diagnóstico Y Terapéutico</t>
  </si>
  <si>
    <t>64-2335805-</t>
  </si>
  <si>
    <t>omar.contreras@redsalud.gob.cl</t>
  </si>
  <si>
    <t>1057532-464-PC26</t>
  </si>
  <si>
    <t>Se requiere impresion de folletería (diseño realizado por diseñedor del SSO), y monitora de yoga para jornada de conmemoración del día internacional de la eliminación de la violencia contra la mujer. Objetivo de la Adquisición: Crear un espacio de conmemoración y reflexión sobre el Día Internacional de la Eliminación de la Violencia contra la Mujer. Monitora de yoga para desarrollar 10 de sesiones, durante los meses de noviembre y diciembre, inscripcion sera dirigida para todas las mujeres de la comunidad funcionaria con una capacidad de 40 cup</t>
  </si>
  <si>
    <t>Folleteria</t>
  </si>
  <si>
    <t>1057532-465-PC26</t>
  </si>
  <si>
    <t>Carro de carga plegable (Yegua)</t>
  </si>
  <si>
    <t>La presente adquisición tiene como finalidad dotar al centro de apoyo comunitario para personas con demencia Kümelen un carro de carga plegable destinado al traslado seguro y eficiente de materiales, equipos e insumos clínicos y comunitarios utilizados en actividades tanto dentro del recinto como en terreno, el carro debe contar con una estructura resistente, sistema plegable para fácil almacenamiento y mayor durabilidad, permitiendo optimizar el transporte de elementos durante jornadas, ceremonias y acciones comunitarias. Febrero 2026.</t>
  </si>
  <si>
    <t>1057532-466-PC26</t>
  </si>
  <si>
    <t>Servicio de Movilización de 1 vehículo con conductor, por 2 meses, para ejecución vacunación en la provincia de Osorno</t>
  </si>
  <si>
    <t>Contratación de servicio de movilización con conductor consistente en 1 móvil por periodo de 2 meses, para traslado de equipos de salud de la atención primaria y sus insumos y ejecutar actividades de vacunación de campaña de invierno, escolar y programática en área urbana y rural de las comunas de la provincia. Inicio del servicio durante el mes de marzo 2026 hasta mes de mayo de 2026.</t>
  </si>
  <si>
    <t>Carolina Lagos</t>
  </si>
  <si>
    <t>Referente De Programa Nacional De Inmunizaciones</t>
  </si>
  <si>
    <t>carolina.lagos@redsalud.gob.cl</t>
  </si>
  <si>
    <t>1077241-100-PC26</t>
  </si>
  <si>
    <t>EQUIPAMIENTO RESIDENCIAL ? CONVENIO SENDA</t>
  </si>
  <si>
    <t>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t>
  </si>
  <si>
    <t>Mesa Pegable</t>
  </si>
  <si>
    <t>Alfombras</t>
  </si>
  <si>
    <t>Aire Acondicionado -Aspiradora - Congelador -Refrigerador - Televisor-Microondas</t>
  </si>
  <si>
    <t>Sillas - Escritorios</t>
  </si>
  <si>
    <t>Bodega Lata - Cocina a gas</t>
  </si>
  <si>
    <t>Calentador-Parlante-Aparato Electronico -</t>
  </si>
  <si>
    <t>Plancha</t>
  </si>
  <si>
    <t>1057532-467-PC26</t>
  </si>
  <si>
    <t>22.07.001</t>
  </si>
  <si>
    <t>SERVICIO DE ELABORACIÓN Y DIFUSIÓN DE 4 AVISOS RADIALES PROMOCIONALES DE CAMPAÑA DE INVIERNO 2026 POR 2 MESES</t>
  </si>
  <si>
    <t>Se requiere contratación de servicio de grabación y emisión en emisora radial local, de 4 avisos radiales promocionales de vacunación influenza, COVID, Pneumo 23 y Nirsevimab, durante los meses de marzo y abril de 2026, en radio de alcance provincial, banda FM, que incluya de manera obligatoria a las comunas de Osorno, Purranque, Río Negro y San Pablo e idealmente a todas las comunas de la provinica de Osorno. Difusión de be realizarse de lunes a domingo al menos 7 veces al día.</t>
  </si>
  <si>
    <t>Espacio Radial</t>
  </si>
  <si>
    <t>1057532-468-PC26</t>
  </si>
  <si>
    <t>ARTICULOS DE FERRETERIA Y OTROS RESIDENCIAL CONVENIO SENDA</t>
  </si>
  <si>
    <t>Escalera</t>
  </si>
  <si>
    <t>Orilladora</t>
  </si>
  <si>
    <t>FOCO - SECADOR</t>
  </si>
  <si>
    <t>1077241-101-PC26</t>
  </si>
  <si>
    <t>29.06.001</t>
  </si>
  <si>
    <t>INSUMOS COMPUTACIONALES RESIDENCIAL CONVENIO SENDA</t>
  </si>
  <si>
    <t>Se requiere la adquisición de una impresora en reemplazo de la actualmente existente, la cual presenta deterioro y no se encuentra en condiciones óptimas de funcionamiento. Esta reposición es necesaria para asegurar la continuidad operativa y el adecuado desempeño de las labores de la unidad.</t>
  </si>
  <si>
    <t>Impresora</t>
  </si>
  <si>
    <t>1057532-469-PC26</t>
  </si>
  <si>
    <t>1 Servicio de grabación y emisión de 4 mensajes radiales de vacunación escolar por 2 meses, en la provincia de Osorno.</t>
  </si>
  <si>
    <t>Se requiere servicio de grabación y emisión de 4 avisos radiales promocionales de vacunación escolar y otras vacunas del calendario programatico (4 mensajes totales), en radioemisora de alcance provincial y que tenga alcance obligatorio en las comunas de Osorno, Purranque, Río Negro y San Pablo. Emisión de lunes a domingo 7 veces al día por 2 meses, iniciando el mes de agosto hasta fines del mes de septiembre de 2026.</t>
  </si>
  <si>
    <t>Difusión Radial</t>
  </si>
  <si>
    <t>1057532-470-PC26</t>
  </si>
  <si>
    <t>Insumos para dispensación de fármacos y entrega citas a usuarios COSAM Rahue</t>
  </si>
  <si>
    <t>Etiquetas y rollos de papel para la dispensación de los medicamentos para el tratamiento farmacológico de los usuarios, y rollos de papel para la impresión de las citaciones agendada a usuarios.</t>
  </si>
  <si>
    <t>Etiquetas</t>
  </si>
  <si>
    <t>Yuvit Garcia-Chacur</t>
  </si>
  <si>
    <t>Insumos de Impresora</t>
  </si>
  <si>
    <t>1057532-471-PC26</t>
  </si>
  <si>
    <t>ADQUISICIÓN PARA PROGRAMA DE PROMOCIÓN, PREVENCIÓN Y DIAGNÓSTICO PRECOZ CÁNCERES PREVALENTES EN MUJERES DE LA PROVINCIA</t>
  </si>
  <si>
    <t>MATERIAL PARA DIFUSIÓN, PROMOCIÓN Y PARA LAS ACCIONES PREVENTIVAS DEL PROGRAMA DE CÁNCERES MÁS PREVALENTES EN LAS MUJERES DE LA PROVINCIA, CON EL FIN DE LOGRAR SU COMETIDO, SE COMENZARÁ A EJECUTAR DESDE ENERO DEL 2026 HASTA DICIEMBRE DEL 2026.</t>
  </si>
  <si>
    <t>Franco Fuentes</t>
  </si>
  <si>
    <t>Encargado De Gestión De Lista De Espera Y Programa Nacional De Cáncer</t>
  </si>
  <si>
    <t>64-2335873-</t>
  </si>
  <si>
    <t>franco.fuentes@redsalud.gob.cl</t>
  </si>
  <si>
    <t>Material Promocional</t>
  </si>
  <si>
    <t>Feria Salud</t>
  </si>
  <si>
    <t>Viales VPH</t>
  </si>
  <si>
    <t>1057532-472-PC26</t>
  </si>
  <si>
    <t>Adquisición de megáfonos y gabinetes para la comunicación en emergencias, gestión de riesgos y protección de equipos</t>
  </si>
  <si>
    <t>Se requiere la adquisición de 4 megáfonos y 6 gabinetes para la comunicación en emergencias, gestión de riesgos y protección de equipos, que serán instalados en las 6 vías de evacuación con que cuentan las nuevas instalaciones de COSAM Rahue, ubicadas en calle Guatemala 1402.</t>
  </si>
  <si>
    <t>Megafono</t>
  </si>
  <si>
    <t>1057922-17-PC26</t>
  </si>
  <si>
    <t>Mueble aéreo</t>
  </si>
  <si>
    <t>1057532-473-PC26</t>
  </si>
  <si>
    <t>Compra de insumos para la mantención de la cadena de frío de las vacunas de los establecimientos de la provincia.</t>
  </si>
  <si>
    <t>Adquisisón de insumos relacionados con la mantención adecuada de la cadena de frío de los productos biológicos que los centros de salud mantienen en custodia en los vacunatorios de la provincia, según normativa del Programa Nacional de Inmunizaciones. Se requiere compra de este material durante el mes de abril de 2026.</t>
  </si>
  <si>
    <t>Baterias</t>
  </si>
  <si>
    <t>Cables y Sensores</t>
  </si>
  <si>
    <t>Maleta - Cooler</t>
  </si>
  <si>
    <t>1057532-474-PC26</t>
  </si>
  <si>
    <t>"Día del autocuidado" en la comunidad funcionaria el día 24 de julio del 2026</t>
  </si>
  <si>
    <t>Se requiere adquirir recursos para conmemorar el Día del Autocuidado en la comunidad funcionaria el 24 de julio de 2026, donde se realizará una feria de salud durante la jornada de mañana y tarde. En esta feria, se invitará a funcionarios/as con emprendimientos relacionados al autocuidado a tener un stand para mostrar y vender sus productos. También, se contará con una profesora de yoga que realizará una actividad por jornada, y una instructora que ofrecerá masajes durante el día.</t>
  </si>
  <si>
    <t>Profesor Instructor</t>
  </si>
  <si>
    <t>Agua Mineral</t>
  </si>
  <si>
    <t>1057532-475-PC26</t>
  </si>
  <si>
    <t>1057532-476-PC26</t>
  </si>
  <si>
    <t>Adquisición materiales de oficina Unidad de Memoria 2026</t>
  </si>
  <si>
    <t>Se solicita adquirir articulos de oficina para box de atención, salas de taller y oficinas administrativas de edificio Matta.</t>
  </si>
  <si>
    <t>Articulos de Oficina</t>
  </si>
  <si>
    <t>Ximena Campos</t>
  </si>
  <si>
    <t>Coordinadora Unidad De Memoria</t>
  </si>
  <si>
    <t>64-2337363-</t>
  </si>
  <si>
    <t>1077241-102-PC26</t>
  </si>
  <si>
    <t>INSUMOS COMPUTACIONALES AMBULATORIO ? CONVENIO SENDA</t>
  </si>
  <si>
    <t>Se requiere la adquisición de insumos computacionales destinados a la Unidad Ambulatoria, con el objetivo de mantener el correcto funcionamiento de los equipos y asegurar el desarrollo eficiente de las labores administrativas y técnicas del servicio.</t>
  </si>
  <si>
    <t>Equipos Computacionales</t>
  </si>
  <si>
    <t>Carolina Silva Carolina Silva</t>
  </si>
  <si>
    <t>1077241-103-PC26</t>
  </si>
  <si>
    <t>ARTICULOS DE COCINA AMBULATORIO ? CONVENIO SENDA</t>
  </si>
  <si>
    <t>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t>
  </si>
  <si>
    <t>Articulos de Cocina</t>
  </si>
  <si>
    <t>1077241-104-PC26</t>
  </si>
  <si>
    <t>ARTICULOS DE FERRETERIA Y OTROS AMBULATORIO ? CONVENIO SENDA</t>
  </si>
  <si>
    <t>Focos</t>
  </si>
  <si>
    <t>1077241-105-PC26</t>
  </si>
  <si>
    <t>Adquisición de productos e insumos para el programa de control y eliminación de la Tuberculosis</t>
  </si>
  <si>
    <t>Adquisicion de productos e insumos para la prevencion, promocion, localizacion de casos, diagnostico y adherencia al tratamiento de usuarios/as con Tuberculosis.</t>
  </si>
  <si>
    <t>Maria Paz Gomez</t>
  </si>
  <si>
    <t>Referente Programa De Tuberculosis</t>
  </si>
  <si>
    <t>64-2335465-</t>
  </si>
  <si>
    <t>mariapaz.gomez.n@redsalud.gob.cl</t>
  </si>
  <si>
    <t>Kit de aseo</t>
  </si>
  <si>
    <t>Quantiferon</t>
  </si>
  <si>
    <t>Mantención equipos críticos</t>
  </si>
  <si>
    <t>1057532-477-PC26</t>
  </si>
  <si>
    <t>Materiales e insumos para talleres y capacitaciones red de coordinadores</t>
  </si>
  <si>
    <t>Apoyo logístico (materiales de trabajo, libreria, insumos de cafeteria,etc.) para 4 convocatorias a capacitaciones, talleres, jornadas y reuniones de trabajo con la red de coordinadores de emergencia de la red. meses de ejecucion febrero - marzo - junio-septiembre-diciembre</t>
  </si>
  <si>
    <t>Pendrives</t>
  </si>
  <si>
    <t>Porta Planos + Cinta Credencial</t>
  </si>
  <si>
    <t>01-03-2026,01-06-2026,01-09-2026,01-12-2026</t>
  </si>
  <si>
    <t>1057922-18-PC26</t>
  </si>
  <si>
    <t>REPOSICION CECOSF EL ENCANTO, COMUNA DE PUYEHUE</t>
  </si>
  <si>
    <t>1057532-478-PC26</t>
  </si>
  <si>
    <t>22.07.999</t>
  </si>
  <si>
    <t>Adquisición de productos e insumos para la prevención, promoción, localización de casos, diagnostico y adherencia al tratamiento de usuarios/as con Tuberculosis.</t>
  </si>
  <si>
    <t>Pendones</t>
  </si>
  <si>
    <t>1057532-479-PC26</t>
  </si>
  <si>
    <t>Materiales de oficina no disponibles en Bodega Central</t>
  </si>
  <si>
    <t>Adquisición de artículos de oficina y materiales para el desarrollo de funciones administrativas y actividades programadas por las distintas unidades del Departamento de Calidad de Vida.</t>
  </si>
  <si>
    <t>Encargada Unidad De Cuidados Infantiles Y Conciliación</t>
  </si>
  <si>
    <t>Papelero</t>
  </si>
  <si>
    <t>1057532-480-PC26</t>
  </si>
  <si>
    <t>Adquisicion de recetarios y talonarios de examenes de Psiconeurogeriatría Ayekan y kumelen.</t>
  </si>
  <si>
    <t>Adquirir talonarios de recetas médicas y ordenes de examenes propias de los dispositivos (psiconeurogeriatria) para dispensación de fármacos y toma de examenes en HBSJO. (realizadas de acuerdo a protocolos de referencia y contrareferencias de los dispositivos de Ayekan y Kumelen).</t>
  </si>
  <si>
    <t>1057532-481-PC26</t>
  </si>
  <si>
    <t>INSUMOS DE OFICINA</t>
  </si>
  <si>
    <t>SE REQUIERE LA COMPRA DE LOS INSUMOS DE OFICINA PARA EL DEPARTAMENTO DE OBRAS, EN EL MES DE MARZO 2026</t>
  </si>
  <si>
    <t>Marta Borquez</t>
  </si>
  <si>
    <t>64-2337382-</t>
  </si>
  <si>
    <t>marta.borquez@redsalud.gob.cl</t>
  </si>
  <si>
    <t>Tintas y Toner</t>
  </si>
  <si>
    <t>1057532-482-PC26</t>
  </si>
  <si>
    <t>Adquisición de Material Educativo Visual y Didáctico para la Educación Alimentaria en la Red de APS</t>
  </si>
  <si>
    <t>Impresión de material educativo visual y didáctico reutilizable para fortalecer las actividades de educación alimentaria en la red APS de la provincia de Osorno. La compra se ejecutará en mayo de 2025, financiada con recursos del Programa de Salud Cardiovascular.</t>
  </si>
  <si>
    <t>Jefe Sub Departamento Programa Curso De Vida</t>
  </si>
  <si>
    <t>64-2335808-</t>
  </si>
  <si>
    <t>1057532-483-PC26</t>
  </si>
  <si>
    <t>1057532-484-PC26</t>
  </si>
  <si>
    <t>Compra de insumos de higiene oral de programa odontológico integral</t>
  </si>
  <si>
    <t>Solicita la compra en el mes de mayo 2026 por única vez en el año de insumos de higiene oral que consiste en: cepillo dental adulto, cepillo interproximal, pasta dental adulto 1450ppm flúor, cepillo para prótesis dental, cepillo dental eléctrico recargable y repuestos para cepillo dental eléctrico recargable.</t>
  </si>
  <si>
    <t>Insumos Higiene Oral</t>
  </si>
  <si>
    <t>Gonzalo Schulz</t>
  </si>
  <si>
    <t>Odontologo</t>
  </si>
  <si>
    <t>64-2335810-</t>
  </si>
  <si>
    <t>gonzalo.schulz@redsalud.gob.cl</t>
  </si>
  <si>
    <t>1057532-485-PC26</t>
  </si>
  <si>
    <t>Pilas para equipos clínicos pesa, hemoglucotest y equipo de electroterapia</t>
  </si>
  <si>
    <t>Adquirir pilas para equipos clínicos de la unidad SAFU, tales como pesa portátil, hemoglucotest y equipo de electroterapia.</t>
  </si>
  <si>
    <t>Bateria</t>
  </si>
  <si>
    <t>1057532-486-PC26</t>
  </si>
  <si>
    <t>Capacitación de Salud Respiratoria en el Curso de Vida, en contexto de campaña de invierno para 110 personas</t>
  </si>
  <si>
    <t>Jornada de capacitación de Salud Repiratoria para 110 personas, enfocado en la Prevención, Diagnóstico y tratamiento de patologías respiratorias agudas y crónicas en el ciclo vital, destinada a profesionales médicos, enfermeras, kinesiólogos y otros que realicen atenciones de esta población, en la atención primaria.</t>
  </si>
  <si>
    <t>1057532-487-PC26</t>
  </si>
  <si>
    <t>Escalera tijera plegable</t>
  </si>
  <si>
    <t>Jornada de capacitación de Salud Repiratoria para 110 personas, enfocado en la Prevención, Diagnóstico y tratamiento de patologías respiratorias agudas y crónicas en el ciclo vital, destinada a profesionales médicos, enfermeras, kinesiólogos y otros que realicen atenciones de esta población, en la atención primaria. Se requiere adquirir escalera para acceder a repisas de bodega de insumos, en el mes de Enero 2026.</t>
  </si>
  <si>
    <t>1057532-488-PC26</t>
  </si>
  <si>
    <t>Convenio - Suministro de oxígeno medicinal para Red de Hospitales de mediana y baja complejidad, SAMU y Cosam</t>
  </si>
  <si>
    <t>Contrato suministro de oxígeno medicinal para la Red de Hospitales de Baja y Mediana Complejidad así como para Base SAMU y Cosam dependientes del Servicio Salud Osorno, en formato de cilindros de 0,4 m3 - 0,7 m3 - 6 m3 y 10 m3, el cual debe comenzar vigencia a partir de enero 2027, con duración de 2 años.</t>
  </si>
  <si>
    <t>Convenio Oxigenoterapia</t>
  </si>
  <si>
    <t>01-01-2027,01-02-2027,01-03-2027,01-04-2027,01-05-2027,01-06-2027,01-07-2027,01-08-2027,01-09-2027,01-10-2027,01-11-2027,01-12-2027,01-01-2028,01-02-2028,01-03-2028,01-04-2028,01-05-2028,01-06-2028,01-07-2028,01-08-2028,01-09-2028,01-10-2028,01-11-2028,01-12-2028</t>
  </si>
  <si>
    <t>Mario Aburto</t>
  </si>
  <si>
    <t>64-2335809-</t>
  </si>
  <si>
    <t>1057532-489-PC26</t>
  </si>
  <si>
    <t>Mantención integral edificio Centro Kümelen</t>
  </si>
  <si>
    <t>Se solicita la contratación de servicios de mantención integral del edificio, considerando limpieza y retiro de hojas en techumbres , limpieza de canaletas y bajadas de agua, reparación de vidrios o marcos de ventanas, . mes mayo 2026</t>
  </si>
  <si>
    <t>1057532-490-PC26</t>
  </si>
  <si>
    <t>Mantención integral edificio Matta</t>
  </si>
  <si>
    <t>Se solicita la contratación de servicios de mantención integral del edificio, reparación de filtraciones de techo y canaletas, revisión y reposición de enchufes e iluminarias, reparación de pisos flotantes levantados o dañados, tratamiento y pintura de paredes afectadas por humedad y hongos, mantención de cerraduras y manillas, revisión de sistema eléctrico y tableros. Mes de Diciembre 2026.</t>
  </si>
  <si>
    <t>1057532-491-PC26</t>
  </si>
  <si>
    <t>Material de librería para vacunatorios y para capacitaciones del Programa Nacional de Inmunizaciones 2025</t>
  </si>
  <si>
    <t>Adquisición de material de librería necesario para realizar las actividades diarias de registro en los vacunatorios y material necesario para ejecutar las capacitaciones y certificaciones programadas por el Servicio de Salud a los equipos de salud de la red asistencial, respesto del Programa Nacional de Inmunizaciones y Salud Respiratoria. Se requiere adquisisción a inicios de mes de marzo para ejecutar 1° capacitación a fines de marzo.</t>
  </si>
  <si>
    <t>1057532-492-PC26</t>
  </si>
  <si>
    <t>22.11.001</t>
  </si>
  <si>
    <t>Estudio e Informe Estructural Edificio EX- PDI.</t>
  </si>
  <si>
    <t>Desarrollar la consultoría de análisis estructural del Ex - edificio de la PDI, que incluye: testigos de losas y muros, modelamiento estructural y recomendaciones que permitan determinar el estado actual de la construcción y determinar las consideraciones técnicas para habilitar un Centro de Diálisis para la comuna de Osorno.</t>
  </si>
  <si>
    <t>1057532-493-PC26</t>
  </si>
  <si>
    <t>Adquisición servicio de cafetería para actividad de capacitación a profesionales de salud Campaña de Invierno</t>
  </si>
  <si>
    <t>Adquisición servicio de cafetería para 100 asistentes a actividad de capacitación dirigida a profesionales de salud en contexto de preparación para Campaña de Invierno 2026. Considera Jornada de mañana y tarde. Esta actividad se ejecutará en abril.</t>
  </si>
  <si>
    <t>1057532-494-PC26</t>
  </si>
  <si>
    <t>Adquisición artículos de librería para Jornadas con la Red Asistencial</t>
  </si>
  <si>
    <t>Contar en marzo 2026 con artículos de librería para realizar jornadas de planificación con la red</t>
  </si>
  <si>
    <t>Munirih Soto</t>
  </si>
  <si>
    <t>Jefatura Depto</t>
  </si>
  <si>
    <t>64-2335661-</t>
  </si>
  <si>
    <t>munirih.soto@redsalud.gob.cl</t>
  </si>
  <si>
    <t>1057532-495-PC26</t>
  </si>
  <si>
    <t>Plan de Compra Anual nuevos Boxes Dentales SAFU - Insumos Instrumentales</t>
  </si>
  <si>
    <t>Compra de insumos odontológicos para dos nuevos boxes dentales SAFU. Año 2026 88 horas de atención clínica.</t>
  </si>
  <si>
    <t>Insumos Odontologicos - Instrumentales</t>
  </si>
  <si>
    <t>Luis Alfonso Oyarzun</t>
  </si>
  <si>
    <t>Cirujano Dentista</t>
  </si>
  <si>
    <t>64-2332563-</t>
  </si>
  <si>
    <t>luis.oyarzun@redesalud.gob.cl</t>
  </si>
  <si>
    <t>1057532-496-PC26</t>
  </si>
  <si>
    <t>Adquisicion Licencias de Software GstarCAD por 24 meses</t>
  </si>
  <si>
    <t>Adquisición Licencias de Software GstarCAD por 24 meses, Junio 2026</t>
  </si>
  <si>
    <t>Alejandro Nuñez</t>
  </si>
  <si>
    <t>Encargado Gestión De Sistemas</t>
  </si>
  <si>
    <t>64-2335685-</t>
  </si>
  <si>
    <t>alejandro.nunez01@redsalud.gob.cl</t>
  </si>
  <si>
    <t>1057532-497-PC26</t>
  </si>
  <si>
    <t>Adquisicion Licencias de Software ArchiCAD por 24 meses</t>
  </si>
  <si>
    <t>Adquisición Licencias de Software ArchiCAD por 24 meses, para apoyar los proyectos de diseño y construcción del Servicio de Salud Osorno. Junio 2026</t>
  </si>
  <si>
    <t>Licencia</t>
  </si>
  <si>
    <t>1057532-498-PC26</t>
  </si>
  <si>
    <t>Implementación de impresoras termicas en Some De Edificio Matta</t>
  </si>
  <si>
    <t>La compra de impresoras térmicas para el SOME de la Unidad de Memoria Ayekan, se fundamenta en la necesidad de modernizar y optimizar los procesos de citación y registro de atenciones, mejorando la eficiencia del equipo administrativo y la calidad del servicio que se entrega a las personas mayores, sus familiares y cuidadores. La compra de impresoras térmicas representa una inversión costo-efectiva que permitirá fortalecer los procesos administrativos y ofrecer un servicio más eficiente, humanizado y centrado en las personas.</t>
  </si>
  <si>
    <t>1057532-499-PC26</t>
  </si>
  <si>
    <t>SOPORTE Y MANTENCION ANUAL SOFTWARE CONTROL DE INVENTARIO</t>
  </si>
  <si>
    <t>SERVICIO ANUAL DE SOPORTE TÉCNICO SOFTWARE DESDE EL MES DE ABRIL 2026</t>
  </si>
  <si>
    <t>Pablo Miranda</t>
  </si>
  <si>
    <t>Encargado De Inventario</t>
  </si>
  <si>
    <t>64-2335599-</t>
  </si>
  <si>
    <t>pablo.mirandaa@redsalud.gob.cl</t>
  </si>
  <si>
    <t>1057532-500-PC26</t>
  </si>
  <si>
    <t>Adquisición 2 coffee break para Jornada de Plan de Salud Comunal y Priorización</t>
  </si>
  <si>
    <t>Adquisición 2 coffee break para Jornada de Plan de Salud Comunal y Priorización como planes de monitoreo de las estrategias desarrolladas durante el 2024, la idea es que se ejecuten en abril - junio 2026</t>
  </si>
  <si>
    <t>1057532-501-PC26</t>
  </si>
  <si>
    <t>Adquisición artículos de cafetería para Jornadas de planificación con Red Asistencial</t>
  </si>
  <si>
    <t>Contar en marzo 2026 con artículos de cafetería para realizar jornadas de planificación y procesos con la red asistencial.</t>
  </si>
  <si>
    <t>1057532-502-PC26</t>
  </si>
  <si>
    <t>Construcción de repisas para archivos en bodega ex COSAM Oriente</t>
  </si>
  <si>
    <t>COMPRA DE MATERIALES PARA CONSTRUCCIÓN DE REPISAS PARA MEJORAR LA UTILIZACIÓN DEL ESPACIO EN LA BODEGA</t>
  </si>
  <si>
    <t>Repisas</t>
  </si>
  <si>
    <t>1057532-503-PC26</t>
  </si>
  <si>
    <t>3°Jornada para cuidadores/as "Cuidar con sentido y acompañar con el corazón"</t>
  </si>
  <si>
    <t>La tercera Jornada para cuidadores, es una actividad comunitaria abierta a todas las personas que que ejercen el rol de cuidador/a. Está centrada en la celebración del Dia internacional de las Personas Cuidadoras, que se celebra el 05 de noviembre de cada año. Esta es la 3°version proyectada a 100 participantes y se desarrolla en el mes de noviembre.</t>
  </si>
  <si>
    <t>1057532-504-PC26</t>
  </si>
  <si>
    <t>SERVICIO DE TRASLADO DE MOBILIARIO</t>
  </si>
  <si>
    <t>SERVICIO DE TRASLADO DE MOBILIARIO, TRASLADO DE OFICINAS</t>
  </si>
  <si>
    <t>1057532-505-PC26</t>
  </si>
  <si>
    <t>Accesorios de telecomunicación para actividades digitales de promoción y prevención de salud mental para la comunidad fu</t>
  </si>
  <si>
    <t>Adquirir equipamiento de telecomunicaciones para los profesionales clínicos del departamento de calidad de vida, con el fin de desarrollar actividades de promoción y prevención en salud mental vía digital y redes sociales (instagram sso.conectados). Iniciativa que pretende educar a funcionarios/as y que puedan tener acceso libre a la información a través de la plataforma social. Médicos y psicólogos realizan videos y transmisiones en vivo para informar sobre diversas patologías y aclarar consultas a la comunidad funcionaria.</t>
  </si>
  <si>
    <t>Artículos Computacionales</t>
  </si>
  <si>
    <t>Constanza García</t>
  </si>
  <si>
    <t>Psicóloga Safu</t>
  </si>
  <si>
    <t>64-2337033-</t>
  </si>
  <si>
    <t>constanza.garcia.j@redsalud.gob.cl</t>
  </si>
  <si>
    <t>Termolaminadora</t>
  </si>
  <si>
    <t>1057532-506-PC26</t>
  </si>
  <si>
    <t>Adquisición Carpetas con bolsillo troquel de imprenta y logo institucional CPU</t>
  </si>
  <si>
    <t>Se requiere adquisición 200 Carpetas impresion 4/0 color, couche 350 gr con polimate, bolsillo troquel de imprenta con logo CPU institucional a ejecutarse el mes de febrero 2026</t>
  </si>
  <si>
    <t>Maria Teresa Jaramillo</t>
  </si>
  <si>
    <t>Encargada Alivio Del Dolor Y Cuidados Paliativos Universales</t>
  </si>
  <si>
    <t>1057532-507-PC26</t>
  </si>
  <si>
    <t>Plan de Compra Anual nuevos Boxes Dentales SAFU - Insumos Dentales</t>
  </si>
  <si>
    <t>Insumos Odontológicos para dar atención clínica dental a funcionarios de la Red del SSO. Enero a diciembre 2026</t>
  </si>
  <si>
    <t>Insumos Odontologicos - Insumos Dentales</t>
  </si>
  <si>
    <t>1057532-508-PC26</t>
  </si>
  <si>
    <t>Material de trabajo terapéutico equipo salud mental unidad de salud funcionaria - Librería terapéutica</t>
  </si>
  <si>
    <t>El proceso psicoterapéutico requiere de múltiples herramientas que faciliten la comprensión, trabajo emocional, autorreflexión, autoobservación y el cambio conductual en los pacientes. En este contexto, el material terapéutico y bibliografía se convierte en un recurso esencial que complementa la intervención psicológica y potencia los resultados del tratamiento. Esta adquisición, busca argumentar la necesidad de contar con material terapéutico estructurado, actualizado y adaptado a las distintas modalidades de atención y sus grupos etarios.</t>
  </si>
  <si>
    <t>Libros</t>
  </si>
  <si>
    <t>1057532-509-PC26</t>
  </si>
  <si>
    <t>Implementacion de talleres y renovacion de insumos de kinesiologia de Unidad de Memoria Ayekan.</t>
  </si>
  <si>
    <t>El aumento de consultas de personas mayores con mayor funcionalidad y la necesidad de evaluar usuarios con patología de graduación leve para el diagnóstico de deterioro cognitivo hace necesario implementar talleres y atenciones individuales con implementos con los que actualmente no contamos y otros que requiren renovación por desgaste en su uso.</t>
  </si>
  <si>
    <t>1057532-510-PC26</t>
  </si>
  <si>
    <t>Adquisición de boquillas espiratorias desechables para flujometría.</t>
  </si>
  <si>
    <t>Adquisición de 1.000 boquillas espiratorias desechables para flujometría, con válvula unidireccional. Compra a ejecutar en Junio.</t>
  </si>
  <si>
    <t>1057532-511-PC26</t>
  </si>
  <si>
    <t>Adquisición Turbinas desechables espirometría</t>
  </si>
  <si>
    <t>Adquisición de 720 turbinas desechables para espirometrías con equipos actualmente en uso en la red asistencial, a ejecutar en Abril.</t>
  </si>
  <si>
    <t>1057532-512-PC26</t>
  </si>
  <si>
    <t>Servicio de cafetería para Jornada de Capacitación en Cuidados Paliativos para equipos CPU APS y Hospitales SSO</t>
  </si>
  <si>
    <t>Servicio de cafetería Jornada de capacitación CPU a ejecutarse el mes de abril 2026</t>
  </si>
  <si>
    <t>1180747-20-PC26</t>
  </si>
  <si>
    <t>Adquisición Equipamiento para evaluación saturación oxigeno en pacientes Piloto Cesación Tabáquica (Oxímetros)</t>
  </si>
  <si>
    <t>Adquisición de 12 Equipos para evaluación de saturación oxigeno (oxímetros) en pacientes de Piloto Cesación Tabáquica que ingresan a un Programa de Rehabilitación Respiratoria, en el marco de la estrategia. Compra a ejecutar en Enero.</t>
  </si>
  <si>
    <t>Oximetro</t>
  </si>
  <si>
    <t>Encargado Programa Prevención Cáncer Pulmonar</t>
  </si>
  <si>
    <t>1057532-513-PC26</t>
  </si>
  <si>
    <t>Adquisición de insumos de folleteria y cuadernillos de stimulación para Unidad de Memoria.</t>
  </si>
  <si>
    <t>La Unidad de Memoria Ayekan requiere material de folleteria para actividades de difusión, implementación de punto lector, ferias y exposiciones a la comunidad y también de material de estimulación cognitiva que permita a los usuarios trabajar en sala de espera o en domicilios.</t>
  </si>
  <si>
    <t>1057532-514-PC26</t>
  </si>
  <si>
    <t>Talleres educativos y de respiro para cuidadoras/es de usuarios con deteriro cognitivo.</t>
  </si>
  <si>
    <t>Los talleres para cuidadores/as de usuarios de Unidad de Memoria se realizaran todos los días martes desde el mes de marzo a diciembre 2026, se trata de mantener un espacio tanto de esparcimiento como educativo para las cuidadores con alto grado de sobrecarga por su rol de cuidador. Durante 2025 se han desarrollado con muy buena evaluación y adherencia por parte de familiares de usuarios. Favorece el autocuidado tanto físico como emocional.</t>
  </si>
  <si>
    <t>Material de Libreria</t>
  </si>
  <si>
    <t>1057532-515-PC26</t>
  </si>
  <si>
    <t>Compra de insumos clínicos para actividades de vacunación, en vacunatorios y colegios de la provincia.</t>
  </si>
  <si>
    <t>Compra de insumos clínicos para realizar vacunación de los usuarios en campaña de invierno, vacunación escolar y vacunas programáticas. Compra para el mes de abril de 2026.</t>
  </si>
  <si>
    <t>1057532-516-PC26</t>
  </si>
  <si>
    <t>Adquisición de Neumáticos para vehículos de la Dirección Servicio de Salud Osorno y Base SAMU Osorno año 2026</t>
  </si>
  <si>
    <t>Neumaticos</t>
  </si>
  <si>
    <t>1057532-517-PC26</t>
  </si>
  <si>
    <t>Servicio de Coffe para 115 personas, Jornada Anual de Capacitación del Programa Nacional de Inmunizaciones, provincial</t>
  </si>
  <si>
    <t>1 Servicio de coffe para 115 personas aproximadamente, por 2 días en jornada AM, para los asistentes a la Jornada Anual de Capacitación del Programa Nacional de Inmunizaciones a realizar durante el segundo semestre de 2026. A ejecutar el mes de septiembre de 2025.</t>
  </si>
  <si>
    <t>1057532-518-PC26</t>
  </si>
  <si>
    <t>Elaboración e impresión de Carnet de Control Integral para la Red de APS de la provincia de Osorno.</t>
  </si>
  <si>
    <t>Impresión de 6.000 unid. de carnet de control integral para la Red de APS. Tamaño 13.5 x 21.5 cms, impresión a color 4/4, tapas dúplex de 300 gramos emplacado, termolaminado por tiro, anillado continuo (plástico), interior Bond 90 gramos. Número de páginas totales 50 (incluye 5 separaciones en couché 170 gramos, 100 por lado y lado). Compra planificada para el mes de marzo.</t>
  </si>
  <si>
    <t>Cuaderno</t>
  </si>
  <si>
    <t>Jefa Subdepto. Gestión De Programas</t>
  </si>
  <si>
    <t>1057532-519-PC26</t>
  </si>
  <si>
    <t>Implementación autotoma de VPH</t>
  </si>
  <si>
    <t>Compra única en el mes de Febrero 2026</t>
  </si>
  <si>
    <t>1057532-520-PC26</t>
  </si>
  <si>
    <t>TEST DE EVALUACIONES PSICOLÓGICAS</t>
  </si>
  <si>
    <t>Adquirir test que nos permitan Evalúa para orientar la personalidad desde orientación vocacional y diagnóstico de la personalidad. Adquirir un test proyectivo que consta de 13 láminas que se dividen en tres series que reciben los nombres de A, B y C en las que se emplean figuras humanas para representar situaciones típicas de relación de objeto con el objetivo de que la persona a la que se le administra pueda proyectar sus relaciones objétales.</t>
  </si>
  <si>
    <t>TEST</t>
  </si>
  <si>
    <t>1057532-521-PC26</t>
  </si>
  <si>
    <t>Conmemoración día Mundial de la Salud Mental 10 de octubre 2026 y Desarrollo de actividades de promoción de salud mental</t>
  </si>
  <si>
    <t>Realizar actividades de sensibilización y promoción del cuidado de la salud mental (desde ENERO). Además, se realizará una jornada especial el día 10 de Octubre de 2026 para conmemorar el día mundial de la Salud Mental, iniciativa que pretende cuidar la dimensión psicológica y emocional de los funcionarios/as procurando su autocuidado y salud integral, para lo cual se invitara a diversos actores de la comunidad de salud mental a presentar sus programas.</t>
  </si>
  <si>
    <t>Cartucho color</t>
  </si>
  <si>
    <t>Artículos de librería</t>
  </si>
  <si>
    <t>1057532-522-PC26</t>
  </si>
  <si>
    <t>Insumos para CIRA SDGA</t>
  </si>
  <si>
    <t>Se requiere la compra de insumos de cafetería para las reuniones mensuales (12) de CIRA, de la Subdirección de Gestión Asistencial.</t>
  </si>
  <si>
    <t>Esteban Oyarzo</t>
  </si>
  <si>
    <t>Asistente Ejecutivo</t>
  </si>
  <si>
    <t>64-2335754-</t>
  </si>
  <si>
    <t>esteban.oyarzo.a@redsalud.gob.cl</t>
  </si>
  <si>
    <t>1057532-523-PC26</t>
  </si>
  <si>
    <t>Festival de la Voz de las Mujeres 2026</t>
  </si>
  <si>
    <t>El Festival de la Voz de las Mujeres es una actividad que se realiza la primera semana de marzo con la finalidad de conmemorar el Día internacional de la Mujer. El propósito del Festival es fomentar la participación y recreación de la comunidad funcionaria ofreciendo un espectáculo de calidad que promueva y estimule las habilidades artísticas musicales de las funcionarias de los distintos Hospitales y Dispositivos de la red del Servicio de Salud de Osorno, a la vez que se concientiza sobre la importancia de conmemorar el día internacional d</t>
  </si>
  <si>
    <t>Ignacio Sotomayor</t>
  </si>
  <si>
    <t>Psicologo</t>
  </si>
  <si>
    <t>ignacio.sotomayor@redsalud.gob.cl</t>
  </si>
  <si>
    <t>Decoración y Premios</t>
  </si>
  <si>
    <t>1057532-524-PC26</t>
  </si>
  <si>
    <t>Obras civiles para montaje de 2 futuros contenedores de largo 20 pies</t>
  </si>
  <si>
    <t>Obras civiles para montaje de 2 futuros contenedores de largo 20 pies. Construcción de vereda de hormigón de dimensiones 25mx2,5m para acceso de funcionarios, construcción de losa de hormigón de dimensiones 12x10m, construcción de techo para los contenedores.</t>
  </si>
  <si>
    <t>robertonunez123@gmail.com</t>
  </si>
  <si>
    <t>1057532-525-PC26</t>
  </si>
  <si>
    <t>ADQUISICIÓN DISPOSITIVOS DE ALMACENAMIENTO PARA HABILITACION DE EQUIPOS COMPUTACIONALES</t>
  </si>
  <si>
    <t>Dado el proceso de recambio de Equipamiento PC MINSAL, los equipos pertenecientes a Empresa UPGRADE (Aprox. 40) quedarán en calidad de donación al Servicio de Salud Osorno, pero sin discos de almacenamiento. Por esta razón se requiere adquirir 40 Discos SSD y así dejar operativos 40 PC para uso de los establecimientos de nuestra Red.</t>
  </si>
  <si>
    <t>Disco Duros</t>
  </si>
  <si>
    <t>1057976-15-PC26</t>
  </si>
  <si>
    <t>Mejoramiento Hospital de Rio Negro(4 LICITACIONES) - Traspaso de año , modificación en emisiones de OC</t>
  </si>
  <si>
    <t>Se requiere licitar para el mes de mayo año 2025, Mejoramiento Hospital de Rio Negro (4 LICITACIONES)</t>
  </si>
  <si>
    <t>1057532-529-PC26</t>
  </si>
  <si>
    <t>contendores de papel</t>
  </si>
  <si>
    <t>4 CONTENEDORES DE PAPEL CON LAS SIGUIENTES MEDIDAS Alto 70 Cm Ancho 40 Cm Profundidad 39 Cm Peso 2,3 Kg Capacidad 60 Litros</t>
  </si>
  <si>
    <t>Cristina Collinao</t>
  </si>
  <si>
    <t>Sub. Dpto. Transparencia, Gestion Documental Y Lobby</t>
  </si>
  <si>
    <t>64-2335752-</t>
  </si>
  <si>
    <t>CRISTINA.COLLINAO@REDSALUD.GOB.CL</t>
  </si>
  <si>
    <t>1057532-534-PC26</t>
  </si>
  <si>
    <t>INSUMOS DE ATENCION PSICOLOGICA</t>
  </si>
  <si>
    <t>Adquirir material necesario para el desarrollo de las atenciones de salud mental, favoreciendo una atención digna y de buena calidad, buscando brindar un estándar de comodidad medio para las y los pacientes, favoreciendo su apertura a la experiencia</t>
  </si>
  <si>
    <t>constanza.gj@gmail.com</t>
  </si>
  <si>
    <t>1057532-535-PC26</t>
  </si>
  <si>
    <t>22.01-22.04</t>
  </si>
  <si>
    <t>Eventos y resignificaciones anuales</t>
  </si>
  <si>
    <t>Fortalecer los procesos terapéuticos y comunitarios de las personas en tratamiento, mediante espacios mensuales de resignificación que promuevan la integración familiar, la reconstrucción de vínculos y la participación activa en actividades que refuercen el sentido de pertenencia, la autoestima y la continuidad del proceso de rehabilitación.</t>
  </si>
  <si>
    <t>Encargada de Compras</t>
  </si>
  <si>
    <t>carolina.silvall@redsalud.gob.cl</t>
  </si>
  <si>
    <t>Insumos de alimentación</t>
  </si>
  <si>
    <t>1057532-536-PC26</t>
  </si>
  <si>
    <t>INSUMOS ALIMENTACIÓN PARA ACTIVIDADES DE SALUD MENTAL 2026</t>
  </si>
  <si>
    <t>ADQUISICIÓN DE INSUMOS DE ALIMENTACIÓN NECESARIOS PARA MANTENER LA CALIDAD DE ACTIVIDADES IMPORTANTES COMO REUNIONES CON EL INTERSECTOR , TALLERES Y CAPACITACIONES</t>
  </si>
  <si>
    <t>1057532-537-PC26</t>
  </si>
  <si>
    <t>MUEBLE DOCUMENTAL</t>
  </si>
  <si>
    <t>MUEBLE REPISERO PARA DOCUMENTOS DE MELAMINA</t>
  </si>
  <si>
    <t>1057532-538-PC26</t>
  </si>
  <si>
    <t>22.02.001</t>
  </si>
  <si>
    <t>Olimpiadas del Adolescente</t>
  </si>
  <si>
    <t>Ejecución de las olimpiadas del adolescente a realizar en contexto de prevención de la obesidad.</t>
  </si>
  <si>
    <t>Polera de trabajo</t>
  </si>
  <si>
    <t>64-25806-</t>
  </si>
  <si>
    <t>Bandanas</t>
  </si>
  <si>
    <t>1057532-539-PC26</t>
  </si>
  <si>
    <t>Insumos para reuniones ministeriales</t>
  </si>
  <si>
    <t>Tener stock para reuniones del Director durante el año y recepción parcializada en 4 meses.</t>
  </si>
  <si>
    <t>Claudia Vera</t>
  </si>
  <si>
    <t>64-2335750-</t>
  </si>
  <si>
    <t>claudia.veraa@redsalud.gob.cl</t>
  </si>
  <si>
    <t>1057532-540-PC26</t>
  </si>
  <si>
    <t>Compra de Servicio de Docencia, Relatoría, Consultoría, Alimentación y Compra de insumos Año 2026</t>
  </si>
  <si>
    <t>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t>
  </si>
  <si>
    <t>Servicio Relatoría</t>
  </si>
  <si>
    <t>Angela Montesinos</t>
  </si>
  <si>
    <t>Encargada Control De Gestion De Compras Y De Presupuesto</t>
  </si>
  <si>
    <t>64-2335849-</t>
  </si>
  <si>
    <t>angela.montesinos@redsalud.gob.cl</t>
  </si>
  <si>
    <t>Tarjetas de Alimentación</t>
  </si>
  <si>
    <t>Servicio de Cafetería</t>
  </si>
  <si>
    <t>Insumos de Alimentación</t>
  </si>
  <si>
    <t>Artículos de Oficina</t>
  </si>
  <si>
    <t>Pila</t>
  </si>
  <si>
    <t>Caja plástica</t>
  </si>
  <si>
    <t>Alojamiento</t>
  </si>
  <si>
    <t>1057532-541-PC26</t>
  </si>
  <si>
    <t>Insumos médicos</t>
  </si>
  <si>
    <t>Se requiere la reposición y adquisición de insumos médicos para los botiquines de las Unidades Residencial y Ambulatoria de la Comunidad Terapéutica. Con personal compuestos por enfermeros, técnicos paramédicos y médicos, se busca atender emergencias, aliviar el dolor, realizar curaciones y manejar patologías menores. Contar con botiquines equipados permite brindar atención primaria oportuna ante eventos ocurridos durante la estadía o actividades de la unidad.</t>
  </si>
  <si>
    <t>Artículos médicos y clínicos</t>
  </si>
  <si>
    <t>Materiales de curación</t>
  </si>
  <si>
    <t>Equipamiento médico</t>
  </si>
  <si>
    <t>1057532-542-PC26</t>
  </si>
  <si>
    <t>Adquisición de Insumos para control cardiovascular/integral en atención primaria</t>
  </si>
  <si>
    <t>Adquisición de insumos médicos para el control cardiovascular/integral en APS. 1) EQUIPO DE CURACION DESECHABLE: 2.000 UNIDADES. 2) CURETAS FOX (3 mm o 4 mm): 500 UNIDADES (19 cajas c/25 unidades). 3) MONOFILAMENTO SEMMES WEINSTEIN: 250 UNIDADES. 4) CINTA MÉTRICA RETRÁCTIL: 150 UNIDADES. Compra para marzo 2025.</t>
  </si>
  <si>
    <t>1057532-543-PC26</t>
  </si>
  <si>
    <t>Materiales psicopedagógicos</t>
  </si>
  <si>
    <t>Mantener stock de recursos para el desarrollo de actividades psicopedagógicas y desde el abordaje cognitivo conductual de todos los terapeutas, todas dirigidas a que las personas en tratamientos y familiares logren a través de actividades grupales dirigidas, adquirir conocimientos de forma lúdica con estrategias que permitan el desarrollo de creatividad, estimulación y discriminación visual.</t>
  </si>
  <si>
    <t>Artículos de oficina</t>
  </si>
  <si>
    <t>1057532-544-PC26</t>
  </si>
  <si>
    <t>Adquisición de insumos para la atención y educación en salud, a personas bajo control en los Programas de Salud</t>
  </si>
  <si>
    <t>Adquisición de insumos para la atención y educación en salud, a personas bajo control en distintos programas de la atención primaria: - 100 cajas Apositos - 10 linternas frontales - 10 diapazón - 10 tijera corta yeso dentada Bruns - 10 fonendoscopios pediátricos - 14 Podoscopio</t>
  </si>
  <si>
    <t>Linterna</t>
  </si>
  <si>
    <t>Material de Curación</t>
  </si>
  <si>
    <t>1057532-545-PC26</t>
  </si>
  <si>
    <t>Conmemoración del aniversario del centro Kümelen</t>
  </si>
  <si>
    <t>Realizar actividad conmemorativa enmarcada en el cumplimiento de los 10 años de antigüedad del centro kümelen en septiembre 2026.</t>
  </si>
  <si>
    <t>Carlos Utreras</t>
  </si>
  <si>
    <t>Coordinador (S)</t>
  </si>
  <si>
    <t>carlos.utreras@redsalud.gob.cl</t>
  </si>
  <si>
    <t>Diptico</t>
  </si>
  <si>
    <t>1077241-106-PC26</t>
  </si>
  <si>
    <t>22.01-22.04-22.02</t>
  </si>
  <si>
    <t>Taller de habilidades para la vida 2026</t>
  </si>
  <si>
    <t>Consiste en enseñar a los usuarios de forma teórico-práctica habilidades para lograr la máxima independencia de los usuarios de salud mental. Fomentar máxima autonomía posible de los participantes según su nivel de funcionalidad, identificar las fortalezas y necesidades individuales de cada participante, desarrollar habilidades para la vida diaria en AVD básicas, instrumentales, en interacción y comunicación, explorar los recursos disponibles en la comunidad para brindar apoyo adicional.</t>
  </si>
  <si>
    <t>Artículos de cocina</t>
  </si>
  <si>
    <t>Director COSAM Oriente</t>
  </si>
  <si>
    <t>Útiles de aseo</t>
  </si>
  <si>
    <t>Artículos de cocina textiles</t>
  </si>
  <si>
    <t>Fósforos</t>
  </si>
  <si>
    <t>1057532-546-PC26</t>
  </si>
  <si>
    <t>Adquisicion ciclo de capacitaciones ECICEP para profesionales de la red asistencial</t>
  </si>
  <si>
    <t>Adquisición de ciclo de capacitaciones para la red asistencial en ECICEP, considerando capacitaciones transversales para el equipo de salud, capacitaciones para Médicos, Capacitaciones para Enfermeras y TENS.</t>
  </si>
  <si>
    <t>Curso</t>
  </si>
  <si>
    <t>Referente Estrategia De Cuidados Integrales Centrados En Las Personas - Ecicep</t>
  </si>
  <si>
    <t>1057532-547-PC26</t>
  </si>
  <si>
    <t>Adquisición insumos clínicos y de aseo general mamógrafo móvil/estrategias Programa Imágenes Diagnósticas 2026.</t>
  </si>
  <si>
    <t>Adquisición de insumos clínicos necesarios para la atención de usuarias en un entorno limpio e higiénico.</t>
  </si>
  <si>
    <t>Productos Alcohol</t>
  </si>
  <si>
    <t>Barbara Mendez</t>
  </si>
  <si>
    <t>Enc. Apoyo Diagnóstico En Imagenología</t>
  </si>
  <si>
    <t>64-2331026-</t>
  </si>
  <si>
    <t>barbara.mendez@redsalud.gob.cl</t>
  </si>
  <si>
    <t>Toallas</t>
  </si>
  <si>
    <t>1057532-548-PC26</t>
  </si>
  <si>
    <t>Adquisición de insumos validados para la medición de presión arterial en el curso de vida.</t>
  </si>
  <si>
    <t>1) 10 Set de brazaletes tensiómetros reusables para la medición de la presión arterial. Cada Set viene brazaletes de 4 tamaños: Pediátrico (15-21 cms), Adulto pequeño/Adolescente (20-26 cms), Adulto mediano (25-34 cms), Adulto grande/Obeso (32-43 cms). Garantía técnica mínima 18 meses. 2) 10 unidades esfigmomanómetro automatizado, diseñado para la medición de la presión arterial y la frecuencia cardíaca en personas con edades superiores a los 3 años. Validado para Chile y autorizado por Minsal para uso profesional. Compra Marzo 2026.</t>
  </si>
  <si>
    <t>1057532-550-PC26</t>
  </si>
  <si>
    <t>Adquisición Dispositivos médicos de Curación Avanzada. Presupuesto: PAGD, componente Salud Cardiovascular $15.000.000.-</t>
  </si>
  <si>
    <t>Adquisición de dispositivos médicos para el apoyo a la gestión de curaciones avanzadas en usuarios portadores de úlcera venosa y úlcera del pie diabético a ejecutarse en marzo 2026.</t>
  </si>
  <si>
    <t>Jefa Subdepto. Programas En Curso De Vida.</t>
  </si>
  <si>
    <t>1057532-551-PC26</t>
  </si>
  <si>
    <t>Adquisición de servicio de catering para curso de Imagenología para Médicos generales y de APS.</t>
  </si>
  <si>
    <t>Proveer de servicios de catering para jornada de capacitación Médicos Generales Imágenes Diagnósticas.</t>
  </si>
  <si>
    <t>1057532-562-PC26</t>
  </si>
  <si>
    <t>Convenio - Convenio de servicio de exámenes de ecotomografía abdominal y mamaria programa imágenes diagnósticas.</t>
  </si>
  <si>
    <t>Adquisición de exámenes con informe radiológico de ecotomografía abdominal y mamaria para los hospitales acreditados dependientes del Servicio de Salud Osorno.</t>
  </si>
  <si>
    <t>Ecotomografia Abdominal</t>
  </si>
  <si>
    <t>Ecotomografia Mamaria</t>
  </si>
  <si>
    <t>1057532-564-PC26</t>
  </si>
  <si>
    <t>Compra de insumos de oficina y cafetería</t>
  </si>
  <si>
    <t>Contar con insumos de cafetería para ser utilizados dentro de talleres y charlas mencionadas que están dirigidos a la comunidad usuaria del servicio. Los artículos de oficina son para hacer cuadernillos de manuales y orientaciones técnicas de la unidad, también para folletería que será entregada a la comunidad funcionaria y usuaria en talleres, charlas y ferias laborales de la provincia.</t>
  </si>
  <si>
    <t>Jefa Unidad Reclutamiento y Selección</t>
  </si>
  <si>
    <t>64-2565640-</t>
  </si>
  <si>
    <t>Vasos desechables</t>
  </si>
  <si>
    <t>1057532-565-PC26</t>
  </si>
  <si>
    <t>Convenio - Convenio de servicio informes de radiografías y mamografías para los Hospitales Dependientes del S.S.O.</t>
  </si>
  <si>
    <t>Convenio de informes radiológicos simples y mamografia, en calidad de ambulatorios y urgentes, para los Establecimientos dependientes del Servicio de Salud Osorno.</t>
  </si>
  <si>
    <t>Informes Radiografias Mamografias</t>
  </si>
  <si>
    <t>Informes Radiografias Simple</t>
  </si>
  <si>
    <t>1057532-566-PC26</t>
  </si>
  <si>
    <t>Conmemoración día de la mujer</t>
  </si>
  <si>
    <t>La presente adquisición tiene como finalidad contar con los insumos y servicios necesarios para la conmemoración del día mundial de la mujer, esta jornada esta dirigida y reconocer y visibilizar el rol de las mujeres en el ámbito laboral y las personas con demencias, cuidadoras y familiares, promoviendo la equidad de genero, bienestar y participación comunitaria. Se contempla material de difusión, ambientación y alimentación. Marzo 2026.</t>
  </si>
  <si>
    <t>Bolsa Regalos</t>
  </si>
  <si>
    <t>1057532-567-PC26</t>
  </si>
  <si>
    <t>servicio de dosimetría Trabajadores Ocupacionalmente expuestos del Programa Imágenes Diagnósticas.</t>
  </si>
  <si>
    <t>Mantener suministro de servicio de dosimetría, para Trabajadores Ocupacionalmente Expuestos a radiaciones Ionizantes, para los 4 trimestres del año 2026</t>
  </si>
  <si>
    <t>Dosimetria</t>
  </si>
  <si>
    <t>1057532-568-PC26</t>
  </si>
  <si>
    <t>Convenio - Convenio de servicio movilización funcionarios mamógrafo móvil. Descripción</t>
  </si>
  <si>
    <t>Servicio de movilización sin conductor, para el traslado de funcionarios mamógrafo móvil del servicio de salud Osorno.</t>
  </si>
  <si>
    <t>Convenio Movil</t>
  </si>
  <si>
    <t>1077241-107-PC26</t>
  </si>
  <si>
    <t>Adquisición insumos de promoción, prevención y tratamiento ADM para desarrollo Programa de Resolución de Ortodoncia NNA</t>
  </si>
  <si>
    <t>Material e insumos de Promoción, prevención y tratamiento en ADM para NNA en el marco del Programa de Resolución de Ortodoncia - Construyendo Nuevas Sonrisas Ejecución entre los meses de marzo y abril, para cierre de programa.</t>
  </si>
  <si>
    <t>Insumos Dentales</t>
  </si>
  <si>
    <t>Marco Gonzalez</t>
  </si>
  <si>
    <t>Encargado Salud Oral</t>
  </si>
  <si>
    <t>64-2335687-</t>
  </si>
  <si>
    <t>marco.gonzalezf@redsalud.gob.cl</t>
  </si>
  <si>
    <t>Servicios de Impresion</t>
  </si>
  <si>
    <t>1057922-19-PC26</t>
  </si>
  <si>
    <t>Bodega Lata</t>
  </si>
  <si>
    <t>NMaria Paz Gomez</t>
  </si>
  <si>
    <t>Balanza</t>
  </si>
  <si>
    <t>1057532-569-PC26</t>
  </si>
  <si>
    <t>Proyecto de Compra Insumos clínicos 2026</t>
  </si>
  <si>
    <t>En el contexto de atención clínica a los usuarios del dispositivo COSAM Rahue, se mantiene presente la necesidad de contar con insumos clínicos y no clínicos para la realización procedimientos de enfermería los cuales son parte importante del tratamiento establecido para el cumplimiento de los objetivos terapéuticos del usuario durante su proceso de salud-enfermedad. Esto debido a que las cantidades que se requieren para hacer pedido en CENABAST son mucho mayores a las que se utilizan en el dispositivo. Además, se requieren ciertos insumos para</t>
  </si>
  <si>
    <t>Riñones</t>
  </si>
  <si>
    <t>Accesorios</t>
  </si>
  <si>
    <t>Termohidrometro</t>
  </si>
  <si>
    <t>1057532-570-PC26</t>
  </si>
  <si>
    <t>Capacitación formación de facilitadores Nadie es Perfecto</t>
  </si>
  <si>
    <t>Realizar capacitación en formación de facilitadores taller de habilidades parentales Nadie es Perfecto a profesionales de la red asistencial.</t>
  </si>
  <si>
    <t>Servicio de cafetería</t>
  </si>
  <si>
    <t>Estrella Azócar</t>
  </si>
  <si>
    <t>Encargada Chile Crece Contigo</t>
  </si>
  <si>
    <t>64-2565829-</t>
  </si>
  <si>
    <t>Artículos de librería y oficina</t>
  </si>
  <si>
    <t>Material didáctico y educativo</t>
  </si>
  <si>
    <t>1057532-572-PC26</t>
  </si>
  <si>
    <t>Artículos de higiene, limpieza y mantención de áreas verdes para Edificio Matta.</t>
  </si>
  <si>
    <t>Proveer de insumos de higiene, limpieza para mantención de Edificio Matta.</t>
  </si>
  <si>
    <t>Alcohol gel</t>
  </si>
  <si>
    <t>Coordinadora Unidad de Memoria</t>
  </si>
  <si>
    <t>Bloqueador solar, cinta, guantes, spray, barretilla</t>
  </si>
  <si>
    <t>Artículos de jardinería</t>
  </si>
  <si>
    <t>1057922-20-PC26</t>
  </si>
  <si>
    <t>Adquisición de herramientas</t>
  </si>
  <si>
    <t>Adquisición de taladro percutor inalambrico con mandril 13mm y taladro atornillador inalambrico con mandril de 13mm</t>
  </si>
  <si>
    <t>Atornillador</t>
  </si>
  <si>
    <t>1057532-573-PC26</t>
  </si>
  <si>
    <t>Adquisición de insumos para la atención en domicilio del Equipo Rehabilitación Rural SSO. (Articulos de Escritorio)</t>
  </si>
  <si>
    <t>Compra de articulos de escritorio para el funiconamiento del Equipo Rural de Rehabilitación (marzo 2026)</t>
  </si>
  <si>
    <t>1057532-574-PC26</t>
  </si>
  <si>
    <t>Renovación de toma de presión digital para unidad de Memoria.</t>
  </si>
  <si>
    <t>Renovación de toma de presión de brazo digital para control de pacientes cuando acuden a controles presenciales como también para la implementación del bolso de Visitas domiciliarias en la provincia de Osorno. Lo anterior para adquirirlo durante el mes de abril 2026.</t>
  </si>
  <si>
    <t>Toma de presión digital</t>
  </si>
  <si>
    <t>1057532-575-PC26</t>
  </si>
  <si>
    <t>Compra de Insumos de cafetería para atención a los asistentes a las reuniones teniendo en cuenta que el desplazamiento desde las comunas a Osorno debe ser temprano por un tema de frecuencia de los buses. Esto contempla un aproximado de 34 reuniones que van desde marzo a diciembre, con un promedio de 970 personas.</t>
  </si>
  <si>
    <t>Daniel Pereira</t>
  </si>
  <si>
    <t>Apoyo Participación</t>
  </si>
  <si>
    <t>64-2335836-</t>
  </si>
  <si>
    <t>daniel.pereira.v@redsalud.gob.cl</t>
  </si>
  <si>
    <t>1077241-108-PC26</t>
  </si>
  <si>
    <t>Taller de niños y niñas - Taller de padres</t>
  </si>
  <si>
    <t>Ambos talleres serán realizados desde marzo a diciembre de 2026, por lo que se solicita realizar la compra en febrero de 2026.</t>
  </si>
  <si>
    <t>1057532-576-PC26</t>
  </si>
  <si>
    <t>Realizar olimpiadas del adolescente en contexto de prevención de obesidad</t>
  </si>
  <si>
    <t>Toldos</t>
  </si>
  <si>
    <t>1077241-109-PC26</t>
  </si>
  <si>
    <t>Taller Arte Terapia</t>
  </si>
  <si>
    <t>Taller se ejecuta durante todo el año, mes de enero en pausa, para comenzar en febrero, por lo que se necesitan los materiales en mes de febrero.</t>
  </si>
  <si>
    <t>1057532-577-PC26</t>
  </si>
  <si>
    <t>TALLER DE MANUALIDADES</t>
  </si>
  <si>
    <t>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t>
  </si>
  <si>
    <t>Artículos de Ferretería</t>
  </si>
  <si>
    <t>Esencias Aromaterapia</t>
  </si>
  <si>
    <t>Artículos de Librería</t>
  </si>
  <si>
    <t>Material Ergoterapia</t>
  </si>
  <si>
    <t>Aparatos Electrónicos</t>
  </si>
  <si>
    <t>1057532-578-PC26</t>
  </si>
  <si>
    <t>Adquisición de insumos atención en domicilio del Equipo Rehabilitación Rural SSO</t>
  </si>
  <si>
    <t>Adquisición de elementos de rehabilitación rural para terapeuta y kinesióloga con equipamiento médico y artículos clínicos.</t>
  </si>
  <si>
    <t>64-2565807-</t>
  </si>
  <si>
    <t>Artículos de ferretería, médicos y clínicos, equipamiento médico</t>
  </si>
  <si>
    <t>1057922-21-PC26</t>
  </si>
  <si>
    <t>Adquisicion equipamiento Servidor NAS y almacenamiento extra para respaldo y seguridad de la información</t>
  </si>
  <si>
    <t>Renovar equipo informático servidor NAS actual, el cual está llegando al límite de vida útil, este debe incluir discos duros instalados y además sumar otros para llegar a un total de 40TB de almacenamiento. Marzo 2026</t>
  </si>
  <si>
    <t>Servidor</t>
  </si>
  <si>
    <t>Disco Duro</t>
  </si>
  <si>
    <t>1057532-579-PC26</t>
  </si>
  <si>
    <t>ARTICULOS DE OFICINA UNIDADES AMBULATORIO Y RESIDENCIAL</t>
  </si>
  <si>
    <t>Se requiere la adquisición de artículos de escritorio de buena calidad, en la cantidad necesaria para garantizar el desarrollo adecuado de las actividades administrativas y didácticas realizadas con las personas en tratamiento de la unidad. Los insumos deben permitir un funcionamiento eficiente de los procesos internos y apoyar la ejecución de las acciones planificadas, asegurando que el equipo cuente con los recursos necesarios para cumplir sus funciones de manera efectiva y ordenada.</t>
  </si>
  <si>
    <t>1077241-110-PC26</t>
  </si>
  <si>
    <t>Comité de Participación y Gestión Intercultural</t>
  </si>
  <si>
    <t>Las actividades comunitarias se desarrollan a lo largo de todo el año, las compras se utilizan para complementar las actividades dirigidas y/o festividades específicas, pero también para actividades de gestión, coordinación de estas mismas, y reuniones extraprogramáticas con la comunidad o instituciones con los que colaboramos para el desarrollo de lo programado anualmente.</t>
  </si>
  <si>
    <t>Toldo Mesa</t>
  </si>
  <si>
    <t>Tinta Botellas</t>
  </si>
  <si>
    <t>1057532-580-PC26</t>
  </si>
  <si>
    <t>EVENTOS EN MOVIMIENTO Y A UNA SOLA VOZ</t>
  </si>
  <si>
    <t>Se requiere adquirir servicios de amplificación y colaciones para todos los participantes de la actividad ?En Movimiento y a Una Sola Voz?, en su versión N°15, con el fin de asegurar condiciones adecuadas de participación y contribuir a una presentación de calidad que favorezca los procesos de educación y sensibilización comunitaria en torno a la salud mental, promoviendo acciones de promoción, prevención y autocuidado.</t>
  </si>
  <si>
    <t>Amplificación</t>
  </si>
  <si>
    <t>Placa Regalos</t>
  </si>
  <si>
    <t>Material de Aseo</t>
  </si>
  <si>
    <t>1057532-581-PC26</t>
  </si>
  <si>
    <t>CONTRIBUYENDO A LA POLITICA PÚBLICA EN REPARACIÓN CON USUARIOS/AS PRAIS</t>
  </si>
  <si>
    <t>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t>
  </si>
  <si>
    <t>Ana María Diaz</t>
  </si>
  <si>
    <t>64-2336694-</t>
  </si>
  <si>
    <t>anamaria.diaz@redsalud.gob.cl</t>
  </si>
  <si>
    <t>Higiene</t>
  </si>
  <si>
    <t>Insumos de Rehabilitación</t>
  </si>
  <si>
    <t>01-04-2026,01-05-2026</t>
  </si>
  <si>
    <t>Petróleo</t>
  </si>
  <si>
    <t>Material promocional</t>
  </si>
  <si>
    <t>Eventos y actividades</t>
  </si>
  <si>
    <t>01-06-2026,01-08-2026,01-09-2026,01-12-2026</t>
  </si>
  <si>
    <t>Capacitación</t>
  </si>
  <si>
    <t>Contratación Monitores</t>
  </si>
  <si>
    <t>Servicio Odontológico</t>
  </si>
  <si>
    <t>Servicios Médicos</t>
  </si>
  <si>
    <t>Cera</t>
  </si>
  <si>
    <t>Guantes</t>
  </si>
  <si>
    <t>1057922-22-PC26</t>
  </si>
  <si>
    <t>Adquisción de hidrolavadora 120BAR</t>
  </si>
  <si>
    <t>Se requiere Hidrolavadora para poder limpiar accesos de vehiculos que se llenan de pasto y musgos, limpiar muros y ventanas del establecimiento con personal propio.</t>
  </si>
  <si>
    <t>Hidrolavadora</t>
  </si>
  <si>
    <t>1057532-582-PC26</t>
  </si>
  <si>
    <t>Insumos para jornada provincial de Gestión del Riesgo de Desastres (2 días)</t>
  </si>
  <si>
    <t>Contar con servicio de cafetería (2 días) en horario am y snack frio para jornada pm, para asistentes y relatores externos, además de insumos de Liberia para el desarrollo de actividades practicas. mes ejecucion de la compra: Abril</t>
  </si>
  <si>
    <t>Materiales de Enseñanza</t>
  </si>
  <si>
    <t>Servicio de Cafeteria</t>
  </si>
  <si>
    <t>1057532-583-PC26</t>
  </si>
  <si>
    <t>COMPRA DE MATERIALES DE OFICINA E INSUMOS DE CAFETERIA PARA LA UNIDAD DE CICLO LABORAL DEL S.S.O.</t>
  </si>
  <si>
    <t>MES DE EJECUCION DE LA COMPRA DE MATERIALES DE ESCRITORIO, DIDACTICOS E INSUMOS DE CAFETERIA SE REALIZARA EN EL MES DE FEBRERO DE 2026.</t>
  </si>
  <si>
    <t>Sandra Rodriguez</t>
  </si>
  <si>
    <t>Jefa Unidad Ciclo Laboral</t>
  </si>
  <si>
    <t>sandra.rodriguez@redsalud.gob.cl</t>
  </si>
  <si>
    <t>Marcos-Arreglo-Globo</t>
  </si>
  <si>
    <t>1057532-584-PC26</t>
  </si>
  <si>
    <t>Insumos para actividades individuales y grupales con usuarios/as y familiares de UID Newen.</t>
  </si>
  <si>
    <t>Adquisición de insumos para actividades programadas con usuarios/as de UID Newen a contar del mes de enero del 2026.</t>
  </si>
  <si>
    <t>1077241-111-PC26</t>
  </si>
  <si>
    <t>EQUIPAMIENTO AMBULATORIO ? CONVENIO SENDA</t>
  </si>
  <si>
    <t>SIllas - Sillones</t>
  </si>
  <si>
    <t>Televisor-Aire-Aspiradora</t>
  </si>
  <si>
    <t>Escritorio-Mobiliario-BodegaLata</t>
  </si>
  <si>
    <t>Equipos Menores</t>
  </si>
  <si>
    <t>Delantal de Cocina</t>
  </si>
  <si>
    <t>1057532-585-PC26</t>
  </si>
  <si>
    <t>Materiales y herramientas de oficina funcionarios Sub Depto.</t>
  </si>
  <si>
    <t>Suministrar materiales y herramientas de oficina, tales como tijeras, corcheteras, lapices, pendon, timbres, hojas, etc. para funcionarios para facilitar su funcionamiento de trabajo.</t>
  </si>
  <si>
    <t>1057532-586-PC26</t>
  </si>
  <si>
    <t>COMPRA DE MATERIALES DE OFICINA E INSUMOS DE CAFETERIA PARA DEL SUBDEPTO. DE CULTURA Y CLIMA ORGANIZACIONAL DEL S.S.O.</t>
  </si>
  <si>
    <t>Waleska Monsalvez</t>
  </si>
  <si>
    <t>Jefa Subdepto. Cultura Y Clima Organizacional</t>
  </si>
  <si>
    <t>waleska.monsalvez@redsalud.gob.cl</t>
  </si>
  <si>
    <t>1057532-587-PC26</t>
  </si>
  <si>
    <t>INSUMOS PARA EL ORDEN ORPERACION Y DOCUMENTAL DE OFICINA DE PARTES.</t>
  </si>
  <si>
    <t>Pizarra de Corcho (50x30) Pizarra de Corcho (50x60) Pizarra mitad Corcho y mitad Blanca (50x60) Corchetera Isofit CM70 Regla acero 30 cm Tijeras chicas Disco Duro Externo 2TB BANDEJA DE ESCRITORIO TRIPLE DE MADERA, LAS MEDIDAS SON 38X35 (RESPETAR MEDIDAS)</t>
  </si>
  <si>
    <t>Jefatura</t>
  </si>
  <si>
    <t>1057532-588-PC26</t>
  </si>
  <si>
    <t>Compra Cintas de glicemia + equipos en comodato</t>
  </si>
  <si>
    <t>Se adquieren cintas de glicemia y glucómetros en comodato</t>
  </si>
  <si>
    <t>1077241-112-PC26</t>
  </si>
  <si>
    <t>ARTICULOS DE COCINA RESIDENCIAL ? CONVENIO SENDA</t>
  </si>
  <si>
    <t>1057532-589-PC26</t>
  </si>
  <si>
    <t>EQUIPAMIENTO RESIDENCIAL ? FONDOS PPV</t>
  </si>
  <si>
    <t>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t>
  </si>
  <si>
    <t>Textiles y Acabados Textiles</t>
  </si>
  <si>
    <t>Materiales para Mantenimiento y Reparaciones de Inmuebles</t>
  </si>
  <si>
    <t>Adquisición de Mobiliario y Otros (Bases de camas)</t>
  </si>
  <si>
    <t>Productos Elaborados de Cuero, Caucho y Plásticos</t>
  </si>
  <si>
    <t>Otros (Artículos de Ferretería y Equipamiento diverso)</t>
  </si>
  <si>
    <t>Calzado (Botas de goma)</t>
  </si>
  <si>
    <t>Productos Agropecuarios y Forestales (Artículos de Jardinería)</t>
  </si>
  <si>
    <t>Otros Materiales y Útiles de Aseo (Basureros)</t>
  </si>
  <si>
    <t>Otros Materiales para Mantenimiento (Hacha, Rodillos)</t>
  </si>
  <si>
    <t>Vestuario y Accesorios para el Personal (Overoles)</t>
  </si>
  <si>
    <t>Arrastre</t>
  </si>
  <si>
    <t>PAC</t>
  </si>
  <si>
    <t>Total general</t>
  </si>
  <si>
    <t>PC26</t>
  </si>
  <si>
    <t>Monto</t>
  </si>
  <si>
    <t>Fecha de Compra</t>
  </si>
  <si>
    <t>Suma de Monto Total Ítem Año 2026</t>
  </si>
  <si>
    <t>Tipo PAC</t>
  </si>
  <si>
    <t xml:space="preserve"> Monto Total item</t>
  </si>
  <si>
    <t>Eleuterio Roman</t>
  </si>
  <si>
    <t>Esteban Alarcon Bohle</t>
  </si>
  <si>
    <t>Karin Scholz</t>
  </si>
  <si>
    <t>Jorge Oyarzun Silva</t>
  </si>
  <si>
    <t>Sofia Reyes Alarcon</t>
  </si>
  <si>
    <t>Nmaria Paz Gomez</t>
  </si>
  <si>
    <t>Memo</t>
  </si>
  <si>
    <t>Proyectos de Arrastre</t>
  </si>
  <si>
    <t>TIPO PAC</t>
  </si>
  <si>
    <t>Proyectos</t>
  </si>
  <si>
    <t>Departamento</t>
  </si>
  <si>
    <t>Subdirección</t>
  </si>
  <si>
    <t>DEPARTAMENTO DE TECNOLOGIAS DE LA INFORMACION Y COMUNICACION</t>
  </si>
  <si>
    <t>PRAIS</t>
  </si>
  <si>
    <t>DEPARTAMENTO DE FORMACION Y CAPACITACION</t>
  </si>
  <si>
    <t>DEPARTAMENTO DE SALUD MENTAL</t>
  </si>
  <si>
    <t>DEPARTAMENTO ARTICULACION DE LA RED ASISTENCIAL</t>
  </si>
  <si>
    <t>DEPARTAMENTO ATENCION PRIMARIA</t>
  </si>
  <si>
    <t>NEWEN</t>
  </si>
  <si>
    <t>SUB. DPTO. DE PREVENCION DE RIESGOS, SALUD OCUPACIONAL Y GESTION AMBIENTAL.</t>
  </si>
  <si>
    <t>CDR KUMELEN</t>
  </si>
  <si>
    <t>SUB. DPTO. GESTION DEL RIESGO EN EMERGENCIAS, DESASTRES Y TELECOMUNICACIONES</t>
  </si>
  <si>
    <t>SUBDIRECCION DE GESTION Y DESARROLLO DE LAS PERSONAS</t>
  </si>
  <si>
    <t>UNIDAD DE CUIDADOS INFANTILES</t>
  </si>
  <si>
    <t>DIRECTOR</t>
  </si>
  <si>
    <t>UNIDAD SAFU</t>
  </si>
  <si>
    <t>OFICINA DE PARTES</t>
  </si>
  <si>
    <t>DEPARTAMENTO DE PARTICIPACION CIUDADANA, SATISFACCION USUARIA Y SALUD PUEBLOS OR</t>
  </si>
  <si>
    <t>DEPARTAMENTO DE OBRAS Y GESTION FINANCIERA DE INVERSIONES</t>
  </si>
  <si>
    <t>SUBDIRECCION DE GESTION ASISTENCIAL</t>
  </si>
  <si>
    <t>SECCION DE MANTENIMIENTO DE VEHICULOS</t>
  </si>
  <si>
    <t>SUB. DPTO. DE FARMACIA</t>
  </si>
  <si>
    <t>SUBDEPARTAMENTO DE EJECUCION DE OBRAS Y UNIDAD TECNICA</t>
  </si>
  <si>
    <t>UNIDAD DE RECLUTAMIENTO Y SELECCION</t>
  </si>
  <si>
    <t>DEPARTAMENTO DE DESARROLLO ORGANIZACIONAL</t>
  </si>
  <si>
    <t>SUB. DPTO. ESTUDIOS DE PRE INVERSION</t>
  </si>
  <si>
    <t>SECCION GESTION Y DESARROLLO LEY MEDICA</t>
  </si>
  <si>
    <t>DEPARTAMENTO DE GESTION DE LAS PERSONAS</t>
  </si>
  <si>
    <t>SUB. DPTO. DE MANTENCION DE EQUIPOS MEDICOS E INDUSTRIALES</t>
  </si>
  <si>
    <t>SUB. DPTO. DE ABASTECIMIENTO</t>
  </si>
  <si>
    <t>SUB. DPTO. DE INVERSIONES DE EQUIPOS Y EQUIPAMIENTO</t>
  </si>
  <si>
    <t>DEPARTAMENTO DE PROYECTOS</t>
  </si>
  <si>
    <t>DEPARTAMENTO DE PLANIFICACION Y ANALISIS</t>
  </si>
  <si>
    <t>UNIDAD DE INVENTARIO Y GESTION DE ACTIVO FIJO</t>
  </si>
  <si>
    <t>SECCION DE ADMINISTRACION INTERNA</t>
  </si>
  <si>
    <t>DEPARTAMENTO DE CALIDAD DE VIDA</t>
  </si>
  <si>
    <t>UNIDAD DE CICLO LABORAL</t>
  </si>
  <si>
    <t>SUB. DPTO. DE CULTURA Y CLIMA ORGANIZACIONAL</t>
  </si>
  <si>
    <t>AYEKAN</t>
  </si>
  <si>
    <t>CENTRO DE SALUD MENTAL COMUNITARIO COSAM RAHUE</t>
  </si>
  <si>
    <t>Departamento_SHORT</t>
  </si>
  <si>
    <t>SUBDIRECCION ADMINISTRATIVA</t>
  </si>
  <si>
    <t xml:space="preserve"> FORMACION Y CAPACITACION</t>
  </si>
  <si>
    <t xml:space="preserve"> SALUD MENTAL</t>
  </si>
  <si>
    <t xml:space="preserve"> ARTICULACION DE LA RED ASISTENCIAL</t>
  </si>
  <si>
    <t xml:space="preserve"> ATENCION PRIMARIA</t>
  </si>
  <si>
    <t xml:space="preserve"> CALIDAD DE VIDA</t>
  </si>
  <si>
    <t>DIRECCIÓN</t>
  </si>
  <si>
    <t>SUBDIRECCION GESTION Y DESARROLLO DE LAS PERSONAS</t>
  </si>
  <si>
    <t>SUB. DPTO. DE TRANSPARENCIA, GESTION DOCUMENTAL Y LOBBY</t>
  </si>
  <si>
    <t>PARTICIPACION CIUDADANA, SATISFACCION USUARIA Y SALUD PUEBLOS OR</t>
  </si>
  <si>
    <t xml:space="preserve"> OBRAS Y GESTIÓN FINANCIERA DE INVERSIONES</t>
  </si>
  <si>
    <t>SUBDIRECCION GESTION ASISTENCIAL</t>
  </si>
  <si>
    <t xml:space="preserve"> ABASTECIMIENTO Y OPERACIONES</t>
  </si>
  <si>
    <t xml:space="preserve"> DESARROLLO ORGANIZACIONAL</t>
  </si>
  <si>
    <t xml:space="preserve"> PROYECTOS</t>
  </si>
  <si>
    <t xml:space="preserve"> GESTION DE LAS PERSONAS</t>
  </si>
  <si>
    <t>INGENIERIA CLINICA</t>
  </si>
  <si>
    <t>PLANIFICACION Y ANALISIS</t>
  </si>
  <si>
    <t xml:space="preserve"> FINANZAS</t>
  </si>
  <si>
    <t>CENTRO DE SALUD MENTAL COMUNITARIO COSAM ORIENTE</t>
  </si>
  <si>
    <t>SAMU - SERVICIO DE ATENCION MEDICO DE URGENCIAS</t>
  </si>
  <si>
    <t>SAMU</t>
  </si>
  <si>
    <t>DEPARTAMENTO DE ABASTECIMIENTO Y OPERACIONES</t>
  </si>
  <si>
    <t>COMUNIDAD TERAPEUTICA PEULLA</t>
  </si>
  <si>
    <t>TIC</t>
  </si>
  <si>
    <t>CANT OC</t>
  </si>
  <si>
    <t>FECHA OC</t>
  </si>
  <si>
    <t>Ejecución</t>
  </si>
  <si>
    <t>No Ejecutado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</si>
</sst>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 &quot;$&quot;* #,##0_ ;_ &quot;$&quot;* \-#,##0_ ;_ &quot;$&quot;* &quot;-&quot;_ ;_ @_ "/>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ptos Narrow"/>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3" tint="0.74999237037263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002060"/>
        <bgColor indexed="64"/>
      </patternFill>
    </fill>
    <fill>
      <patternFill patternType="solid">
        <fgColor theme="7"/>
        <bgColor theme="7"/>
      </patternFill>
    </fill>
    <fill>
      <patternFill patternType="solid">
        <fgColor theme="7" tint="0.79998168889431442"/>
        <bgColor theme="7" tint="0.79998168889431442"/>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theme="7" tint="-0.249977111117893"/>
      </top>
      <bottom/>
      <diagonal/>
    </border>
    <border>
      <left/>
      <right/>
      <top style="thin">
        <color theme="7" tint="0.39997558519241921"/>
      </top>
      <bottom style="thin">
        <color theme="7" tint="0.39997558519241921"/>
      </bottom>
      <diagonal/>
    </border>
    <border>
      <left style="thin">
        <color theme="7" tint="0.39997558519241921"/>
      </left>
      <right style="thin">
        <color theme="7" tint="0.39997558519241921"/>
      </right>
      <top style="thin">
        <color theme="7" tint="0.39997558519241921"/>
      </top>
      <bottom style="thin">
        <color theme="7" tint="0.39997558519241921"/>
      </bottom>
      <diagonal/>
    </border>
    <border>
      <left style="thin">
        <color theme="7" tint="0.39997558519241921"/>
      </left>
      <right style="thin">
        <color theme="7" tint="0.39997558519241921"/>
      </right>
      <top/>
      <bottom/>
      <diagonal/>
    </border>
    <border>
      <left style="thin">
        <color rgb="FF00B0F0"/>
      </left>
      <right style="thin">
        <color rgb="FF00B0F0"/>
      </right>
      <top style="thin">
        <color rgb="FF00B0F0"/>
      </top>
      <bottom style="thin">
        <color rgb="FF00B0F0"/>
      </bottom>
      <diagonal/>
    </border>
    <border>
      <left style="thin">
        <color rgb="FF00B0F0"/>
      </left>
      <right style="thin">
        <color rgb="FF00B0F0"/>
      </right>
      <top/>
      <bottom style="thin">
        <color rgb="FF00B0F0"/>
      </bottom>
      <diagonal/>
    </border>
    <border>
      <left style="thin">
        <color theme="7" tint="0.39997558519241921"/>
      </left>
      <right style="thin">
        <color rgb="FF00B0F0"/>
      </right>
      <top style="thin">
        <color theme="7" tint="0.39997558519241921"/>
      </top>
      <bottom style="thin">
        <color theme="7" tint="0.39997558519241921"/>
      </bottom>
      <diagonal/>
    </border>
    <border>
      <left/>
      <right/>
      <top style="thin">
        <color theme="7" tint="0.39997558519241921"/>
      </top>
      <bottom style="thin">
        <color rgb="FF00B0F0"/>
      </bottom>
      <diagonal/>
    </border>
    <border>
      <left/>
      <right/>
      <top/>
      <bottom style="thin">
        <color theme="7" tint="0.39997558519241921"/>
      </bottom>
      <diagonal/>
    </border>
    <border>
      <left style="thin">
        <color indexed="64"/>
      </left>
      <right style="thin">
        <color indexed="64"/>
      </right>
      <top style="thin">
        <color indexed="64"/>
      </top>
      <bottom style="thin">
        <color indexed="64"/>
      </bottom>
      <diagonal/>
    </border>
  </borders>
  <cellStyleXfs count="43">
    <xf numFmtId="0" fontId="0" fillId="0" borderId="0"/>
    <xf numFmtId="42"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0">
    <xf numFmtId="0" fontId="0" fillId="0" borderId="0" xfId="0"/>
    <xf numFmtId="14" fontId="0" fillId="0" borderId="0" xfId="0" applyNumberFormat="1"/>
    <xf numFmtId="42" fontId="0" fillId="0" borderId="0" xfId="1" applyFont="1"/>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16" fillId="0" borderId="0" xfId="0" applyFont="1"/>
    <xf numFmtId="42" fontId="0" fillId="0" borderId="0" xfId="0" applyNumberFormat="1"/>
    <xf numFmtId="0" fontId="17" fillId="41" borderId="0" xfId="0" applyFont="1" applyFill="1"/>
    <xf numFmtId="0" fontId="16" fillId="0" borderId="11" xfId="0" applyFont="1" applyBorder="1"/>
    <xf numFmtId="0" fontId="0" fillId="0" borderId="11" xfId="0" applyBorder="1"/>
    <xf numFmtId="0" fontId="13" fillId="42" borderId="10" xfId="0" applyFont="1" applyFill="1" applyBorder="1"/>
    <xf numFmtId="0" fontId="13" fillId="42" borderId="10" xfId="0" applyFont="1" applyFill="1" applyBorder="1" applyAlignment="1">
      <alignment horizontal="center"/>
    </xf>
    <xf numFmtId="0" fontId="16" fillId="43" borderId="11" xfId="0" applyFont="1" applyFill="1" applyBorder="1" applyAlignment="1">
      <alignment horizontal="center"/>
    </xf>
    <xf numFmtId="0" fontId="16" fillId="43" borderId="0" xfId="0" applyFont="1" applyFill="1" applyAlignment="1">
      <alignment horizontal="center"/>
    </xf>
    <xf numFmtId="0" fontId="16" fillId="0" borderId="11" xfId="0" applyFont="1" applyBorder="1" applyAlignment="1">
      <alignment horizontal="center"/>
    </xf>
    <xf numFmtId="0" fontId="16" fillId="0" borderId="0" xfId="0" applyFont="1" applyAlignment="1">
      <alignment horizontal="center"/>
    </xf>
    <xf numFmtId="0" fontId="13" fillId="42" borderId="10" xfId="0" applyFont="1" applyFill="1" applyBorder="1" applyAlignment="1">
      <alignment horizontal="left" indent="1"/>
    </xf>
    <xf numFmtId="0" fontId="0" fillId="0" borderId="11" xfId="0" applyBorder="1" applyAlignment="1">
      <alignment horizontal="left" indent="1"/>
    </xf>
    <xf numFmtId="17" fontId="16" fillId="0" borderId="15" xfId="0" applyNumberFormat="1" applyFont="1" applyBorder="1" applyAlignment="1">
      <alignment horizontal="center"/>
    </xf>
    <xf numFmtId="0" fontId="0" fillId="0" borderId="16" xfId="0" applyBorder="1" applyAlignment="1">
      <alignment horizontal="left" indent="1"/>
    </xf>
    <xf numFmtId="0" fontId="16" fillId="0" borderId="18" xfId="0" applyFont="1" applyBorder="1"/>
    <xf numFmtId="0" fontId="16" fillId="0" borderId="17" xfId="0" applyFont="1" applyBorder="1"/>
    <xf numFmtId="42" fontId="13" fillId="42" borderId="10" xfId="1" applyFont="1" applyFill="1" applyBorder="1"/>
    <xf numFmtId="0" fontId="13" fillId="42" borderId="10" xfId="0" applyFont="1" applyFill="1" applyBorder="1" applyAlignment="1">
      <alignment horizontal="left" indent="2"/>
    </xf>
    <xf numFmtId="0" fontId="16" fillId="0" borderId="11" xfId="0" applyFont="1" applyBorder="1" applyAlignment="1">
      <alignment horizontal="left" indent="2"/>
    </xf>
    <xf numFmtId="0" fontId="16" fillId="0" borderId="0" xfId="0" applyFont="1" applyAlignment="1">
      <alignment horizontal="left" indent="2"/>
    </xf>
    <xf numFmtId="0" fontId="13" fillId="42" borderId="10" xfId="0" applyFont="1" applyFill="1" applyBorder="1" applyAlignment="1">
      <alignment horizontal="left" indent="3"/>
    </xf>
    <xf numFmtId="0" fontId="16" fillId="0" borderId="11" xfId="0" applyFont="1" applyBorder="1" applyAlignment="1">
      <alignment horizontal="left" indent="3"/>
    </xf>
    <xf numFmtId="0" fontId="16" fillId="0" borderId="0" xfId="0" applyFont="1" applyAlignment="1">
      <alignment horizontal="left" indent="3"/>
    </xf>
    <xf numFmtId="42" fontId="0" fillId="0" borderId="12" xfId="1" applyFont="1" applyBorder="1"/>
    <xf numFmtId="42" fontId="0" fillId="0" borderId="13" xfId="1" applyFont="1" applyBorder="1"/>
    <xf numFmtId="42" fontId="17" fillId="41" borderId="0" xfId="1" applyFont="1" applyFill="1"/>
    <xf numFmtId="0" fontId="16" fillId="0" borderId="14" xfId="0" applyFont="1" applyBorder="1" applyAlignment="1">
      <alignment horizontal="center" vertical="center"/>
    </xf>
    <xf numFmtId="42" fontId="16" fillId="0" borderId="14" xfId="1" applyFont="1" applyBorder="1" applyAlignment="1">
      <alignment horizontal="center" vertical="center"/>
    </xf>
    <xf numFmtId="0" fontId="0" fillId="0" borderId="14" xfId="0" applyBorder="1"/>
    <xf numFmtId="0" fontId="0" fillId="0" borderId="14" xfId="0" applyBorder="1" applyAlignment="1">
      <alignment horizontal="center"/>
    </xf>
    <xf numFmtId="42" fontId="0" fillId="0" borderId="14" xfId="1" applyFont="1" applyBorder="1" applyAlignment="1"/>
    <xf numFmtId="42" fontId="0" fillId="33" borderId="14" xfId="1" applyFont="1" applyFill="1" applyBorder="1" applyAlignment="1"/>
    <xf numFmtId="14" fontId="0" fillId="0" borderId="14" xfId="0" applyNumberFormat="1" applyBorder="1"/>
    <xf numFmtId="42" fontId="0" fillId="34" borderId="14" xfId="1" applyFont="1" applyFill="1" applyBorder="1" applyAlignment="1"/>
    <xf numFmtId="42" fontId="0" fillId="35" borderId="14" xfId="1" applyFont="1" applyFill="1" applyBorder="1" applyAlignment="1"/>
    <xf numFmtId="42" fontId="0" fillId="36" borderId="14" xfId="1" applyFont="1" applyFill="1" applyBorder="1" applyAlignment="1"/>
    <xf numFmtId="42" fontId="0" fillId="37" borderId="14" xfId="1" applyFont="1" applyFill="1" applyBorder="1" applyAlignment="1"/>
    <xf numFmtId="42" fontId="0" fillId="38" borderId="14" xfId="1" applyFont="1" applyFill="1" applyBorder="1" applyAlignment="1"/>
    <xf numFmtId="42" fontId="0" fillId="39" borderId="14" xfId="1" applyFont="1" applyFill="1" applyBorder="1" applyAlignment="1"/>
    <xf numFmtId="42" fontId="0" fillId="40" borderId="14" xfId="1" applyFont="1" applyFill="1" applyBorder="1" applyAlignment="1"/>
    <xf numFmtId="42" fontId="0" fillId="0" borderId="0" xfId="0" applyNumberFormat="1" applyAlignment="1">
      <alignment horizontal="center"/>
    </xf>
    <xf numFmtId="0" fontId="0" fillId="33" borderId="0" xfId="0" applyFill="1"/>
    <xf numFmtId="0" fontId="16" fillId="43" borderId="11" xfId="0" applyFont="1" applyFill="1" applyBorder="1"/>
    <xf numFmtId="0" fontId="16" fillId="43" borderId="0" xfId="0" applyFont="1" applyFill="1"/>
    <xf numFmtId="0" fontId="13" fillId="42" borderId="0" xfId="0" applyFont="1" applyFill="1" applyAlignment="1">
      <alignment horizontal="center"/>
    </xf>
    <xf numFmtId="0" fontId="0" fillId="0" borderId="19" xfId="0" applyBorder="1" applyAlignment="1">
      <alignment horizontal="center"/>
    </xf>
    <xf numFmtId="0" fontId="18" fillId="0" borderId="0" xfId="0" applyFont="1" applyAlignment="1">
      <alignment horizontal="center"/>
    </xf>
    <xf numFmtId="42" fontId="0" fillId="0" borderId="12" xfId="0" applyNumberFormat="1" applyBorder="1"/>
    <xf numFmtId="42" fontId="0" fillId="0" borderId="13" xfId="0" applyNumberFormat="1" applyBorder="1"/>
    <xf numFmtId="14" fontId="0" fillId="0" borderId="11" xfId="0" applyNumberFormat="1" applyBorder="1"/>
    <xf numFmtId="14" fontId="16" fillId="0" borderId="11" xfId="0" applyNumberFormat="1" applyFont="1" applyBorder="1"/>
    <xf numFmtId="14" fontId="16" fillId="0" borderId="0" xfId="0" applyNumberFormat="1" applyFont="1"/>
  </cellXfs>
  <cellStyles count="43">
    <cellStyle name="20% - Énfasis1" xfId="20" builtinId="30" customBuiltin="1"/>
    <cellStyle name="20% - Énfasis2" xfId="24" builtinId="34" customBuiltin="1"/>
    <cellStyle name="20% - Énfasis3" xfId="28" builtinId="38" customBuiltin="1"/>
    <cellStyle name="20% - Énfasis4" xfId="32" builtinId="42" customBuiltin="1"/>
    <cellStyle name="20% - Énfasis5" xfId="36" builtinId="46" customBuiltin="1"/>
    <cellStyle name="20% - Énfasis6" xfId="40" builtinId="50" customBuiltin="1"/>
    <cellStyle name="40% - Énfasis1" xfId="21" builtinId="31" customBuiltin="1"/>
    <cellStyle name="40% - Énfasis2" xfId="25" builtinId="35" customBuiltin="1"/>
    <cellStyle name="40% - Énfasis3" xfId="29" builtinId="39" customBuiltin="1"/>
    <cellStyle name="40% - Énfasis4" xfId="33" builtinId="43" customBuiltin="1"/>
    <cellStyle name="40% - Énfasis5" xfId="37" builtinId="47" customBuiltin="1"/>
    <cellStyle name="40% - Énfasis6" xfId="41" builtinId="51" customBuiltin="1"/>
    <cellStyle name="60% - Énfasis1" xfId="22" builtinId="32" customBuiltin="1"/>
    <cellStyle name="60% - Énfasis2" xfId="26" builtinId="36" customBuiltin="1"/>
    <cellStyle name="60% - Énfasis3" xfId="30" builtinId="40" customBuiltin="1"/>
    <cellStyle name="60% - Énfasis4" xfId="34" builtinId="44" customBuiltin="1"/>
    <cellStyle name="60% - Énfasis5" xfId="38" builtinId="48" customBuiltin="1"/>
    <cellStyle name="60% - Énfasis6" xfId="42" builtinId="52" customBuiltin="1"/>
    <cellStyle name="Bueno" xfId="7" builtinId="26" customBuiltin="1"/>
    <cellStyle name="Cálculo" xfId="12" builtinId="22" customBuiltin="1"/>
    <cellStyle name="Celda de comprobación" xfId="14" builtinId="23" customBuiltin="1"/>
    <cellStyle name="Celda vinculada" xfId="13" builtinId="24" customBuiltin="1"/>
    <cellStyle name="Encabezado 1" xfId="3" builtinId="16" customBuiltin="1"/>
    <cellStyle name="Encabezado 4" xfId="6" builtinId="19" customBuiltin="1"/>
    <cellStyle name="Énfasis1" xfId="19" builtinId="29" customBuiltin="1"/>
    <cellStyle name="Énfasis2" xfId="23" builtinId="33" customBuiltin="1"/>
    <cellStyle name="Énfasis3" xfId="27" builtinId="37" customBuiltin="1"/>
    <cellStyle name="Énfasis4" xfId="31" builtinId="41" customBuiltin="1"/>
    <cellStyle name="Énfasis5" xfId="35" builtinId="45" customBuiltin="1"/>
    <cellStyle name="Énfasis6" xfId="39" builtinId="49" customBuiltin="1"/>
    <cellStyle name="Entrada" xfId="10" builtinId="20" customBuiltin="1"/>
    <cellStyle name="Incorrecto" xfId="8" builtinId="27" customBuiltin="1"/>
    <cellStyle name="Moneda [0]" xfId="1" builtinId="7"/>
    <cellStyle name="Neutral" xfId="9" builtinId="28" customBuiltin="1"/>
    <cellStyle name="Normal" xfId="0" builtinId="0"/>
    <cellStyle name="Notas" xfId="16" builtinId="10" customBuiltin="1"/>
    <cellStyle name="Salida" xfId="11" builtinId="21" customBuiltin="1"/>
    <cellStyle name="Texto de advertencia" xfId="15" builtinId="11" customBuiltin="1"/>
    <cellStyle name="Texto explicativo" xfId="17" builtinId="53" customBuiltin="1"/>
    <cellStyle name="Título" xfId="2" builtinId="15" customBuiltin="1"/>
    <cellStyle name="Título 2" xfId="4" builtinId="17" customBuiltin="1"/>
    <cellStyle name="Título 3" xfId="5" builtinId="18" customBuiltin="1"/>
    <cellStyle name="Total" xfId="18" builtinId="25" customBuiltin="1"/>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6024.51979027778" createdVersion="8" refreshedVersion="8" minRefreshableVersion="3" recordCount="1359" xr:uid="{849583A9-8D38-4B99-8E77-5EA562498EBE}">
  <cacheSource type="worksheet">
    <worksheetSource ref="A1:AC1360" sheet="ListadoProyectos (10)"/>
  </cacheSource>
  <cacheFields count="31">
    <cacheField name="Organismo" numFmtId="0">
      <sharedItems/>
    </cacheField>
    <cacheField name="Unidad de Compra" numFmtId="0">
      <sharedItems count="6">
        <s v="Bienes y Servicios"/>
        <s v="Administración de Fondos"/>
        <s v="Bienestar"/>
        <s v="Compras Convenio GORE Region de Los Lagos"/>
        <s v="Activos Fijos"/>
        <s v="Obras Civiles"/>
      </sharedItems>
    </cacheField>
    <cacheField name="ID Proyecto" numFmtId="0">
      <sharedItems count="393">
        <s v="1057532-156-PC24"/>
        <s v="1057532-163-PC24"/>
        <s v="1057532-1-PC24"/>
        <s v="1057532-30-PC24"/>
        <s v="1057532-308-PC24"/>
        <s v="1057532-311-PC24"/>
        <s v="1057532-315-PC24"/>
        <s v="1057532-320-PC24"/>
        <s v="1057532-321-PC24"/>
        <s v="1057532-322-PC24"/>
        <s v="1057532-328-PC24"/>
        <s v="1057532-331-PC24"/>
        <s v="1057532-333-PC24"/>
        <s v="1057532-356-PC24"/>
        <s v="1057532-193-PC25"/>
        <s v="1057532-195-PC25"/>
        <s v="1057532-196-PC25"/>
        <s v="1057532-209-PC25"/>
        <s v="1057532-210-PC25"/>
        <s v="1057532-211-PC25"/>
        <s v="1057532-66-PC25"/>
        <s v="1057532-162-PC25"/>
        <s v="1057532-172-PC25"/>
        <s v="1057532-173-PC25"/>
        <s v="1057532-373-PC25"/>
        <s v="1057532-374-PC25"/>
        <s v="1057532-375-PC25"/>
        <s v="1057532-376-PC25"/>
        <s v="1057532-377-PC25"/>
        <s v="1057532-378-PC25"/>
        <s v="1077241-51-PC25"/>
        <s v="1057532-379-PC25"/>
        <s v="1057532-380-PC25"/>
        <s v="1057532-381-PC25"/>
        <s v="1057532-382-PC25"/>
        <s v="1057532-383-PC25"/>
        <s v="1057532-384-PC25"/>
        <s v="1057532-385-PC25"/>
        <s v="1057532-386-PC25"/>
        <s v="1057532-389-PC25"/>
        <s v="1057532-390-PC25"/>
        <s v="1057532-391-PC25"/>
        <s v="1057532-392-PC25"/>
        <s v="1057532-393-PC25"/>
        <s v="1077241-52-PC25"/>
        <s v="1057532-394-PC25"/>
        <s v="1057532-395-PC25"/>
        <s v="1057532-396-PC25"/>
        <s v="1057532-397-PC25"/>
        <s v="1057532-398-PC25"/>
        <s v="1057532-399-PC25"/>
        <s v="1057532-400-PC25"/>
        <s v="1057532-401-PC25"/>
        <s v="1057532-402-PC25"/>
        <s v="1077241-53-PC25"/>
        <s v="1057532-403-PC25"/>
        <s v="1057532-404-PC25"/>
        <s v="1057532-405-PC25"/>
        <s v="1057532-419-PC25"/>
        <s v="1057727-2-PC26"/>
        <s v="1077241-61-PC26"/>
        <s v="1180747-5-PC26"/>
        <s v="1077241-62-PC26"/>
        <s v="1077241-63-PC26"/>
        <s v="1057532-281-PC26"/>
        <s v="1057532-282-PC26"/>
        <s v="1057532-283-PC26"/>
        <s v="1057532-284-PC26"/>
        <s v="1057532-285-PC26"/>
        <s v="1057532-286-PC26"/>
        <s v="1057532-287-PC26"/>
        <s v="1057532-288-PC26"/>
        <s v="1057532-317-PC26"/>
        <s v="1057532-320-PC26"/>
        <s v="1057532-321-PC26"/>
        <s v="1057532-322-PC26"/>
        <s v="1057532-323-PC26"/>
        <s v="1077241-64-PC26"/>
        <s v="1057532-324-PC26"/>
        <s v="1077241-65-PC26"/>
        <s v="1057532-325-PC26"/>
        <s v="1077241-66-PC26"/>
        <s v="1077241-67-PC26"/>
        <s v="1057532-326-PC26"/>
        <s v="1077241-68-PC26"/>
        <s v="1057532-327-PC26"/>
        <s v="1057532-328-PC26"/>
        <s v="1057532-329-PC26"/>
        <s v="1057532-330-PC26"/>
        <s v="1057532-331-PC26"/>
        <s v="1077241-69-PC26"/>
        <s v="1077241-70-PC26"/>
        <s v="1057532-332-PC26"/>
        <s v="1077241-71-PC26"/>
        <s v="1077241-74-PC26"/>
        <s v="1057532-333-PC26"/>
        <s v="1077241-75-PC26"/>
        <s v="1057532-334-PC26"/>
        <s v="1077241-76-PC26"/>
        <s v="1057532-335-PC26"/>
        <s v="1077241-77-PC26"/>
        <s v="1077241-78-PC26"/>
        <s v="1180747-6-PC26"/>
        <s v="1180747-7-PC26"/>
        <s v="1057532-336-PC26"/>
        <s v="1057532-337-PC26"/>
        <s v="1077241-81-PC26"/>
        <s v="1057532-338-PC26"/>
        <s v="1057532-339-PC26"/>
        <s v="1057532-340-PC26"/>
        <s v="1077241-82-PC26"/>
        <s v="1077241-83-PC26"/>
        <s v="1077241-84-PC26"/>
        <s v="1077241-85-PC26"/>
        <s v="1057532-342-PC26"/>
        <s v="1057532-345-PC26"/>
        <s v="1057532-347-PC26"/>
        <s v="1057532-348-PC26"/>
        <s v="1057532-349-PC26"/>
        <s v="1057532-350-PC26"/>
        <s v="1057532-351-PC26"/>
        <s v="1057532-352-PC26"/>
        <s v="1057532-353-PC26"/>
        <s v="1077241-86-PC26"/>
        <s v="1077241-87-PC26"/>
        <s v="1057532-354-PC26"/>
        <s v="1077241-88-PC26"/>
        <s v="1057532-355-PC26"/>
        <s v="1057532-356-PC26"/>
        <s v="1057532-357-PC26"/>
        <s v="1057532-358-PC26"/>
        <s v="1057532-359-PC26"/>
        <s v="1057532-360-PC26"/>
        <s v="1057532-361-PC26"/>
        <s v="1057532-362-PC26"/>
        <s v="1057532-363-PC26"/>
        <s v="1057532-364-PC26"/>
        <s v="1057532-366-PC26"/>
        <s v="1057532-367-PC26"/>
        <s v="1057532-368-PC26"/>
        <s v="1057532-369-PC26"/>
        <s v="1057532-370-PC26"/>
        <s v="1057532-371-PC26"/>
        <s v="1057532-372-PC26"/>
        <s v="1057532-373-PC26"/>
        <s v="1057532-374-PC26"/>
        <s v="1057532-375-PC26"/>
        <s v="1057532-376-PC26"/>
        <s v="1057532-377-PC26"/>
        <s v="1057532-378-PC26"/>
        <s v="1077241-89-PC26"/>
        <s v="1057532-379-PC26"/>
        <s v="1057532-380-PC26"/>
        <s v="1057532-381-PC26"/>
        <s v="1077241-90-PC26"/>
        <s v="1077241-91-PC26"/>
        <s v="1057532-383-PC26"/>
        <s v="1057532-384-PC26"/>
        <s v="1077241-92-PC26"/>
        <s v="1057532-385-PC26"/>
        <s v="1057532-386-PC26"/>
        <s v="1057532-387-PC26"/>
        <s v="1057532-388-PC26"/>
        <s v="1057532-389-PC26"/>
        <s v="1057532-390-PC26"/>
        <s v="1057532-391-PC26"/>
        <s v="1057532-392-PC26"/>
        <s v="1057532-393-PC26"/>
        <s v="1057532-394-PC26"/>
        <s v="1057532-395-PC26"/>
        <s v="1057532-396-PC26"/>
        <s v="1057532-397-PC26"/>
        <s v="1057532-398-PC26"/>
        <s v="1057532-399-PC26"/>
        <s v="1077241-93-PC26"/>
        <s v="1077241-95-PC26"/>
        <s v="1057532-400-PC26"/>
        <s v="1057532-402-PC26"/>
        <s v="1077241-96-PC26"/>
        <s v="1057532-403-PC26"/>
        <s v="1057532-404-PC26"/>
        <s v="1057532-405-PC26"/>
        <s v="1077241-97-PC26"/>
        <s v="1180747-8-PC26"/>
        <s v="1180747-9-PC26"/>
        <s v="1057532-410-PC26"/>
        <s v="1057532-412-PC26"/>
        <s v="1057532-415-PC26"/>
        <s v="1057532-416-PC26"/>
        <s v="1057532-418-PC26"/>
        <s v="1057532-421-PC26"/>
        <s v="1057922-5-PC26"/>
        <s v="1057532-422-PC26"/>
        <s v="1057532-423-PC26"/>
        <s v="1057532-424-PC26"/>
        <s v="1077241-99-PC26"/>
        <s v="1057532-425-PC26"/>
        <s v="1180747-10-PC26"/>
        <s v="1180747-11-PC26"/>
        <s v="1180747-12-PC26"/>
        <s v="1057922-6-PC26"/>
        <s v="1057922-7-PC26"/>
        <s v="1057976-2-PC26"/>
        <s v="1057976-3-PC26"/>
        <s v="1057976-4-PC26"/>
        <s v="1057976-5-PC26"/>
        <s v="1057976-6-PC26"/>
        <s v="1057976-7-PC26"/>
        <s v="1057976-8-PC26"/>
        <s v="1057976-9-PC26"/>
        <s v="1057976-10-PC26"/>
        <s v="1057532-426-PC26"/>
        <s v="1057922-8-PC26"/>
        <s v="1057922-9-PC26"/>
        <s v="1180747-13-PC26"/>
        <s v="1180747-14-PC26"/>
        <s v="1180747-15-PC26"/>
        <s v="1180747-16-PC26"/>
        <s v="1180747-17-PC26"/>
        <s v="1057922-10-PC26"/>
        <s v="1057976-11-PC26"/>
        <s v="1057976-12-PC26"/>
        <s v="1057976-13-PC26"/>
        <s v="1180747-18-PC26"/>
        <s v="1057922-11-PC26"/>
        <s v="1057922-12-PC26"/>
        <s v="1057976-14-PC26"/>
        <s v="1057922-13-PC26"/>
        <s v="1057532-427-PC26"/>
        <s v="1057922-14-PC26"/>
        <s v="1180747-19-PC26"/>
        <s v="1057532-428-PC26"/>
        <s v="1057532-429-PC26"/>
        <s v="1057532-430-PC26"/>
        <s v="1057532-431-PC26"/>
        <s v="1057532-432-PC26"/>
        <s v="1057532-433-PC26"/>
        <s v="1057532-434-PC26"/>
        <s v="1057532-435-PC26"/>
        <s v="1057532-436-PC26"/>
        <s v="1057532-437-PC26"/>
        <s v="1057532-438-PC26"/>
        <s v="1057532-439-PC26"/>
        <s v="1057532-443-PC26"/>
        <s v="1057532-444-PC26"/>
        <s v="1057922-15-PC26"/>
        <s v="1057532-445-PC26"/>
        <s v="1057532-446-PC26"/>
        <s v="1057532-447-PC26"/>
        <s v="1057532-448-PC26"/>
        <s v="1057922-16-PC26"/>
        <s v="1057532-449-PC26"/>
        <s v="1057532-450-PC26"/>
        <s v="1057532-451-PC26"/>
        <s v="1057532-452-PC26"/>
        <s v="1057532-453-PC26"/>
        <s v="1057532-454-PC26"/>
        <s v="1057532-455-PC26"/>
        <s v="1057532-456-PC26"/>
        <s v="1057532-457-PC26"/>
        <s v="1057532-458-PC26"/>
        <s v="1057532-459-PC26"/>
        <s v="1057532-460-PC26"/>
        <s v="1057532-461-PC26"/>
        <s v="1057532-462-PC26"/>
        <s v="1057532-463-PC26"/>
        <s v="1057532-464-PC26"/>
        <s v="1057532-465-PC26"/>
        <s v="1057532-466-PC26"/>
        <s v="1077241-100-PC26"/>
        <s v="1057532-467-PC26"/>
        <s v="1057532-468-PC26"/>
        <s v="1077241-101-PC26"/>
        <s v="1057532-469-PC26"/>
        <s v="1057532-470-PC26"/>
        <s v="1057532-471-PC26"/>
        <s v="1057532-472-PC26"/>
        <s v="1057922-17-PC26"/>
        <s v="1057532-473-PC26"/>
        <s v="1057532-474-PC26"/>
        <s v="1057532-475-PC26"/>
        <s v="1057532-476-PC26"/>
        <s v="1077241-102-PC26"/>
        <s v="1077241-103-PC26"/>
        <s v="1077241-104-PC26"/>
        <s v="1077241-105-PC26"/>
        <s v="1057532-477-PC26"/>
        <s v="1057922-18-PC26"/>
        <s v="1057532-478-PC26"/>
        <s v="1057532-479-PC26"/>
        <s v="1057532-480-PC26"/>
        <s v="1057532-481-PC26"/>
        <s v="1057532-482-PC26"/>
        <s v="1057532-483-PC26"/>
        <s v="1057532-484-PC26"/>
        <s v="1057532-485-PC26"/>
        <s v="1057532-486-PC26"/>
        <s v="1057532-487-PC26"/>
        <s v="1057532-488-PC26"/>
        <s v="1057532-489-PC26"/>
        <s v="1057532-490-PC26"/>
        <s v="1057532-491-PC26"/>
        <s v="1057532-492-PC26"/>
        <s v="1057532-493-PC26"/>
        <s v="1057532-494-PC26"/>
        <s v="1057532-495-PC26"/>
        <s v="1057532-496-PC26"/>
        <s v="1057532-497-PC26"/>
        <s v="1057532-498-PC26"/>
        <s v="1057532-499-PC26"/>
        <s v="1057532-500-PC26"/>
        <s v="1057532-501-PC26"/>
        <s v="1057532-502-PC26"/>
        <s v="1057532-503-PC26"/>
        <s v="1057532-504-PC26"/>
        <s v="1057532-505-PC26"/>
        <s v="1057532-506-PC26"/>
        <s v="1057532-507-PC26"/>
        <s v="1057532-508-PC26"/>
        <s v="1057532-509-PC26"/>
        <s v="1057532-510-PC26"/>
        <s v="1057532-511-PC26"/>
        <s v="1057532-512-PC26"/>
        <s v="1180747-20-PC26"/>
        <s v="1057532-513-PC26"/>
        <s v="1057532-514-PC26"/>
        <s v="1057532-515-PC26"/>
        <s v="1057532-516-PC26"/>
        <s v="1057532-517-PC26"/>
        <s v="1057532-518-PC26"/>
        <s v="1057532-519-PC26"/>
        <s v="1057532-520-PC26"/>
        <s v="1057532-521-PC26"/>
        <s v="1057532-522-PC26"/>
        <s v="1057532-523-PC26"/>
        <s v="1057532-524-PC26"/>
        <s v="1057532-525-PC26"/>
        <s v="1057976-15-PC26"/>
        <s v="1057532-529-PC26"/>
        <s v="1057532-534-PC26"/>
        <s v="1057532-535-PC26"/>
        <s v="1057532-536-PC26"/>
        <s v="1057532-537-PC26"/>
        <s v="1057532-538-PC26"/>
        <s v="1057532-539-PC26"/>
        <s v="1057532-540-PC26"/>
        <s v="1057532-541-PC26"/>
        <s v="1057532-542-PC26"/>
        <s v="1057532-543-PC26"/>
        <s v="1057532-544-PC26"/>
        <s v="1057532-545-PC26"/>
        <s v="1077241-106-PC26"/>
        <s v="1057532-546-PC26"/>
        <s v="1057532-547-PC26"/>
        <s v="1057532-548-PC26"/>
        <s v="1057532-550-PC26"/>
        <s v="1057532-551-PC26"/>
        <s v="1057532-562-PC26"/>
        <s v="1057532-564-PC26"/>
        <s v="1057532-565-PC26"/>
        <s v="1057532-566-PC26"/>
        <s v="1057532-567-PC26"/>
        <s v="1057532-568-PC26"/>
        <s v="1077241-107-PC26"/>
        <s v="1057922-19-PC26"/>
        <s v="1057532-569-PC26"/>
        <s v="1057532-570-PC26"/>
        <s v="1057532-572-PC26"/>
        <s v="1057922-20-PC26"/>
        <s v="1057532-573-PC26"/>
        <s v="1057532-574-PC26"/>
        <s v="1057532-575-PC26"/>
        <s v="1077241-108-PC26"/>
        <s v="1057532-576-PC26"/>
        <s v="1077241-109-PC26"/>
        <s v="1057532-577-PC26"/>
        <s v="1057532-578-PC26"/>
        <s v="1057922-21-PC26"/>
        <s v="1057532-579-PC26"/>
        <s v="1077241-110-PC26"/>
        <s v="1057532-580-PC26"/>
        <s v="1057532-581-PC26"/>
        <s v="1057922-22-PC26"/>
        <s v="1057532-582-PC26"/>
        <s v="1057532-583-PC26"/>
        <s v="1057532-584-PC26"/>
        <s v="1077241-111-PC26"/>
        <s v="1057532-585-PC26"/>
        <s v="1057532-586-PC26"/>
        <s v="1057532-587-PC26"/>
        <s v="1057532-588-PC26"/>
        <s v="1077241-112-PC26"/>
        <s v="1057532-589-PC26"/>
      </sharedItems>
    </cacheField>
    <cacheField name="Tipo Proyecto" numFmtId="0">
      <sharedItems/>
    </cacheField>
    <cacheField name="Estado Proyecto" numFmtId="0">
      <sharedItems/>
    </cacheField>
    <cacheField name="Código presupuestario" numFmtId="0">
      <sharedItems containsMixedTypes="1" containsNumber="1" containsInteger="1" minValue="31" maxValue="2771"/>
    </cacheField>
    <cacheField name="Nombre Proyecto" numFmtId="0">
      <sharedItems count="385">
        <s v="servicios de control de asistencia del servicio de salud osorno"/>
        <s v="Servicio gestión flota vehicular SSO"/>
        <s v="Sistema control de flota vehicular del Servicio de Salud Osorno"/>
        <s v="SISTEMAS DE COMUNICACIONES LTE WAVE PTX SERVICIO DE SALUD OSORNO"/>
        <s v="Convenio - 3 cupos Residencia Protegida para el Servicio de Salud Osorno en la Región Metropolitana"/>
        <s v="Convenio - ( cupos Hogar Protegido Varones para el Servicio de Salud Osorno en la ciudad de Osorno"/>
        <s v="Convenio - 08 Cupos Hogar Protegido Mujeres para el Servicio de Salud Osorno en la ciudad de Osorno"/>
        <s v="Convenio - SERVICIOS DE MANTENCIÓN, RECARGA E INSPECCION PREVENTIVA PARA RED HÚMEDA Y EXTINTORES EN ESTABLECIMIENTOS SSO"/>
        <s v="Convenio - DE SERVICIOS DE MANTENCIÓN PREVENTIVA, CORRECTIVA Y/O REPARATIVA PARA VEHÍCULOS MERCEDES-BENZ DEL SSO Y HOSPITA"/>
        <s v="Convenio - SERVICIO DE MANEJO, RETIRO, TRANSPORTE Y DISPOSICIÓN FINAL DE RESIDUOS PELIGROSOS Y ESPECIALES"/>
        <s v="Convenio - BENEFICIO ALIMENTACION 2024"/>
        <s v="Convenio - Suministro de oxígeno medicinal para Red de Hospitales de mediana y baja complejidad y SAMU"/>
        <s v="Convenio - SOPORTE Y MANTENIMIENTO SISTEMA DE REPETICIÓN VHF SERVICIO DE SALUD OSORNO 2025-2026"/>
        <s v="Convenio servicio de guardias para la DSSO y sus establecimientos y dispositivos dependientes"/>
        <s v="Convenio - ARRIENDO 159 EQUIPOS PC AIO PARA APOYAR LOS PROCESOS CLINICOS Y ADMINISTRATIVOS"/>
        <s v="Convenio - ARRIENDO 159 EQUIPOS PC AIO PARA APOYAR LOS PORCESOS CLINICOS Y ADMINISTRATIVOS"/>
        <s v="Convenio - SERVICIO DE ASEO PARA LA DSSO (BASE SAMU, EDIFICIO PLAZA SUR Y EDIFICIO M. RODRIGUEZ) POR 18 MESES (DESDE 01 JULIO 2025)"/>
        <s v="Convenio - SERVICIO DE SOPORTE Y MANTENCION RPT VHF SSO (PERIODO DOS AÑOS)"/>
        <s v="Convenio - ADQUISICION DE 3 CUPOS DE RESIDENCIA PROTEGIDA PARA EL SERVICIO DE SALUD OSORNO EN LA PROVINCIA DE CONCEPCIÓN"/>
        <s v="Convenio - ADQUISICION DE 12 CUPOS DE RESIDENCIA PROTEGIDA PARA EL SERVICIO DE SALUD OSORNO EN LA CIUDAD DE OSORNO"/>
        <s v="Convenio - ADQUISICION DE 10 CUPOS RESIDENCIA PROTEGIDA DE ALTA COMPLEJIDAD PARA EL SERVICIO DE SALUD OSORNO DE LA CIUDAD DE OSORNO"/>
        <s v="Mantención de Equipos Médicos e Industriales"/>
        <s v="Convenio - de Suministro para adquisición de medicamentos faltantes CENABAST para establecimientos dependientes del SSO."/>
        <s v="Convenio - CONVENIO SERVICIO DE ASEO POR 18 MESES, PARA LA DIRECCION DEL SSO Y ESTABLECIMIENTOS DEPENDIENTES DE LA RED ASISTENCIAL"/>
        <s v="Convenio - CONVENIO DE ADQUISICION DE KIT POINT OF CARE (POC) CON ARRIENDO DE EQUIPO PARA ANALISIS DE MUESTRAS, SSO"/>
        <s v="Convenio - Movilización para el traslado de usuarios y funcionarios CDR adulto mayor Kumelen año 2026"/>
        <s v="Convenio - Movilizacion para el traslado de funcionarios CDR Adulto Mayor KÜMELEN 2026"/>
        <s v="Convenio - ADQUISICION DE KIT POINT OF CARE (POC) CON ARRIENDO DE EQUIPO PARA ANALISIS DE MUESTRAS POR 12 MESES, SSO"/>
        <s v="Convenio - Pac PASAJES 2025-2026 DSSO"/>
        <s v="Convenio - ALIMENTOS CT PEULLA"/>
        <s v="Convenio - PAC Convenio Cafeteria DSSO"/>
        <s v="Convenio - Servicio movilización COSAM Rahue periodo 2026. (Financiamiento a través de fondo extrapresupuestario SENDA PAI)"/>
        <s v="Convenio - SERVICIO DE MOVILIZACION PARA EL AÑO 2026"/>
        <s v="Convenio - SERVICIO DE MOVILIZACION PARA EL AÑO 2026 Servicio movilización COSAM Rahue, Programa Atención Domiciliaria y PAZGA periodo 2026 (Financiamiento SSO)"/>
        <s v="Convenio - Servicio movilización UID Newen"/>
        <s v="Convenio - Movilización para el traslado de funcionarios y cuidadores Unidad de Memoria Ayekan año 2026"/>
        <s v="Convenio Movil CT Peulla"/>
        <s v="Convenio - Servicio de arriendo (comodato) e informes de teleelectrocardiografía para población bajo control en PSCV."/>
        <s v="Convenio - CONVENIO PARA DESRATIZACION, SANITIZACION, DESINSECTACION PARA EL SERVICIO DE SALUD OSORNO"/>
        <s v="Convenio - Adquisición de kit toma de muestra para Virus Papiloma Humano"/>
        <s v="Convenio - Servicio de Alimentación para usuarios CDR adulto Mayor Kumelen 2026"/>
        <s v="Convenio - CALEFACCION GASTOS PARA AMBULATORIO Y REDIDENCIAL - CT PEULLA"/>
        <s v="Convenio - Arriendo 159 PC Computacionales para establecimientos dependientes de la Dirección de Servicio de Salud Osorno"/>
        <s v="Convenio - Servicio de Sala Cuna, para el año 2026 de enero a diciembre, se requiere compra de 40 cupos para hijos/as de madres fun"/>
        <s v="Convenio - Servicio DIAS PROGRAMA DE REHABILITACIÓN TIPO II Desde el 01/01/2026 hasta el 31/12/2026."/>
        <s v="Convenio - ADQUISICION AYUDAS TECNICAS. CONVENIO SUMINISTRO AÑO 2026"/>
        <s v="Convenio - 8 CUPOS HOGAR PROTEGIDO HOMBRES PARA EL SERVICIO DE SALUD OSORNO, 12 MESES, ENERO A DICIEMBRE AÑO 2026."/>
        <s v="Convenio - ARTICULOS LIBRERIA AÑO 2025-2026 (Pedidos Mensuales)"/>
        <s v="Convenio - SUMINISTRO DE CHIP PARA CALDERAS DE HOSPITALES PÜ MÜLEN Y FÜTA SRÜKA LAWENCHE KUNKO MAPU, AÑO 2026-2027"/>
        <s v="Convenio - CONVENIO DE ARRIENDO DE AMBULANCIAS SAMU POR EL PERIODO COMPRENDIDO ENTRE SEPTIEMBRE 2025 A DICIEMBRE 2026"/>
        <s v="Convenio - MANTENCION Y OBRAS MENORES INFRAESTRUCTURA DE LOS ESTABLECIMIENTOS DEL SERVICIO DE SALUD OSORNO 2026"/>
        <s v="Convenio - Convenio de suministro de oxigenoterapia domiciliaria para pacientes del Programa Cuidados Paliativos Universales APS"/>
        <s v="Convenio - Convenio año 2026 Combustible calefacción para dispositivos del Servicio de Salud Osorno"/>
        <s v="Convenio - CONVENIO INSUMOS DE ASEO PARA DISPOSITIVOS DE LA RED AÑO 2026"/>
        <s v="Convenio - CONTRATACION DE SEGUROS GENERALES PARA VEHICULOS MOTORIZADOS PERTENECIENTES AL SERVICIO DE SALUD OSORNO 2026 - 2027"/>
        <s v="Convenio - Servicio de arriendo e informes de teleelectrocardiografía (sospecha IAM), para 13 establecimientos de urgencia de APS"/>
        <s v="Convenio - CONVENIO SERVICIOS DE MANTENCION PREVENTIVA, CORRECTIVA Y/O REPARATIVAS PARA LAS CONVERSIONES EN AMBULANCIAS Y VEHÍCULOS"/>
        <s v="Convenio - SERVICIOS DE MANTENCION PREVENTIVA, CORRECTIVA Y/O REPARATIVAS PARA VEHICULOS MULTIMARCAS AÑO 2026-2027"/>
        <s v="Convenio - SERVICIOS DE MANTENCION PREVENTIVA, CORRECTIVA Y/O REPARATIVAS PARA BUS MITSUBISHI FUSO ROSA AÑO 2026"/>
        <s v="Convenio - ADQUISICIÓN E IMPLEMENTACIÓN DE SISTEMA DIGITAL DE COMUNICACIONES CON TECNOLOGÍA PTT Y CONTROL DE FLOTA DE SALUD OSORNO"/>
        <s v="PAC General Bienestar 2026, se agrupa el total de actividades realizadas por Bienestar SSO."/>
        <s v="Adquisición de prestaciones de rehabilitación integral a niños, niñas y adolescentes con Trastorno del Espectro Autista"/>
        <s v="GORE: Apoyo de Rehabilitación Integral e Inclusión Social para niños, niñas y adolescentes con TEA"/>
        <s v="PRAPS Fondo de Farmacia para enfermedades crónicas no transmisibles en APS (FOFAR)"/>
        <s v="Adquisición de insumos para la atención en domicilio del Equipo Rehabilitación Rural SSO."/>
        <s v="Mantención Plotter Canon IPF 770, del depto. de Proyectos."/>
        <s v="Compra rollos papel para impresión del Departamento de Proyectos SSO."/>
        <s v="Compra Tinta Plotter Canon IPF 770"/>
        <s v="Adquisicición Hojas Prehospitalarias"/>
        <s v="Adquisicición Kit de Triage y Sistema de comando incidente"/>
        <s v="II Jornada de Capacitación Red de Urgencia"/>
        <s v="?DIAGNÓSTICO Y DIALOGO PARTICIPATIVO COSAM RAHUE ?NOVIEMBRE 2026?"/>
        <s v="Jornadas de encuentro y autocuidado Para usuarios y cuidadores ?SALUDABLE-MENTE en dispositivo COSAM RAHUE 2026"/>
        <s v="?Eco-huerto sustentable -Sistema de acuaponía sin suelo? COSAM RAHUE 2026"/>
        <s v="Insumos y medicamentos Farmacia COSAM RAHUE"/>
        <s v="Capacitación en Salud Mental Intercultural COSAM Rahue."/>
        <s v="Celebración de We Tripantu en COSAM Rahue 2026"/>
        <s v="Jornadas de autocuidado equipo profesional PAI COSAM Rahue"/>
        <s v="Ceremonia de alta SENDA-PAI COSAM Rahue 2026"/>
        <s v="CONVENIO - ADQUISICION DE 8 CUPOS HOGAR PROTEGIDO MUJERES PARA EL SERVICIO DE SALUD OSORNO POR PERIODO DE 12 MESES"/>
        <s v="Anilladora e insumos para preparación de material Cosam Rahue. Fondo extrapresupuestarios SENDA PAI"/>
        <s v="SERVICIO CAFETERÍA CEREMONIA ANIVERSARIO COSAM RAHUE"/>
        <s v="Jornada de Autocuidado funcionarios COSAM Rahue, con cargo a fondo extrapresupuestario SENDA-PAI"/>
        <s v="Celebración fiestas patrias usuarios y cuidadores COSAM RAHUE."/>
        <s v="Adquisición de insumos para la atención en domicilio del Equipo Rehabilitación Rural SSO. (Articulos de Libreria)"/>
        <s v="Adquisición de insumos para la atención en domicilio del Equipo Rehabilitación Rural SSO (material Ergoterapia)"/>
        <s v="Convenio - 3 CUPOS DE RESIDENCIA PROTEGIDA PARA EL SERVICIO DE SALUD OSORNO EN LA PROVINCIA DE CONCEPCIÓN, POR PERIODO DE 24 MESES."/>
        <s v="Rollos Etiquetas para impresora ZEBRA ZD 220 y rollos de cinta para impresora SOME, COSAM RAHUE"/>
        <s v="Convenio - 10 CUPOS RESIDENCIA PROTEGIDA DE ALTA COMPLEJIDAD PARA EL SERVICIO DE SALUD OSORNO POR PERIODO DE 12 MESES."/>
        <s v="INSUMOS DE ASEO COSAM RAHUE"/>
        <s v="Compra de Insumos de Cafetería reuniones ordinarias anuales de Salud Pueblos Originarios"/>
        <s v="Insumos cafetería actividades con usuarios Cosam Rahue y comunidad 2026, fondo extrapresupuestario SENDA PAI"/>
        <s v="INSUMOS ESCRITORIO COSAM RAHUE, FONDO EXTRAPRESUPUESTARIO SENDA-PAI"/>
        <s v="Protectores solares FPS 50 para funcionarios y usuarios taller huerto"/>
        <s v="Compra de tintas de repuesto impresoras Cosam Rahue"/>
        <s v="Insumos alimenticios para el Programa SENDA Calle. Fondo extrapresupuestario SENDA PAI"/>
        <s v="TEST DE DETECCION DE DROGAS"/>
        <s v="Taller de Herramientas Psicológicas, Taller PEERS"/>
        <s v="PAC insumos clínicos unidad de enfermería 2026."/>
        <s v="INTERVENCIÓN PSICOSOCIAL GRUPAL TALLER PARA JOVENES Y ADOLESCENTES EN TRATAMIENTO EN COSAM ORIENTE"/>
        <s v="Compra de Insumos de Cafetería reuniones ordinarias anuales Participación, Trato Usuario, Salud Pueblos Originarios"/>
        <s v="Taller Huertos 2026"/>
        <s v="Comité de Participación y gestión Intercultural - Dia de la Mujer 2026"/>
        <s v="Consultorías adecuación Diseño PSR Coligual, comuna de Purranque."/>
        <s v="Consultorías adecuación Diseño PSR Caracol, comuna de San Pablo."/>
        <s v="Impresión Talonarios de Registro de Solicitudes Ciudadanas"/>
        <s v="INSUMOS DE FARMACIA 2026"/>
        <s v="Taller de baile entretenido y acondicionamiento físico 2026"/>
        <s v="ACTIVIDADES DE DIFUSIÓN Y DE PREVENCIÓN EN LA PROVINCIA DE OSORNO"/>
        <s v="Jornada de Humanización del Trato Usuario"/>
        <s v="Despensa para Unidad de Secretaria"/>
        <s v="Yoga Sensible al Trauma: Regulación emocional desde el Cuerpo y la Conciencia."/>
        <s v="Comité de Participación y Gestión Intercultural - Dia del Niño 2026"/>
        <s v="Comité de Participación y Gestión Intercultural - Fiestas Patrias 2026"/>
        <s v="Intervención psicosocial grupal de Música"/>
        <s v="COMPRA MATERIALES DE OFICINA DEPARTAMENTO DE PROYECTOS"/>
        <s v="Estudio e Informe Estructural COSAM Oriente."/>
        <s v="ARTICULOS PARA TERAPIA OCUPACIONAL"/>
        <s v="TOLDOS"/>
        <s v="MANTENCIONES, REPUESTOS Y REPARACIONES"/>
        <s v="INSUMOS COMPUTACIONALES"/>
        <s v="Convenio - CONVENIO DE ADQUISICION DE KIT POINT OF CARE (POC) CON ARRIENDO DE EQUIPOS PARA ANALISIS DE MUESTRAS, SSO"/>
        <s v="Muestra tu Pausa Activa"/>
        <s v="PLAN DE COMPRAS AÑO 2026 LEY N°19.664 Y FORMACION DE ESPECIALISTAS S.S.O"/>
        <s v="Comité de Participación y Gestión Intercultural - Navidad 2026"/>
        <s v="Implementos de Terapia Ocupacional."/>
        <s v="Convenio - COMPRA DE KITS PARA DETECCION DE VIRUS Y BACTERIAS RESPIRATORIAS POR METODO MOLECULAR RAPIDO (POC MOLECULAR)"/>
        <s v="AUTOCUIDADO CONVENIO SENDA 2026"/>
        <s v="MEDICINA INTEGRATIVA SAFU"/>
        <s v="Adquisición Insumos para realizar el aseo y confort de usuarios/as con Dependencia Severa."/>
        <s v="INSUMOS LEY 20.000"/>
        <s v="Zumba a todo corazón"/>
        <s v="Mantenimiento baños y camarines"/>
        <s v="Construcción de radieres en estacionamiento"/>
        <s v="Mantención comedor lado patio interior"/>
        <s v="Pintado de muros perimetrales de edificio."/>
        <s v="Mantenimiento caseta de guardias"/>
        <s v="Instalación de manillas en puertas metálicas de sala REAS, Caldera, Generador"/>
        <s v="Reparar fuga red de agua alimentación invernadero."/>
        <s v="Habilitación de sala pagoda como sala de recuperación pacientes."/>
        <s v="Mantenimiento de cámaras y red ed aguas lluvia y reemplazo de bomba de impulsión"/>
        <s v="Mantenimiento de cámaras y red de alcantarillado, artefactos sanitarios."/>
        <s v="TALONARIOS DE LICENCIA MÉDICA"/>
        <s v="Mantenimiento planta elevadora aguas servidas"/>
        <s v="Suministro de Pellet para sistema de calefacción"/>
        <s v="Suministro de diesel para generador eléctrico"/>
        <s v="Reemplazo de equipo iluminación interior."/>
        <s v="Mantenimiento sensores de humo"/>
        <s v="Mantenimiento sistema de cierre/apertura puertas de PVC"/>
        <s v="Mantención de enchufes e interruptores lampistería instalación interior."/>
        <s v="MOVIL AÑO 2027"/>
        <s v="PROGRAMA MEL"/>
        <s v="Materiales de Secretaria para uso del Cosam 2026"/>
        <s v="Convenio - Convenio Adquisición de combustible móviles de la DSSO y Ambulancias SAMU año 2026"/>
        <s v="Convenio - Convenio Adquisición de combustible Diesel para equipos generadores dispositivos del SSO Cosam Rahue y Cosam Oriente"/>
        <s v="Intervención Psicosocial Grupal para Familiares de Usuarios/as con Diagnóstico de Esquizofrenia"/>
        <s v="Intervención Psicosocial Grupal para Usuarios y Usuarias con Consumo de Alcohol y Drogas"/>
        <s v="Jornada de Buenas Prácticas en Hospital Amigo y Ley Mila 2026"/>
        <s v="Jornada de Evaluación Comité de Gestión Usuaria 2026"/>
        <s v="Jornada de Fortalecimiento OIRS 2026"/>
        <s v="Recetarios Médicos SAFU"/>
        <s v="MATERIALES DE OFICINA"/>
        <s v="Vestuario y equipamiento Tecnico Referentes Prevención de Riesgos DSSO"/>
        <s v="INSUMOS DE ENFERMERÍA SAFU"/>
        <s v="Almacenamiento,organización y resguardo de los insumos clínicos del área de enfermería"/>
        <s v="CONMEMORACIÓN DÍA INTERNACIONAL DE LA SALUD MENTAL 2026"/>
        <s v="&quot;JORNADA DE FORTALECIMIENTO DE COMPETENCIAS PARENTALES Y BIENESTAR FAMILIAR &quot;"/>
        <s v="Contratación de visitas obras civiles consultoría obra ?SALA DE ACOGIDA INTERCULTURAL (SRUKA) HBO."/>
        <s v="FESTIVAL DEL DÍA DE LA NIÑEZ"/>
        <s v="Convenio - CONVENIO SUMINISTRO DE REACTIVOS CON ARRIENDO DE EQUIPOS Y SISTEMA INFORMATICO INTEGRADO DE LABORATORIO CLINICO, SSO"/>
        <s v="Adquisición Carro de Transporte Droguería-Bodega General"/>
        <s v="Adquisición de Amarras Plásticas y Elásticos para Optimizar el Almacenamiento y Distribución"/>
        <s v="EEPP para funcionarios de Droguería-Bodega General-Bodega Inversiones"/>
        <s v="Implementación de Sistema de Cerradura Digital para Control de Acceso"/>
        <s v="Adquisición de Sensores de Temperatura para Droguería ( Bodega de Dispositivos Médicos)"/>
        <s v="Altas Senda año 2026"/>
        <s v="Formación facilitadores Talleres Prenatales para matronas y matrones de la red de atención primaria"/>
        <s v="Mantención de Equipos Médicos e Industriales 2026"/>
        <s v="Convenio - Convenio de Accesorios para Equipos Médicos Criticos de Base SAMU Osorno año 2027"/>
        <s v="Insumos para aumentar la lactancia materna exclusiva"/>
        <s v="Insumos de Box de rehabilitación kinésica SAFU"/>
        <s v="Cuenta Pública Gestión 2025"/>
        <s v="Diálogo Provincial en Salud"/>
        <s v="Jornada de Inducción a médicos EDF, sobre Interculturalidad en Salud con pueblos originarios"/>
        <s v="Contratación de visitas de Consultorías de Obra &quot; Mejoramiento Hospital de Río Negro&quot;"/>
        <s v="Consultorías adecuación Diseño PSR Hueyusca, comuna de Purranque."/>
        <s v="Artículos de limpieza y higiene"/>
        <s v="Insumos para actividades grupales con usuarios y familiares de UID Newen."/>
        <s v="Insumos para actividades de promoción, prevención e intervención comunitaria con usuarios/as y familiares de UID Newen."/>
        <s v="Material de papelería centro Kümelen"/>
        <s v="Mochilas e insumos EMT (Equipos Médicos de Emergencia)"/>
        <s v="software de cartografía web"/>
        <s v="COMPRA DE AMBULANCIA PARA CESFAM CON SAR DE RAHUE ALTO"/>
        <s v="COMPRA ELEMENTOS DE PROTECCION PERSONAL SECCION MANT. DE VEHICULOS"/>
        <s v="COMPRA DE TARJETAS BLANCAS PARA CREDENCIALES PARA CAMAPAÑA SELLO BUEN TRATO."/>
        <s v="Adquisición de insumos clínicos para usuarios/as UID Newen."/>
        <s v="Taller Mindfulness - Anclando la Calma: Regulación Emocional y Conexión"/>
        <s v="CREDENCIAL DE IDENTIFICACION INSTITUCIONAL"/>
        <s v="Consultorías adecuación Diseño PSR Forrahue, etapa 1"/>
        <s v="Consultorías adecuación Diseño PSR Forrahue, Etapa 2."/>
        <s v="Diseño SAR Puyehue."/>
        <s v="Sillas Ergonómicas"/>
        <s v="CONSTRUCCION CESFAM CON SAR CHUYACA OSORNO; CODIGO BIP: 30430122 CONSTRUCCION CESFAM CON SAR CHUYACA, OSORNO"/>
        <s v="Diseño nuevo Hospital de Purranque."/>
        <s v="Diseño Centro de Diálisis Municipal, comuna de Osorno."/>
        <s v="Consultoría Estudio Preinversional de Reposición Hospital de Alta Complejidad provincia de Osorno"/>
        <s v="Diseño SAMU Provincial y Centro de Despacho."/>
        <s v="Consultoría Estudio Preinversional Reposición Hospital Hospital de Río Negro"/>
        <s v="Consultoría Estudio Preinversional Reposición Hospital Hospital de Puerto Octay"/>
        <s v="Diseño CESFAM Puerto Octay."/>
        <s v="Contratación de Visita a Obra 2026 de las Consultorías: Especialidades y Arquitectura Obra CESFAM Bahía Mansa"/>
        <s v="CONSTRUCCION CESFAM CON SAR CHUYACA OSORNO; CODIGO BIP: 30430122"/>
        <s v="EPP PARA DEPTO. DE INGENIERÍA CLÍNICA"/>
        <s v="PLAN NACIONAL DEL CÁNCER 2026"/>
        <s v="REPOSICION POSTA DE SALUD RURAL LA POZA, COMUNA DE SAN PABLO"/>
        <s v="CONSTRUCCION SALA DE ACOGIDA INTERCULTURAL (SRUKA) HOSPITAL BASE SAN JOSE, OSORNO"/>
        <s v="REPOSICION CONSULTORIO DE SALUD RURAL BAHIA MANSA, SAN JUAN DE LA COSTA"/>
        <s v="Consultorías adecuación Diseño PSR Cuinco, comuna de San Juan de La Costa."/>
        <s v="CONSTRUCCION CECOSF URBANO CHIFIN, COMUNA DE RIO NEGRO"/>
        <s v="Diseño Ampliación CESFAM San Pablo"/>
        <s v="REPOSICION CESFAM CON SAR RAHUE ALTO, OSORNO"/>
        <s v="CONSTRUCCION POSTA SALUD RURAL EL PONCHO"/>
        <s v="REPOSICION POSTA DE SALUD RURAL HUILMA, COMUNA DE RIO NEGRO"/>
        <s v="REPOSICION POSTA DE SALUD RURAL RUPANCO, COMUNA PUERTO OCTAY"/>
        <s v="CONSTRUCCIÓN POSTA DE SALUD RURAL COSTA RIO BLANCO, COMUNA DE RIO NEGRO"/>
        <s v="HABILITACION ANGIOGRAFO HOSPITAL BASE DE OSORNO"/>
        <s v="CONSTRUCCION COSAM RAHUE, COMUNA OSORNO"/>
        <s v="CONTRATACION DE VISITA DE ESPECIALIDAD DE ARQUITECTURA PARA LA OBRA REPOSICION CESFAM CON SAR RAHUE ALTO."/>
        <s v="SUBTÍTULO 29 SECTORIAL 2026"/>
        <s v="Vestuario terreno y EPP funcionario nuevo"/>
        <s v="SUBTÍTULO 29 OPERACIONAL SSO 2026"/>
        <s v="ADQUISICION Y REPOSICION EQUIPOS Y EQUIPAMIENTO OTORRINOLARINGOLOGIA HOSPITAL BASE OSORNO"/>
        <s v="Conmemoración día internacional de la eliminación de la violencia contra la mujer 2026"/>
        <s v="Adquisición de insumos para atención en domicilio del Equipo Rehabilitación Rural SSO. (Sarten electrico para ortesis)"/>
        <s v="MANTENCIÓN PREVENTIVA DE AGUA POTABLE DE LA BASE SAMU"/>
        <s v="Mantenciones emergentes para establecimientos dependientes del Servicio de Salud Osorno"/>
        <s v="Convenio - CONVENIO DE MANTENCION Y OBRAS MENORES INFRAESTRUCTURA DE LOS ESTABLECIMIENTOS DEL SERVICIO DE SALUD OSORNO 2027"/>
        <s v="Mantención de Cubiertas de Edificios y Dispositivos dependientes del Servicio de Salud Osorno"/>
        <s v="Mejoramiento Eléctrico y de Datos en Oficina 2do piso del Edificio Institucional de Manuel Rodríguez."/>
        <s v="MANTENIMIENTO PREVENTIVO Y ADECUACIONES MENORES A TABLEROS ELECTRICOS DE LOS HOSPITALES Y DISPOSITIVOS DE LA RED 2027"/>
        <s v="Materiales para simulacros"/>
        <s v="Conmemoración Día Mundial de Prevención Contra el Cáncer Cervicouterino"/>
        <s v="Elementos de Protección Personal para el Subdepto. Prevención de Riesgos DSSO"/>
        <s v="Abordaje integral de trastornos de salud mental y conducta alimentaria en adolescentes"/>
        <s v="Adquisición de herramientas básicas para mantenimiento Centro Comunitario Kümelen"/>
        <s v="Equipamiento Ergonómico"/>
        <s v="Equipamiento Ergonómico - Sillas"/>
        <s v="TEST PSICOLOGICOS PARA LA UNIDAD DE RECLUTAMIENTO Y SELECCIÓN DEL S.S.O."/>
        <s v="ADQUISICION INSUMOS MANTENCION RED DE RADIOCOMUNICACIONES EN EMERGENCIAS SERVICIO DE SALUD OSORNO"/>
        <s v="Jornada SSYR Provincial"/>
        <s v="REPOSICION Y MANTENIMIENTO COMPONENTES RADIOS PORTATILES VHF DIRECCION"/>
        <s v="Adquisición de micrófono y cámara para videoconferencias del Centro Comunitario Kümelen"/>
        <s v="Insumos y servicio de Coffee Break para Curso de Monitores 2026 del Centro Kümelen"/>
        <s v="Adquisición de insumos para la atención en domicilio del Equipo Rehabilitación Rural SSO. (Equipo Médico Fonoaudiologa)"/>
        <s v="Cintas de Seguridad"/>
        <s v="Reciclaje en Edificio Plaza Sur"/>
        <s v="Adquisición de insumos para la atención en domicilio del Equipo Rehabilitación Rural SSO. (Articulos de Fonoaudiología)"/>
        <s v="Protección Solar"/>
        <s v="EQUIPAMIENTO AMBULATORIO FONDOS PPV"/>
        <s v="Equipamiento Tecnologico"/>
        <s v="ARTICULOS DE FERRETERIA AMBULATORIO FONDOS PPV"/>
        <s v="Ceremonia de Egreso del Curso de Formación de Monitores del centro Kümelen."/>
        <s v="Protección Visual RUV"/>
        <s v="ARTICULOS DE COCINA AMBULATORIO FONDOS PPV"/>
        <s v="ARTICULOS DE JARDINERIA AMBULATORIO FONDOS PPV"/>
        <s v="Adquisición de 120 Endoscopias Digestivas Altas para establecimientos de la Red Asistencial del Servicio de Salud Osorno."/>
        <s v="Carro de carga plegable (Yegua)"/>
        <s v="Servicio de Movilización de 1 vehículo con conductor, por 2 meses, para ejecución vacunación en la provincia de Osorno"/>
        <s v="EQUIPAMIENTO RESIDENCIAL ? CONVENIO SENDA"/>
        <s v="SERVICIO DE ELABORACIÓN Y DIFUSIÓN DE 4 AVISOS RADIALES PROMOCIONALES DE CAMPAÑA DE INVIERNO 2026 POR 2 MESES"/>
        <s v="ARTICULOS DE FERRETERIA Y OTROS RESIDENCIAL CONVENIO SENDA"/>
        <s v="INSUMOS COMPUTACIONALES RESIDENCIAL CONVENIO SENDA"/>
        <s v="1 Servicio de grabación y emisión de 4 mensajes radiales de vacunación escolar por 2 meses, en la provincia de Osorno."/>
        <s v="Insumos para dispensación de fármacos y entrega citas a usuarios COSAM Rahue"/>
        <s v="ADQUISICIÓN PARA PROGRAMA DE PROMOCIÓN, PREVENCIÓN Y DIAGNÓSTICO PRECOZ CÁNCERES PREVALENTES EN MUJERES DE LA PROVINCIA"/>
        <s v="Adquisición de megáfonos y gabinetes para la comunicación en emergencias, gestión de riesgos y protección de equipos"/>
        <s v="Compra de insumos para la mantención de la cadena de frío de las vacunas de los establecimientos de la provincia."/>
        <s v="&quot;Día del autocuidado&quot; en la comunidad funcionaria el día 24 de julio del 2026"/>
        <s v="Adquisición materiales de oficina Unidad de Memoria 2026"/>
        <s v="INSUMOS COMPUTACIONALES AMBULATORIO ? CONVENIO SENDA"/>
        <s v="ARTICULOS DE COCINA AMBULATORIO ? CONVENIO SENDA"/>
        <s v="ARTICULOS DE FERRETERIA Y OTROS AMBULATORIO ? CONVENIO SENDA"/>
        <s v="Adquisición de productos e insumos para el programa de control y eliminación de la Tuberculosis"/>
        <s v="Materiales e insumos para talleres y capacitaciones red de coordinadores"/>
        <s v="REPOSICION CECOSF EL ENCANTO, COMUNA DE PUYEHUE"/>
        <s v="Materiales de oficina no disponibles en Bodega Central"/>
        <s v="Adquisicion de recetarios y talonarios de examenes de Psiconeurogeriatría Ayekan y kumelen."/>
        <s v="INSUMOS DE OFICINA"/>
        <s v="Adquisición de Material Educativo Visual y Didáctico para la Educación Alimentaria en la Red de APS"/>
        <s v="Compra de insumos de higiene oral de programa odontológico integral"/>
        <s v="Pilas para equipos clínicos pesa, hemoglucotest y equipo de electroterapia"/>
        <s v="Capacitación de Salud Respiratoria en el Curso de Vida, en contexto de campaña de invierno para 110 personas"/>
        <s v="Escalera tijera plegable"/>
        <s v="Convenio - Suministro de oxígeno medicinal para Red de Hospitales de mediana y baja complejidad, SAMU y Cosam"/>
        <s v="Mantención integral edificio Centro Kümelen"/>
        <s v="Mantención integral edificio Matta"/>
        <s v="Material de librería para vacunatorios y para capacitaciones del Programa Nacional de Inmunizaciones 2025"/>
        <s v="Estudio e Informe Estructural Edificio EX- PDI."/>
        <s v="Adquisición servicio de cafetería para actividad de capacitación a profesionales de salud Campaña de Invierno"/>
        <s v="Adquisición artículos de librería para Jornadas con la Red Asistencial"/>
        <s v="Plan de Compra Anual nuevos Boxes Dentales SAFU - Insumos Instrumentales"/>
        <s v="Adquisicion Licencias de Software GstarCAD por 24 meses"/>
        <s v="Adquisicion Licencias de Software ArchiCAD por 24 meses"/>
        <s v="Implementación de impresoras termicas en Some De Edificio Matta"/>
        <s v="SOPORTE Y MANTENCION ANUAL SOFTWARE CONTROL DE INVENTARIO"/>
        <s v="Adquisición 2 coffee break para Jornada de Plan de Salud Comunal y Priorización"/>
        <s v="Adquisición artículos de cafetería para Jornadas de planificación con Red Asistencial"/>
        <s v="Construcción de repisas para archivos en bodega ex COSAM Oriente"/>
        <s v="3°Jornada para cuidadores/as &quot;Cuidar con sentido y acompañar con el corazón&quot;"/>
        <s v="SERVICIO DE TRASLADO DE MOBILIARIO"/>
        <s v="Accesorios de telecomunicación para actividades digitales de promoción y prevención de salud mental para la comunidad fu"/>
        <s v="Adquisición Carpetas con bolsillo troquel de imprenta y logo institucional CPU"/>
        <s v="Plan de Compra Anual nuevos Boxes Dentales SAFU - Insumos Dentales"/>
        <s v="Material de trabajo terapéutico equipo salud mental unidad de salud funcionaria - Librería terapéutica"/>
        <s v="Implementacion de talleres y renovacion de insumos de kinesiologia de Unidad de Memoria Ayekan."/>
        <s v="Adquisición de boquillas espiratorias desechables para flujometría."/>
        <s v="Adquisición Turbinas desechables espirometría"/>
        <s v="Servicio de cafetería para Jornada de Capacitación en Cuidados Paliativos para equipos CPU APS y Hospitales SSO"/>
        <s v="Adquisición Equipamiento para evaluación saturación oxigeno en pacientes Piloto Cesación Tabáquica (Oxímetros)"/>
        <s v="Adquisición de insumos de folleteria y cuadernillos de stimulación para Unidad de Memoria."/>
        <s v="Talleres educativos y de respiro para cuidadoras/es de usuarios con deteriro cognitivo."/>
        <s v="Compra de insumos clínicos para actividades de vacunación, en vacunatorios y colegios de la provincia."/>
        <s v="Adquisición de Neumáticos para vehículos de la Dirección Servicio de Salud Osorno y Base SAMU Osorno año 2026"/>
        <s v="Servicio de Coffe para 115 personas, Jornada Anual de Capacitación del Programa Nacional de Inmunizaciones, provincial"/>
        <s v="Elaboración e impresión de Carnet de Control Integral para la Red de APS de la provincia de Osorno."/>
        <s v="Implementación autotoma de VPH"/>
        <s v="TEST DE EVALUACIONES PSICOLÓGICAS"/>
        <s v="Conmemoración día Mundial de la Salud Mental 10 de octubre 2026 y Desarrollo de actividades de promoción de salud mental"/>
        <s v="Insumos para CIRA SDGA"/>
        <s v="Festival de la Voz de las Mujeres 2026"/>
        <s v="Obras civiles para montaje de 2 futuros contenedores de largo 20 pies"/>
        <s v="ADQUISICIÓN DISPOSITIVOS DE ALMACENAMIENTO PARA HABILITACION DE EQUIPOS COMPUTACIONALES"/>
        <s v="Mejoramiento Hospital de Rio Negro(4 LICITACIONES) - Traspaso de año , modificación en emisiones de OC"/>
        <s v="contendores de papel"/>
        <s v="INSUMOS DE ATENCION PSICOLOGICA"/>
        <s v="Eventos y resignificaciones anuales"/>
        <s v="INSUMOS ALIMENTACIÓN PARA ACTIVIDADES DE SALUD MENTAL 2026"/>
        <s v="MUEBLE DOCUMENTAL"/>
        <s v="Olimpiadas del Adolescente"/>
        <s v="Insumos para reuniones ministeriales"/>
        <s v="Compra de Servicio de Docencia, Relatoría, Consultoría, Alimentación y Compra de insumos Año 2026"/>
        <s v="Insumos médicos"/>
        <s v="Adquisición de Insumos para control cardiovascular/integral en atención primaria"/>
        <s v="Materiales psicopedagógicos"/>
        <s v="Adquisición de insumos para la atención y educación en salud, a personas bajo control en los Programas de Salud"/>
        <s v="Conmemoración del aniversario del centro Kümelen"/>
        <s v="Taller de habilidades para la vida 2026"/>
        <s v="Adquisicion ciclo de capacitaciones ECICEP para profesionales de la red asistencial"/>
        <s v="Adquisición insumos clínicos y de aseo general mamógrafo móvil/estrategias Programa Imágenes Diagnósticas 2026."/>
        <s v="Adquisición de insumos validados para la medición de presión arterial en el curso de vida."/>
        <s v="Adquisición Dispositivos médicos de Curación Avanzada. Presupuesto: PAGD, componente Salud Cardiovascular $15.000.000.-"/>
        <s v="Adquisición de servicio de catering para curso de Imagenología para Médicos generales y de APS."/>
        <s v="Convenio - Convenio de servicio de exámenes de ecotomografía abdominal y mamaria programa imágenes diagnósticas."/>
        <s v="Compra de insumos de oficina y cafetería"/>
        <s v="Convenio - Convenio de servicio informes de radiografías y mamografías para los Hospitales Dependientes del S.S.O."/>
        <s v="Conmemoración día de la mujer"/>
        <s v="servicio de dosimetría Trabajadores Ocupacionalmente expuestos del Programa Imágenes Diagnósticas."/>
        <s v="Convenio - Convenio de servicio movilización funcionarios mamógrafo móvil. Descripción"/>
        <s v="Adquisición insumos de promoción, prevención y tratamiento ADM para desarrollo Programa de Resolución de Ortodoncia NNA"/>
        <s v="Proyecto de Compra Insumos clínicos 2026"/>
        <s v="Capacitación formación de facilitadores Nadie es Perfecto"/>
        <s v="Artículos de higiene, limpieza y mantención de áreas verdes para Edificio Matta."/>
        <s v="Adquisición de herramientas"/>
        <s v="Adquisición de insumos para la atención en domicilio del Equipo Rehabilitación Rural SSO. (Articulos de Escritorio)"/>
        <s v="Renovación de toma de presión digital para unidad de Memoria."/>
        <s v="Taller de niños y niñas - Taller de padres"/>
        <s v="Taller Arte Terapia"/>
        <s v="TALLER DE MANUALIDADES"/>
        <s v="Adquisición de insumos atención en domicilio del Equipo Rehabilitación Rural SSO"/>
        <s v="Adquisicion equipamiento Servidor NAS y almacenamiento extra para respaldo y seguridad de la información"/>
        <s v="ARTICULOS DE OFICINA UNIDADES AMBULATORIO Y RESIDENCIAL"/>
        <s v="Comité de Participación y Gestión Intercultural"/>
        <s v="EVENTOS EN MOVIMIENTO Y A UNA SOLA VOZ"/>
        <s v="CONTRIBUYENDO A LA POLITICA PÚBLICA EN REPARACIÓN CON USUARIOS/AS PRAIS"/>
        <s v="Adquisción de hidrolavadora 120BAR"/>
        <s v="Insumos para jornada provincial de Gestión del Riesgo de Desastres (2 días)"/>
        <s v="COMPRA DE MATERIALES DE OFICINA E INSUMOS DE CAFETERIA PARA LA UNIDAD DE CICLO LABORAL DEL S.S.O."/>
        <s v="Insumos para actividades individuales y grupales con usuarios/as y familiares de UID Newen."/>
        <s v="EQUIPAMIENTO AMBULATORIO ? CONVENIO SENDA"/>
        <s v="Materiales y herramientas de oficina funcionarios Sub Depto."/>
        <s v="COMPRA DE MATERIALES DE OFICINA E INSUMOS DE CAFETERIA PARA DEL SUBDEPTO. DE CULTURA Y CLIMA ORGANIZACIONAL DEL S.S.O."/>
        <s v="INSUMOS PARA EL ORDEN ORPERACION Y DOCUMENTAL DE OFICINA DE PARTES."/>
        <s v="Compra Cintas de glicemia + equipos en comodato"/>
        <s v="ARTICULOS DE COCINA RESIDENCIAL ? CONVENIO SENDA"/>
        <s v="EQUIPAMIENTO RESIDENCIAL ? FONDOS PPV"/>
      </sharedItems>
    </cacheField>
    <cacheField name="Descripción Proyecto" numFmtId="0">
      <sharedItems longText="1"/>
    </cacheField>
    <cacheField name="Cantidad de Ítems" numFmtId="0">
      <sharedItems containsSemiMixedTypes="0" containsString="0" containsNumber="1" containsInteger="1" minValue="1" maxValue="23" count="12">
        <n v="2"/>
        <n v="1"/>
        <n v="14"/>
        <n v="8"/>
        <n v="6"/>
        <n v="3"/>
        <n v="4"/>
        <n v="5"/>
        <n v="7"/>
        <n v="9"/>
        <n v="23"/>
        <n v="11"/>
      </sharedItems>
    </cacheField>
    <cacheField name="Nombre ítem" numFmtId="0">
      <sharedItems count="357">
        <s v="Servicio Control Asistencia"/>
        <s v="Control Flota"/>
        <s v="Sistema de control de flota"/>
        <s v="Servicio"/>
        <s v="Residencia"/>
        <s v="Recarga"/>
        <s v="Mantenimiento"/>
        <s v="Servicio residuos"/>
        <s v="Tarjeta"/>
        <s v="Suministro Oxigeno"/>
        <s v="Servicio de guardias"/>
        <s v="Insumos"/>
        <s v="Aseo"/>
        <s v="Servicio Residencial"/>
        <s v="Equipos Lavanderia"/>
        <s v="Equipo Calderas"/>
        <s v="Equipo Aire Acondicionado"/>
        <s v="Grupo Electrogenos"/>
        <s v="Equipos Criticos"/>
        <s v="Imagenelogia"/>
        <s v="Mamografia"/>
        <s v="Mantención Equipos Medicos"/>
        <s v="Mantención Auto Claves"/>
        <s v="Mantención Preventiva Equipos"/>
        <s v="Mantención Otros"/>
        <s v="Medicamentos"/>
        <s v="Equipo"/>
        <s v="Movilizacion Kumelen"/>
        <s v="Movilizacion"/>
        <s v="Suministro KIT Point"/>
        <s v="Pasajes"/>
        <s v="Alimentación"/>
        <s v="Cafeteria"/>
        <s v="Servicio Medico"/>
        <s v="Convenio Desratización"/>
        <s v="Convenio Leña"/>
        <s v="Vale Gas"/>
        <s v="Arriendo Equipo"/>
        <s v="Sala Cuna"/>
        <s v="Programa"/>
        <s v="Ayudas Técnicas"/>
        <s v="Hogar Protegido (7)"/>
        <s v="Hogar Protegido (1)"/>
        <s v="Material de Oficina"/>
        <s v="Convenio"/>
        <s v="Arriendo Ambulancia"/>
        <s v="Mantención"/>
        <s v="Convenio Oxigeno"/>
        <s v="Combustible"/>
        <s v="Convenios Seguros"/>
        <s v="Radio comunicaciones"/>
        <s v="Proyecto Concunsable"/>
        <s v="Concurso Fotografia"/>
        <s v="Festival de la Voz"/>
        <s v="Gala 18"/>
        <s v="Full Day"/>
        <s v="Olimpiadas DSSO"/>
        <s v="Navidad"/>
        <s v="Alimentación Navidad"/>
        <s v="Convenio TEA"/>
        <s v="Servicio Movilización"/>
        <s v="Arriendo"/>
        <s v="Arriendo Informatico"/>
        <s v="Servicio Cafeteria"/>
        <s v="Impresión"/>
        <s v="Equipo Sensorial"/>
        <s v="Insumos Medicos"/>
        <s v="Materiales de Aseo"/>
        <s v="Mantencion"/>
        <s v="Rollos"/>
        <s v="Tinta Plotter"/>
        <s v="Talonarios"/>
        <s v="Kit Sistema"/>
        <s v="Opalina"/>
        <s v="Macetero"/>
        <s v="Insumos y Repuestos"/>
        <s v="Hogar Protegido 6"/>
        <s v="Hogar Protegido 1"/>
        <s v="Alimentos 18 Sept"/>
        <s v="Pistola Silicona"/>
        <s v="Residencia Protegia"/>
        <s v="Insumos de Aseo"/>
        <s v="Alimentos"/>
        <s v="Protectores Solares"/>
        <s v="Tintas"/>
        <s v="Test"/>
        <s v="Caja, Pelotas"/>
        <s v="Pañuelos faciales"/>
        <s v="Tiras, test rápido, alcohol"/>
        <s v="Insumos clínicos"/>
        <s v="Biombo, pesa"/>
        <s v="Equipo curación, algodón"/>
        <s v="Cooler"/>
        <s v="Caja"/>
        <s v="Material de Enseñanza"/>
        <s v="Productos Jardín"/>
        <s v="Bolsas"/>
        <s v="Consultorias"/>
        <s v="folleteria"/>
        <s v="Recetarios"/>
        <s v="Refrigerador"/>
        <s v="Insumos Computacionales"/>
        <s v="Ropa"/>
        <s v="Material Taller"/>
        <s v="Galvanos y Placa"/>
        <s v="Bolsas Ecologicas"/>
        <s v="Pendon"/>
        <s v="Merchandising Publicidad"/>
        <s v="Mueble"/>
        <s v="Material Yoga"/>
        <s v="Frazadas"/>
        <s v="Material Didactico"/>
        <s v="Material Decoración"/>
        <s v="Menaje"/>
        <s v="Guitarra"/>
        <s v="Papeleria"/>
        <s v="Material Educativo"/>
        <s v="Toldo"/>
        <s v="Mantenciones"/>
        <s v="Repuestos"/>
        <s v="WI FI"/>
        <s v="Convenio Kit Point"/>
        <s v="Instrumentos Deportivos"/>
        <s v="Servicio Traslado"/>
        <s v="Pendrive"/>
        <s v="Materiales de Oficina"/>
        <s v="Publicación Diario"/>
        <s v="Menaje Cafeteria"/>
        <s v="Bolsas Regalo"/>
        <s v="Aromaterapia"/>
        <s v="Producto de Aseo"/>
        <s v="Pañales"/>
        <s v="Crema"/>
        <s v="Toner"/>
        <s v="Instructora"/>
        <s v="Decoración"/>
        <s v="Pellet"/>
        <s v="Combustibles"/>
        <s v="Movilización"/>
        <s v="Equipos"/>
        <s v="Pañuelos"/>
        <s v="Capacitacion"/>
        <s v="Geologo"/>
        <s v="Insumos de Enfermeria"/>
        <s v="Convenio Equipos"/>
        <s v="Carro"/>
        <s v="Amarras y Elasticos"/>
        <s v="EPP"/>
        <s v="Cerraduras"/>
        <s v="Sensores"/>
        <s v="Tazon"/>
        <s v="Lapiz Pasta"/>
        <s v="Arreglos"/>
        <s v="Servicio Calibración-Certificación"/>
        <s v="Mantención equipos médicos"/>
        <s v="Mantenciones correctivas"/>
        <s v="Mantenciones Preventivas"/>
        <s v="Mantención Correctiva Equipos"/>
        <s v="Insumos Clinicos"/>
        <s v="Equipamiento Medico"/>
        <s v="Insumos Kinesicos"/>
        <s v="Gesto Ceremonial"/>
        <s v="Evento"/>
        <s v="Yogurth"/>
        <s v="Remodelación"/>
        <s v="Artículos de limpieza"/>
        <s v="Productos Cafeteria"/>
        <s v="Sillas, Toldos, Mesas"/>
        <s v="Parlante"/>
        <s v="Reloj"/>
        <s v="Mochila"/>
        <s v="Software"/>
        <s v="Ambulancia"/>
        <s v="Calzado"/>
        <s v="Vestuario"/>
        <s v="Bloqueador solar"/>
        <s v="Insumos de Pastillas"/>
        <s v="Abarrotes"/>
        <s v="Cinta Porta Credencial"/>
        <s v="Porta Credencial"/>
        <s v="Cinta Color Impresora"/>
        <s v="Tarjeta PVC"/>
        <s v="Kit Limpieza"/>
        <s v="Sillas"/>
        <s v="Equipo Medico"/>
        <s v="Construcción"/>
        <s v="Servilletas"/>
        <s v="Equipo Terapia"/>
        <s v="Mantenimiento Cubiertas"/>
        <s v="Chalecos"/>
        <s v="Moulage"/>
        <s v="Zapatos Seguridad"/>
        <s v="Materiales"/>
        <s v="Apoya Pies - Alzador Pies - Alza Monitor"/>
        <s v="Articulos Mantenimiento"/>
        <s v="Cámara - Micrófono"/>
        <s v="Cinta"/>
        <s v="Retiro"/>
        <s v="Balon-Pinza-Especulo"/>
        <s v="Insumos Rehabilitación"/>
        <s v="Tela - Alfombra"/>
        <s v="Cojines"/>
        <s v="Equipamiento no Medico"/>
        <s v="Contenedor"/>
        <s v="Presentador láser"/>
        <s v="Cortinas"/>
        <s v="Materiales de Mantenimiento Reparaciones"/>
        <s v="Basurero"/>
        <s v="Hacha"/>
        <s v="Luces, manguera, tapa"/>
        <s v="Lentes de Seguridad"/>
        <s v="Artículos Cocina"/>
        <s v="Caja Plastica"/>
        <s v="Artículos Jardín"/>
        <s v="Endoscopia"/>
        <s v="Mesa Pegable"/>
        <s v="Alfombras"/>
        <s v="Aire Acondicionado -Aspiradora - Congelador -Refrigerador - Televisor-Microondas"/>
        <s v="Sillas - Escritorios"/>
        <s v="Bodega Lata - Cocina a gas"/>
        <s v="Calentador-Parlante-Aparato Electronico -"/>
        <s v="Plancha"/>
        <s v="Espacio Radial"/>
        <s v="Escalera"/>
        <s v="Orilladora"/>
        <s v="FOCO - SECADOR"/>
        <s v="Impresora"/>
        <s v="Difusión Radial"/>
        <s v="Etiquetas"/>
        <s v="Insumos de Impresora"/>
        <s v="Material Promocional"/>
        <s v="Feria Salud"/>
        <s v="Viales VPH"/>
        <s v="Megafono"/>
        <s v="Mueble aéreo"/>
        <s v="Baterias"/>
        <s v="Cables y Sensores"/>
        <s v="Maleta - Cooler"/>
        <s v="Profesor Instructor"/>
        <s v="Agua Mineral"/>
        <s v="Articulos de Oficina"/>
        <s v="Equipos Computacionales"/>
        <s v="Articulos de Cocina"/>
        <s v="Focos"/>
        <s v="Kit de aseo"/>
        <s v="Quantiferon"/>
        <s v="Mantención equipos críticos"/>
        <s v="Pendrives"/>
        <s v="Porta Planos + Cinta Credencial"/>
        <s v="Pendones"/>
        <s v="Papelero"/>
        <s v="Tintas y Toner"/>
        <s v="Insumos Higiene Oral"/>
        <s v="Bateria"/>
        <s v="Convenio Oxigenoterapia"/>
        <s v="Insumos Odontologicos - Instrumentales"/>
        <s v="Licencia"/>
        <s v="Repisas"/>
        <s v="Artículos Computacionales"/>
        <s v="Termolaminadora"/>
        <s v="Insumos Odontologicos - Insumos Dentales"/>
        <s v="Libros"/>
        <s v="Oximetro"/>
        <s v="Material de Libreria"/>
        <s v="Neumaticos"/>
        <s v="Cuaderno"/>
        <s v="Cartucho color"/>
        <s v="Artículos de librería"/>
        <s v="Decoración y Premios"/>
        <s v="Disco Duros"/>
        <s v="Insumos de alimentación"/>
        <s v="Polera de trabajo"/>
        <s v="Bandanas"/>
        <s v="Servicio Relatoría"/>
        <s v="Tarjetas de Alimentación"/>
        <s v="Servicio de Cafetería"/>
        <s v="Artículos de Oficina"/>
        <s v="Pila"/>
        <s v="Caja plástica"/>
        <s v="Alojamiento"/>
        <s v="Artículos médicos y clínicos"/>
        <s v="Materiales de curación"/>
        <s v="Equipamiento médico"/>
        <s v="Linterna"/>
        <s v="Material de Curación"/>
        <s v="Diptico"/>
        <s v="Artículos de cocina"/>
        <s v="Útiles de aseo"/>
        <s v="Artículos de cocina textiles"/>
        <s v="Fósforos"/>
        <s v="Curso"/>
        <s v="Productos Alcohol"/>
        <s v="Toallas"/>
        <s v="Ecotomografia Abdominal"/>
        <s v="Ecotomografia Mamaria"/>
        <s v="Vasos desechables"/>
        <s v="Informes Radiografias Mamografias"/>
        <s v="Informes Radiografias Simple"/>
        <s v="Bolsa Regalos"/>
        <s v="Dosimetria"/>
        <s v="Convenio Movil"/>
        <s v="Insumos Dentales"/>
        <s v="Servicios de Impresion"/>
        <s v="Bodega Lata"/>
        <s v="Balanza"/>
        <s v="Riñones"/>
        <s v="Accesorios"/>
        <s v="Termohidrometro"/>
        <s v="Artículos de librería y oficina"/>
        <s v="Material didáctico y educativo"/>
        <s v="Alcohol gel"/>
        <s v="Bloqueador solar, cinta, guantes, spray, barretilla"/>
        <s v="Artículos de jardinería"/>
        <s v="Atornillador"/>
        <s v="Toma de presión digital"/>
        <s v="Toldos"/>
        <s v="Artículos de Ferretería"/>
        <s v="Esencias Aromaterapia"/>
        <s v="Material Ergoterapia"/>
        <s v="Aparatos Electrónicos"/>
        <s v="Artículos de ferretería, médicos y clínicos, equipamiento médico"/>
        <s v="Servidor"/>
        <s v="Disco Duro"/>
        <s v="Toldo Mesa"/>
        <s v="Tinta Botellas"/>
        <s v="Amplificación"/>
        <s v="Placa Regalos"/>
        <s v="Material de Aseo"/>
        <s v="Higiene"/>
        <s v="Insumos de Rehabilitación"/>
        <s v="Petróleo"/>
        <s v="Eventos y actividades"/>
        <s v="Capacitación"/>
        <s v="Contratación Monitores"/>
        <s v="Servicio Odontológico"/>
        <s v="Servicios Médicos"/>
        <s v="Cera"/>
        <s v="Guantes"/>
        <s v="Hidrolavadora"/>
        <s v="Materiales de Enseñanza"/>
        <s v="Servicio de Cafeteria"/>
        <s v="Marcos-Arreglo-Globo"/>
        <s v="SIllas - Sillones"/>
        <s v="Televisor-Aire-Aspiradora"/>
        <s v="Escritorio-Mobiliario-BodegaLata"/>
        <s v="Equipos Menores"/>
        <s v="Delantal de Cocina"/>
        <s v="Textiles y Acabados Textiles"/>
        <s v="Materiales para Mantenimiento y Reparaciones de Inmuebles"/>
        <s v="Adquisición de Mobiliario y Otros (Bases de camas)"/>
        <s v="Productos Elaborados de Cuero, Caucho y Plásticos"/>
        <s v="Otros (Artículos de Ferretería y Equipamiento diverso)"/>
        <s v="Calzado (Botas de goma)"/>
        <s v="Productos Agropecuarios y Forestales (Artículos de Jardinería)"/>
        <s v="Otros Materiales y Útiles de Aseo (Basureros)"/>
        <s v="Otros Materiales para Mantenimiento (Hacha, Rodillos)"/>
        <s v="Vestuario y Accesorios para el Personal (Overoles)"/>
      </sharedItems>
    </cacheField>
    <cacheField name="Tipo compra" numFmtId="0">
      <sharedItems containsSemiMixedTypes="0" containsString="0" containsNumber="1" containsInteger="1" minValue="1" maxValue="5"/>
    </cacheField>
    <cacheField name="Cantidad Productos" numFmtId="0">
      <sharedItems containsSemiMixedTypes="0" containsString="0" containsNumber="1" containsInteger="1" minValue="1" maxValue="250000"/>
    </cacheField>
    <cacheField name="Monto Unitario Ítem" numFmtId="42">
      <sharedItems containsSemiMixedTypes="0" containsString="0" containsNumber="1" containsInteger="1" minValue="13" maxValue="2783713888" count="483">
        <n v="90000000"/>
        <n v="20136000"/>
        <n v="130000000"/>
        <n v="80865750"/>
        <n v="156722240"/>
        <n v="45150000"/>
        <n v="300000000"/>
        <n v="794718407"/>
        <n v="1491521358"/>
        <n v="236000000"/>
        <n v="20000000"/>
        <n v="1810393810"/>
        <n v="2096280"/>
        <n v="1953705"/>
        <n v="12500000"/>
        <n v="32076748"/>
        <n v="39525850"/>
        <n v="56940000"/>
        <n v="416000"/>
        <n v="1438000"/>
        <n v="140000"/>
        <n v="903000"/>
        <n v="496400"/>
        <n v="464000"/>
        <n v="1630000"/>
        <n v="279000"/>
        <n v="916000"/>
        <n v="425600"/>
        <n v="4500"/>
        <n v="150000000"/>
        <n v="216000000"/>
        <n v="70000000"/>
        <n v="39500000"/>
        <n v="31500000"/>
        <n v="16500000"/>
        <n v="2750000"/>
        <n v="80000000"/>
        <n v="19000000"/>
        <n v="17500000"/>
        <n v="18000000"/>
        <n v="26000000"/>
        <n v="500000000"/>
        <n v="95481792"/>
        <n v="15143"/>
        <n v="53900"/>
        <n v="58280"/>
        <n v="268434000"/>
        <n v="207200000"/>
        <n v="22315"/>
        <n v="84050"/>
        <n v="12957500"/>
        <n v="23924290"/>
        <n v="288300"/>
        <n v="146000000"/>
        <n v="4687500"/>
        <n v="83594337"/>
        <n v="12740000"/>
        <n v="40000000"/>
        <n v="2000000"/>
        <n v="33600000"/>
        <n v="96100000"/>
        <n v="200400000"/>
        <n v="30000000"/>
        <n v="5777778"/>
        <n v="1000000"/>
        <n v="25000000"/>
        <n v="35000000"/>
        <n v="15000000"/>
        <n v="281600"/>
        <n v="28000000"/>
        <n v="24000000"/>
        <n v="3445000"/>
        <n v="500000"/>
        <n v="714286"/>
        <n v="17428572"/>
        <n v="41000"/>
        <n v="1250000"/>
        <n v="20000"/>
        <n v="660000"/>
        <n v="7695"/>
        <n v="100667"/>
        <n v="450"/>
        <n v="850000"/>
        <n v="250000"/>
        <n v="85000"/>
        <n v="19762925"/>
        <n v="13000"/>
        <n v="6250"/>
        <n v="1900"/>
        <n v="30000"/>
        <n v="39586574"/>
        <n v="6143"/>
        <n v="29722680"/>
        <n v="2929"/>
        <n v="642"/>
        <n v="1894"/>
        <n v="5320"/>
        <n v="4721"/>
        <n v="15000"/>
        <n v="70000"/>
        <n v="4441"/>
        <n v="8000"/>
        <n v="2615"/>
        <n v="2711"/>
        <n v="9000"/>
        <n v="26000"/>
        <n v="13334"/>
        <n v="17924"/>
        <n v="62000"/>
        <n v="1400"/>
        <n v="25000"/>
        <n v="1379"/>
        <n v="73915"/>
        <n v="1122"/>
        <n v="211"/>
        <n v="4380"/>
        <n v="2520"/>
        <n v="68"/>
        <n v="1729"/>
        <n v="13"/>
        <n v="37000000"/>
        <n v="4000"/>
        <n v="3494"/>
        <n v="62500"/>
        <n v="750000"/>
        <n v="13014"/>
        <n v="17334"/>
        <n v="9600"/>
        <n v="11875"/>
        <n v="5044"/>
        <n v="7334"/>
        <n v="600"/>
        <n v="75000"/>
        <n v="691"/>
        <n v="130000"/>
        <n v="5250"/>
        <n v="1181"/>
        <n v="3889"/>
        <n v="949"/>
        <n v="1500"/>
        <n v="50000"/>
        <n v="2091"/>
        <n v="3000000"/>
        <n v="18154"/>
        <n v="150000"/>
        <n v="132143"/>
        <n v="36667"/>
        <n v="100000"/>
        <n v="33226"/>
        <n v="40000"/>
        <n v="75000000"/>
        <n v="107000"/>
        <n v="466667"/>
        <n v="1500000"/>
        <n v="1000"/>
        <n v="300"/>
        <n v="60000"/>
        <n v="50"/>
        <n v="775"/>
        <n v="1320"/>
        <n v="790"/>
        <n v="6116"/>
        <n v="350000"/>
        <n v="2267"/>
        <n v="99"/>
        <n v="513"/>
        <n v="2230"/>
        <n v="11618"/>
        <n v="10875"/>
        <n v="157"/>
        <n v="12000"/>
        <n v="110000"/>
        <n v="771"/>
        <n v="1228"/>
        <n v="77778"/>
        <n v="583334"/>
        <n v="800000"/>
        <n v="3500000"/>
        <n v="133334"/>
        <n v="600000"/>
        <n v="4000000"/>
        <n v="5500000"/>
        <n v="7000"/>
        <n v="2600"/>
        <n v="69445"/>
        <n v="15625"/>
        <n v="18300000"/>
        <n v="21200000"/>
        <n v="9200000"/>
        <n v="6095"/>
        <n v="60000000"/>
        <n v="11000000"/>
        <n v="2595"/>
        <n v="7080"/>
        <n v="5100"/>
        <n v="4231"/>
        <n v="7500"/>
        <n v="5000"/>
        <n v="3000"/>
        <n v="21125"/>
        <n v="82"/>
        <n v="8334"/>
        <n v="2067"/>
        <n v="509"/>
        <n v="286"/>
        <n v="813715"/>
        <n v="1087"/>
        <n v="1072"/>
        <n v="2783713888"/>
        <n v="200000"/>
        <n v="170"/>
        <n v="26094"/>
        <n v="300000"/>
        <n v="233334"/>
        <n v="5594"/>
        <n v="11000"/>
        <n v="18000"/>
        <n v="500"/>
        <n v="1295"/>
        <n v="1112500"/>
        <n v="616667"/>
        <n v="6000000"/>
        <n v="89596"/>
        <n v="1350000"/>
        <n v="10152"/>
        <n v="10000"/>
        <n v="580665"/>
        <n v="46400"/>
        <n v="1917"/>
        <n v="156"/>
        <n v="571667"/>
        <n v="4830"/>
        <n v="1391"/>
        <n v="31750"/>
        <n v="45000"/>
        <n v="23966"/>
        <n v="450000"/>
        <n v="1400000"/>
        <n v="108183000"/>
        <n v="80000"/>
        <n v="130"/>
        <n v="53"/>
        <n v="2240"/>
        <n v="1313"/>
        <n v="990"/>
        <n v="530"/>
        <n v="120"/>
        <n v="266667"/>
        <n v="75964000"/>
        <n v="66699000"/>
        <n v="1680000000"/>
        <n v="250000000"/>
        <n v="55000000"/>
        <n v="701054"/>
        <n v="525000"/>
        <n v="10000000"/>
        <n v="200000000"/>
        <n v="86892000"/>
        <n v="42183000"/>
        <n v="9566000"/>
        <n v="7621000"/>
        <n v="97703000"/>
        <n v="196076000"/>
        <n v="44778000"/>
        <n v="57632000"/>
        <n v="103000000"/>
        <n v="704255000"/>
        <n v="874576000"/>
        <n v="1058222000"/>
        <n v="916961000"/>
        <n v="888441000"/>
        <n v="6442000"/>
        <n v="64156000"/>
        <n v="1904912000"/>
        <n v="12678000"/>
        <n v="5954000"/>
        <n v="630000"/>
        <n v="83334"/>
        <n v="40289000"/>
        <n v="316236000"/>
        <n v="2076"/>
        <n v="315219"/>
        <n v="420000"/>
        <n v="49990"/>
        <n v="14375"/>
        <n v="360000"/>
        <n v="18889"/>
        <n v="43366"/>
        <n v="106383"/>
        <n v="4762"/>
        <n v="220000"/>
        <n v="57693"/>
        <n v="991"/>
        <n v="30455"/>
        <n v="2400000"/>
        <n v="4227"/>
        <n v="37334"/>
        <n v="4167"/>
        <n v="12500"/>
        <n v="107275"/>
        <n v="16000"/>
        <n v="22449"/>
        <n v="9566"/>
        <n v="15600"/>
        <n v="400000"/>
        <n v="3070"/>
        <n v="8572"/>
        <n v="3671"/>
        <n v="14500000"/>
        <n v="120000"/>
        <n v="7000000"/>
        <n v="112500"/>
        <n v="345000"/>
        <n v="330000"/>
        <n v="357000"/>
        <n v="6000"/>
        <n v="375000"/>
        <n v="1666667"/>
        <n v="12733"/>
        <n v="1050"/>
        <n v="52734"/>
        <n v="53495"/>
        <n v="180000"/>
        <n v="16429"/>
        <n v="693334"/>
        <n v="28572"/>
        <n v="4600000"/>
        <n v="83816"/>
        <n v="2500000"/>
        <n v="807"/>
        <n v="1192"/>
        <n v="5731000"/>
        <n v="1042000"/>
        <n v="10223"/>
        <n v="2000"/>
        <n v="17693"/>
        <n v="112250"/>
        <n v="108696"/>
        <n v="3031"/>
        <n v="7315"/>
        <n v="55000"/>
        <n v="7119"/>
        <n v="296000000"/>
        <n v="900000"/>
        <n v="501"/>
        <n v="5000000"/>
        <n v="641"/>
        <n v="517242"/>
        <n v="65000"/>
        <n v="150100"/>
        <n v="824"/>
        <n v="70"/>
        <n v="5125"/>
        <n v="16250"/>
        <n v="34616"/>
        <n v="700"/>
        <n v="2778"/>
        <n v="400"/>
        <n v="200"/>
        <n v="1158"/>
        <n v="2578"/>
        <n v="1428000"/>
        <n v="625000"/>
        <n v="1576"/>
        <n v="3223"/>
        <n v="4530"/>
        <n v="60"/>
        <n v="964"/>
        <n v="7625"/>
        <n v="17000"/>
        <n v="12000000"/>
        <n v="88750"/>
        <n v="876984814"/>
        <n v="280246728"/>
        <n v="493463899"/>
        <n v="424384098"/>
        <n v="17500"/>
        <n v="1136"/>
        <n v="205"/>
        <n v="628"/>
        <n v="4250"/>
        <n v="3500"/>
        <n v="3221"/>
        <n v="65"/>
        <n v="3250000"/>
        <n v="839"/>
        <n v="2113"/>
        <n v="969"/>
        <n v="1250"/>
        <n v="10392"/>
        <n v="2492"/>
        <n v="160"/>
        <n v="3449"/>
        <n v="1107"/>
        <n v="4858"/>
        <n v="90000"/>
        <n v="900"/>
        <n v="6611"/>
        <n v="1805"/>
        <n v="1389"/>
        <n v="1700"/>
        <n v="3996070"/>
        <n v="850"/>
        <n v="459"/>
        <n v="175000"/>
        <n v="17397"/>
        <n v="231"/>
        <n v="100"/>
        <n v="1613"/>
        <n v="3334"/>
        <n v="2955"/>
        <n v="2046"/>
        <n v="5455"/>
        <n v="46667"/>
        <n v="1200"/>
        <n v="197770"/>
        <n v="930"/>
        <n v="1200000"/>
        <n v="1164"/>
        <n v="1195"/>
        <n v="3700"/>
        <n v="8150"/>
        <n v="41650"/>
        <n v="91667"/>
        <n v="11667"/>
        <n v="24000"/>
        <n v="717"/>
        <n v="1300"/>
        <n v="4100"/>
        <n v="8929"/>
        <n v="1442"/>
        <n v="35000"/>
        <n v="135"/>
        <n v="173"/>
        <n v="2919"/>
        <n v="1406"/>
        <n v="554"/>
        <n v="1278"/>
        <n v="7881"/>
        <n v="1914"/>
        <n v="35693"/>
        <n v="14571"/>
        <n v="41667"/>
        <n v="1975"/>
        <n v="983"/>
        <n v="71"/>
        <n v="465"/>
        <n v="210"/>
        <n v="10215"/>
        <n v="3850"/>
        <n v="2072"/>
        <n v="8750"/>
        <n v="6313"/>
        <n v="4900"/>
        <n v="6500"/>
        <n v="2678"/>
        <n v="6750"/>
        <n v="112"/>
        <n v="364000"/>
        <n v="73"/>
        <n v="461"/>
        <n v="1053"/>
        <n v="7947"/>
        <n v="375"/>
        <n v="1998"/>
        <n v="2500"/>
        <n v="61364"/>
        <n v="315000"/>
        <n v="294286"/>
        <n v="52223"/>
        <n v="52"/>
        <n v="580"/>
        <n v="75"/>
        <n v="227"/>
        <n v="11950"/>
        <n v="230"/>
        <n v="31112"/>
        <n v="3884"/>
        <n v="7651"/>
        <n v="15610"/>
        <n v="7237"/>
        <n v="3187"/>
        <n v="4584"/>
      </sharedItems>
    </cacheField>
    <cacheField name="Monto Total Ítem Año 2026" numFmtId="42">
      <sharedItems containsSemiMixedTypes="0" containsString="0" containsNumber="1" containsInteger="1" minValue="0" maxValue="1904912000" count="502">
        <n v="2500000"/>
        <n v="559333"/>
        <n v="559345"/>
        <n v="3611111"/>
        <n v="3369406"/>
        <n v="3369408"/>
        <n v="6530093"/>
        <n v="6530099"/>
        <n v="6530095"/>
        <n v="6530097"/>
        <n v="1505000"/>
        <n v="12500000"/>
        <n v="33113266"/>
        <n v="33113289"/>
        <n v="41414809"/>
        <n v="9833333"/>
        <n v="9833334"/>
        <n v="9833340"/>
        <n v="833333"/>
        <n v="833334"/>
        <n v="833340"/>
        <n v="75433075"/>
        <n v="75433085"/>
        <n v="9258570"/>
        <n v="5861115"/>
        <n v="520341"/>
        <n v="520333"/>
        <n v="530333"/>
        <n v="521333"/>
        <n v="520833"/>
        <n v="4009593"/>
        <n v="4009605"/>
        <n v="19762925"/>
        <n v="23725000"/>
        <n v="10400000"/>
        <n v="35950000"/>
        <n v="7000000"/>
        <n v="45150000"/>
        <n v="12410000"/>
        <n v="7733333"/>
        <n v="7733335"/>
        <n v="40750000"/>
        <n v="3487500"/>
        <n v="11450000"/>
        <n v="1773333"/>
        <n v="225000"/>
        <n v="6250000"/>
        <n v="12000000"/>
        <n v="5833333"/>
        <n v="5833337"/>
        <n v="3291667"/>
        <n v="2625000"/>
        <n v="7500000"/>
        <n v="916666"/>
        <n v="916678"/>
        <n v="2750000"/>
        <n v="6666300"/>
        <n v="6666700"/>
        <n v="1583333"/>
        <n v="1458333"/>
        <n v="1500000"/>
        <n v="2166667"/>
        <n v="41666666"/>
        <n v="41666674"/>
        <n v="7956816"/>
        <n v="4416666"/>
        <n v="6666666"/>
        <n v="291958"/>
        <n v="291962"/>
        <n v="242833"/>
        <n v="242837"/>
        <n v="7456500"/>
        <n v="17266666"/>
        <n v="20529800"/>
        <n v="32863550"/>
        <n v="7558541"/>
        <n v="7558549"/>
        <n v="1993690"/>
        <n v="1993700"/>
        <n v="2402500"/>
        <n v="6083333"/>
        <n v="4687500"/>
        <n v="6966194"/>
        <n v="6966203"/>
        <n v="849333"/>
        <n v="849338"/>
        <n v="3333333"/>
        <n v="3333337"/>
        <n v="6666674"/>
        <n v="2800000"/>
        <n v="8008333"/>
        <n v="8008337"/>
        <n v="8350000"/>
        <n v="5777778"/>
        <n v="40000000"/>
        <n v="1000000"/>
        <n v="2000000"/>
        <n v="25000000"/>
        <n v="35000000"/>
        <n v="15000000"/>
        <n v="20000000"/>
        <n v="18000000"/>
        <n v="56320000"/>
        <n v="28000000"/>
        <n v="96000000"/>
        <n v="24115000"/>
        <n v="3500000"/>
        <n v="5000002"/>
        <n v="122000004"/>
        <n v="30000000"/>
        <n v="410000"/>
        <n v="1250000"/>
        <n v="300000"/>
        <n v="1320000"/>
        <n v="2000700"/>
        <n v="1510005"/>
        <n v="22500"/>
        <n v="850000"/>
        <n v="540000"/>
        <n v="135000"/>
        <n v="405000"/>
        <n v="450000"/>
        <n v="630000"/>
        <n v="64787500"/>
        <n v="16469109"/>
        <n v="19936910"/>
        <n v="260000"/>
        <n v="675000"/>
        <n v="625000"/>
        <n v="190000"/>
        <n v="150000"/>
        <n v="49483210"/>
        <n v="430010"/>
        <n v="247689000"/>
        <n v="990002"/>
        <n v="1352694"/>
        <n v="2272800"/>
        <n v="500080"/>
        <n v="1468231"/>
        <n v="350000"/>
        <n v="1287890"/>
        <n v="800000"/>
        <n v="180435"/>
        <n v="24399"/>
        <n v="27000"/>
        <n v="52000"/>
        <n v="240012"/>
        <n v="699036"/>
        <n v="124000"/>
        <n v="70000"/>
        <n v="25000"/>
        <n v="8000"/>
        <n v="118594"/>
        <n v="147830"/>
        <n v="921162"/>
        <n v="86299"/>
        <n v="464280"/>
        <n v="25200"/>
        <n v="13600"/>
        <n v="72618"/>
        <n v="13052"/>
        <n v="37000000"/>
        <n v="400000"/>
        <n v="1450010"/>
        <n v="250000"/>
        <n v="1900044"/>
        <n v="104004"/>
        <n v="144000"/>
        <n v="116012"/>
        <n v="176016"/>
        <n v="1071050"/>
        <n v="130000"/>
        <n v="105000"/>
        <n v="45000"/>
        <n v="37792"/>
        <n v="35001"/>
        <n v="74022"/>
        <n v="500000"/>
        <n v="15000"/>
        <n v="370107"/>
        <n v="3000000"/>
        <n v="472004"/>
        <n v="600000"/>
        <n v="3700004"/>
        <n v="2200020"/>
        <n v="200000"/>
        <n v="1030006"/>
        <n v="900000"/>
        <n v="31250000"/>
        <n v="107000"/>
        <n v="1400001"/>
        <n v="45000000"/>
        <n v="120000"/>
        <n v="10000"/>
        <n v="85250"/>
        <n v="40920"/>
        <n v="23700"/>
        <n v="159016"/>
        <n v="23333328"/>
        <n v="700000"/>
        <n v="392191"/>
        <n v="39600"/>
        <n v="681264"/>
        <n v="1672500"/>
        <n v="8155836"/>
        <n v="2175000"/>
        <n v="509936"/>
        <n v="48000"/>
        <n v="220000"/>
        <n v="185040"/>
        <n v="270160"/>
        <n v="700002"/>
        <n v="7000008"/>
        <n v="800004"/>
        <n v="4000000"/>
        <n v="5500000"/>
        <n v="60000"/>
        <n v="17500000"/>
        <n v="1820000"/>
        <n v="1200000"/>
        <n v="2500020"/>
        <n v="0"/>
        <n v="21200000"/>
        <n v="9200000"/>
        <n v="816730"/>
        <n v="60000000"/>
        <n v="11000000"/>
        <n v="176460"/>
        <n v="35400"/>
        <n v="20400"/>
        <n v="110006"/>
        <n v="50000"/>
        <n v="169000"/>
        <n v="100000"/>
        <n v="352600"/>
        <n v="50004"/>
        <n v="624234"/>
        <n v="123178"/>
        <n v="60060"/>
        <n v="5696005"/>
        <n v="150006"/>
        <n v="75040"/>
        <n v="371161848"/>
        <n v="1700000"/>
        <n v="1670016"/>
        <n v="3500010"/>
        <n v="89504"/>
        <n v="110000"/>
        <n v="270000"/>
        <n v="352240"/>
        <n v="4450000"/>
        <n v="3700002"/>
        <n v="6000000"/>
        <n v="1350000"/>
        <n v="994896"/>
        <n v="580665"/>
        <n v="696000"/>
        <n v="2885085"/>
        <n v="47268"/>
        <n v="750000"/>
        <n v="3430002"/>
        <n v="198030"/>
        <n v="126581"/>
        <n v="127000"/>
        <n v="695014"/>
        <n v="20000"/>
        <n v="30000"/>
        <n v="1400000"/>
        <n v="108183000"/>
        <n v="160000"/>
        <n v="390000"/>
        <n v="90100"/>
        <n v="280000"/>
        <n v="245531"/>
        <n v="15600"/>
        <n v="16000"/>
        <n v="198000"/>
        <n v="106000"/>
        <n v="164000"/>
        <n v="75000"/>
        <n v="4000005"/>
        <n v="75964000"/>
        <n v="66699000"/>
        <n v="1680000000"/>
        <n v="80000000"/>
        <n v="250000000"/>
        <n v="55000000"/>
        <n v="90000000"/>
        <n v="9814756"/>
        <n v="525000"/>
        <n v="10000000"/>
        <n v="200000000"/>
        <n v="86892000"/>
        <n v="42183000"/>
        <n v="9566000"/>
        <n v="7621000"/>
        <n v="97703000"/>
        <n v="196076000"/>
        <n v="44778000"/>
        <n v="57632000"/>
        <n v="103000000"/>
        <n v="704255000"/>
        <n v="874576000"/>
        <n v="1058222000"/>
        <n v="916961000"/>
        <n v="888441000"/>
        <n v="6442000"/>
        <n v="64156000"/>
        <n v="1904912000"/>
        <n v="12678000"/>
        <n v="5954000"/>
        <n v="500004"/>
        <n v="40289000"/>
        <n v="316236000"/>
        <n v="153624"/>
        <n v="17000"/>
        <n v="3000"/>
        <n v="80000"/>
        <n v="35304528"/>
        <n v="420000"/>
        <n v="299940"/>
        <n v="230000"/>
        <n v="720000"/>
        <n v="170001"/>
        <n v="8196174"/>
        <n v="5000001"/>
        <n v="300006"/>
        <n v="1500018"/>
        <n v="218020"/>
        <n v="335005"/>
        <n v="2400000"/>
        <n v="76086"/>
        <n v="224004"/>
        <n v="960000"/>
        <n v="650000"/>
        <n v="3861900"/>
        <n v="1100001"/>
        <n v="1100090"/>
        <n v="746010"/>
        <n v="96000"/>
        <n v="480032"/>
        <n v="334061"/>
        <n v="14500000"/>
        <n v="2760000"/>
        <n v="2310000"/>
        <n v="240000"/>
        <n v="1428000"/>
        <n v="360000"/>
        <n v="50932000"/>
        <n v="780000"/>
        <n v="63000"/>
        <n v="3164040"/>
        <n v="2353780"/>
        <n v="115003"/>
        <n v="4160004"/>
        <n v="200004"/>
        <n v="4600000"/>
        <n v="6370016"/>
        <n v="40002"/>
        <n v="25017"/>
        <n v="367136"/>
        <n v="5731000"/>
        <n v="1042000"/>
        <n v="1302600"/>
        <n v="184014"/>
        <n v="18000"/>
        <n v="230009"/>
        <n v="1796000"/>
        <n v="2500008"/>
        <n v="500115"/>
        <n v="4059825"/>
        <n v="550000"/>
        <n v="783090"/>
        <n v="726450"/>
        <n v="5000000"/>
        <n v="316013"/>
        <n v="15000018"/>
        <n v="150100"/>
        <n v="84048"/>
        <n v="14000"/>
        <n v="20500"/>
        <n v="65000"/>
        <n v="450008"/>
        <n v="2000160"/>
        <n v="7200000"/>
        <n v="440040"/>
        <n v="2578000"/>
        <n v="9000000"/>
        <n v="271072"/>
        <n v="58014"/>
        <n v="385050"/>
        <n v="121800"/>
        <n v="132068"/>
        <n v="305000"/>
        <n v="68000"/>
        <n v="3550000"/>
        <n v="876984814"/>
        <n v="280246728"/>
        <n v="493463899"/>
        <n v="424384098"/>
        <n v="35000"/>
        <n v="180000"/>
        <n v="5255136"/>
        <n v="493230"/>
        <n v="768672"/>
        <n v="170000"/>
        <n v="380078"/>
        <n v="131430"/>
        <n v="195000000"/>
        <n v="1800000"/>
        <n v="5400000"/>
        <n v="738320"/>
        <n v="169040"/>
        <n v="3100800"/>
        <n v="239016"/>
        <n v="1074052"/>
        <n v="480320"/>
        <n v="10002100"/>
        <n v="809217"/>
        <n v="340060"/>
        <n v="3960000"/>
        <n v="40000"/>
        <n v="112387"/>
        <n v="43320"/>
        <n v="25002"/>
        <n v="1700"/>
        <n v="15984280"/>
        <n v="350200"/>
        <n v="550800"/>
        <n v="15135390"/>
        <n v="158235"/>
        <n v="4000"/>
        <n v="729076"/>
        <n v="40008000"/>
        <n v="65010"/>
        <n v="45012"/>
        <n v="120010"/>
        <n v="700005"/>
        <n v="395540"/>
        <n v="930000"/>
        <n v="1164000"/>
        <n v="1195000"/>
        <n v="1850000"/>
        <n v="815000"/>
        <n v="833000"/>
        <n v="550002"/>
        <n v="280008"/>
        <n v="684735"/>
        <n v="204100"/>
        <n v="123000"/>
        <n v="500024"/>
        <n v="175014"/>
        <n v="490280"/>
        <n v="2280150"/>
        <n v="193760"/>
        <n v="350280"/>
        <n v="506160"/>
        <n v="343480"/>
        <n v="230040"/>
        <n v="2364300"/>
        <n v="220110"/>
        <n v="464009"/>
        <n v="1559097"/>
        <n v="1975000"/>
        <n v="442000"/>
        <n v="501330"/>
        <n v="49700"/>
        <n v="186000"/>
        <n v="679980"/>
        <n v="715050"/>
        <n v="308000"/>
        <n v="145040"/>
        <n v="385000"/>
        <n v="1010080"/>
        <n v="490000"/>
        <n v="156000"/>
        <n v="166036"/>
        <n v="73472"/>
        <n v="364000"/>
        <n v="157680"/>
        <n v="647705"/>
        <n v="845559"/>
        <n v="4498002"/>
        <n v="438750"/>
        <n v="791208"/>
        <n v="2700016"/>
        <n v="1260000"/>
        <n v="2060002"/>
        <n v="470007"/>
        <n v="275496"/>
        <n v="781840"/>
        <n v="165750"/>
        <n v="579758"/>
        <n v="239000"/>
        <n v="57500000"/>
        <n v="2563440"/>
        <n v="4093285"/>
        <n v="1201970"/>
        <n v="948047"/>
        <n v="549000"/>
        <n v="290017"/>
        <n v="55008"/>
      </sharedItems>
    </cacheField>
    <cacheField name="Cantidad OC" numFmtId="0">
      <sharedItems containsSemiMixedTypes="0" containsString="0" containsNumber="1" containsInteger="1" minValue="1" maxValue="36" count="16">
        <n v="36"/>
        <n v="24"/>
        <n v="30"/>
        <n v="32"/>
        <n v="1"/>
        <n v="18"/>
        <n v="7"/>
        <n v="4"/>
        <n v="2"/>
        <n v="6"/>
        <n v="8"/>
        <n v="12"/>
        <n v="16"/>
        <n v="15"/>
        <n v="10"/>
        <n v="3"/>
      </sharedItems>
    </cacheField>
    <cacheField name="Meses envío OC" numFmtId="0">
      <sharedItems containsDate="1" containsMixedTypes="1" minDate="2026-01-01T00:00:00" maxDate="2026-12-02T00:00:00" count="50" longText="1">
        <s v="01-01-2024,01-02-2024,01-03-2024,01-04-2024,01-05-2024,01-06-2024,01-07-2024,01-08-2024,01-09-2024,01-10-2024,01-11-2024,01-12-2024,01-01-2025,01-02-2025,01-03-2025,01-04-2025,01-05-2025,01-06-2025,01-07-2025,01-08-2025,01-09-2025,01-10-2025,01-11-2025,01-12-2025,01-01-2026,01-02-2026,01-03-2026,01-04-2026,01-05-2026,01-06-2026,01-07-2026,01-08-2026,01-09-2026,01-10-2026,01-11-2026,01-12-2026"/>
        <s v="01-06-2024,01-07-2024,01-08-2024,01-09-2024,01-10-2024,01-11-2024,01-12-2024,01-01-2025,01-02-2025,01-03-2025,01-04-2025,01-05-2025,01-06-2025,01-07-2025,01-08-2025,01-09-2025,01-10-2025,01-11-2025,01-12-2025,01-01-2026,01-02-2026,01-03-2026,01-04-2026,01-05-2026,01-06-2026,01-07-2026,01-08-2026,01-09-2026,01-10-2026,01-11-2026,01-12-2026,01-01-2027,01-02-2027,01-03-2027,01-04-2027,01-05-2024"/>
        <s v="01-01-2025,01-02-2025,01-03-2025,01-04-2025,01-05-2025,01-06-2025,01-07-2025,01-08-2025,01-09-2025,01-10-2025,01-11-2025,01-12-2025,01-01-2026,01-02-2026,01-03-2026,01-04-2026,01-05-2026,01-06-2026,01-07-2026,01-08-2026,01-09-2026,01-10-2026,01-11-2026,01-12-2026"/>
        <s v="01-01-2025,01-02-2025,01-03-2025,01-04-2025,01-05-2025,01-06-2025,01-07-2025,01-08-2025,01-09-2025,01-10-2025,01-11-2025,01-12-2025,01-01-2026,01-02-2026,01-03-2026,01-04-2026,01-05-2026,01-06-2026,01-07-2026,01-08-2026,01-09-2026,01-10-2026,01-11-2026,01-12-2026,01-01-2027,01-02-2027,01-03-2027,01-04-2027,01-05-2027,01-06-2027"/>
        <s v="01-01-2026,01-02-2026,01-03-2026,01-04-2026,01-05-2026,01-06-2026,01-07-2026,01-08-2026,01-09-2026,01-10-2026,01-11-2026,01-12-2026,01-01-2027,01-02-2027,01-03-2027,01-04-2027,01-05-2027,01-06-2027,01-07-2027,01-08-2027,01-09-2027,01-10-2027,01-11-2027,01-12-2027,01-01-2028,01-02-2028,01-03-2028,01-04-2028,01-05-2028,01-06-2028,01-07-2028,01-08-2028"/>
        <s v="01-07-2025,01-08-2025,01-09-2025,01-10-2025,01-11-2025,01-12-2025,01-01-2026,01-02-2026,01-03-2026,01-04-2026,01-05-2026,01-06-2026,01-07-2026,01-08-2026,01-09-2026,01-10-2026,01-11-2026,01-12-2026"/>
        <s v="01-06-2026,01-12-2026,01-06-2027,01-12-2027"/>
        <s v="01-03-2026,01-12-2026,01-03-2027,01-12-2027"/>
        <s v="01-10-2026,01-10-2027"/>
        <s v="01-07-2026,01-07-2027"/>
        <s v="01-03-2026,01-09-2026,01-03-2027,01-09-2027"/>
        <s v="01-06-2026,01-11-2026,01-12-2026,01-06-2027,01-11-2027,01-12-2027"/>
        <s v="01-04-2027,01-05-2027,01-08-2027,01-10-2027,01-04-2026,01-05-2026,01-08-2026,01-10-2026"/>
        <s v="01-02-2026,01-05-2026,01-08-2026,01-11-2026,01-02-2027,01-05-2027,01-08-2027,01-11-2027"/>
        <s v="01-01-2026,01-02-2026,01-03-2026,01-04-2026,01-05-2026,01-06-2026,01-07-2026,01-08-2026,01-09-2026,01-10-2026,01-11-2026,01-12-2026,01-01-2027,01-02-2027,01-03-2027,01-04-2027,01-05-2027,01-06-2027,01-07-2027,01-08-2027,01-09-2027,01-10-2027,01-11-2027,01-12-2027"/>
        <s v="01-03-2026,01-03-2027"/>
        <s v="01-05-2025,01-06-2025,01-07-2025,01-08-2025,01-09-2025,01-10-2025,01-11-2025,01-12-2025,01-01-2026,01-02-2026,01-03-2026,01-04-2026,01-05-2026,01-06-2026,01-07-2026,01-08-2026,01-09-2026,01-10-2026,01-11-2026,01-12-2026,01-01-2027,01-02-2027,01-03-2027,01-04-2027"/>
        <s v="01-08-2025,01-09-2025,01-10-2025,01-11-2025,01-12-2025,01-01-2026,01-02-2026,01-03-2026,01-04-2026,01-05-2026,01-06-2026,01-07-2026"/>
        <s v="01-02-2026,01-03-2026,01-04-2026,01-05-2026,01-06-2026,01-07-2026,01-08-2026,01-09-2026,01-10-2026,01-11-2026,01-12-2026,01-01-2027"/>
        <s v="01-02-2026,01-03-2026,01-04-2026,01-05-2026,01-06-2026,01-07-2026,01-08-2026,01-09-2026,01-10-2026,01-11-2026,01-12-2026,01-01-2026"/>
        <s v="01-01-2026,01-02-2026,01-03-2026,01-04-2026,01-05-2026,01-06-2026,01-07-2026,01-08-2026,01-09-2026,01-10-2026,01-11-2026,01-12-2026"/>
        <s v="01-11-2025,01-12-2025,01-01-2026,01-02-2026,01-03-2026,01-04-2026,01-05-2026,01-06-2026,01-07-2026,01-08-2026,01-09-2026,01-10-2026,01-11-2026,01-12-2026,01-01-2027,01-02-2027,01-03-2027,01-04-2027,01-05-2027,01-06-2027,01-07-2027,01-08-2027,01-09-2027,01-10-2027,01-11-2027,01-12-2027,01-01-2028,01-02-2028,01-03-2028,01-04-2028,01-05-2028,01-06-2028"/>
        <s v="01-09-2025,01-10-2025,01-11-2025,01-12-2025,01-01-2026,01-02-2026,01-03-2026,01-04-2026,01-05-2026,01-06-2026,01-07-2026,01-08-2026,01-09-2026,01-10-2026,01-11-2026,01-12-2026"/>
        <s v="01-10-2025,01-11-2025,01-12-2025,01-01-2026,01-02-2026,01-03-2026,01-04-2026,01-05-2026,01-06-2026,01-07-2026,01-08-2026,01-09-2026,01-10-2026,01-11-2026,01-12-2026"/>
        <d v="2026-04-01T00:00:00"/>
        <d v="2026-06-01T00:00:00"/>
        <d v="2026-09-01T00:00:00"/>
        <d v="2026-10-01T00:00:00"/>
        <d v="2026-11-01T00:00:00"/>
        <d v="2026-12-01T00:00:00"/>
        <s v="01-03-2026,01-04-2026,01-05-2026,01-06-2026,01-07-2026,01-08-2026,01-09-2026,01-10-2026,01-11-2026,01-12-2026"/>
        <d v="2026-05-01T00:00:00"/>
        <d v="2026-03-01T00:00:00"/>
        <d v="2026-07-01T00:00:00"/>
        <s v="01-07-2026,01-09-2026,01-12-2026"/>
        <d v="2026-01-01T00:00:00"/>
        <d v="2026-08-01T00:00:00"/>
        <s v="01-03-2026,01-04-2026,01-05-2026,01-06-2026,01-07-2026,01-08-2026,01-09-2026,01-10-2026,01-11-2026,01-12-2026,01-01-2027,01-02-2027"/>
        <d v="2026-02-01T00:00:00"/>
        <s v="01-03-2026,01-04-2026,01-05-2026,01-06-2026,01-07-2026,01-08-2026,01-09-2026,01-10-2026,01-11-2026,01-12-2026,01-01-2027,01-02-2027,01-03-2027,01-04-2027,01-05-2027,01-06-2027,01-07-2027,01-08-2027,01-09-2027,01-10-2027,01-11-2027,01-12-2027,01-01-2028,01-02-2028"/>
        <s v="01-08-2026,01-09-2026,01-10-2026,01-11-2026,01-12-2026,01-01-2027,01-02-2027,01-03-2027,01-04-2027,01-05-2027,01-06-2027,01-07-2027"/>
        <s v="01-05-2026,01-06-2026,01-07-2026,01-08-2026,01-09-2026,01-10-2026,01-11-2026,01-12-2026,01-01-2027,01-02-2027,01-03-2027,01-04-2027"/>
        <s v="01-03-2026,01-05-2026,01-07-2026,01-09-2026"/>
        <s v="01-01-2027,01-02-2027,01-03-2027,01-04-2027,01-05-2027,01-06-2027,01-07-2027,01-08-2027,01-09-2027,01-10-2027,01-11-2027,01-12-2027"/>
        <s v="01-05-2026,01-06-2026,01-07-2026,01-08-2026,01-09-2026,01-10-2026,01-11-2026,01-12-2026,01-01-2027,01-02-2027,01-03-2027,01-04-2027,01-05-2027,01-06-2027,01-07-2027,01-08-2027,01-09-2027,01-10-2027,01-11-2027,01-12-2027,01-01-2028,01-02-2028,01-03-2028,01-04-2028,01-05-2028,01-06-2028,01-07-2028,01-08-2028,01-09-2028,01-10-2028,01-11-2028,01-12-2028"/>
        <s v="01-03-2026,01-06-2026,01-09-2026"/>
        <s v="01-03-2026,01-06-2026,01-09-2026,01-12-2026"/>
        <s v="01-01-2027,01-02-2027,01-03-2027,01-04-2027,01-05-2027,01-06-2027,01-07-2027,01-08-2027,01-09-2027,01-10-2027,01-11-2027,01-12-2027,01-01-2028,01-02-2028,01-03-2028,01-04-2028,01-05-2028,01-06-2028,01-07-2028,01-08-2028,01-09-2028,01-10-2028,01-11-2028,01-12-2028"/>
        <s v="01-04-2026,01-05-2026"/>
        <s v="01-06-2026,01-08-2026,01-09-2026,01-12-2026"/>
      </sharedItems>
    </cacheField>
    <cacheField name="Nombre responsable" numFmtId="0">
      <sharedItems count="107">
        <s v="Bruno Ojeda Alvarez"/>
        <s v="Felipe Salvo Barriga"/>
        <s v="CATALINA VERA"/>
        <s v="Antonia Caifil"/>
        <s v="KARIN SCHOLZ"/>
        <s v="Felipe Salvo"/>
        <s v="JORGE OYARZUN SILVA"/>
        <s v="Mario Aburto Foitzich"/>
        <s v="CATALINA VERA CASTRO"/>
        <s v="Lorena Torres Castillo"/>
        <s v="Alvaro Montecinos"/>
        <s v="ESTEBAN ALARCON BOHLE"/>
        <s v="Angelo Palma"/>
        <s v="Khris Silva Vargas"/>
        <s v="ELEUTERIO ROMAN"/>
        <s v="Sofia Reyes"/>
        <s v="Luis Flores Merino"/>
        <s v="SOFIA REYES ALARCON"/>
        <s v="Sandra Espinoza"/>
        <s v="Maria Ines Asenjo Soto"/>
        <s v="Yuvit García-Chacur"/>
        <s v="Pedro Fritz Cardeans"/>
        <s v="Camila Roa"/>
        <s v="Ximena Campos Gueicha"/>
        <s v="Consuelo Cordova"/>
        <s v="Carlos López"/>
        <s v="Javiera Gajardo"/>
        <s v="Claudia Muñoz"/>
        <s v="Antonia Caifil Martínez"/>
        <s v="Camila Alvarez Velasquez"/>
        <s v="Cecilia Garay L"/>
        <s v="Daniela Jara Cerda"/>
        <s v="Raul Nuñez Vega"/>
        <s v="Garibe Gallardo Trujillo"/>
        <s v="María Teresa Jaramillo Vergara"/>
        <s v="Pablo Oyarzo"/>
        <s v="Claudia Centeno"/>
        <s v="Karin Avila"/>
        <s v="Chessarina Tuchie Fischer"/>
        <s v="Mario Barrientos"/>
        <s v="Silvia Delgado"/>
        <s v="Camilo Martínez"/>
        <s v="Pedro Huito"/>
        <s v="Carolina Silva"/>
        <s v="Pedro Fritz"/>
        <s v="Daniela Barria"/>
        <s v="Yanet Gutierrez"/>
        <s v="Marcia Delarze"/>
        <s v="Jocelyne Prieto"/>
        <s v="Daniela Soto"/>
        <s v="Lhya Kortmann"/>
        <s v="Camila Alvarez"/>
        <s v="Fernando Roman"/>
        <s v="Daniela Cancino"/>
        <s v="Kassandra Fernandez"/>
        <s v="Venecia Recabarren"/>
        <s v="Pilar Mora"/>
        <s v="Raul Rojas"/>
        <s v="Leonor Araneda"/>
        <s v="Estrella Azocar"/>
        <s v="Khris Silva"/>
        <s v="Felipe Barriga"/>
        <s v="Gustavo Marin"/>
        <s v="Luis Flores"/>
        <s v="Gustavo Aravena"/>
        <s v="Karen Silva"/>
        <s v="Maria Elena Muñoz"/>
        <s v="Sandra Cardenas"/>
        <s v="Javier Donoso"/>
        <s v="Rodrigo Neira"/>
        <s v="Fernando Wulf"/>
        <s v="Garibe Gallardo"/>
        <s v="Diego Saldivia"/>
        <s v="Francisca Contreras"/>
        <s v="Guissela Franco"/>
        <s v="Esteban Alarcon"/>
        <s v="Carlos Lopez Gutierrez"/>
        <s v="Omar Contreras"/>
        <s v="Carolina Lagos"/>
        <s v="Yuvit Garcia-Chacur"/>
        <s v="Franco Fuentes"/>
        <s v="Ximena Campos"/>
        <s v="Carolina Silva Carolina Silva"/>
        <s v="Maria Paz Gomez"/>
        <s v="Marta Borquez"/>
        <s v="Gonzalo Schulz"/>
        <s v="Mario Aburto"/>
        <s v="Munirih Soto"/>
        <s v="Luis Alfonso Oyarzun"/>
        <s v="Alejandro Nuñez"/>
        <s v="Pablo Miranda"/>
        <s v="Constanza García"/>
        <s v="Maria Teresa Jaramillo"/>
        <s v="Esteban Oyarzo"/>
        <s v="Ignacio Sotomayor"/>
        <s v="Cristina Collinao"/>
        <s v="Claudia Vera"/>
        <s v="Angela Montesinos"/>
        <s v="Carlos Utreras"/>
        <s v="Barbara Mendez"/>
        <s v="Marco Gonzalez"/>
        <s v="NMaria Paz Gomez"/>
        <s v="Estrella Azócar"/>
        <s v="Daniel Pereira"/>
        <s v="Ana María Diaz"/>
        <s v="Sandra Rodriguez"/>
        <s v="Waleska Monsalvez"/>
      </sharedItems>
    </cacheField>
    <cacheField name="Cargo responsable" numFmtId="0">
      <sharedItems count="108">
        <s v="Jefe Depto. Tecnologías de la Información"/>
        <s v="Jefe Depto."/>
        <s v="Enc. Sección Mant. de Vehículos"/>
        <s v="COORDINADORA EMERGENCIA"/>
        <s v="Jefa Subdepto. Gestión Clinica y Adm."/>
        <s v="Jefa Subdepto. Gestión Clínica y Adm."/>
        <s v="Jefatura Dpto. de Calidad de Vida"/>
        <s v="Encargado Mantenimineto"/>
        <s v="JEFA DE DEPTO DE CALIDAD DE VIDA"/>
        <s v="REFERENTE TARJETA ALIMENTACION"/>
        <s v="Encargado Gestión Salud Respiratoria"/>
        <s v="Encargada (S) Sección Administración de Contratos"/>
        <s v="Jefe (S) Subdepto. Soporte TIC"/>
        <s v="TECNICO RADIOCOMUNICACIONES"/>
        <s v="Jefe (s) Subdepto. Gestión Clínica y Administrativa Red Temática de Salud Mental de Especialidad"/>
        <s v="Jefa Subdepto. Mantención de Equipos Médicos e Industriales"/>
        <s v="JEFE SUBDEPTO FARMACIA"/>
        <s v="ENCARGADA (S) SECCIÓN DE ADMINISTRACIÓN DE CONTRATOS"/>
        <s v="Encargada"/>
        <s v="Coordinador"/>
        <s v="COMPRADOR"/>
        <s v="PAC Pasajes DSSO 2025-2026"/>
        <s v="DIRECTORA"/>
        <s v="Jefa Subdepto Abastecimiento"/>
        <s v="DIRECTOR COSAM"/>
        <s v="Coordinadora UID NEWEN"/>
        <s v="jefa subdepto gestión de programas en curso de vida"/>
        <s v="INGENIERO AMBIENTAL"/>
        <s v="Encargada Programas"/>
        <s v="Jefe Depto. Tecnologías de la Información y Comunicaiciones"/>
        <s v="Encargada Cuidados Infantiles y Conciliación"/>
        <s v="Jefa Subdepto. Gestión Clínica y Adm. Red Temática de Salud Mental de Especialidad"/>
        <s v="KINESIÓLOGA ENCARGADA PROGRAMA AYUDAS TÉCNICAS"/>
        <s v="Coordinador Unidad de Gestión de Procesos Clínicos de Atención de Especialidad Ambulatoria, Cerrada"/>
        <s v="Encargado Bodega General"/>
        <s v="JEFE SAMU OSORNO"/>
        <s v="PROFESIONAL"/>
        <s v="Encargada Alivio del Dolor y Cuidados Paliativos Universales"/>
        <s v="Encargado (S) Administracion Interna"/>
        <s v="Encargado Seccion"/>
        <s v="Encargado Sección Mantenimiento de Vehículos"/>
        <s v="Cajera"/>
        <s v="Referente Rehabilitación Integral"/>
        <s v="Encargada Programa Fofar"/>
        <s v="Jefe Subdepto. Diseño De Infraestructura De Salud"/>
        <s v="Encargada Proceso De Urgencia"/>
        <s v="Director(S)"/>
        <s v="Apoyo Salud Intercultural"/>
        <s v="Encargada De Compras"/>
        <s v="Encargada Trato Usuario"/>
        <s v="Secretaria"/>
        <s v="Encargada Apoyo Diagnóstico Laboratorio"/>
        <s v="Kinesióloga"/>
        <s v="Jefa Seccion Gestion Y Desarrollo Ley Medica"/>
        <s v="Enfermera"/>
        <s v="Kinesióloga Encargada Programa Atencion Domiciliaria Para Personas Con Dependencia Severa"/>
        <s v="Jefe Subdepartamento Farmacia"/>
        <s v="Nutricionista"/>
        <s v="Director"/>
        <s v="Trabajadora Social"/>
        <s v="Encargado (S) Administración Interna"/>
        <s v="Jefatura Unidad Prev. Riesgos"/>
        <s v="Encargada Saludablemente Funcionarios"/>
        <s v="Itos"/>
        <s v="Directora Técnica Droguería"/>
        <s v="Enc. Chcc"/>
        <s v="Kinesiólogo"/>
        <s v="Coordinadora"/>
        <s v="Jefe Depto. Desarrollo Organizacional"/>
        <s v="Jefa (S) Sub. Dpto. De Inversiones De Equipos Y Equipamiento"/>
        <s v="Jefa Subdepartamento Estudios De Preinversión"/>
        <s v="Jefe (S) Subdepartamento De Pre Inversion"/>
        <s v="Ito"/>
        <s v="Fos (S)"/>
        <s v="Referente"/>
        <s v="Matrona"/>
        <s v="Jefa Unidad Reclutamiento Y Seleccion"/>
        <s v="Jefe Subdetpo. Apoyo Diagnóstico Y Terapéutico"/>
        <s v="Referente De Programa Nacional De Inmunizaciones"/>
        <s v="Encargado De Gestión De Lista De Espera Y Programa Nacional De Cáncer"/>
        <s v="Coordinadora Unidad De Memoria"/>
        <s v="Referente Programa De Tuberculosis"/>
        <s v="Encargada Unidad De Cuidados Infantiles Y Conciliación"/>
        <s v="Jefe Sub Departamento Programa Curso De Vida"/>
        <s v="Odontologo"/>
        <s v="Jefatura Depto"/>
        <s v="Cirujano Dentista"/>
        <s v="Encargado Gestión De Sistemas"/>
        <s v="Encargado De Inventario"/>
        <s v="Psicóloga Safu"/>
        <s v="Encargado Programa Prevención Cáncer Pulmonar"/>
        <s v="Jefa Subdepto. Gestión De Programas"/>
        <s v="Asistente Ejecutivo"/>
        <s v="Psicologo"/>
        <s v="Sub. Dpto. Transparencia, Gestion Documental Y Lobby"/>
        <s v="Encargada Control De Gestion De Compras Y De Presupuesto"/>
        <s v="Coordinador (S)"/>
        <s v="Director COSAM Oriente"/>
        <s v="Referente Estrategia De Cuidados Integrales Centrados En Las Personas - Ecicep"/>
        <s v="Enc. Apoyo Diagnóstico En Imagenología"/>
        <s v="Jefa Subdepto. Programas En Curso De Vida."/>
        <s v="Jefa Unidad Reclutamiento y Selección"/>
        <s v="Encargado Salud Oral"/>
        <s v="Encargada Chile Crece Contigo"/>
        <s v="Apoyo Participación"/>
        <s v="Jefa Unidad Ciclo Laboral"/>
        <s v="Jefa Subdepto. Cultura Y Clima Organizacional"/>
        <s v="Jefatura"/>
      </sharedItems>
    </cacheField>
    <cacheField name="Teléfono responsable" numFmtId="0">
      <sharedItems/>
    </cacheField>
    <cacheField name="Correo responsable" numFmtId="0">
      <sharedItems/>
    </cacheField>
    <cacheField name="Fecha de Inicio Compra" numFmtId="14">
      <sharedItems containsSemiMixedTypes="0" containsNonDate="0" containsDate="1" containsString="0" minDate="2023-10-01T00:00:00" maxDate="2026-12-02T00:00:00" count="25">
        <d v="2024-01-01T00:00:00"/>
        <d v="2023-10-01T00:00:00"/>
        <d v="2024-05-01T00:00:00"/>
        <d v="2024-07-01T00:00:00"/>
        <d v="2024-06-01T00:00:00"/>
        <d v="2024-08-01T00:00:00"/>
        <d v="2025-12-01T00:00:00"/>
        <d v="2025-08-01T00:00:00"/>
        <d v="2025-01-01T00:00:00"/>
        <d v="2025-03-01T00:00:00"/>
        <d v="2025-06-01T00:00:00"/>
        <d v="2025-04-01T00:00:00"/>
        <d v="2025-07-01T00:00:00"/>
        <d v="2026-01-01T00:00:00"/>
        <d v="2026-04-01T00:00:00"/>
        <d v="2026-06-01T00:00:00"/>
        <d v="2026-09-01T00:00:00"/>
        <d v="2026-10-01T00:00:00"/>
        <d v="2026-11-01T00:00:00"/>
        <d v="2026-02-01T00:00:00"/>
        <d v="2026-05-01T00:00:00"/>
        <d v="2026-03-01T00:00:00"/>
        <d v="2026-07-01T00:00:00"/>
        <d v="2026-12-01T00:00:00"/>
        <d v="2026-08-01T00:00:00"/>
      </sharedItems>
      <fieldGroup par="30"/>
    </cacheField>
    <cacheField name="Fecha Publicación PAC 2026" numFmtId="0">
      <sharedItems containsNonDate="0" containsDate="1" containsString="0" containsBlank="1" minDate="2024-07-05T00:00:00" maxDate="2025-08-21T00:00:00"/>
    </cacheField>
    <cacheField name="Cantidad OC Asociadas Ítem 2026" numFmtId="0">
      <sharedItems containsSemiMixedTypes="0" containsString="0" containsNumber="1" containsInteger="1" minValue="0" maxValue="54"/>
    </cacheField>
    <cacheField name="OC Asociada Item 2026" numFmtId="0">
      <sharedItems containsBlank="1"/>
    </cacheField>
    <cacheField name="Item De Arraste" numFmtId="0">
      <sharedItems containsSemiMixedTypes="0" containsString="0" containsNumber="1" containsInteger="1" minValue="0" maxValue="1"/>
    </cacheField>
    <cacheField name="Monto De Arrastre" numFmtId="0">
      <sharedItems containsSemiMixedTypes="0" containsString="0" containsNumber="1" containsInteger="1" minValue="0" maxValue="75433075"/>
    </cacheField>
    <cacheField name="Meses envio OC de Arraste" numFmtId="0">
      <sharedItems containsNonDate="0" containsDate="1" containsString="0" containsBlank="1" minDate="2026-01-01T00:00:00" maxDate="2026-12-02T00:00:00"/>
    </cacheField>
    <cacheField name="PAC" numFmtId="0">
      <sharedItems count="2">
        <s v="Arrastre"/>
        <s v="PC26"/>
      </sharedItems>
    </cacheField>
    <cacheField name="Meses (Fecha de Inicio Compra)" numFmtId="0" databaseField="0">
      <fieldGroup base="20">
        <rangePr groupBy="months" startDate="2023-10-01T00:00:00" endDate="2026-12-02T00:00:00"/>
        <groupItems count="14">
          <s v="&lt;01-10-2023"/>
          <s v="ene"/>
          <s v="feb"/>
          <s v="mar"/>
          <s v="abr"/>
          <s v="may"/>
          <s v="jun"/>
          <s v="jul"/>
          <s v="ago"/>
          <s v="sept"/>
          <s v="oct"/>
          <s v="nov"/>
          <s v="dic"/>
          <s v="&gt;02-12-2026"/>
        </groupItems>
      </fieldGroup>
    </cacheField>
    <cacheField name="Trimestres (Fecha de Inicio Compra)" numFmtId="0" databaseField="0">
      <fieldGroup base="20">
        <rangePr groupBy="quarters" startDate="2023-10-01T00:00:00" endDate="2026-12-02T00:00:00"/>
        <groupItems count="6">
          <s v="&lt;01-10-2023"/>
          <s v="Trim.1"/>
          <s v="Trim.2"/>
          <s v="Trim.3"/>
          <s v="Trim.4"/>
          <s v="&gt;02-12-2026"/>
        </groupItems>
      </fieldGroup>
    </cacheField>
    <cacheField name="Años (Fecha de Inicio Compra)" numFmtId="0" databaseField="0">
      <fieldGroup base="20">
        <rangePr groupBy="years" startDate="2023-10-01T00:00:00" endDate="2026-12-02T00:00:00"/>
        <groupItems count="6">
          <s v="&lt;01-10-2023"/>
          <s v="2023"/>
          <s v="2024"/>
          <s v="2025"/>
          <s v="2026"/>
          <s v="&gt;02-12-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6024.614749074077" createdVersion="8" refreshedVersion="8" minRefreshableVersion="3" recordCount="1359" xr:uid="{EDA71BA5-4EFD-4B2F-98DB-A590811AB786}">
  <cacheSource type="worksheet">
    <worksheetSource ref="A1:AD1360" sheet="ListadoProyectos (10)"/>
  </cacheSource>
  <cacheFields count="32">
    <cacheField name="Organismo" numFmtId="0">
      <sharedItems/>
    </cacheField>
    <cacheField name="Unidad de Compra" numFmtId="0">
      <sharedItems/>
    </cacheField>
    <cacheField name="ID Proyecto" numFmtId="0">
      <sharedItems count="393">
        <s v="1057532-156-PC24"/>
        <s v="1057532-163-PC24"/>
        <s v="1057532-1-PC24"/>
        <s v="1057532-30-PC24"/>
        <s v="1057532-308-PC24"/>
        <s v="1057532-311-PC24"/>
        <s v="1057532-315-PC24"/>
        <s v="1057532-320-PC24"/>
        <s v="1057532-321-PC24"/>
        <s v="1057532-322-PC24"/>
        <s v="1057532-328-PC24"/>
        <s v="1057532-331-PC24"/>
        <s v="1057532-333-PC24"/>
        <s v="1057532-356-PC24"/>
        <s v="1057532-193-PC25"/>
        <s v="1057532-195-PC25"/>
        <s v="1057532-196-PC25"/>
        <s v="1057532-209-PC25"/>
        <s v="1057532-210-PC25"/>
        <s v="1057532-211-PC25"/>
        <s v="1057532-66-PC25"/>
        <s v="1057532-162-PC25"/>
        <s v="1057532-172-PC25"/>
        <s v="1057532-173-PC25"/>
        <s v="1057532-373-PC25"/>
        <s v="1057532-374-PC25"/>
        <s v="1057532-375-PC25"/>
        <s v="1057532-376-PC25"/>
        <s v="1057532-377-PC25"/>
        <s v="1057532-378-PC25"/>
        <s v="1077241-51-PC25"/>
        <s v="1057532-379-PC25"/>
        <s v="1057532-380-PC25"/>
        <s v="1057532-381-PC25"/>
        <s v="1057532-382-PC25"/>
        <s v="1057532-383-PC25"/>
        <s v="1057532-384-PC25"/>
        <s v="1057532-385-PC25"/>
        <s v="1057532-386-PC25"/>
        <s v="1057532-389-PC25"/>
        <s v="1057532-390-PC25"/>
        <s v="1057532-391-PC25"/>
        <s v="1057532-392-PC25"/>
        <s v="1057532-393-PC25"/>
        <s v="1077241-52-PC25"/>
        <s v="1057532-394-PC25"/>
        <s v="1057532-395-PC25"/>
        <s v="1057532-396-PC25"/>
        <s v="1057532-397-PC25"/>
        <s v="1057532-398-PC25"/>
        <s v="1057532-399-PC25"/>
        <s v="1057532-400-PC25"/>
        <s v="1057532-401-PC25"/>
        <s v="1057532-402-PC25"/>
        <s v="1077241-53-PC25"/>
        <s v="1057532-403-PC25"/>
        <s v="1057532-404-PC25"/>
        <s v="1057532-405-PC25"/>
        <s v="1057532-419-PC25"/>
        <s v="1057727-2-PC26"/>
        <s v="1077241-61-PC26"/>
        <s v="1180747-5-PC26"/>
        <s v="1077241-62-PC26"/>
        <s v="1077241-63-PC26"/>
        <s v="1057532-281-PC26"/>
        <s v="1057532-282-PC26"/>
        <s v="1057532-283-PC26"/>
        <s v="1057532-284-PC26"/>
        <s v="1057532-285-PC26"/>
        <s v="1057532-286-PC26"/>
        <s v="1057532-287-PC26"/>
        <s v="1057532-288-PC26"/>
        <s v="1057532-317-PC26"/>
        <s v="1057532-320-PC26"/>
        <s v="1057532-321-PC26"/>
        <s v="1057532-322-PC26"/>
        <s v="1057532-323-PC26"/>
        <s v="1077241-64-PC26"/>
        <s v="1057532-324-PC26"/>
        <s v="1077241-65-PC26"/>
        <s v="1057532-325-PC26"/>
        <s v="1077241-66-PC26"/>
        <s v="1077241-67-PC26"/>
        <s v="1057532-326-PC26"/>
        <s v="1077241-68-PC26"/>
        <s v="1057532-327-PC26"/>
        <s v="1057532-328-PC26"/>
        <s v="1057532-329-PC26"/>
        <s v="1057532-330-PC26"/>
        <s v="1057532-331-PC26"/>
        <s v="1077241-69-PC26"/>
        <s v="1077241-70-PC26"/>
        <s v="1057532-332-PC26"/>
        <s v="1077241-71-PC26"/>
        <s v="1077241-74-PC26"/>
        <s v="1057532-333-PC26"/>
        <s v="1077241-75-PC26"/>
        <s v="1057532-334-PC26"/>
        <s v="1077241-76-PC26"/>
        <s v="1057532-335-PC26"/>
        <s v="1077241-77-PC26"/>
        <s v="1077241-78-PC26"/>
        <s v="1180747-6-PC26"/>
        <s v="1180747-7-PC26"/>
        <s v="1057532-336-PC26"/>
        <s v="1057532-337-PC26"/>
        <s v="1077241-81-PC26"/>
        <s v="1057532-338-PC26"/>
        <s v="1057532-339-PC26"/>
        <s v="1057532-340-PC26"/>
        <s v="1077241-82-PC26"/>
        <s v="1077241-83-PC26"/>
        <s v="1077241-84-PC26"/>
        <s v="1077241-85-PC26"/>
        <s v="1057532-342-PC26"/>
        <s v="1057532-345-PC26"/>
        <s v="1057532-347-PC26"/>
        <s v="1057532-348-PC26"/>
        <s v="1057532-349-PC26"/>
        <s v="1057532-350-PC26"/>
        <s v="1057532-351-PC26"/>
        <s v="1057532-352-PC26"/>
        <s v="1057532-353-PC26"/>
        <s v="1077241-86-PC26"/>
        <s v="1077241-87-PC26"/>
        <s v="1057532-354-PC26"/>
        <s v="1077241-88-PC26"/>
        <s v="1057532-355-PC26"/>
        <s v="1057532-356-PC26"/>
        <s v="1057532-357-PC26"/>
        <s v="1057532-358-PC26"/>
        <s v="1057532-359-PC26"/>
        <s v="1057532-360-PC26"/>
        <s v="1057532-361-PC26"/>
        <s v="1057532-362-PC26"/>
        <s v="1057532-363-PC26"/>
        <s v="1057532-364-PC26"/>
        <s v="1057532-366-PC26"/>
        <s v="1057532-367-PC26"/>
        <s v="1057532-368-PC26"/>
        <s v="1057532-369-PC26"/>
        <s v="1057532-370-PC26"/>
        <s v="1057532-371-PC26"/>
        <s v="1057532-372-PC26"/>
        <s v="1057532-373-PC26"/>
        <s v="1057532-374-PC26"/>
        <s v="1057532-375-PC26"/>
        <s v="1057532-376-PC26"/>
        <s v="1057532-377-PC26"/>
        <s v="1057532-378-PC26"/>
        <s v="1077241-89-PC26"/>
        <s v="1057532-379-PC26"/>
        <s v="1057532-380-PC26"/>
        <s v="1057532-381-PC26"/>
        <s v="1077241-90-PC26"/>
        <s v="1077241-91-PC26"/>
        <s v="1057532-383-PC26"/>
        <s v="1057532-384-PC26"/>
        <s v="1077241-92-PC26"/>
        <s v="1057532-385-PC26"/>
        <s v="1057532-386-PC26"/>
        <s v="1057532-387-PC26"/>
        <s v="1057532-388-PC26"/>
        <s v="1057532-389-PC26"/>
        <s v="1057532-390-PC26"/>
        <s v="1057532-391-PC26"/>
        <s v="1057532-392-PC26"/>
        <s v="1057532-393-PC26"/>
        <s v="1057532-394-PC26"/>
        <s v="1057532-395-PC26"/>
        <s v="1057532-396-PC26"/>
        <s v="1057532-397-PC26"/>
        <s v="1057532-398-PC26"/>
        <s v="1057532-399-PC26"/>
        <s v="1077241-93-PC26"/>
        <s v="1077241-95-PC26"/>
        <s v="1057532-400-PC26"/>
        <s v="1057532-402-PC26"/>
        <s v="1077241-96-PC26"/>
        <s v="1057532-403-PC26"/>
        <s v="1057532-404-PC26"/>
        <s v="1057532-405-PC26"/>
        <s v="1077241-97-PC26"/>
        <s v="1180747-8-PC26"/>
        <s v="1180747-9-PC26"/>
        <s v="1057532-410-PC26"/>
        <s v="1057532-412-PC26"/>
        <s v="1057532-415-PC26"/>
        <s v="1057532-416-PC26"/>
        <s v="1057532-418-PC26"/>
        <s v="1057532-421-PC26"/>
        <s v="1057922-5-PC26"/>
        <s v="1057532-422-PC26"/>
        <s v="1057532-423-PC26"/>
        <s v="1057532-424-PC26"/>
        <s v="1077241-99-PC26"/>
        <s v="1057532-425-PC26"/>
        <s v="1180747-10-PC26"/>
        <s v="1180747-11-PC26"/>
        <s v="1180747-12-PC26"/>
        <s v="1057922-6-PC26"/>
        <s v="1057922-7-PC26"/>
        <s v="1057976-2-PC26"/>
        <s v="1057976-3-PC26"/>
        <s v="1057976-4-PC26"/>
        <s v="1057976-5-PC26"/>
        <s v="1057976-6-PC26"/>
        <s v="1057976-7-PC26"/>
        <s v="1057976-8-PC26"/>
        <s v="1057976-9-PC26"/>
        <s v="1057976-10-PC26"/>
        <s v="1057532-426-PC26"/>
        <s v="1057922-8-PC26"/>
        <s v="1057922-9-PC26"/>
        <s v="1180747-13-PC26"/>
        <s v="1180747-14-PC26"/>
        <s v="1180747-15-PC26"/>
        <s v="1180747-16-PC26"/>
        <s v="1180747-17-PC26"/>
        <s v="1057922-10-PC26"/>
        <s v="1057976-11-PC26"/>
        <s v="1057976-12-PC26"/>
        <s v="1057976-13-PC26"/>
        <s v="1180747-18-PC26"/>
        <s v="1057922-11-PC26"/>
        <s v="1057922-12-PC26"/>
        <s v="1057976-14-PC26"/>
        <s v="1057922-13-PC26"/>
        <s v="1057532-427-PC26"/>
        <s v="1057922-14-PC26"/>
        <s v="1180747-19-PC26"/>
        <s v="1057532-428-PC26"/>
        <s v="1057532-429-PC26"/>
        <s v="1057532-430-PC26"/>
        <s v="1057532-431-PC26"/>
        <s v="1057532-432-PC26"/>
        <s v="1057532-433-PC26"/>
        <s v="1057532-434-PC26"/>
        <s v="1057532-435-PC26"/>
        <s v="1057532-436-PC26"/>
        <s v="1057532-437-PC26"/>
        <s v="1057532-438-PC26"/>
        <s v="1057532-439-PC26"/>
        <s v="1057532-443-PC26"/>
        <s v="1057532-444-PC26"/>
        <s v="1057922-15-PC26"/>
        <s v="1057532-445-PC26"/>
        <s v="1057532-446-PC26"/>
        <s v="1057532-447-PC26"/>
        <s v="1057532-448-PC26"/>
        <s v="1057922-16-PC26"/>
        <s v="1057532-449-PC26"/>
        <s v="1057532-450-PC26"/>
        <s v="1057532-451-PC26"/>
        <s v="1057532-452-PC26"/>
        <s v="1057532-453-PC26"/>
        <s v="1057532-454-PC26"/>
        <s v="1057532-455-PC26"/>
        <s v="1057532-456-PC26"/>
        <s v="1057532-457-PC26"/>
        <s v="1057532-458-PC26"/>
        <s v="1057532-459-PC26"/>
        <s v="1057532-460-PC26"/>
        <s v="1057532-461-PC26"/>
        <s v="1057532-462-PC26"/>
        <s v="1057532-463-PC26"/>
        <s v="1057532-464-PC26"/>
        <s v="1057532-465-PC26"/>
        <s v="1057532-466-PC26"/>
        <s v="1077241-100-PC26"/>
        <s v="1057532-467-PC26"/>
        <s v="1057532-468-PC26"/>
        <s v="1077241-101-PC26"/>
        <s v="1057532-469-PC26"/>
        <s v="1057532-470-PC26"/>
        <s v="1057532-471-PC26"/>
        <s v="1057532-472-PC26"/>
        <s v="1057922-17-PC26"/>
        <s v="1057532-473-PC26"/>
        <s v="1057532-474-PC26"/>
        <s v="1057532-475-PC26"/>
        <s v="1057532-476-PC26"/>
        <s v="1077241-102-PC26"/>
        <s v="1077241-103-PC26"/>
        <s v="1077241-104-PC26"/>
        <s v="1077241-105-PC26"/>
        <s v="1057532-477-PC26"/>
        <s v="1057922-18-PC26"/>
        <s v="1057532-478-PC26"/>
        <s v="1057532-479-PC26"/>
        <s v="1057532-480-PC26"/>
        <s v="1057532-481-PC26"/>
        <s v="1057532-482-PC26"/>
        <s v="1057532-483-PC26"/>
        <s v="1057532-484-PC26"/>
        <s v="1057532-485-PC26"/>
        <s v="1057532-486-PC26"/>
        <s v="1057532-487-PC26"/>
        <s v="1057532-488-PC26"/>
        <s v="1057532-489-PC26"/>
        <s v="1057532-490-PC26"/>
        <s v="1057532-491-PC26"/>
        <s v="1057532-492-PC26"/>
        <s v="1057532-493-PC26"/>
        <s v="1057532-494-PC26"/>
        <s v="1057532-495-PC26"/>
        <s v="1057532-496-PC26"/>
        <s v="1057532-497-PC26"/>
        <s v="1057532-498-PC26"/>
        <s v="1057532-499-PC26"/>
        <s v="1057532-500-PC26"/>
        <s v="1057532-501-PC26"/>
        <s v="1057532-502-PC26"/>
        <s v="1057532-503-PC26"/>
        <s v="1057532-504-PC26"/>
        <s v="1057532-505-PC26"/>
        <s v="1057532-506-PC26"/>
        <s v="1057532-507-PC26"/>
        <s v="1057532-508-PC26"/>
        <s v="1057532-509-PC26"/>
        <s v="1057532-510-PC26"/>
        <s v="1057532-511-PC26"/>
        <s v="1057532-512-PC26"/>
        <s v="1180747-20-PC26"/>
        <s v="1057532-513-PC26"/>
        <s v="1057532-514-PC26"/>
        <s v="1057532-515-PC26"/>
        <s v="1057532-516-PC26"/>
        <s v="1057532-517-PC26"/>
        <s v="1057532-518-PC26"/>
        <s v="1057532-519-PC26"/>
        <s v="1057532-520-PC26"/>
        <s v="1057532-521-PC26"/>
        <s v="1057532-522-PC26"/>
        <s v="1057532-523-PC26"/>
        <s v="1057532-524-PC26"/>
        <s v="1057532-525-PC26"/>
        <s v="1057976-15-PC26"/>
        <s v="1057532-529-PC26"/>
        <s v="1057532-534-PC26"/>
        <s v="1057532-535-PC26"/>
        <s v="1057532-536-PC26"/>
        <s v="1057532-537-PC26"/>
        <s v="1057532-538-PC26"/>
        <s v="1057532-539-PC26"/>
        <s v="1057532-540-PC26"/>
        <s v="1057532-541-PC26"/>
        <s v="1057532-542-PC26"/>
        <s v="1057532-543-PC26"/>
        <s v="1057532-544-PC26"/>
        <s v="1057532-545-PC26"/>
        <s v="1077241-106-PC26"/>
        <s v="1057532-546-PC26"/>
        <s v="1057532-547-PC26"/>
        <s v="1057532-548-PC26"/>
        <s v="1057532-550-PC26"/>
        <s v="1057532-551-PC26"/>
        <s v="1057532-562-PC26"/>
        <s v="1057532-564-PC26"/>
        <s v="1057532-565-PC26"/>
        <s v="1057532-566-PC26"/>
        <s v="1057532-567-PC26"/>
        <s v="1057532-568-PC26"/>
        <s v="1077241-107-PC26"/>
        <s v="1057922-19-PC26"/>
        <s v="1057532-569-PC26"/>
        <s v="1057532-570-PC26"/>
        <s v="1057532-572-PC26"/>
        <s v="1057922-20-PC26"/>
        <s v="1057532-573-PC26"/>
        <s v="1057532-574-PC26"/>
        <s v="1057532-575-PC26"/>
        <s v="1077241-108-PC26"/>
        <s v="1057532-576-PC26"/>
        <s v="1077241-109-PC26"/>
        <s v="1057532-577-PC26"/>
        <s v="1057532-578-PC26"/>
        <s v="1057922-21-PC26"/>
        <s v="1057532-579-PC26"/>
        <s v="1077241-110-PC26"/>
        <s v="1057532-580-PC26"/>
        <s v="1057532-581-PC26"/>
        <s v="1057922-22-PC26"/>
        <s v="1057532-582-PC26"/>
        <s v="1057532-583-PC26"/>
        <s v="1057532-584-PC26"/>
        <s v="1077241-111-PC26"/>
        <s v="1057532-585-PC26"/>
        <s v="1057532-586-PC26"/>
        <s v="1057532-587-PC26"/>
        <s v="1057532-588-PC26"/>
        <s v="1077241-112-PC26"/>
        <s v="1057532-589-PC26"/>
      </sharedItems>
    </cacheField>
    <cacheField name="Tipo Proyecto" numFmtId="0">
      <sharedItems/>
    </cacheField>
    <cacheField name="Estado Proyecto" numFmtId="0">
      <sharedItems/>
    </cacheField>
    <cacheField name="Código presupuestario" numFmtId="0">
      <sharedItems containsMixedTypes="1" containsNumber="1" containsInteger="1" minValue="31" maxValue="2771"/>
    </cacheField>
    <cacheField name="Nombre Proyecto" numFmtId="0">
      <sharedItems count="385">
        <s v="servicios de control de asistencia del servicio de salud osorno"/>
        <s v="Servicio gestión flota vehicular SSO"/>
        <s v="Sistema control de flota vehicular del Servicio de Salud Osorno"/>
        <s v="SISTEMAS DE COMUNICACIONES LTE WAVE PTX SERVICIO DE SALUD OSORNO"/>
        <s v="Convenio - 3 cupos Residencia Protegida para el Servicio de Salud Osorno en la Región Metropolitana"/>
        <s v="Convenio - ( cupos Hogar Protegido Varones para el Servicio de Salud Osorno en la ciudad de Osorno"/>
        <s v="Convenio - 08 Cupos Hogar Protegido Mujeres para el Servicio de Salud Osorno en la ciudad de Osorno"/>
        <s v="Convenio - SERVICIOS DE MANTENCIÓN, RECARGA E INSPECCION PREVENTIVA PARA RED HÚMEDA Y EXTINTORES EN ESTABLECIMIENTOS SSO"/>
        <s v="Convenio - DE SERVICIOS DE MANTENCIÓN PREVENTIVA, CORRECTIVA Y/O REPARATIVA PARA VEHÍCULOS MERCEDES-BENZ DEL SSO Y HOSPITA"/>
        <s v="Convenio - SERVICIO DE MANEJO, RETIRO, TRANSPORTE Y DISPOSICIÓN FINAL DE RESIDUOS PELIGROSOS Y ESPECIALES"/>
        <s v="Convenio - BENEFICIO ALIMENTACION 2024"/>
        <s v="Convenio - Suministro de oxígeno medicinal para Red de Hospitales de mediana y baja complejidad y SAMU"/>
        <s v="Convenio - SOPORTE Y MANTENIMIENTO SISTEMA DE REPETICIÓN VHF SERVICIO DE SALUD OSORNO 2025-2026"/>
        <s v="Convenio servicio de guardias para la DSSO y sus establecimientos y dispositivos dependientes"/>
        <s v="Convenio - ARRIENDO 159 EQUIPOS PC AIO PARA APOYAR LOS PROCESOS CLINICOS Y ADMINISTRATIVOS"/>
        <s v="Convenio - ARRIENDO 159 EQUIPOS PC AIO PARA APOYAR LOS PORCESOS CLINICOS Y ADMINISTRATIVOS"/>
        <s v="Convenio - SERVICIO DE ASEO PARA LA DSSO (BASE SAMU, EDIFICIO PLAZA SUR Y EDIFICIO M. RODRIGUEZ) POR 18 MESES (DESDE 01 JULIO 2025)"/>
        <s v="Convenio - SERVICIO DE SOPORTE Y MANTENCION RPT VHF SSO (PERIODO DOS AÑOS)"/>
        <s v="Convenio - ADQUISICION DE 3 CUPOS DE RESIDENCIA PROTEGIDA PARA EL SERVICIO DE SALUD OSORNO EN LA PROVINCIA DE CONCEPCIÓN"/>
        <s v="Convenio - ADQUISICION DE 12 CUPOS DE RESIDENCIA PROTEGIDA PARA EL SERVICIO DE SALUD OSORNO EN LA CIUDAD DE OSORNO"/>
        <s v="Convenio - ADQUISICION DE 10 CUPOS RESIDENCIA PROTEGIDA DE ALTA COMPLEJIDAD PARA EL SERVICIO DE SALUD OSORNO DE LA CIUDAD DE OSORNO"/>
        <s v="Mantención de Equipos Médicos e Industriales"/>
        <s v="Convenio - de Suministro para adquisición de medicamentos faltantes CENABAST para establecimientos dependientes del SSO."/>
        <s v="Convenio - CONVENIO SERVICIO DE ASEO POR 18 MESES, PARA LA DIRECCION DEL SSO Y ESTABLECIMIENTOS DEPENDIENTES DE LA RED ASISTENCIAL"/>
        <s v="Convenio - CONVENIO DE ADQUISICION DE KIT POINT OF CARE (POC) CON ARRIENDO DE EQUIPO PARA ANALISIS DE MUESTRAS, SSO"/>
        <s v="Convenio - Movilización para el traslado de usuarios y funcionarios CDR adulto mayor Kumelen año 2026"/>
        <s v="Convenio - Movilizacion para el traslado de funcionarios CDR Adulto Mayor KÜMELEN 2026"/>
        <s v="Convenio - ADQUISICION DE KIT POINT OF CARE (POC) CON ARRIENDO DE EQUIPO PARA ANALISIS DE MUESTRAS POR 12 MESES, SSO"/>
        <s v="Convenio - Pac PASAJES 2025-2026 DSSO"/>
        <s v="Convenio - ALIMENTOS CT PEULLA"/>
        <s v="Convenio - PAC Convenio Cafeteria DSSO"/>
        <s v="Convenio - Servicio movilización COSAM Rahue periodo 2026. (Financiamiento a través de fondo extrapresupuestario SENDA PAI)"/>
        <s v="Convenio - SERVICIO DE MOVILIZACION PARA EL AÑO 2026"/>
        <s v="Convenio - SERVICIO DE MOVILIZACION PARA EL AÑO 2026 Servicio movilización COSAM Rahue, Programa Atención Domiciliaria y PAZGA periodo 2026 (Financiamiento SSO)"/>
        <s v="Convenio - Servicio movilización UID Newen"/>
        <s v="Convenio - Movilización para el traslado de funcionarios y cuidadores Unidad de Memoria Ayekan año 2026"/>
        <s v="Convenio Movil CT Peulla"/>
        <s v="Convenio - Servicio de arriendo (comodato) e informes de teleelectrocardiografía para población bajo control en PSCV."/>
        <s v="Convenio - CONVENIO PARA DESRATIZACION, SANITIZACION, DESINSECTACION PARA EL SERVICIO DE SALUD OSORNO"/>
        <s v="Convenio - Adquisición de kit toma de muestra para Virus Papiloma Humano"/>
        <s v="Convenio - Servicio de Alimentación para usuarios CDR adulto Mayor Kumelen 2026"/>
        <s v="Convenio - CALEFACCION GASTOS PARA AMBULATORIO Y REDIDENCIAL - CT PEULLA"/>
        <s v="Convenio - Arriendo 159 PC Computacionales para establecimientos dependientes de la Dirección de Servicio de Salud Osorno"/>
        <s v="Convenio - Servicio de Sala Cuna, para el año 2026 de enero a diciembre, se requiere compra de 40 cupos para hijos/as de madres fun"/>
        <s v="Convenio - Servicio DIAS PROGRAMA DE REHABILITACIÓN TIPO II Desde el 01/01/2026 hasta el 31/12/2026."/>
        <s v="Convenio - ADQUISICION AYUDAS TECNICAS. CONVENIO SUMINISTRO AÑO 2026"/>
        <s v="Convenio - 8 CUPOS HOGAR PROTEGIDO HOMBRES PARA EL SERVICIO DE SALUD OSORNO, 12 MESES, ENERO A DICIEMBRE AÑO 2026."/>
        <s v="Convenio - ARTICULOS LIBRERIA AÑO 2025-2026 (Pedidos Mensuales)"/>
        <s v="Convenio - SUMINISTRO DE CHIP PARA CALDERAS DE HOSPITALES PÜ MÜLEN Y FÜTA SRÜKA LAWENCHE KUNKO MAPU, AÑO 2026-2027"/>
        <s v="Convenio - CONVENIO DE ARRIENDO DE AMBULANCIAS SAMU POR EL PERIODO COMPRENDIDO ENTRE SEPTIEMBRE 2025 A DICIEMBRE 2026"/>
        <s v="Convenio - MANTENCION Y OBRAS MENORES INFRAESTRUCTURA DE LOS ESTABLECIMIENTOS DEL SERVICIO DE SALUD OSORNO 2026"/>
        <s v="Convenio - Convenio de suministro de oxigenoterapia domiciliaria para pacientes del Programa Cuidados Paliativos Universales APS"/>
        <s v="Convenio - Convenio año 2026 Combustible calefacción para dispositivos del Servicio de Salud Osorno"/>
        <s v="Convenio - CONVENIO INSUMOS DE ASEO PARA DISPOSITIVOS DE LA RED AÑO 2026"/>
        <s v="Convenio - CONTRATACION DE SEGUROS GENERALES PARA VEHICULOS MOTORIZADOS PERTENECIENTES AL SERVICIO DE SALUD OSORNO 2026 - 2027"/>
        <s v="Convenio - Servicio de arriendo e informes de teleelectrocardiografía (sospecha IAM), para 13 establecimientos de urgencia de APS"/>
        <s v="Convenio - CONVENIO SERVICIOS DE MANTENCION PREVENTIVA, CORRECTIVA Y/O REPARATIVAS PARA LAS CONVERSIONES EN AMBULANCIAS Y VEHÍCULOS"/>
        <s v="Convenio - SERVICIOS DE MANTENCION PREVENTIVA, CORRECTIVA Y/O REPARATIVAS PARA VEHICULOS MULTIMARCAS AÑO 2026-2027"/>
        <s v="Convenio - SERVICIOS DE MANTENCION PREVENTIVA, CORRECTIVA Y/O REPARATIVAS PARA BUS MITSUBISHI FUSO ROSA AÑO 2026"/>
        <s v="Convenio - ADQUISICIÓN E IMPLEMENTACIÓN DE SISTEMA DIGITAL DE COMUNICACIONES CON TECNOLOGÍA PTT Y CONTROL DE FLOTA DE SALUD OSORNO"/>
        <s v="PAC General Bienestar 2026, se agrupa el total de actividades realizadas por Bienestar SSO."/>
        <s v="Adquisición de prestaciones de rehabilitación integral a niños, niñas y adolescentes con Trastorno del Espectro Autista"/>
        <s v="GORE: Apoyo de Rehabilitación Integral e Inclusión Social para niños, niñas y adolescentes con TEA"/>
        <s v="PRAPS Fondo de Farmacia para enfermedades crónicas no transmisibles en APS (FOFAR)"/>
        <s v="Adquisición de insumos para la atención en domicilio del Equipo Rehabilitación Rural SSO."/>
        <s v="Mantención Plotter Canon IPF 770, del depto. de Proyectos."/>
        <s v="Compra rollos papel para impresión del Departamento de Proyectos SSO."/>
        <s v="Compra Tinta Plotter Canon IPF 770"/>
        <s v="Adquisicición Hojas Prehospitalarias"/>
        <s v="Adquisicición Kit de Triage y Sistema de comando incidente"/>
        <s v="II Jornada de Capacitación Red de Urgencia"/>
        <s v="?DIAGNÓSTICO Y DIALOGO PARTICIPATIVO COSAM RAHUE ?NOVIEMBRE 2026?"/>
        <s v="Jornadas de encuentro y autocuidado Para usuarios y cuidadores ?SALUDABLE-MENTE en dispositivo COSAM RAHUE 2026"/>
        <s v="?Eco-huerto sustentable -Sistema de acuaponía sin suelo? COSAM RAHUE 2026"/>
        <s v="Insumos y medicamentos Farmacia COSAM RAHUE"/>
        <s v="Capacitación en Salud Mental Intercultural COSAM Rahue."/>
        <s v="Celebración de We Tripantu en COSAM Rahue 2026"/>
        <s v="Jornadas de autocuidado equipo profesional PAI COSAM Rahue"/>
        <s v="Ceremonia de alta SENDA-PAI COSAM Rahue 2026"/>
        <s v="CONVENIO - ADQUISICION DE 8 CUPOS HOGAR PROTEGIDO MUJERES PARA EL SERVICIO DE SALUD OSORNO POR PERIODO DE 12 MESES"/>
        <s v="Anilladora e insumos para preparación de material Cosam Rahue. Fondo extrapresupuestarios SENDA PAI"/>
        <s v="SERVICIO CAFETERÍA CEREMONIA ANIVERSARIO COSAM RAHUE"/>
        <s v="Jornada de Autocuidado funcionarios COSAM Rahue, con cargo a fondo extrapresupuestario SENDA-PAI"/>
        <s v="Celebración fiestas patrias usuarios y cuidadores COSAM RAHUE."/>
        <s v="Adquisición de insumos para la atención en domicilio del Equipo Rehabilitación Rural SSO. (Articulos de Libreria)"/>
        <s v="Adquisición de insumos para la atención en domicilio del Equipo Rehabilitación Rural SSO (material Ergoterapia)"/>
        <s v="Convenio - 3 CUPOS DE RESIDENCIA PROTEGIDA PARA EL SERVICIO DE SALUD OSORNO EN LA PROVINCIA DE CONCEPCIÓN, POR PERIODO DE 24 MESES."/>
        <s v="Rollos Etiquetas para impresora ZEBRA ZD 220 y rollos de cinta para impresora SOME, COSAM RAHUE"/>
        <s v="Convenio - 10 CUPOS RESIDENCIA PROTEGIDA DE ALTA COMPLEJIDAD PARA EL SERVICIO DE SALUD OSORNO POR PERIODO DE 12 MESES."/>
        <s v="INSUMOS DE ASEO COSAM RAHUE"/>
        <s v="Compra de Insumos de Cafetería reuniones ordinarias anuales de Salud Pueblos Originarios"/>
        <s v="Insumos cafetería actividades con usuarios Cosam Rahue y comunidad 2026, fondo extrapresupuestario SENDA PAI"/>
        <s v="INSUMOS ESCRITORIO COSAM RAHUE, FONDO EXTRAPRESUPUESTARIO SENDA-PAI"/>
        <s v="Protectores solares FPS 50 para funcionarios y usuarios taller huerto"/>
        <s v="Compra de tintas de repuesto impresoras Cosam Rahue"/>
        <s v="Insumos alimenticios para el Programa SENDA Calle. Fondo extrapresupuestario SENDA PAI"/>
        <s v="TEST DE DETECCION DE DROGAS"/>
        <s v="Taller de Herramientas Psicológicas, Taller PEERS"/>
        <s v="PAC insumos clínicos unidad de enfermería 2026."/>
        <s v="INTERVENCIÓN PSICOSOCIAL GRUPAL TALLER PARA JOVENES Y ADOLESCENTES EN TRATAMIENTO EN COSAM ORIENTE"/>
        <s v="Compra de Insumos de Cafetería reuniones ordinarias anuales Participación, Trato Usuario, Salud Pueblos Originarios"/>
        <s v="Taller Huertos 2026"/>
        <s v="Comité de Participación y gestión Intercultural - Dia de la Mujer 2026"/>
        <s v="Consultorías adecuación Diseño PSR Coligual, comuna de Purranque."/>
        <s v="Consultorías adecuación Diseño PSR Caracol, comuna de San Pablo."/>
        <s v="Impresión Talonarios de Registro de Solicitudes Ciudadanas"/>
        <s v="INSUMOS DE FARMACIA 2026"/>
        <s v="Taller de baile entretenido y acondicionamiento físico 2026"/>
        <s v="ACTIVIDADES DE DIFUSIÓN Y DE PREVENCIÓN EN LA PROVINCIA DE OSORNO"/>
        <s v="Jornada de Humanización del Trato Usuario"/>
        <s v="Despensa para Unidad de Secretaria"/>
        <s v="Yoga Sensible al Trauma: Regulación emocional desde el Cuerpo y la Conciencia."/>
        <s v="Comité de Participación y Gestión Intercultural - Dia del Niño 2026"/>
        <s v="Comité de Participación y Gestión Intercultural - Fiestas Patrias 2026"/>
        <s v="Intervención psicosocial grupal de Música"/>
        <s v="COMPRA MATERIALES DE OFICINA DEPARTAMENTO DE PROYECTOS"/>
        <s v="Estudio e Informe Estructural COSAM Oriente."/>
        <s v="ARTICULOS PARA TERAPIA OCUPACIONAL"/>
        <s v="TOLDOS"/>
        <s v="MANTENCIONES, REPUESTOS Y REPARACIONES"/>
        <s v="INSUMOS COMPUTACIONALES"/>
        <s v="Convenio - CONVENIO DE ADQUISICION DE KIT POINT OF CARE (POC) CON ARRIENDO DE EQUIPOS PARA ANALISIS DE MUESTRAS, SSO"/>
        <s v="Muestra tu Pausa Activa"/>
        <s v="PLAN DE COMPRAS AÑO 2026 LEY N°19.664 Y FORMACION DE ESPECIALISTAS S.S.O"/>
        <s v="Comité de Participación y Gestión Intercultural - Navidad 2026"/>
        <s v="Implementos de Terapia Ocupacional."/>
        <s v="Convenio - COMPRA DE KITS PARA DETECCION DE VIRUS Y BACTERIAS RESPIRATORIAS POR METODO MOLECULAR RAPIDO (POC MOLECULAR)"/>
        <s v="AUTOCUIDADO CONVENIO SENDA 2026"/>
        <s v="MEDICINA INTEGRATIVA SAFU"/>
        <s v="Adquisición Insumos para realizar el aseo y confort de usuarios/as con Dependencia Severa."/>
        <s v="INSUMOS LEY 20.000"/>
        <s v="Zumba a todo corazón"/>
        <s v="Mantenimiento baños y camarines"/>
        <s v="Construcción de radieres en estacionamiento"/>
        <s v="Mantención comedor lado patio interior"/>
        <s v="Pintado de muros perimetrales de edificio."/>
        <s v="Mantenimiento caseta de guardias"/>
        <s v="Instalación de manillas en puertas metálicas de sala REAS, Caldera, Generador"/>
        <s v="Reparar fuga red de agua alimentación invernadero."/>
        <s v="Habilitación de sala pagoda como sala de recuperación pacientes."/>
        <s v="Mantenimiento de cámaras y red ed aguas lluvia y reemplazo de bomba de impulsión"/>
        <s v="Mantenimiento de cámaras y red de alcantarillado, artefactos sanitarios."/>
        <s v="TALONARIOS DE LICENCIA MÉDICA"/>
        <s v="Mantenimiento planta elevadora aguas servidas"/>
        <s v="Suministro de Pellet para sistema de calefacción"/>
        <s v="Suministro de diesel para generador eléctrico"/>
        <s v="Reemplazo de equipo iluminación interior."/>
        <s v="Mantenimiento sensores de humo"/>
        <s v="Mantenimiento sistema de cierre/apertura puertas de PVC"/>
        <s v="Mantención de enchufes e interruptores lampistería instalación interior."/>
        <s v="MOVIL AÑO 2027"/>
        <s v="PROGRAMA MEL"/>
        <s v="Materiales de Secretaria para uso del Cosam 2026"/>
        <s v="Convenio - Convenio Adquisición de combustible móviles de la DSSO y Ambulancias SAMU año 2026"/>
        <s v="Convenio - Convenio Adquisición de combustible Diesel para equipos generadores dispositivos del SSO Cosam Rahue y Cosam Oriente"/>
        <s v="Intervención Psicosocial Grupal para Familiares de Usuarios/as con Diagnóstico de Esquizofrenia"/>
        <s v="Intervención Psicosocial Grupal para Usuarios y Usuarias con Consumo de Alcohol y Drogas"/>
        <s v="Jornada de Buenas Prácticas en Hospital Amigo y Ley Mila 2026"/>
        <s v="Jornada de Evaluación Comité de Gestión Usuaria 2026"/>
        <s v="Jornada de Fortalecimiento OIRS 2026"/>
        <s v="Recetarios Médicos SAFU"/>
        <s v="MATERIALES DE OFICINA"/>
        <s v="Vestuario y equipamiento Tecnico Referentes Prevención de Riesgos DSSO"/>
        <s v="INSUMOS DE ENFERMERÍA SAFU"/>
        <s v="Almacenamiento,organización y resguardo de los insumos clínicos del área de enfermería"/>
        <s v="CONMEMORACIÓN DÍA INTERNACIONAL DE LA SALUD MENTAL 2026"/>
        <s v="&quot;JORNADA DE FORTALECIMIENTO DE COMPETENCIAS PARENTALES Y BIENESTAR FAMILIAR &quot;"/>
        <s v="Contratación de visitas obras civiles consultoría obra ?SALA DE ACOGIDA INTERCULTURAL (SRUKA) HBO."/>
        <s v="FESTIVAL DEL DÍA DE LA NIÑEZ"/>
        <s v="Convenio - CONVENIO SUMINISTRO DE REACTIVOS CON ARRIENDO DE EQUIPOS Y SISTEMA INFORMATICO INTEGRADO DE LABORATORIO CLINICO, SSO"/>
        <s v="Adquisición Carro de Transporte Droguería-Bodega General"/>
        <s v="Adquisición de Amarras Plásticas y Elásticos para Optimizar el Almacenamiento y Distribución"/>
        <s v="EEPP para funcionarios de Droguería-Bodega General-Bodega Inversiones"/>
        <s v="Implementación de Sistema de Cerradura Digital para Control de Acceso"/>
        <s v="Adquisición de Sensores de Temperatura para Droguería ( Bodega de Dispositivos Médicos)"/>
        <s v="Altas Senda año 2026"/>
        <s v="Formación facilitadores Talleres Prenatales para matronas y matrones de la red de atención primaria"/>
        <s v="Mantención de Equipos Médicos e Industriales 2026"/>
        <s v="Convenio - Convenio de Accesorios para Equipos Médicos Criticos de Base SAMU Osorno año 2027"/>
        <s v="Insumos para aumentar la lactancia materna exclusiva"/>
        <s v="Insumos de Box de rehabilitación kinésica SAFU"/>
        <s v="Cuenta Pública Gestión 2025"/>
        <s v="Diálogo Provincial en Salud"/>
        <s v="Jornada de Inducción a médicos EDF, sobre Interculturalidad en Salud con pueblos originarios"/>
        <s v="Contratación de visitas de Consultorías de Obra &quot; Mejoramiento Hospital de Río Negro&quot;"/>
        <s v="Consultorías adecuación Diseño PSR Hueyusca, comuna de Purranque."/>
        <s v="Artículos de limpieza y higiene"/>
        <s v="Insumos para actividades grupales con usuarios y familiares de UID Newen."/>
        <s v="Insumos para actividades de promoción, prevención e intervención comunitaria con usuarios/as y familiares de UID Newen."/>
        <s v="Material de papelería centro Kümelen"/>
        <s v="Mochilas e insumos EMT (Equipos Médicos de Emergencia)"/>
        <s v="software de cartografía web"/>
        <s v="COMPRA DE AMBULANCIA PARA CESFAM CON SAR DE RAHUE ALTO"/>
        <s v="COMPRA ELEMENTOS DE PROTECCION PERSONAL SECCION MANT. DE VEHICULOS"/>
        <s v="COMPRA DE TARJETAS BLANCAS PARA CREDENCIALES PARA CAMAPAÑA SELLO BUEN TRATO."/>
        <s v="Adquisición de insumos clínicos para usuarios/as UID Newen."/>
        <s v="Taller Mindfulness - Anclando la Calma: Regulación Emocional y Conexión"/>
        <s v="CREDENCIAL DE IDENTIFICACION INSTITUCIONAL"/>
        <s v="Consultorías adecuación Diseño PSR Forrahue, etapa 1"/>
        <s v="Consultorías adecuación Diseño PSR Forrahue, Etapa 2."/>
        <s v="Diseño SAR Puyehue."/>
        <s v="Sillas Ergonómicas"/>
        <s v="CONSTRUCCION CESFAM CON SAR CHUYACA OSORNO; CODIGO BIP: 30430122 CONSTRUCCION CESFAM CON SAR CHUYACA, OSORNO"/>
        <s v="Diseño nuevo Hospital de Purranque."/>
        <s v="Diseño Centro de Diálisis Municipal, comuna de Osorno."/>
        <s v="Consultoría Estudio Preinversional de Reposición Hospital de Alta Complejidad provincia de Osorno"/>
        <s v="Diseño SAMU Provincial y Centro de Despacho."/>
        <s v="Consultoría Estudio Preinversional Reposición Hospital Hospital de Río Negro"/>
        <s v="Consultoría Estudio Preinversional Reposición Hospital Hospital de Puerto Octay"/>
        <s v="Diseño CESFAM Puerto Octay."/>
        <s v="Contratación de Visita a Obra 2026 de las Consultorías: Especialidades y Arquitectura Obra CESFAM Bahía Mansa"/>
        <s v="CONSTRUCCION CESFAM CON SAR CHUYACA OSORNO; CODIGO BIP: 30430122"/>
        <s v="EPP PARA DEPTO. DE INGENIERÍA CLÍNICA"/>
        <s v="PLAN NACIONAL DEL CÁNCER 2026"/>
        <s v="REPOSICION POSTA DE SALUD RURAL LA POZA, COMUNA DE SAN PABLO"/>
        <s v="CONSTRUCCION SALA DE ACOGIDA INTERCULTURAL (SRUKA) HOSPITAL BASE SAN JOSE, OSORNO"/>
        <s v="REPOSICION CONSULTORIO DE SALUD RURAL BAHIA MANSA, SAN JUAN DE LA COSTA"/>
        <s v="Consultorías adecuación Diseño PSR Cuinco, comuna de San Juan de La Costa."/>
        <s v="CONSTRUCCION CECOSF URBANO CHIFIN, COMUNA DE RIO NEGRO"/>
        <s v="Diseño Ampliación CESFAM San Pablo"/>
        <s v="REPOSICION CESFAM CON SAR RAHUE ALTO, OSORNO"/>
        <s v="CONSTRUCCION POSTA SALUD RURAL EL PONCHO"/>
        <s v="REPOSICION POSTA DE SALUD RURAL HUILMA, COMUNA DE RIO NEGRO"/>
        <s v="REPOSICION POSTA DE SALUD RURAL RUPANCO, COMUNA PUERTO OCTAY"/>
        <s v="CONSTRUCCIÓN POSTA DE SALUD RURAL COSTA RIO BLANCO, COMUNA DE RIO NEGRO"/>
        <s v="HABILITACION ANGIOGRAFO HOSPITAL BASE DE OSORNO"/>
        <s v="CONSTRUCCION COSAM RAHUE, COMUNA OSORNO"/>
        <s v="CONTRATACION DE VISITA DE ESPECIALIDAD DE ARQUITECTURA PARA LA OBRA REPOSICION CESFAM CON SAR RAHUE ALTO."/>
        <s v="SUBTÍTULO 29 SECTORIAL 2026"/>
        <s v="Vestuario terreno y EPP funcionario nuevo"/>
        <s v="SUBTÍTULO 29 OPERACIONAL SSO 2026"/>
        <s v="ADQUISICION Y REPOSICION EQUIPOS Y EQUIPAMIENTO OTORRINOLARINGOLOGIA HOSPITAL BASE OSORNO"/>
        <s v="Conmemoración día internacional de la eliminación de la violencia contra la mujer 2026"/>
        <s v="Adquisición de insumos para atención en domicilio del Equipo Rehabilitación Rural SSO. (Sarten electrico para ortesis)"/>
        <s v="MANTENCIÓN PREVENTIVA DE AGUA POTABLE DE LA BASE SAMU"/>
        <s v="Mantenciones emergentes para establecimientos dependientes del Servicio de Salud Osorno"/>
        <s v="Convenio - CONVENIO DE MANTENCION Y OBRAS MENORES INFRAESTRUCTURA DE LOS ESTABLECIMIENTOS DEL SERVICIO DE SALUD OSORNO 2027"/>
        <s v="Mantención de Cubiertas de Edificios y Dispositivos dependientes del Servicio de Salud Osorno"/>
        <s v="Mejoramiento Eléctrico y de Datos en Oficina 2do piso del Edificio Institucional de Manuel Rodríguez."/>
        <s v="MANTENIMIENTO PREVENTIVO Y ADECUACIONES MENORES A TABLEROS ELECTRICOS DE LOS HOSPITALES Y DISPOSITIVOS DE LA RED 2027"/>
        <s v="Materiales para simulacros"/>
        <s v="Conmemoración Día Mundial de Prevención Contra el Cáncer Cervicouterino"/>
        <s v="Elementos de Protección Personal para el Subdepto. Prevención de Riesgos DSSO"/>
        <s v="Abordaje integral de trastornos de salud mental y conducta alimentaria en adolescentes"/>
        <s v="Adquisición de herramientas básicas para mantenimiento Centro Comunitario Kümelen"/>
        <s v="Equipamiento Ergonómico"/>
        <s v="Equipamiento Ergonómico - Sillas"/>
        <s v="TEST PSICOLOGICOS PARA LA UNIDAD DE RECLUTAMIENTO Y SELECCIÓN DEL S.S.O."/>
        <s v="ADQUISICION INSUMOS MANTENCION RED DE RADIOCOMUNICACIONES EN EMERGENCIAS SERVICIO DE SALUD OSORNO"/>
        <s v="Jornada SSYR Provincial"/>
        <s v="REPOSICION Y MANTENIMIENTO COMPONENTES RADIOS PORTATILES VHF DIRECCION"/>
        <s v="Adquisición de micrófono y cámara para videoconferencias del Centro Comunitario Kümelen"/>
        <s v="Insumos y servicio de Coffee Break para Curso de Monitores 2026 del Centro Kümelen"/>
        <s v="Adquisición de insumos para la atención en domicilio del Equipo Rehabilitación Rural SSO. (Equipo Médico Fonoaudiologa)"/>
        <s v="Cintas de Seguridad"/>
        <s v="Reciclaje en Edificio Plaza Sur"/>
        <s v="Adquisición de insumos para la atención en domicilio del Equipo Rehabilitación Rural SSO. (Articulos de Fonoaudiología)"/>
        <s v="Protección Solar"/>
        <s v="EQUIPAMIENTO AMBULATORIO FONDOS PPV"/>
        <s v="Equipamiento Tecnologico"/>
        <s v="ARTICULOS DE FERRETERIA AMBULATORIO FONDOS PPV"/>
        <s v="Ceremonia de Egreso del Curso de Formación de Monitores del centro Kümelen."/>
        <s v="Protección Visual RUV"/>
        <s v="ARTICULOS DE COCINA AMBULATORIO FONDOS PPV"/>
        <s v="ARTICULOS DE JARDINERIA AMBULATORIO FONDOS PPV"/>
        <s v="Adquisición de 120 Endoscopias Digestivas Altas para establecimientos de la Red Asistencial del Servicio de Salud Osorno."/>
        <s v="Carro de carga plegable (Yegua)"/>
        <s v="Servicio de Movilización de 1 vehículo con conductor, por 2 meses, para ejecución vacunación en la provincia de Osorno"/>
        <s v="EQUIPAMIENTO RESIDENCIAL ? CONVENIO SENDA"/>
        <s v="SERVICIO DE ELABORACIÓN Y DIFUSIÓN DE 4 AVISOS RADIALES PROMOCIONALES DE CAMPAÑA DE INVIERNO 2026 POR 2 MESES"/>
        <s v="ARTICULOS DE FERRETERIA Y OTROS RESIDENCIAL CONVENIO SENDA"/>
        <s v="INSUMOS COMPUTACIONALES RESIDENCIAL CONVENIO SENDA"/>
        <s v="1 Servicio de grabación y emisión de 4 mensajes radiales de vacunación escolar por 2 meses, en la provincia de Osorno."/>
        <s v="Insumos para dispensación de fármacos y entrega citas a usuarios COSAM Rahue"/>
        <s v="ADQUISICIÓN PARA PROGRAMA DE PROMOCIÓN, PREVENCIÓN Y DIAGNÓSTICO PRECOZ CÁNCERES PREVALENTES EN MUJERES DE LA PROVINCIA"/>
        <s v="Adquisición de megáfonos y gabinetes para la comunicación en emergencias, gestión de riesgos y protección de equipos"/>
        <s v="Compra de insumos para la mantención de la cadena de frío de las vacunas de los establecimientos de la provincia."/>
        <s v="&quot;Día del autocuidado&quot; en la comunidad funcionaria el día 24 de julio del 2026"/>
        <s v="Adquisición materiales de oficina Unidad de Memoria 2026"/>
        <s v="INSUMOS COMPUTACIONALES AMBULATORIO ? CONVENIO SENDA"/>
        <s v="ARTICULOS DE COCINA AMBULATORIO ? CONVENIO SENDA"/>
        <s v="ARTICULOS DE FERRETERIA Y OTROS AMBULATORIO ? CONVENIO SENDA"/>
        <s v="Adquisición de productos e insumos para el programa de control y eliminación de la Tuberculosis"/>
        <s v="Materiales e insumos para talleres y capacitaciones red de coordinadores"/>
        <s v="REPOSICION CECOSF EL ENCANTO, COMUNA DE PUYEHUE"/>
        <s v="Materiales de oficina no disponibles en Bodega Central"/>
        <s v="Adquisicion de recetarios y talonarios de examenes de Psiconeurogeriatría Ayekan y kumelen."/>
        <s v="INSUMOS DE OFICINA"/>
        <s v="Adquisición de Material Educativo Visual y Didáctico para la Educación Alimentaria en la Red de APS"/>
        <s v="Compra de insumos de higiene oral de programa odontológico integral"/>
        <s v="Pilas para equipos clínicos pesa, hemoglucotest y equipo de electroterapia"/>
        <s v="Capacitación de Salud Respiratoria en el Curso de Vida, en contexto de campaña de invierno para 110 personas"/>
        <s v="Escalera tijera plegable"/>
        <s v="Convenio - Suministro de oxígeno medicinal para Red de Hospitales de mediana y baja complejidad, SAMU y Cosam"/>
        <s v="Mantención integral edificio Centro Kümelen"/>
        <s v="Mantención integral edificio Matta"/>
        <s v="Material de librería para vacunatorios y para capacitaciones del Programa Nacional de Inmunizaciones 2025"/>
        <s v="Estudio e Informe Estructural Edificio EX- PDI."/>
        <s v="Adquisición servicio de cafetería para actividad de capacitación a profesionales de salud Campaña de Invierno"/>
        <s v="Adquisición artículos de librería para Jornadas con la Red Asistencial"/>
        <s v="Plan de Compra Anual nuevos Boxes Dentales SAFU - Insumos Instrumentales"/>
        <s v="Adquisicion Licencias de Software GstarCAD por 24 meses"/>
        <s v="Adquisicion Licencias de Software ArchiCAD por 24 meses"/>
        <s v="Implementación de impresoras termicas en Some De Edificio Matta"/>
        <s v="SOPORTE Y MANTENCION ANUAL SOFTWARE CONTROL DE INVENTARIO"/>
        <s v="Adquisición 2 coffee break para Jornada de Plan de Salud Comunal y Priorización"/>
        <s v="Adquisición artículos de cafetería para Jornadas de planificación con Red Asistencial"/>
        <s v="Construcción de repisas para archivos en bodega ex COSAM Oriente"/>
        <s v="3°Jornada para cuidadores/as &quot;Cuidar con sentido y acompañar con el corazón&quot;"/>
        <s v="SERVICIO DE TRASLADO DE MOBILIARIO"/>
        <s v="Accesorios de telecomunicación para actividades digitales de promoción y prevención de salud mental para la comunidad fu"/>
        <s v="Adquisición Carpetas con bolsillo troquel de imprenta y logo institucional CPU"/>
        <s v="Plan de Compra Anual nuevos Boxes Dentales SAFU - Insumos Dentales"/>
        <s v="Material de trabajo terapéutico equipo salud mental unidad de salud funcionaria - Librería terapéutica"/>
        <s v="Implementacion de talleres y renovacion de insumos de kinesiologia de Unidad de Memoria Ayekan."/>
        <s v="Adquisición de boquillas espiratorias desechables para flujometría."/>
        <s v="Adquisición Turbinas desechables espirometría"/>
        <s v="Servicio de cafetería para Jornada de Capacitación en Cuidados Paliativos para equipos CPU APS y Hospitales SSO"/>
        <s v="Adquisición Equipamiento para evaluación saturación oxigeno en pacientes Piloto Cesación Tabáquica (Oxímetros)"/>
        <s v="Adquisición de insumos de folleteria y cuadernillos de stimulación para Unidad de Memoria."/>
        <s v="Talleres educativos y de respiro para cuidadoras/es de usuarios con deteriro cognitivo."/>
        <s v="Compra de insumos clínicos para actividades de vacunación, en vacunatorios y colegios de la provincia."/>
        <s v="Adquisición de Neumáticos para vehículos de la Dirección Servicio de Salud Osorno y Base SAMU Osorno año 2026"/>
        <s v="Servicio de Coffe para 115 personas, Jornada Anual de Capacitación del Programa Nacional de Inmunizaciones, provincial"/>
        <s v="Elaboración e impresión de Carnet de Control Integral para la Red de APS de la provincia de Osorno."/>
        <s v="Implementación autotoma de VPH"/>
        <s v="TEST DE EVALUACIONES PSICOLÓGICAS"/>
        <s v="Conmemoración día Mundial de la Salud Mental 10 de octubre 2026 y Desarrollo de actividades de promoción de salud mental"/>
        <s v="Insumos para CIRA SDGA"/>
        <s v="Festival de la Voz de las Mujeres 2026"/>
        <s v="Obras civiles para montaje de 2 futuros contenedores de largo 20 pies"/>
        <s v="ADQUISICIÓN DISPOSITIVOS DE ALMACENAMIENTO PARA HABILITACION DE EQUIPOS COMPUTACIONALES"/>
        <s v="Mejoramiento Hospital de Rio Negro(4 LICITACIONES) - Traspaso de año , modificación en emisiones de OC"/>
        <s v="contendores de papel"/>
        <s v="INSUMOS DE ATENCION PSICOLOGICA"/>
        <s v="Eventos y resignificaciones anuales"/>
        <s v="INSUMOS ALIMENTACIÓN PARA ACTIVIDADES DE SALUD MENTAL 2026"/>
        <s v="MUEBLE DOCUMENTAL"/>
        <s v="Olimpiadas del Adolescente"/>
        <s v="Insumos para reuniones ministeriales"/>
        <s v="Compra de Servicio de Docencia, Relatoría, Consultoría, Alimentación y Compra de insumos Año 2026"/>
        <s v="Insumos médicos"/>
        <s v="Adquisición de Insumos para control cardiovascular/integral en atención primaria"/>
        <s v="Materiales psicopedagógicos"/>
        <s v="Adquisición de insumos para la atención y educación en salud, a personas bajo control en los Programas de Salud"/>
        <s v="Conmemoración del aniversario del centro Kümelen"/>
        <s v="Taller de habilidades para la vida 2026"/>
        <s v="Adquisicion ciclo de capacitaciones ECICEP para profesionales de la red asistencial"/>
        <s v="Adquisición insumos clínicos y de aseo general mamógrafo móvil/estrategias Programa Imágenes Diagnósticas 2026."/>
        <s v="Adquisición de insumos validados para la medición de presión arterial en el curso de vida."/>
        <s v="Adquisición Dispositivos médicos de Curación Avanzada. Presupuesto: PAGD, componente Salud Cardiovascular $15.000.000.-"/>
        <s v="Adquisición de servicio de catering para curso de Imagenología para Médicos generales y de APS."/>
        <s v="Convenio - Convenio de servicio de exámenes de ecotomografía abdominal y mamaria programa imágenes diagnósticas."/>
        <s v="Compra de insumos de oficina y cafetería"/>
        <s v="Convenio - Convenio de servicio informes de radiografías y mamografías para los Hospitales Dependientes del S.S.O."/>
        <s v="Conmemoración día de la mujer"/>
        <s v="servicio de dosimetría Trabajadores Ocupacionalmente expuestos del Programa Imágenes Diagnósticas."/>
        <s v="Convenio - Convenio de servicio movilización funcionarios mamógrafo móvil. Descripción"/>
        <s v="Adquisición insumos de promoción, prevención y tratamiento ADM para desarrollo Programa de Resolución de Ortodoncia NNA"/>
        <s v="Proyecto de Compra Insumos clínicos 2026"/>
        <s v="Capacitación formación de facilitadores Nadie es Perfecto"/>
        <s v="Artículos de higiene, limpieza y mantención de áreas verdes para Edificio Matta."/>
        <s v="Adquisición de herramientas"/>
        <s v="Adquisición de insumos para la atención en domicilio del Equipo Rehabilitación Rural SSO. (Articulos de Escritorio)"/>
        <s v="Renovación de toma de presión digital para unidad de Memoria."/>
        <s v="Taller de niños y niñas - Taller de padres"/>
        <s v="Taller Arte Terapia"/>
        <s v="TALLER DE MANUALIDADES"/>
        <s v="Adquisición de insumos atención en domicilio del Equipo Rehabilitación Rural SSO"/>
        <s v="Adquisicion equipamiento Servidor NAS y almacenamiento extra para respaldo y seguridad de la información"/>
        <s v="ARTICULOS DE OFICINA UNIDADES AMBULATORIO Y RESIDENCIAL"/>
        <s v="Comité de Participación y Gestión Intercultural"/>
        <s v="EVENTOS EN MOVIMIENTO Y A UNA SOLA VOZ"/>
        <s v="CONTRIBUYENDO A LA POLITICA PÚBLICA EN REPARACIÓN CON USUARIOS/AS PRAIS"/>
        <s v="Adquisción de hidrolavadora 120BAR"/>
        <s v="Insumos para jornada provincial de Gestión del Riesgo de Desastres (2 días)"/>
        <s v="COMPRA DE MATERIALES DE OFICINA E INSUMOS DE CAFETERIA PARA LA UNIDAD DE CICLO LABORAL DEL S.S.O."/>
        <s v="Insumos para actividades individuales y grupales con usuarios/as y familiares de UID Newen."/>
        <s v="EQUIPAMIENTO AMBULATORIO ? CONVENIO SENDA"/>
        <s v="Materiales y herramientas de oficina funcionarios Sub Depto."/>
        <s v="COMPRA DE MATERIALES DE OFICINA E INSUMOS DE CAFETERIA PARA DEL SUBDEPTO. DE CULTURA Y CLIMA ORGANIZACIONAL DEL S.S.O."/>
        <s v="INSUMOS PARA EL ORDEN ORPERACION Y DOCUMENTAL DE OFICINA DE PARTES."/>
        <s v="Compra Cintas de glicemia + equipos en comodato"/>
        <s v="ARTICULOS DE COCINA RESIDENCIAL ? CONVENIO SENDA"/>
        <s v="EQUIPAMIENTO RESIDENCIAL ? FONDOS PPV"/>
      </sharedItems>
    </cacheField>
    <cacheField name="Descripción Proyecto" numFmtId="0">
      <sharedItems longText="1"/>
    </cacheField>
    <cacheField name="Cantidad de Ítems" numFmtId="0">
      <sharedItems containsSemiMixedTypes="0" containsString="0" containsNumber="1" containsInteger="1" minValue="1" maxValue="23"/>
    </cacheField>
    <cacheField name="Nombre ítem" numFmtId="0">
      <sharedItems/>
    </cacheField>
    <cacheField name="Tipo compra" numFmtId="0">
      <sharedItems containsSemiMixedTypes="0" containsString="0" containsNumber="1" containsInteger="1" minValue="1" maxValue="5"/>
    </cacheField>
    <cacheField name="Cantidad Productos" numFmtId="0">
      <sharedItems containsSemiMixedTypes="0" containsString="0" containsNumber="1" containsInteger="1" minValue="1" maxValue="250000"/>
    </cacheField>
    <cacheField name="Monto Unitario Ítem" numFmtId="42">
      <sharedItems containsSemiMixedTypes="0" containsString="0" containsNumber="1" containsInteger="1" minValue="13" maxValue="2783713888"/>
    </cacheField>
    <cacheField name="Monto Total Ítem Año 2026" numFmtId="42">
      <sharedItems containsSemiMixedTypes="0" containsString="0" containsNumber="1" containsInteger="1" minValue="0" maxValue="1904912000"/>
    </cacheField>
    <cacheField name="Cantidad OC" numFmtId="0">
      <sharedItems containsSemiMixedTypes="0" containsString="0" containsNumber="1" containsInteger="1" minValue="1" maxValue="36" count="16">
        <n v="36"/>
        <n v="24"/>
        <n v="30"/>
        <n v="32"/>
        <n v="1"/>
        <n v="18"/>
        <n v="7"/>
        <n v="4"/>
        <n v="2"/>
        <n v="6"/>
        <n v="8"/>
        <n v="12"/>
        <n v="16"/>
        <n v="15"/>
        <n v="10"/>
        <n v="3"/>
      </sharedItems>
    </cacheField>
    <cacheField name="Meses envío OC" numFmtId="0">
      <sharedItems containsDate="1" containsMixedTypes="1" minDate="2026-01-01T00:00:00" maxDate="2026-12-02T00:00:00" count="50" longText="1">
        <s v="01-01-2024,01-02-2024,01-03-2024,01-04-2024,01-05-2024,01-06-2024,01-07-2024,01-08-2024,01-09-2024,01-10-2024,01-11-2024,01-12-2024,01-01-2025,01-02-2025,01-03-2025,01-04-2025,01-05-2025,01-06-2025,01-07-2025,01-08-2025,01-09-2025,01-10-2025,01-11-2025,01-12-2025,01-01-2026,01-02-2026,01-03-2026,01-04-2026,01-05-2026,01-06-2026,01-07-2026,01-08-2026,01-09-2026,01-10-2026,01-11-2026,01-12-2026"/>
        <s v="01-06-2024,01-07-2024,01-08-2024,01-09-2024,01-10-2024,01-11-2024,01-12-2024,01-01-2025,01-02-2025,01-03-2025,01-04-2025,01-05-2025,01-06-2025,01-07-2025,01-08-2025,01-09-2025,01-10-2025,01-11-2025,01-12-2025,01-01-2026,01-02-2026,01-03-2026,01-04-2026,01-05-2026,01-06-2026,01-07-2026,01-08-2026,01-09-2026,01-10-2026,01-11-2026,01-12-2026,01-01-2027,01-02-2027,01-03-2027,01-04-2027,01-05-2024"/>
        <s v="01-01-2025,01-02-2025,01-03-2025,01-04-2025,01-05-2025,01-06-2025,01-07-2025,01-08-2025,01-09-2025,01-10-2025,01-11-2025,01-12-2025,01-01-2026,01-02-2026,01-03-2026,01-04-2026,01-05-2026,01-06-2026,01-07-2026,01-08-2026,01-09-2026,01-10-2026,01-11-2026,01-12-2026"/>
        <s v="01-01-2025,01-02-2025,01-03-2025,01-04-2025,01-05-2025,01-06-2025,01-07-2025,01-08-2025,01-09-2025,01-10-2025,01-11-2025,01-12-2025,01-01-2026,01-02-2026,01-03-2026,01-04-2026,01-05-2026,01-06-2026,01-07-2026,01-08-2026,01-09-2026,01-10-2026,01-11-2026,01-12-2026,01-01-2027,01-02-2027,01-03-2027,01-04-2027,01-05-2027,01-06-2027"/>
        <s v="01-01-2026,01-02-2026,01-03-2026,01-04-2026,01-05-2026,01-06-2026,01-07-2026,01-08-2026,01-09-2026,01-10-2026,01-11-2026,01-12-2026,01-01-2027,01-02-2027,01-03-2027,01-04-2027,01-05-2027,01-06-2027,01-07-2027,01-08-2027,01-09-2027,01-10-2027,01-11-2027,01-12-2027,01-01-2028,01-02-2028,01-03-2028,01-04-2028,01-05-2028,01-06-2028,01-07-2028,01-08-2028"/>
        <s v="01-07-2025,01-08-2025,01-09-2025,01-10-2025,01-11-2025,01-12-2025,01-01-2026,01-02-2026,01-03-2026,01-04-2026,01-05-2026,01-06-2026,01-07-2026,01-08-2026,01-09-2026,01-10-2026,01-11-2026,01-12-2026"/>
        <s v="01-06-2026,01-12-2026,01-06-2027,01-12-2027"/>
        <s v="01-03-2026,01-12-2026,01-03-2027,01-12-2027"/>
        <s v="01-10-2026,01-10-2027"/>
        <s v="01-07-2026,01-07-2027"/>
        <s v="01-03-2026,01-09-2026,01-03-2027,01-09-2027"/>
        <s v="01-06-2026,01-11-2026,01-12-2026,01-06-2027,01-11-2027,01-12-2027"/>
        <s v="01-04-2027,01-05-2027,01-08-2027,01-10-2027,01-04-2026,01-05-2026,01-08-2026,01-10-2026"/>
        <s v="01-02-2026,01-05-2026,01-08-2026,01-11-2026,01-02-2027,01-05-2027,01-08-2027,01-11-2027"/>
        <s v="01-01-2026,01-02-2026,01-03-2026,01-04-2026,01-05-2026,01-06-2026,01-07-2026,01-08-2026,01-09-2026,01-10-2026,01-11-2026,01-12-2026,01-01-2027,01-02-2027,01-03-2027,01-04-2027,01-05-2027,01-06-2027,01-07-2027,01-08-2027,01-09-2027,01-10-2027,01-11-2027,01-12-2027"/>
        <s v="01-03-2026,01-03-2027"/>
        <s v="01-05-2025,01-06-2025,01-07-2025,01-08-2025,01-09-2025,01-10-2025,01-11-2025,01-12-2025,01-01-2026,01-02-2026,01-03-2026,01-04-2026,01-05-2026,01-06-2026,01-07-2026,01-08-2026,01-09-2026,01-10-2026,01-11-2026,01-12-2026,01-01-2027,01-02-2027,01-03-2027,01-04-2027"/>
        <s v="01-08-2025,01-09-2025,01-10-2025,01-11-2025,01-12-2025,01-01-2026,01-02-2026,01-03-2026,01-04-2026,01-05-2026,01-06-2026,01-07-2026"/>
        <s v="01-02-2026,01-03-2026,01-04-2026,01-05-2026,01-06-2026,01-07-2026,01-08-2026,01-09-2026,01-10-2026,01-11-2026,01-12-2026,01-01-2027"/>
        <s v="01-02-2026,01-03-2026,01-04-2026,01-05-2026,01-06-2026,01-07-2026,01-08-2026,01-09-2026,01-10-2026,01-11-2026,01-12-2026,01-01-2026"/>
        <s v="01-01-2026,01-02-2026,01-03-2026,01-04-2026,01-05-2026,01-06-2026,01-07-2026,01-08-2026,01-09-2026,01-10-2026,01-11-2026,01-12-2026"/>
        <s v="01-11-2025,01-12-2025,01-01-2026,01-02-2026,01-03-2026,01-04-2026,01-05-2026,01-06-2026,01-07-2026,01-08-2026,01-09-2026,01-10-2026,01-11-2026,01-12-2026,01-01-2027,01-02-2027,01-03-2027,01-04-2027,01-05-2027,01-06-2027,01-07-2027,01-08-2027,01-09-2027,01-10-2027,01-11-2027,01-12-2027,01-01-2028,01-02-2028,01-03-2028,01-04-2028,01-05-2028,01-06-2028"/>
        <s v="01-09-2025,01-10-2025,01-11-2025,01-12-2025,01-01-2026,01-02-2026,01-03-2026,01-04-2026,01-05-2026,01-06-2026,01-07-2026,01-08-2026,01-09-2026,01-10-2026,01-11-2026,01-12-2026"/>
        <s v="01-10-2025,01-11-2025,01-12-2025,01-01-2026,01-02-2026,01-03-2026,01-04-2026,01-05-2026,01-06-2026,01-07-2026,01-08-2026,01-09-2026,01-10-2026,01-11-2026,01-12-2026"/>
        <d v="2026-04-01T00:00:00"/>
        <d v="2026-06-01T00:00:00"/>
        <d v="2026-09-01T00:00:00"/>
        <d v="2026-10-01T00:00:00"/>
        <d v="2026-11-01T00:00:00"/>
        <d v="2026-12-01T00:00:00"/>
        <s v="01-03-2026,01-04-2026,01-05-2026,01-06-2026,01-07-2026,01-08-2026,01-09-2026,01-10-2026,01-11-2026,01-12-2026"/>
        <d v="2026-05-01T00:00:00"/>
        <d v="2026-03-01T00:00:00"/>
        <d v="2026-07-01T00:00:00"/>
        <s v="01-07-2026,01-09-2026,01-12-2026"/>
        <d v="2026-01-01T00:00:00"/>
        <d v="2026-08-01T00:00:00"/>
        <s v="01-03-2026,01-04-2026,01-05-2026,01-06-2026,01-07-2026,01-08-2026,01-09-2026,01-10-2026,01-11-2026,01-12-2026,01-01-2027,01-02-2027"/>
        <d v="2026-02-01T00:00:00"/>
        <s v="01-03-2026,01-04-2026,01-05-2026,01-06-2026,01-07-2026,01-08-2026,01-09-2026,01-10-2026,01-11-2026,01-12-2026,01-01-2027,01-02-2027,01-03-2027,01-04-2027,01-05-2027,01-06-2027,01-07-2027,01-08-2027,01-09-2027,01-10-2027,01-11-2027,01-12-2027,01-01-2028,01-02-2028"/>
        <s v="01-08-2026,01-09-2026,01-10-2026,01-11-2026,01-12-2026,01-01-2027,01-02-2027,01-03-2027,01-04-2027,01-05-2027,01-06-2027,01-07-2027"/>
        <s v="01-05-2026,01-06-2026,01-07-2026,01-08-2026,01-09-2026,01-10-2026,01-11-2026,01-12-2026,01-01-2027,01-02-2027,01-03-2027,01-04-2027"/>
        <s v="01-03-2026,01-05-2026,01-07-2026,01-09-2026"/>
        <s v="01-01-2027,01-02-2027,01-03-2027,01-04-2027,01-05-2027,01-06-2027,01-07-2027,01-08-2027,01-09-2027,01-10-2027,01-11-2027,01-12-2027"/>
        <s v="01-05-2026,01-06-2026,01-07-2026,01-08-2026,01-09-2026,01-10-2026,01-11-2026,01-12-2026,01-01-2027,01-02-2027,01-03-2027,01-04-2027,01-05-2027,01-06-2027,01-07-2027,01-08-2027,01-09-2027,01-10-2027,01-11-2027,01-12-2027,01-01-2028,01-02-2028,01-03-2028,01-04-2028,01-05-2028,01-06-2028,01-07-2028,01-08-2028,01-09-2028,01-10-2028,01-11-2028,01-12-2028"/>
        <s v="01-03-2026,01-06-2026,01-09-2026"/>
        <s v="01-03-2026,01-06-2026,01-09-2026,01-12-2026"/>
        <s v="01-01-2027,01-02-2027,01-03-2027,01-04-2027,01-05-2027,01-06-2027,01-07-2027,01-08-2027,01-09-2027,01-10-2027,01-11-2027,01-12-2027,01-01-2028,01-02-2028,01-03-2028,01-04-2028,01-05-2028,01-06-2028,01-07-2028,01-08-2028,01-09-2028,01-10-2028,01-11-2028,01-12-2028"/>
        <s v="01-04-2026,01-05-2026"/>
        <s v="01-06-2026,01-08-2026,01-09-2026,01-12-2026"/>
      </sharedItems>
    </cacheField>
    <cacheField name="Nombre responsable" numFmtId="0">
      <sharedItems count="107">
        <s v="Bruno Ojeda Alvarez"/>
        <s v="Felipe Salvo Barriga"/>
        <s v="CATALINA VERA"/>
        <s v="Antonia Caifil"/>
        <s v="KARIN SCHOLZ"/>
        <s v="Felipe Salvo"/>
        <s v="JORGE OYARZUN SILVA"/>
        <s v="Mario Aburto Foitzich"/>
        <s v="CATALINA VERA CASTRO"/>
        <s v="Lorena Torres Castillo"/>
        <s v="Alvaro Montecinos"/>
        <s v="ESTEBAN ALARCON BOHLE"/>
        <s v="Angelo Palma"/>
        <s v="Khris Silva Vargas"/>
        <s v="ELEUTERIO ROMAN"/>
        <s v="Sofia Reyes"/>
        <s v="Luis Flores Merino"/>
        <s v="SOFIA REYES ALARCON"/>
        <s v="Sandra Espinoza"/>
        <s v="Maria Ines Asenjo Soto"/>
        <s v="Yuvit García-Chacur"/>
        <s v="Pedro Fritz Cardeans"/>
        <s v="Camila Roa"/>
        <s v="Ximena Campos Gueicha"/>
        <s v="Consuelo Cordova"/>
        <s v="Carlos López"/>
        <s v="Javiera Gajardo"/>
        <s v="Claudia Muñoz"/>
        <s v="Antonia Caifil Martínez"/>
        <s v="Camila Alvarez Velasquez"/>
        <s v="Cecilia Garay L"/>
        <s v="Daniela Jara Cerda"/>
        <s v="Raul Nuñez Vega"/>
        <s v="Garibe Gallardo Trujillo"/>
        <s v="María Teresa Jaramillo Vergara"/>
        <s v="Pablo Oyarzo"/>
        <s v="Claudia Centeno"/>
        <s v="Karin Avila"/>
        <s v="Chessarina Tuchie Fischer"/>
        <s v="Mario Barrientos"/>
        <s v="Silvia Delgado"/>
        <s v="Camilo Martínez"/>
        <s v="Pedro Huito"/>
        <s v="Carolina Silva"/>
        <s v="Pedro Fritz"/>
        <s v="Daniela Barria"/>
        <s v="Yanet Gutierrez"/>
        <s v="Marcia Delarze"/>
        <s v="Jocelyne Prieto"/>
        <s v="Daniela Soto"/>
        <s v="Lhya Kortmann"/>
        <s v="Camila Alvarez"/>
        <s v="Fernando Roman"/>
        <s v="Daniela Cancino"/>
        <s v="Kassandra Fernandez"/>
        <s v="Venecia Recabarren"/>
        <s v="Pilar Mora"/>
        <s v="Raul Rojas"/>
        <s v="Leonor Araneda"/>
        <s v="Estrella Azocar"/>
        <s v="Khris Silva"/>
        <s v="Felipe Barriga"/>
        <s v="Gustavo Marin"/>
        <s v="Luis Flores"/>
        <s v="Gustavo Aravena"/>
        <s v="Karen Silva"/>
        <s v="Maria Elena Muñoz"/>
        <s v="Sandra Cardenas"/>
        <s v="Javier Donoso"/>
        <s v="Rodrigo Neira"/>
        <s v="Fernando Wulf"/>
        <s v="Garibe Gallardo"/>
        <s v="Diego Saldivia"/>
        <s v="Francisca Contreras"/>
        <s v="Guissela Franco"/>
        <s v="Esteban Alarcon"/>
        <s v="Carlos Lopez Gutierrez"/>
        <s v="Omar Contreras"/>
        <s v="Carolina Lagos"/>
        <s v="Yuvit Garcia-Chacur"/>
        <s v="Franco Fuentes"/>
        <s v="Ximena Campos"/>
        <s v="Carolina Silva Carolina Silva"/>
        <s v="Maria Paz Gomez"/>
        <s v="Marta Borquez"/>
        <s v="Gonzalo Schulz"/>
        <s v="Mario Aburto"/>
        <s v="Munirih Soto"/>
        <s v="Luis Alfonso Oyarzun"/>
        <s v="Alejandro Nuñez"/>
        <s v="Pablo Miranda"/>
        <s v="Constanza García"/>
        <s v="Maria Teresa Jaramillo"/>
        <s v="Esteban Oyarzo"/>
        <s v="Ignacio Sotomayor"/>
        <s v="Cristina Collinao"/>
        <s v="Claudia Vera"/>
        <s v="Angela Montesinos"/>
        <s v="Carlos Utreras"/>
        <s v="Barbara Mendez"/>
        <s v="Marco Gonzalez"/>
        <s v="NMaria Paz Gomez"/>
        <s v="Estrella Azócar"/>
        <s v="Daniel Pereira"/>
        <s v="Ana María Diaz"/>
        <s v="Sandra Rodriguez"/>
        <s v="Waleska Monsalvez"/>
      </sharedItems>
    </cacheField>
    <cacheField name="Cargo responsable" numFmtId="0">
      <sharedItems count="108">
        <s v="Jefe Depto. Tecnologías de la Información"/>
        <s v="Jefe Depto."/>
        <s v="Enc. Sección Mant. de Vehículos"/>
        <s v="COORDINADORA EMERGENCIA"/>
        <s v="Jefa Subdepto. Gestión Clinica y Adm."/>
        <s v="Jefa Subdepto. Gestión Clínica y Adm."/>
        <s v="Jefatura Dpto. de Calidad de Vida"/>
        <s v="Encargado Mantenimineto"/>
        <s v="JEFA DE DEPTO DE CALIDAD DE VIDA"/>
        <s v="REFERENTE TARJETA ALIMENTACION"/>
        <s v="Encargado Gestión Salud Respiratoria"/>
        <s v="Encargada (S) Sección Administración de Contratos"/>
        <s v="Jefe (S) Subdepto. Soporte TIC"/>
        <s v="TECNICO RADIOCOMUNICACIONES"/>
        <s v="Jefe (s) Subdepto. Gestión Clínica y Administrativa Red Temática de Salud Mental de Especialidad"/>
        <s v="Jefa Subdepto. Mantención de Equipos Médicos e Industriales"/>
        <s v="JEFE SUBDEPTO FARMACIA"/>
        <s v="ENCARGADA (S) SECCIÓN DE ADMINISTRACIÓN DE CONTRATOS"/>
        <s v="Encargada"/>
        <s v="Coordinador"/>
        <s v="COMPRADOR"/>
        <s v="PAC Pasajes DSSO 2025-2026"/>
        <s v="DIRECTORA"/>
        <s v="Jefa Subdepto Abastecimiento"/>
        <s v="DIRECTOR COSAM"/>
        <s v="Coordinadora UID NEWEN"/>
        <s v="jefa subdepto gestión de programas en curso de vida"/>
        <s v="INGENIERO AMBIENTAL"/>
        <s v="Encargada Programas"/>
        <s v="Jefe Depto. Tecnologías de la Información y Comunicaiciones"/>
        <s v="Encargada Cuidados Infantiles y Conciliación"/>
        <s v="Jefa Subdepto. Gestión Clínica y Adm. Red Temática de Salud Mental de Especialidad"/>
        <s v="KINESIÓLOGA ENCARGADA PROGRAMA AYUDAS TÉCNICAS"/>
        <s v="Coordinador Unidad de Gestión de Procesos Clínicos de Atención de Especialidad Ambulatoria, Cerrada"/>
        <s v="Encargado Bodega General"/>
        <s v="JEFE SAMU OSORNO"/>
        <s v="PROFESIONAL"/>
        <s v="Encargada Alivio del Dolor y Cuidados Paliativos Universales"/>
        <s v="Encargado (S) Administracion Interna"/>
        <s v="Encargado Seccion"/>
        <s v="Encargado Sección Mantenimiento de Vehículos"/>
        <s v="Cajera"/>
        <s v="Referente Rehabilitación Integral"/>
        <s v="Encargada Programa Fofar"/>
        <s v="Jefe Subdepto. Diseño De Infraestructura De Salud"/>
        <s v="Encargada Proceso De Urgencia"/>
        <s v="Director(S)"/>
        <s v="Apoyo Salud Intercultural"/>
        <s v="Encargada De Compras"/>
        <s v="Encargada Trato Usuario"/>
        <s v="Secretaria"/>
        <s v="Encargada Apoyo Diagnóstico Laboratorio"/>
        <s v="Kinesióloga"/>
        <s v="Jefa Seccion Gestion Y Desarrollo Ley Medica"/>
        <s v="Enfermera"/>
        <s v="Kinesióloga Encargada Programa Atencion Domiciliaria Para Personas Con Dependencia Severa"/>
        <s v="Jefe Subdepartamento Farmacia"/>
        <s v="Nutricionista"/>
        <s v="Director"/>
        <s v="Trabajadora Social"/>
        <s v="Encargado (S) Administración Interna"/>
        <s v="Jefatura Unidad Prev. Riesgos"/>
        <s v="Encargada Saludablemente Funcionarios"/>
        <s v="Itos"/>
        <s v="Directora Técnica Droguería"/>
        <s v="Enc. Chcc"/>
        <s v="Kinesiólogo"/>
        <s v="Coordinadora"/>
        <s v="Jefe Depto. Desarrollo Organizacional"/>
        <s v="Jefa (S) Sub. Dpto. De Inversiones De Equipos Y Equipamiento"/>
        <s v="Jefa Subdepartamento Estudios De Preinversión"/>
        <s v="Jefe (S) Subdepartamento De Pre Inversion"/>
        <s v="Ito"/>
        <s v="Fos (S)"/>
        <s v="Referente"/>
        <s v="Matrona"/>
        <s v="Jefa Unidad Reclutamiento Y Seleccion"/>
        <s v="Jefe Subdetpo. Apoyo Diagnóstico Y Terapéutico"/>
        <s v="Referente De Programa Nacional De Inmunizaciones"/>
        <s v="Encargado De Gestión De Lista De Espera Y Programa Nacional De Cáncer"/>
        <s v="Coordinadora Unidad De Memoria"/>
        <s v="Referente Programa De Tuberculosis"/>
        <s v="Encargada Unidad De Cuidados Infantiles Y Conciliación"/>
        <s v="Jefe Sub Departamento Programa Curso De Vida"/>
        <s v="Odontologo"/>
        <s v="Jefatura Depto"/>
        <s v="Cirujano Dentista"/>
        <s v="Encargado Gestión De Sistemas"/>
        <s v="Encargado De Inventario"/>
        <s v="Psicóloga Safu"/>
        <s v="Encargado Programa Prevención Cáncer Pulmonar"/>
        <s v="Jefa Subdepto. Gestión De Programas"/>
        <s v="Asistente Ejecutivo"/>
        <s v="Psicologo"/>
        <s v="Sub. Dpto. Transparencia, Gestion Documental Y Lobby"/>
        <s v="Encargada Control De Gestion De Compras Y De Presupuesto"/>
        <s v="Coordinador (S)"/>
        <s v="Director COSAM Oriente"/>
        <s v="Referente Estrategia De Cuidados Integrales Centrados En Las Personas - Ecicep"/>
        <s v="Enc. Apoyo Diagnóstico En Imagenología"/>
        <s v="Jefa Subdepto. Programas En Curso De Vida."/>
        <s v="Jefa Unidad Reclutamiento y Selección"/>
        <s v="Encargado Salud Oral"/>
        <s v="Encargada Chile Crece Contigo"/>
        <s v="Apoyo Participación"/>
        <s v="Jefa Unidad Ciclo Laboral"/>
        <s v="Jefa Subdepto. Cultura Y Clima Organizacional"/>
        <s v="Jefatura"/>
      </sharedItems>
    </cacheField>
    <cacheField name="Teléfono responsable" numFmtId="0">
      <sharedItems/>
    </cacheField>
    <cacheField name="Correo responsable" numFmtId="0">
      <sharedItems/>
    </cacheField>
    <cacheField name="Fecha de Inicio Compra" numFmtId="14">
      <sharedItems containsSemiMixedTypes="0" containsNonDate="0" containsDate="1" containsString="0" minDate="2023-10-01T00:00:00" maxDate="2026-12-02T00:00:00" count="25">
        <d v="2024-01-01T00:00:00"/>
        <d v="2023-10-01T00:00:00"/>
        <d v="2024-05-01T00:00:00"/>
        <d v="2024-07-01T00:00:00"/>
        <d v="2024-06-01T00:00:00"/>
        <d v="2024-08-01T00:00:00"/>
        <d v="2025-12-01T00:00:00"/>
        <d v="2025-08-01T00:00:00"/>
        <d v="2025-01-01T00:00:00"/>
        <d v="2025-03-01T00:00:00"/>
        <d v="2025-06-01T00:00:00"/>
        <d v="2025-04-01T00:00:00"/>
        <d v="2025-07-01T00:00:00"/>
        <d v="2026-01-01T00:00:00"/>
        <d v="2026-04-01T00:00:00"/>
        <d v="2026-06-01T00:00:00"/>
        <d v="2026-09-01T00:00:00"/>
        <d v="2026-10-01T00:00:00"/>
        <d v="2026-11-01T00:00:00"/>
        <d v="2026-02-01T00:00:00"/>
        <d v="2026-05-01T00:00:00"/>
        <d v="2026-03-01T00:00:00"/>
        <d v="2026-07-01T00:00:00"/>
        <d v="2026-12-01T00:00:00"/>
        <d v="2026-08-01T00:00:00"/>
      </sharedItems>
      <fieldGroup par="31"/>
    </cacheField>
    <cacheField name="Fecha Publicación PAC 2026" numFmtId="0">
      <sharedItems containsNonDate="0" containsDate="1" containsString="0" containsBlank="1" minDate="2024-07-05T00:00:00" maxDate="2025-08-21T00:00:00"/>
    </cacheField>
    <cacheField name="Cantidad OC Asociadas Ítem 2026" numFmtId="0">
      <sharedItems containsSemiMixedTypes="0" containsString="0" containsNumber="1" containsInteger="1" minValue="0" maxValue="54"/>
    </cacheField>
    <cacheField name="OC Asociada Item 2026" numFmtId="0">
      <sharedItems containsBlank="1"/>
    </cacheField>
    <cacheField name="Item De Arraste" numFmtId="0">
      <sharedItems containsSemiMixedTypes="0" containsString="0" containsNumber="1" containsInteger="1" minValue="0" maxValue="1"/>
    </cacheField>
    <cacheField name="Monto De Arrastre" numFmtId="0">
      <sharedItems containsSemiMixedTypes="0" containsString="0" containsNumber="1" containsInteger="1" minValue="0" maxValue="75433075"/>
    </cacheField>
    <cacheField name="Meses envio OC de Arraste" numFmtId="0">
      <sharedItems containsNonDate="0" containsDate="1" containsString="0" containsBlank="1" minDate="2026-01-01T00:00:00" maxDate="2026-12-02T00:00:00"/>
    </cacheField>
    <cacheField name="PAC" numFmtId="0">
      <sharedItems count="2">
        <s v="Arrastre"/>
        <s v="PC26"/>
      </sharedItems>
    </cacheField>
    <cacheField name="TIPO PAC" numFmtId="0">
      <sharedItems count="7">
        <s v="Arrastre"/>
        <s v="Bienestar"/>
        <s v="Administración de Fondos"/>
        <s v="Compras Convenio GORE Region de Los Lagos"/>
        <s v="Bienes y Servicios"/>
        <s v="Activos Fijos"/>
        <s v="Obras Civiles"/>
      </sharedItems>
    </cacheField>
    <cacheField name="Meses (Fecha de Inicio Compra)" numFmtId="0" databaseField="0">
      <fieldGroup base="20">
        <rangePr groupBy="months" startDate="2023-10-01T00:00:00" endDate="2026-12-02T00:00:00"/>
        <groupItems count="14">
          <s v="&lt;01-10-2023"/>
          <s v="ene"/>
          <s v="feb"/>
          <s v="mar"/>
          <s v="abr"/>
          <s v="may"/>
          <s v="jun"/>
          <s v="jul"/>
          <s v="ago"/>
          <s v="sept"/>
          <s v="oct"/>
          <s v="nov"/>
          <s v="dic"/>
          <s v="&gt;02-12-2026"/>
        </groupItems>
      </fieldGroup>
    </cacheField>
    <cacheField name="Trimestres (Fecha de Inicio Compra)" numFmtId="0" databaseField="0">
      <fieldGroup base="20">
        <rangePr groupBy="quarters" startDate="2023-10-01T00:00:00" endDate="2026-12-02T00:00:00"/>
        <groupItems count="6">
          <s v="&lt;01-10-2023"/>
          <s v="Trim.1"/>
          <s v="Trim.2"/>
          <s v="Trim.3"/>
          <s v="Trim.4"/>
          <s v="&gt;02-12-2026"/>
        </groupItems>
      </fieldGroup>
    </cacheField>
    <cacheField name="Años (Fecha de Inicio Compra)" numFmtId="0" databaseField="0">
      <fieldGroup base="20">
        <rangePr groupBy="years" startDate="2023-10-01T00:00:00" endDate="2026-12-02T00:00:00"/>
        <groupItems count="6">
          <s v="&lt;01-10-2023"/>
          <s v="2023"/>
          <s v="2024"/>
          <s v="2025"/>
          <s v="2026"/>
          <s v="&gt;02-12-2026"/>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6024.615785879629" createdVersion="8" refreshedVersion="8" minRefreshableVersion="3" recordCount="393" xr:uid="{ED5D5D6C-F4E1-49CC-B555-9BC24F437FAA}">
  <cacheSource type="worksheet">
    <worksheetSource ref="A1:G394" sheet="TD"/>
  </cacheSource>
  <cacheFields count="7">
    <cacheField name="PAC" numFmtId="0">
      <sharedItems/>
    </cacheField>
    <cacheField name="TIPO PAC" numFmtId="0">
      <sharedItems count="7">
        <s v="Arrastre"/>
        <s v="Activos Fijos"/>
        <s v="Administración de Fondos"/>
        <s v="Bienes y Servicios"/>
        <s v="Bienestar"/>
        <s v="Compras Convenio GORE Region de Los Lagos"/>
        <s v="Obras Civiles"/>
      </sharedItems>
    </cacheField>
    <cacheField name="ID Proyecto" numFmtId="0">
      <sharedItems/>
    </cacheField>
    <cacheField name="Nombre Proyecto" numFmtId="0">
      <sharedItems/>
    </cacheField>
    <cacheField name="Nombre responsable" numFmtId="0">
      <sharedItems/>
    </cacheField>
    <cacheField name="Cargo responsable" numFmtId="0">
      <sharedItems/>
    </cacheField>
    <cacheField name="Suma de Monto Total Ítem Año 2026" numFmtId="42">
      <sharedItems containsSemiMixedTypes="0" containsString="0" containsNumber="1" containsInteger="1" minValue="0" maxValue="207507953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9">
  <r>
    <s v="SERVICIO DE SALUD OSORNO"/>
    <x v="0"/>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x v="0"/>
    <x v="0"/>
    <n v="1"/>
    <n v="1"/>
    <x v="0"/>
    <x v="0"/>
    <x v="0"/>
    <x v="0"/>
    <x v="0"/>
    <x v="0"/>
    <s v="64-2335840-"/>
    <s v="bruno.ojeda@redsalud.gov.cl"/>
    <x v="0"/>
    <d v="2024-07-05T00:00:00"/>
    <n v="54"/>
    <s v="1057532-268-SE25"/>
    <n v="1"/>
    <n v="2500000"/>
    <d v="2026-02-01T00:00:00"/>
    <x v="0"/>
  </r>
  <r>
    <s v="SERVICIO DE SALUD OSORNO"/>
    <x v="0"/>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x v="0"/>
    <x v="0"/>
    <n v="1"/>
    <n v="1"/>
    <x v="0"/>
    <x v="0"/>
    <x v="0"/>
    <x v="0"/>
    <x v="0"/>
    <x v="0"/>
    <s v="64-2335840-"/>
    <s v="bruno.ojeda@redsalud.gov.cl"/>
    <x v="0"/>
    <d v="2024-07-05T00:00:00"/>
    <n v="54"/>
    <s v="1057532-268-SE25"/>
    <n v="1"/>
    <n v="2500000"/>
    <d v="2026-04-01T00:00:00"/>
    <x v="0"/>
  </r>
  <r>
    <s v="SERVICIO DE SALUD OSORNO"/>
    <x v="0"/>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x v="0"/>
    <x v="0"/>
    <n v="1"/>
    <n v="1"/>
    <x v="0"/>
    <x v="0"/>
    <x v="0"/>
    <x v="0"/>
    <x v="0"/>
    <x v="0"/>
    <s v="64-2335840-"/>
    <s v="bruno.ojeda@redsalud.gov.cl"/>
    <x v="0"/>
    <d v="2024-07-05T00:00:00"/>
    <n v="54"/>
    <s v="1057532-266-SE25"/>
    <n v="1"/>
    <n v="2500000"/>
    <d v="2026-02-01T00:00:00"/>
    <x v="0"/>
  </r>
  <r>
    <s v="SERVICIO DE SALUD OSORNO"/>
    <x v="0"/>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x v="0"/>
    <x v="0"/>
    <n v="1"/>
    <n v="1"/>
    <x v="0"/>
    <x v="0"/>
    <x v="0"/>
    <x v="0"/>
    <x v="0"/>
    <x v="0"/>
    <s v="64-2335840-"/>
    <s v="bruno.ojeda@redsalud.gov.cl"/>
    <x v="0"/>
    <d v="2024-07-05T00:00:00"/>
    <n v="54"/>
    <s v="1057532-266-SE25"/>
    <n v="1"/>
    <n v="2500000"/>
    <d v="2026-12-01T00:00:00"/>
    <x v="0"/>
  </r>
  <r>
    <s v="SERVICIO DE SALUD OSORNO"/>
    <x v="0"/>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x v="0"/>
    <x v="0"/>
    <n v="1"/>
    <n v="1"/>
    <x v="0"/>
    <x v="0"/>
    <x v="0"/>
    <x v="0"/>
    <x v="0"/>
    <x v="0"/>
    <s v="64-2335840-"/>
    <s v="bruno.ojeda@redsalud.gov.cl"/>
    <x v="0"/>
    <d v="2024-07-05T00:00:00"/>
    <n v="54"/>
    <s v="1057532-267-SE25"/>
    <n v="1"/>
    <n v="2500000"/>
    <d v="2026-11-01T00:00:00"/>
    <x v="0"/>
  </r>
  <r>
    <s v="SERVICIO DE SALUD OSORNO"/>
    <x v="0"/>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x v="0"/>
    <x v="0"/>
    <n v="1"/>
    <n v="1"/>
    <x v="0"/>
    <x v="0"/>
    <x v="0"/>
    <x v="0"/>
    <x v="0"/>
    <x v="0"/>
    <s v="64-2335840-"/>
    <s v="bruno.ojeda@redsalud.gov.cl"/>
    <x v="0"/>
    <d v="2024-07-05T00:00:00"/>
    <n v="54"/>
    <s v="1057532-268-SE25"/>
    <n v="1"/>
    <n v="2500000"/>
    <d v="2026-06-01T00:00:00"/>
    <x v="0"/>
  </r>
  <r>
    <s v="SERVICIO DE SALUD OSORNO"/>
    <x v="0"/>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x v="0"/>
    <x v="0"/>
    <n v="1"/>
    <n v="1"/>
    <x v="0"/>
    <x v="0"/>
    <x v="0"/>
    <x v="0"/>
    <x v="0"/>
    <x v="0"/>
    <s v="64-2335840-"/>
    <s v="bruno.ojeda@redsalud.gov.cl"/>
    <x v="0"/>
    <d v="2024-07-05T00:00:00"/>
    <n v="54"/>
    <s v="1057532-268-SE25"/>
    <n v="1"/>
    <n v="2500000"/>
    <d v="2026-11-01T00:00:00"/>
    <x v="0"/>
  </r>
  <r>
    <s v="SERVICIO DE SALUD OSORNO"/>
    <x v="0"/>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x v="0"/>
    <x v="0"/>
    <n v="1"/>
    <n v="1"/>
    <x v="0"/>
    <x v="0"/>
    <x v="0"/>
    <x v="0"/>
    <x v="0"/>
    <x v="0"/>
    <s v="64-2335840-"/>
    <s v="bruno.ojeda@redsalud.gov.cl"/>
    <x v="0"/>
    <d v="2024-07-05T00:00:00"/>
    <n v="54"/>
    <s v="1057532-266-SE25"/>
    <n v="1"/>
    <n v="2500000"/>
    <d v="2026-07-01T00:00:00"/>
    <x v="0"/>
  </r>
  <r>
    <s v="SERVICIO DE SALUD OSORNO"/>
    <x v="0"/>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x v="0"/>
    <x v="0"/>
    <n v="1"/>
    <n v="1"/>
    <x v="0"/>
    <x v="0"/>
    <x v="0"/>
    <x v="0"/>
    <x v="0"/>
    <x v="0"/>
    <s v="64-2335840-"/>
    <s v="bruno.ojeda@redsalud.gov.cl"/>
    <x v="0"/>
    <d v="2024-07-05T00:00:00"/>
    <n v="54"/>
    <s v="1057532-266-SE25"/>
    <n v="1"/>
    <n v="2500000"/>
    <d v="2026-01-01T00:00:00"/>
    <x v="0"/>
  </r>
  <r>
    <s v="SERVICIO DE SALUD OSORNO"/>
    <x v="0"/>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x v="0"/>
    <x v="0"/>
    <n v="1"/>
    <n v="1"/>
    <x v="0"/>
    <x v="0"/>
    <x v="0"/>
    <x v="0"/>
    <x v="0"/>
    <x v="0"/>
    <s v="64-2335840-"/>
    <s v="bruno.ojeda@redsalud.gov.cl"/>
    <x v="0"/>
    <d v="2024-07-05T00:00:00"/>
    <n v="54"/>
    <s v="1057532-266-SE25"/>
    <n v="1"/>
    <n v="2500000"/>
    <d v="2026-06-01T00:00:00"/>
    <x v="0"/>
  </r>
  <r>
    <s v="SERVICIO DE SALUD OSORNO"/>
    <x v="0"/>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x v="0"/>
    <x v="0"/>
    <n v="1"/>
    <n v="1"/>
    <x v="0"/>
    <x v="0"/>
    <x v="0"/>
    <x v="0"/>
    <x v="0"/>
    <x v="0"/>
    <s v="64-2335840-"/>
    <s v="bruno.ojeda@redsalud.gov.cl"/>
    <x v="0"/>
    <d v="2024-07-05T00:00:00"/>
    <n v="54"/>
    <s v="1057532-267-SE25"/>
    <n v="1"/>
    <n v="2500000"/>
    <d v="2026-04-01T00:00:00"/>
    <x v="0"/>
  </r>
  <r>
    <s v="SERVICIO DE SALUD OSORNO"/>
    <x v="0"/>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x v="0"/>
    <x v="0"/>
    <n v="1"/>
    <n v="1"/>
    <x v="0"/>
    <x v="0"/>
    <x v="0"/>
    <x v="0"/>
    <x v="0"/>
    <x v="0"/>
    <s v="64-2335840-"/>
    <s v="bruno.ojeda@redsalud.gov.cl"/>
    <x v="0"/>
    <d v="2024-07-05T00:00:00"/>
    <n v="54"/>
    <s v="1057532-266-SE25"/>
    <n v="1"/>
    <n v="2500000"/>
    <d v="2026-03-01T00:00:00"/>
    <x v="0"/>
  </r>
  <r>
    <s v="SERVICIO DE SALUD OSORNO"/>
    <x v="0"/>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x v="0"/>
    <x v="1"/>
    <n v="1"/>
    <n v="1"/>
    <x v="1"/>
    <x v="1"/>
    <x v="0"/>
    <x v="0"/>
    <x v="0"/>
    <x v="1"/>
    <s v="64-2335840-"/>
    <s v="bruno.ojeda@redsalud.gov.cl"/>
    <x v="1"/>
    <d v="2024-07-05T00:00:00"/>
    <n v="1"/>
    <s v="1057532-1544-SE24"/>
    <n v="1"/>
    <n v="559333"/>
    <d v="2026-01-01T00:00:00"/>
    <x v="0"/>
  </r>
  <r>
    <s v="SERVICIO DE SALUD OSORNO"/>
    <x v="0"/>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x v="0"/>
    <x v="1"/>
    <n v="1"/>
    <n v="1"/>
    <x v="1"/>
    <x v="1"/>
    <x v="0"/>
    <x v="0"/>
    <x v="0"/>
    <x v="1"/>
    <s v="64-2335840-"/>
    <s v="bruno.ojeda@redsalud.gov.cl"/>
    <x v="1"/>
    <d v="2024-07-05T00:00:00"/>
    <n v="1"/>
    <s v="1057532-1544-SE24"/>
    <n v="1"/>
    <n v="559333"/>
    <d v="2026-07-01T00:00:00"/>
    <x v="0"/>
  </r>
  <r>
    <s v="SERVICIO DE SALUD OSORNO"/>
    <x v="0"/>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x v="0"/>
    <x v="1"/>
    <n v="1"/>
    <n v="1"/>
    <x v="1"/>
    <x v="1"/>
    <x v="0"/>
    <x v="0"/>
    <x v="0"/>
    <x v="1"/>
    <s v="64-2335840-"/>
    <s v="bruno.ojeda@redsalud.gov.cl"/>
    <x v="1"/>
    <d v="2024-07-05T00:00:00"/>
    <n v="1"/>
    <s v="1057532-1544-SE24"/>
    <n v="1"/>
    <n v="559333"/>
    <d v="2026-05-01T00:00:00"/>
    <x v="0"/>
  </r>
  <r>
    <s v="SERVICIO DE SALUD OSORNO"/>
    <x v="0"/>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x v="0"/>
    <x v="1"/>
    <n v="1"/>
    <n v="1"/>
    <x v="1"/>
    <x v="1"/>
    <x v="0"/>
    <x v="0"/>
    <x v="0"/>
    <x v="1"/>
    <s v="64-2335840-"/>
    <s v="bruno.ojeda@redsalud.gov.cl"/>
    <x v="1"/>
    <d v="2024-07-05T00:00:00"/>
    <n v="1"/>
    <s v="1057532-1544-SE24"/>
    <n v="1"/>
    <n v="559333"/>
    <d v="2026-02-01T00:00:00"/>
    <x v="0"/>
  </r>
  <r>
    <s v="SERVICIO DE SALUD OSORNO"/>
    <x v="0"/>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x v="0"/>
    <x v="1"/>
    <n v="1"/>
    <n v="1"/>
    <x v="1"/>
    <x v="1"/>
    <x v="0"/>
    <x v="0"/>
    <x v="0"/>
    <x v="1"/>
    <s v="64-2335840-"/>
    <s v="bruno.ojeda@redsalud.gov.cl"/>
    <x v="1"/>
    <d v="2024-07-05T00:00:00"/>
    <n v="1"/>
    <s v="1057532-1544-SE24"/>
    <n v="1"/>
    <n v="559333"/>
    <d v="2026-08-01T00:00:00"/>
    <x v="0"/>
  </r>
  <r>
    <s v="SERVICIO DE SALUD OSORNO"/>
    <x v="0"/>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x v="0"/>
    <x v="1"/>
    <n v="1"/>
    <n v="1"/>
    <x v="1"/>
    <x v="1"/>
    <x v="0"/>
    <x v="0"/>
    <x v="0"/>
    <x v="1"/>
    <s v="64-2335840-"/>
    <s v="bruno.ojeda@redsalud.gov.cl"/>
    <x v="1"/>
    <d v="2024-07-05T00:00:00"/>
    <n v="1"/>
    <s v="1057532-1544-SE24"/>
    <n v="1"/>
    <n v="559333"/>
    <d v="2026-03-01T00:00:00"/>
    <x v="0"/>
  </r>
  <r>
    <s v="SERVICIO DE SALUD OSORNO"/>
    <x v="0"/>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x v="0"/>
    <x v="1"/>
    <n v="1"/>
    <n v="1"/>
    <x v="1"/>
    <x v="1"/>
    <x v="0"/>
    <x v="0"/>
    <x v="0"/>
    <x v="1"/>
    <s v="64-2335840-"/>
    <s v="bruno.ojeda@redsalud.gov.cl"/>
    <x v="1"/>
    <d v="2024-07-05T00:00:00"/>
    <n v="1"/>
    <s v="1057532-1544-SE24"/>
    <n v="1"/>
    <n v="559333"/>
    <d v="2026-06-01T00:00:00"/>
    <x v="0"/>
  </r>
  <r>
    <s v="SERVICIO DE SALUD OSORNO"/>
    <x v="0"/>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x v="0"/>
    <x v="1"/>
    <n v="1"/>
    <n v="1"/>
    <x v="1"/>
    <x v="1"/>
    <x v="0"/>
    <x v="0"/>
    <x v="0"/>
    <x v="1"/>
    <s v="64-2335840-"/>
    <s v="bruno.ojeda@redsalud.gov.cl"/>
    <x v="1"/>
    <d v="2024-07-05T00:00:00"/>
    <n v="1"/>
    <s v="1057532-1544-SE24"/>
    <n v="1"/>
    <n v="559333"/>
    <d v="2026-04-01T00:00:00"/>
    <x v="0"/>
  </r>
  <r>
    <s v="SERVICIO DE SALUD OSORNO"/>
    <x v="0"/>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x v="0"/>
    <x v="1"/>
    <n v="1"/>
    <n v="1"/>
    <x v="1"/>
    <x v="1"/>
    <x v="0"/>
    <x v="0"/>
    <x v="0"/>
    <x v="1"/>
    <s v="64-2335840-"/>
    <s v="bruno.ojeda@redsalud.gov.cl"/>
    <x v="1"/>
    <d v="2024-07-05T00:00:00"/>
    <n v="1"/>
    <s v="1057532-1544-SE24"/>
    <n v="1"/>
    <n v="559333"/>
    <d v="2026-09-01T00:00:00"/>
    <x v="0"/>
  </r>
  <r>
    <s v="SERVICIO DE SALUD OSORNO"/>
    <x v="0"/>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x v="0"/>
    <x v="1"/>
    <n v="1"/>
    <n v="1"/>
    <x v="1"/>
    <x v="1"/>
    <x v="0"/>
    <x v="0"/>
    <x v="0"/>
    <x v="1"/>
    <s v="64-2335840-"/>
    <s v="bruno.ojeda@redsalud.gov.cl"/>
    <x v="1"/>
    <d v="2024-07-05T00:00:00"/>
    <n v="1"/>
    <s v="1057532-1544-SE24"/>
    <n v="1"/>
    <n v="559333"/>
    <d v="2026-10-01T00:00:00"/>
    <x v="0"/>
  </r>
  <r>
    <s v="SERVICIO DE SALUD OSORNO"/>
    <x v="0"/>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x v="0"/>
    <x v="1"/>
    <n v="1"/>
    <n v="1"/>
    <x v="1"/>
    <x v="1"/>
    <x v="0"/>
    <x v="0"/>
    <x v="0"/>
    <x v="1"/>
    <s v="64-2335840-"/>
    <s v="bruno.ojeda@redsalud.gov.cl"/>
    <x v="1"/>
    <d v="2024-07-05T00:00:00"/>
    <n v="1"/>
    <s v="1057532-1544-SE24"/>
    <n v="1"/>
    <n v="559333"/>
    <d v="2026-11-01T00:00:00"/>
    <x v="0"/>
  </r>
  <r>
    <s v="SERVICIO DE SALUD OSORNO"/>
    <x v="0"/>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x v="0"/>
    <x v="1"/>
    <n v="1"/>
    <n v="1"/>
    <x v="1"/>
    <x v="1"/>
    <x v="0"/>
    <x v="0"/>
    <x v="0"/>
    <x v="1"/>
    <s v="64-2335840-"/>
    <s v="bruno.ojeda@redsalud.gov.cl"/>
    <x v="1"/>
    <d v="2024-07-05T00:00:00"/>
    <n v="1"/>
    <s v="1057532-1544-SE24"/>
    <n v="1"/>
    <n v="559333"/>
    <d v="2026-12-01T00:00:00"/>
    <x v="0"/>
  </r>
  <r>
    <s v="SERVICIO DE SALUD OSORNO"/>
    <x v="0"/>
    <x v="2"/>
    <s v="Proyecto operacional"/>
    <s v="Publicado"/>
    <s v="22.11.003"/>
    <x v="2"/>
    <s v="Tiene como finalidad realizar un adecuado control y gestión de flota de vehículos, aumentando la eficiencia en lo operacional, como también disminuyendo el riesgo de accidentes de tránsito."/>
    <x v="1"/>
    <x v="2"/>
    <n v="1"/>
    <n v="1"/>
    <x v="1"/>
    <x v="2"/>
    <x v="0"/>
    <x v="0"/>
    <x v="1"/>
    <x v="2"/>
    <s v="64-2565654-"/>
    <s v="felipe.salvob@redsalud.gob.cl"/>
    <x v="0"/>
    <d v="2024-07-05T00:00:00"/>
    <n v="0"/>
    <m/>
    <n v="1"/>
    <n v="559345"/>
    <d v="2026-12-01T00:00:00"/>
    <x v="0"/>
  </r>
  <r>
    <s v="SERVICIO DE SALUD OSORNO"/>
    <x v="0"/>
    <x v="2"/>
    <s v="Proyecto operacional"/>
    <s v="Publicado"/>
    <s v="22.11.003"/>
    <x v="2"/>
    <s v="Tiene como finalidad realizar un adecuado control y gestión de flota de vehículos, aumentando la eficiencia en lo operacional, como también disminuyendo el riesgo de accidentes de tránsito."/>
    <x v="1"/>
    <x v="2"/>
    <n v="1"/>
    <n v="1"/>
    <x v="1"/>
    <x v="1"/>
    <x v="0"/>
    <x v="0"/>
    <x v="1"/>
    <x v="2"/>
    <s v="64-2565654-"/>
    <s v="felipe.salvob@redsalud.gob.cl"/>
    <x v="0"/>
    <d v="2024-07-05T00:00:00"/>
    <n v="0"/>
    <m/>
    <n v="1"/>
    <n v="559333"/>
    <d v="2026-05-01T00:00:00"/>
    <x v="0"/>
  </r>
  <r>
    <s v="SERVICIO DE SALUD OSORNO"/>
    <x v="0"/>
    <x v="2"/>
    <s v="Proyecto operacional"/>
    <s v="Publicado"/>
    <s v="22.11.003"/>
    <x v="2"/>
    <s v="Tiene como finalidad realizar un adecuado control y gestión de flota de vehículos, aumentando la eficiencia en lo operacional, como también disminuyendo el riesgo de accidentes de tránsito."/>
    <x v="1"/>
    <x v="2"/>
    <n v="1"/>
    <n v="1"/>
    <x v="1"/>
    <x v="1"/>
    <x v="0"/>
    <x v="0"/>
    <x v="1"/>
    <x v="2"/>
    <s v="64-2565654-"/>
    <s v="felipe.salvob@redsalud.gob.cl"/>
    <x v="0"/>
    <d v="2024-07-05T00:00:00"/>
    <n v="0"/>
    <m/>
    <n v="1"/>
    <n v="559333"/>
    <d v="2026-03-01T00:00:00"/>
    <x v="0"/>
  </r>
  <r>
    <s v="SERVICIO DE SALUD OSORNO"/>
    <x v="0"/>
    <x v="2"/>
    <s v="Proyecto operacional"/>
    <s v="Publicado"/>
    <s v="22.11.003"/>
    <x v="2"/>
    <s v="Tiene como finalidad realizar un adecuado control y gestión de flota de vehículos, aumentando la eficiencia en lo operacional, como también disminuyendo el riesgo de accidentes de tránsito."/>
    <x v="1"/>
    <x v="2"/>
    <n v="1"/>
    <n v="1"/>
    <x v="1"/>
    <x v="1"/>
    <x v="0"/>
    <x v="0"/>
    <x v="1"/>
    <x v="2"/>
    <s v="64-2565654-"/>
    <s v="felipe.salvob@redsalud.gob.cl"/>
    <x v="0"/>
    <d v="2024-07-05T00:00:00"/>
    <n v="0"/>
    <m/>
    <n v="1"/>
    <n v="559333"/>
    <d v="2026-02-01T00:00:00"/>
    <x v="0"/>
  </r>
  <r>
    <s v="SERVICIO DE SALUD OSORNO"/>
    <x v="0"/>
    <x v="2"/>
    <s v="Proyecto operacional"/>
    <s v="Publicado"/>
    <s v="22.11.003"/>
    <x v="2"/>
    <s v="Tiene como finalidad realizar un adecuado control y gestión de flota de vehículos, aumentando la eficiencia en lo operacional, como también disminuyendo el riesgo de accidentes de tránsito."/>
    <x v="1"/>
    <x v="2"/>
    <n v="1"/>
    <n v="1"/>
    <x v="1"/>
    <x v="1"/>
    <x v="0"/>
    <x v="0"/>
    <x v="1"/>
    <x v="2"/>
    <s v="64-2565654-"/>
    <s v="felipe.salvob@redsalud.gob.cl"/>
    <x v="0"/>
    <d v="2024-07-05T00:00:00"/>
    <n v="0"/>
    <m/>
    <n v="1"/>
    <n v="559333"/>
    <d v="2026-06-01T00:00:00"/>
    <x v="0"/>
  </r>
  <r>
    <s v="SERVICIO DE SALUD OSORNO"/>
    <x v="0"/>
    <x v="2"/>
    <s v="Proyecto operacional"/>
    <s v="Publicado"/>
    <s v="22.11.003"/>
    <x v="2"/>
    <s v="Tiene como finalidad realizar un adecuado control y gestión de flota de vehículos, aumentando la eficiencia en lo operacional, como también disminuyendo el riesgo de accidentes de tránsito."/>
    <x v="1"/>
    <x v="2"/>
    <n v="1"/>
    <n v="1"/>
    <x v="1"/>
    <x v="1"/>
    <x v="0"/>
    <x v="0"/>
    <x v="1"/>
    <x v="2"/>
    <s v="64-2565654-"/>
    <s v="felipe.salvob@redsalud.gob.cl"/>
    <x v="0"/>
    <d v="2024-07-05T00:00:00"/>
    <n v="0"/>
    <m/>
    <n v="1"/>
    <n v="559333"/>
    <d v="2026-01-01T00:00:00"/>
    <x v="0"/>
  </r>
  <r>
    <s v="SERVICIO DE SALUD OSORNO"/>
    <x v="0"/>
    <x v="2"/>
    <s v="Proyecto operacional"/>
    <s v="Publicado"/>
    <s v="22.11.003"/>
    <x v="2"/>
    <s v="Tiene como finalidad realizar un adecuado control y gestión de flota de vehículos, aumentando la eficiencia en lo operacional, como también disminuyendo el riesgo de accidentes de tránsito."/>
    <x v="1"/>
    <x v="2"/>
    <n v="1"/>
    <n v="1"/>
    <x v="1"/>
    <x v="1"/>
    <x v="0"/>
    <x v="0"/>
    <x v="1"/>
    <x v="2"/>
    <s v="64-2565654-"/>
    <s v="felipe.salvob@redsalud.gob.cl"/>
    <x v="0"/>
    <d v="2024-07-05T00:00:00"/>
    <n v="0"/>
    <m/>
    <n v="1"/>
    <n v="559333"/>
    <d v="2026-07-01T00:00:00"/>
    <x v="0"/>
  </r>
  <r>
    <s v="SERVICIO DE SALUD OSORNO"/>
    <x v="0"/>
    <x v="2"/>
    <s v="Proyecto operacional"/>
    <s v="Publicado"/>
    <s v="22.11.003"/>
    <x v="2"/>
    <s v="Tiene como finalidad realizar un adecuado control y gestión de flota de vehículos, aumentando la eficiencia en lo operacional, como también disminuyendo el riesgo de accidentes de tránsito."/>
    <x v="1"/>
    <x v="2"/>
    <n v="1"/>
    <n v="1"/>
    <x v="1"/>
    <x v="1"/>
    <x v="0"/>
    <x v="0"/>
    <x v="1"/>
    <x v="2"/>
    <s v="64-2565654-"/>
    <s v="felipe.salvob@redsalud.gob.cl"/>
    <x v="0"/>
    <d v="2024-07-05T00:00:00"/>
    <n v="0"/>
    <m/>
    <n v="1"/>
    <n v="559333"/>
    <d v="2026-04-01T00:00:00"/>
    <x v="0"/>
  </r>
  <r>
    <s v="SERVICIO DE SALUD OSORNO"/>
    <x v="0"/>
    <x v="2"/>
    <s v="Proyecto operacional"/>
    <s v="Publicado"/>
    <s v="22.11.003"/>
    <x v="2"/>
    <s v="Tiene como finalidad realizar un adecuado control y gestión de flota de vehículos, aumentando la eficiencia en lo operacional, como también disminuyendo el riesgo de accidentes de tránsito."/>
    <x v="1"/>
    <x v="2"/>
    <n v="1"/>
    <n v="1"/>
    <x v="1"/>
    <x v="1"/>
    <x v="0"/>
    <x v="0"/>
    <x v="1"/>
    <x v="2"/>
    <s v="64-2565654-"/>
    <s v="felipe.salvob@redsalud.gob.cl"/>
    <x v="0"/>
    <d v="2024-07-05T00:00:00"/>
    <n v="0"/>
    <m/>
    <n v="1"/>
    <n v="559333"/>
    <d v="2026-08-01T00:00:00"/>
    <x v="0"/>
  </r>
  <r>
    <s v="SERVICIO DE SALUD OSORNO"/>
    <x v="0"/>
    <x v="2"/>
    <s v="Proyecto operacional"/>
    <s v="Publicado"/>
    <s v="22.11.003"/>
    <x v="2"/>
    <s v="Tiene como finalidad realizar un adecuado control y gestión de flota de vehículos, aumentando la eficiencia en lo operacional, como también disminuyendo el riesgo de accidentes de tránsito."/>
    <x v="1"/>
    <x v="2"/>
    <n v="1"/>
    <n v="1"/>
    <x v="1"/>
    <x v="1"/>
    <x v="0"/>
    <x v="0"/>
    <x v="1"/>
    <x v="2"/>
    <s v="64-2565654-"/>
    <s v="felipe.salvob@redsalud.gob.cl"/>
    <x v="0"/>
    <d v="2024-07-05T00:00:00"/>
    <n v="0"/>
    <m/>
    <n v="1"/>
    <n v="559333"/>
    <d v="2026-10-01T00:00:00"/>
    <x v="0"/>
  </r>
  <r>
    <s v="SERVICIO DE SALUD OSORNO"/>
    <x v="0"/>
    <x v="2"/>
    <s v="Proyecto operacional"/>
    <s v="Publicado"/>
    <s v="22.11.003"/>
    <x v="2"/>
    <s v="Tiene como finalidad realizar un adecuado control y gestión de flota de vehículos, aumentando la eficiencia en lo operacional, como también disminuyendo el riesgo de accidentes de tránsito."/>
    <x v="1"/>
    <x v="2"/>
    <n v="1"/>
    <n v="1"/>
    <x v="1"/>
    <x v="1"/>
    <x v="0"/>
    <x v="0"/>
    <x v="1"/>
    <x v="2"/>
    <s v="64-2565654-"/>
    <s v="felipe.salvob@redsalud.gob.cl"/>
    <x v="0"/>
    <d v="2024-07-05T00:00:00"/>
    <n v="0"/>
    <m/>
    <n v="1"/>
    <n v="559333"/>
    <d v="2026-09-01T00:00:00"/>
    <x v="0"/>
  </r>
  <r>
    <s v="SERVICIO DE SALUD OSORNO"/>
    <x v="0"/>
    <x v="2"/>
    <s v="Proyecto operacional"/>
    <s v="Publicado"/>
    <s v="22.11.003"/>
    <x v="2"/>
    <s v="Tiene como finalidad realizar un adecuado control y gestión de flota de vehículos, aumentando la eficiencia en lo operacional, como también disminuyendo el riesgo de accidentes de tránsito."/>
    <x v="1"/>
    <x v="2"/>
    <n v="1"/>
    <n v="1"/>
    <x v="1"/>
    <x v="1"/>
    <x v="0"/>
    <x v="0"/>
    <x v="1"/>
    <x v="2"/>
    <s v="64-2565654-"/>
    <s v="felipe.salvob@redsalud.gob.cl"/>
    <x v="0"/>
    <d v="2024-07-05T00:00:00"/>
    <n v="0"/>
    <m/>
    <n v="1"/>
    <n v="559333"/>
    <d v="2026-11-01T00:00:00"/>
    <x v="0"/>
  </r>
  <r>
    <s v="SERVICIO DE SALUD OSORNO"/>
    <x v="0"/>
    <x v="3"/>
    <s v="Proyecto estratégico"/>
    <s v="Publicado"/>
    <s v="22.11.003"/>
    <x v="3"/>
    <s v="SERVICIO DE SUSCRIPCION WAVE PTX, INCLUYE INTERPERABILIDAD CON SISTEMA VHF, GATEWAY, INSTALACION, LICENCIAS, GPS EN LOS EQUIPOS WAVE PTX."/>
    <x v="1"/>
    <x v="3"/>
    <n v="1"/>
    <n v="1"/>
    <x v="2"/>
    <x v="3"/>
    <x v="0"/>
    <x v="1"/>
    <x v="2"/>
    <x v="3"/>
    <s v="64-337728-"/>
    <s v="CATALINA.VERAC@REDSALUD.GOB.CL"/>
    <x v="2"/>
    <d v="2024-07-05T00:00:00"/>
    <n v="0"/>
    <m/>
    <n v="1"/>
    <n v="3611111"/>
    <d v="2026-07-01T00:00:00"/>
    <x v="0"/>
  </r>
  <r>
    <s v="SERVICIO DE SALUD OSORNO"/>
    <x v="0"/>
    <x v="3"/>
    <s v="Proyecto estratégico"/>
    <s v="Publicado"/>
    <s v="22.11.003"/>
    <x v="3"/>
    <s v="SERVICIO DE SUSCRIPCION WAVE PTX, INCLUYE INTERPERABILIDAD CON SISTEMA VHF, GATEWAY, INSTALACION, LICENCIAS, GPS EN LOS EQUIPOS WAVE PTX."/>
    <x v="1"/>
    <x v="3"/>
    <n v="1"/>
    <n v="1"/>
    <x v="2"/>
    <x v="3"/>
    <x v="0"/>
    <x v="1"/>
    <x v="2"/>
    <x v="3"/>
    <s v="64-337728-"/>
    <s v="CATALINA.VERAC@REDSALUD.GOB.CL"/>
    <x v="2"/>
    <d v="2024-07-05T00:00:00"/>
    <n v="0"/>
    <m/>
    <n v="1"/>
    <n v="3611111"/>
    <d v="2026-01-01T00:00:00"/>
    <x v="0"/>
  </r>
  <r>
    <s v="SERVICIO DE SALUD OSORNO"/>
    <x v="0"/>
    <x v="3"/>
    <s v="Proyecto estratégico"/>
    <s v="Publicado"/>
    <s v="22.11.003"/>
    <x v="3"/>
    <s v="SERVICIO DE SUSCRIPCION WAVE PTX, INCLUYE INTERPERABILIDAD CON SISTEMA VHF, GATEWAY, INSTALACION, LICENCIAS, GPS EN LOS EQUIPOS WAVE PTX."/>
    <x v="1"/>
    <x v="3"/>
    <n v="1"/>
    <n v="1"/>
    <x v="2"/>
    <x v="3"/>
    <x v="0"/>
    <x v="1"/>
    <x v="2"/>
    <x v="3"/>
    <s v="64-337728-"/>
    <s v="CATALINA.VERAC@REDSALUD.GOB.CL"/>
    <x v="2"/>
    <d v="2024-07-05T00:00:00"/>
    <n v="0"/>
    <m/>
    <n v="1"/>
    <n v="3611111"/>
    <d v="2026-12-01T00:00:00"/>
    <x v="0"/>
  </r>
  <r>
    <s v="SERVICIO DE SALUD OSORNO"/>
    <x v="0"/>
    <x v="3"/>
    <s v="Proyecto estratégico"/>
    <s v="Publicado"/>
    <s v="22.11.003"/>
    <x v="3"/>
    <s v="SERVICIO DE SUSCRIPCION WAVE PTX, INCLUYE INTERPERABILIDAD CON SISTEMA VHF, GATEWAY, INSTALACION, LICENCIAS, GPS EN LOS EQUIPOS WAVE PTX."/>
    <x v="1"/>
    <x v="3"/>
    <n v="1"/>
    <n v="1"/>
    <x v="2"/>
    <x v="3"/>
    <x v="0"/>
    <x v="1"/>
    <x v="2"/>
    <x v="3"/>
    <s v="64-337728-"/>
    <s v="CATALINA.VERAC@REDSALUD.GOB.CL"/>
    <x v="2"/>
    <d v="2024-07-05T00:00:00"/>
    <n v="0"/>
    <m/>
    <n v="1"/>
    <n v="3611111"/>
    <d v="2026-06-01T00:00:00"/>
    <x v="0"/>
  </r>
  <r>
    <s v="SERVICIO DE SALUD OSORNO"/>
    <x v="0"/>
    <x v="3"/>
    <s v="Proyecto estratégico"/>
    <s v="Publicado"/>
    <s v="22.11.003"/>
    <x v="3"/>
    <s v="SERVICIO DE SUSCRIPCION WAVE PTX, INCLUYE INTERPERABILIDAD CON SISTEMA VHF, GATEWAY, INSTALACION, LICENCIAS, GPS EN LOS EQUIPOS WAVE PTX."/>
    <x v="1"/>
    <x v="3"/>
    <n v="1"/>
    <n v="1"/>
    <x v="2"/>
    <x v="3"/>
    <x v="0"/>
    <x v="1"/>
    <x v="2"/>
    <x v="3"/>
    <s v="64-337728-"/>
    <s v="CATALINA.VERAC@REDSALUD.GOB.CL"/>
    <x v="2"/>
    <d v="2024-07-05T00:00:00"/>
    <n v="0"/>
    <m/>
    <n v="1"/>
    <n v="3611111"/>
    <d v="2026-09-01T00:00:00"/>
    <x v="0"/>
  </r>
  <r>
    <s v="SERVICIO DE SALUD OSORNO"/>
    <x v="0"/>
    <x v="3"/>
    <s v="Proyecto estratégico"/>
    <s v="Publicado"/>
    <s v="22.11.003"/>
    <x v="3"/>
    <s v="SERVICIO DE SUSCRIPCION WAVE PTX, INCLUYE INTERPERABILIDAD CON SISTEMA VHF, GATEWAY, INSTALACION, LICENCIAS, GPS EN LOS EQUIPOS WAVE PTX."/>
    <x v="1"/>
    <x v="3"/>
    <n v="1"/>
    <n v="1"/>
    <x v="2"/>
    <x v="3"/>
    <x v="0"/>
    <x v="1"/>
    <x v="2"/>
    <x v="3"/>
    <s v="64-337728-"/>
    <s v="CATALINA.VERAC@REDSALUD.GOB.CL"/>
    <x v="2"/>
    <d v="2024-07-05T00:00:00"/>
    <n v="0"/>
    <m/>
    <n v="1"/>
    <n v="3611111"/>
    <d v="2026-08-01T00:00:00"/>
    <x v="0"/>
  </r>
  <r>
    <s v="SERVICIO DE SALUD OSORNO"/>
    <x v="0"/>
    <x v="3"/>
    <s v="Proyecto estratégico"/>
    <s v="Publicado"/>
    <s v="22.11.003"/>
    <x v="3"/>
    <s v="SERVICIO DE SUSCRIPCION WAVE PTX, INCLUYE INTERPERABILIDAD CON SISTEMA VHF, GATEWAY, INSTALACION, LICENCIAS, GPS EN LOS EQUIPOS WAVE PTX."/>
    <x v="1"/>
    <x v="3"/>
    <n v="1"/>
    <n v="1"/>
    <x v="2"/>
    <x v="3"/>
    <x v="0"/>
    <x v="1"/>
    <x v="2"/>
    <x v="3"/>
    <s v="64-337728-"/>
    <s v="CATALINA.VERAC@REDSALUD.GOB.CL"/>
    <x v="2"/>
    <d v="2024-07-05T00:00:00"/>
    <n v="0"/>
    <m/>
    <n v="1"/>
    <n v="3611111"/>
    <d v="2026-02-01T00:00:00"/>
    <x v="0"/>
  </r>
  <r>
    <s v="SERVICIO DE SALUD OSORNO"/>
    <x v="0"/>
    <x v="3"/>
    <s v="Proyecto estratégico"/>
    <s v="Publicado"/>
    <s v="22.11.003"/>
    <x v="3"/>
    <s v="SERVICIO DE SUSCRIPCION WAVE PTX, INCLUYE INTERPERABILIDAD CON SISTEMA VHF, GATEWAY, INSTALACION, LICENCIAS, GPS EN LOS EQUIPOS WAVE PTX."/>
    <x v="1"/>
    <x v="3"/>
    <n v="1"/>
    <n v="1"/>
    <x v="2"/>
    <x v="3"/>
    <x v="0"/>
    <x v="1"/>
    <x v="2"/>
    <x v="3"/>
    <s v="64-337728-"/>
    <s v="CATALINA.VERAC@REDSALUD.GOB.CL"/>
    <x v="2"/>
    <d v="2024-07-05T00:00:00"/>
    <n v="0"/>
    <m/>
    <n v="1"/>
    <n v="3611111"/>
    <d v="2026-11-01T00:00:00"/>
    <x v="0"/>
  </r>
  <r>
    <s v="SERVICIO DE SALUD OSORNO"/>
    <x v="0"/>
    <x v="3"/>
    <s v="Proyecto estratégico"/>
    <s v="Publicado"/>
    <s v="22.11.003"/>
    <x v="3"/>
    <s v="SERVICIO DE SUSCRIPCION WAVE PTX, INCLUYE INTERPERABILIDAD CON SISTEMA VHF, GATEWAY, INSTALACION, LICENCIAS, GPS EN LOS EQUIPOS WAVE PTX."/>
    <x v="1"/>
    <x v="3"/>
    <n v="1"/>
    <n v="1"/>
    <x v="2"/>
    <x v="3"/>
    <x v="0"/>
    <x v="1"/>
    <x v="2"/>
    <x v="3"/>
    <s v="64-337728-"/>
    <s v="CATALINA.VERAC@REDSALUD.GOB.CL"/>
    <x v="2"/>
    <d v="2024-07-05T00:00:00"/>
    <n v="0"/>
    <m/>
    <n v="1"/>
    <n v="3611111"/>
    <d v="2026-04-01T00:00:00"/>
    <x v="0"/>
  </r>
  <r>
    <s v="SERVICIO DE SALUD OSORNO"/>
    <x v="0"/>
    <x v="3"/>
    <s v="Proyecto estratégico"/>
    <s v="Publicado"/>
    <s v="22.11.003"/>
    <x v="3"/>
    <s v="SERVICIO DE SUSCRIPCION WAVE PTX, INCLUYE INTERPERABILIDAD CON SISTEMA VHF, GATEWAY, INSTALACION, LICENCIAS, GPS EN LOS EQUIPOS WAVE PTX."/>
    <x v="1"/>
    <x v="3"/>
    <n v="1"/>
    <n v="1"/>
    <x v="2"/>
    <x v="3"/>
    <x v="0"/>
    <x v="1"/>
    <x v="2"/>
    <x v="3"/>
    <s v="64-337728-"/>
    <s v="CATALINA.VERAC@REDSALUD.GOB.CL"/>
    <x v="2"/>
    <d v="2024-07-05T00:00:00"/>
    <n v="0"/>
    <m/>
    <n v="1"/>
    <n v="3611111"/>
    <d v="2026-05-01T00:00:00"/>
    <x v="0"/>
  </r>
  <r>
    <s v="SERVICIO DE SALUD OSORNO"/>
    <x v="0"/>
    <x v="3"/>
    <s v="Proyecto estratégico"/>
    <s v="Publicado"/>
    <s v="22.11.003"/>
    <x v="3"/>
    <s v="SERVICIO DE SUSCRIPCION WAVE PTX, INCLUYE INTERPERABILIDAD CON SISTEMA VHF, GATEWAY, INSTALACION, LICENCIAS, GPS EN LOS EQUIPOS WAVE PTX."/>
    <x v="1"/>
    <x v="3"/>
    <n v="1"/>
    <n v="1"/>
    <x v="2"/>
    <x v="3"/>
    <x v="0"/>
    <x v="1"/>
    <x v="2"/>
    <x v="3"/>
    <s v="64-337728-"/>
    <s v="CATALINA.VERAC@REDSALUD.GOB.CL"/>
    <x v="2"/>
    <d v="2024-07-05T00:00:00"/>
    <n v="0"/>
    <m/>
    <n v="1"/>
    <n v="3611111"/>
    <d v="2026-03-01T00:00:00"/>
    <x v="0"/>
  </r>
  <r>
    <s v="SERVICIO DE SALUD OSORNO"/>
    <x v="0"/>
    <x v="3"/>
    <s v="Proyecto estratégico"/>
    <s v="Publicado"/>
    <s v="22.11.003"/>
    <x v="3"/>
    <s v="SERVICIO DE SUSCRIPCION WAVE PTX, INCLUYE INTERPERABILIDAD CON SISTEMA VHF, GATEWAY, INSTALACION, LICENCIAS, GPS EN LOS EQUIPOS WAVE PTX."/>
    <x v="1"/>
    <x v="3"/>
    <n v="1"/>
    <n v="1"/>
    <x v="2"/>
    <x v="3"/>
    <x v="0"/>
    <x v="1"/>
    <x v="2"/>
    <x v="3"/>
    <s v="64-337728-"/>
    <s v="CATALINA.VERAC@REDSALUD.GOB.CL"/>
    <x v="2"/>
    <d v="2024-07-05T00:00:00"/>
    <n v="0"/>
    <m/>
    <n v="1"/>
    <n v="3611111"/>
    <d v="2026-10-01T00:00:00"/>
    <x v="0"/>
  </r>
  <r>
    <s v="SERVICIO DE SALUD OSORNO"/>
    <x v="0"/>
    <x v="4"/>
    <s v="Proyecto operacional"/>
    <s v="Publicado"/>
    <s v="22.12.999.022"/>
    <x v="4"/>
    <s v="3 cupos Residencia Protegida por 24 meses, en la Región Metropolitana, por un total de 2190 días de residencia protegida."/>
    <x v="1"/>
    <x v="4"/>
    <n v="1"/>
    <n v="1"/>
    <x v="3"/>
    <x v="4"/>
    <x v="1"/>
    <x v="2"/>
    <x v="3"/>
    <x v="4"/>
    <s v="64-335813-"/>
    <s v="antonia.caifil@redsalud.gob.cl"/>
    <x v="3"/>
    <d v="2024-07-05T00:00:00"/>
    <n v="12"/>
    <s v="1057532-1987-SE24"/>
    <n v="1"/>
    <n v="3369406"/>
    <d v="2026-02-01T00:00:00"/>
    <x v="0"/>
  </r>
  <r>
    <s v="SERVICIO DE SALUD OSORNO"/>
    <x v="0"/>
    <x v="4"/>
    <s v="Proyecto operacional"/>
    <s v="Publicado"/>
    <s v="22.12.999.022"/>
    <x v="4"/>
    <s v="3 cupos Residencia Protegida por 24 meses, en la Región Metropolitana, por un total de 2190 días de residencia protegida."/>
    <x v="1"/>
    <x v="4"/>
    <n v="1"/>
    <n v="1"/>
    <x v="3"/>
    <x v="4"/>
    <x v="1"/>
    <x v="2"/>
    <x v="3"/>
    <x v="4"/>
    <s v="64-335813-"/>
    <s v="antonia.caifil@redsalud.gob.cl"/>
    <x v="3"/>
    <d v="2024-07-05T00:00:00"/>
    <n v="12"/>
    <s v="1057532-1299-SE24"/>
    <n v="1"/>
    <n v="3369406"/>
    <d v="2026-03-01T00:00:00"/>
    <x v="0"/>
  </r>
  <r>
    <s v="SERVICIO DE SALUD OSORNO"/>
    <x v="0"/>
    <x v="4"/>
    <s v="Proyecto operacional"/>
    <s v="Publicado"/>
    <s v="22.12.999.022"/>
    <x v="4"/>
    <s v="3 cupos Residencia Protegida por 24 meses, en la Región Metropolitana, por un total de 2190 días de residencia protegida."/>
    <x v="1"/>
    <x v="4"/>
    <n v="1"/>
    <n v="1"/>
    <x v="3"/>
    <x v="4"/>
    <x v="1"/>
    <x v="2"/>
    <x v="3"/>
    <x v="4"/>
    <s v="64-335813-"/>
    <s v="antonia.caifil@redsalud.gob.cl"/>
    <x v="3"/>
    <d v="2024-07-05T00:00:00"/>
    <n v="12"/>
    <s v="1057532-1987-SE24"/>
    <n v="1"/>
    <n v="3369406"/>
    <d v="2026-07-01T00:00:00"/>
    <x v="0"/>
  </r>
  <r>
    <s v="SERVICIO DE SALUD OSORNO"/>
    <x v="0"/>
    <x v="4"/>
    <s v="Proyecto operacional"/>
    <s v="Publicado"/>
    <s v="22.12.999.022"/>
    <x v="4"/>
    <s v="3 cupos Residencia Protegida por 24 meses, en la Región Metropolitana, por un total de 2190 días de residencia protegida."/>
    <x v="1"/>
    <x v="4"/>
    <n v="1"/>
    <n v="1"/>
    <x v="3"/>
    <x v="4"/>
    <x v="1"/>
    <x v="2"/>
    <x v="3"/>
    <x v="4"/>
    <s v="64-335813-"/>
    <s v="antonia.caifil@redsalud.gob.cl"/>
    <x v="3"/>
    <d v="2024-07-05T00:00:00"/>
    <n v="12"/>
    <s v="1057532-1299-SE24"/>
    <n v="1"/>
    <n v="3369406"/>
    <d v="2026-06-01T00:00:00"/>
    <x v="0"/>
  </r>
  <r>
    <s v="SERVICIO DE SALUD OSORNO"/>
    <x v="0"/>
    <x v="4"/>
    <s v="Proyecto operacional"/>
    <s v="Publicado"/>
    <s v="22.12.999.022"/>
    <x v="4"/>
    <s v="3 cupos Residencia Protegida por 24 meses, en la Región Metropolitana, por un total de 2190 días de residencia protegida."/>
    <x v="1"/>
    <x v="4"/>
    <n v="1"/>
    <n v="1"/>
    <x v="3"/>
    <x v="4"/>
    <x v="1"/>
    <x v="2"/>
    <x v="3"/>
    <x v="4"/>
    <s v="64-335813-"/>
    <s v="antonia.caifil@redsalud.gob.cl"/>
    <x v="3"/>
    <d v="2024-07-05T00:00:00"/>
    <n v="12"/>
    <s v="1057532-1831-SE24"/>
    <n v="1"/>
    <n v="3369406"/>
    <d v="2026-06-01T00:00:00"/>
    <x v="0"/>
  </r>
  <r>
    <s v="SERVICIO DE SALUD OSORNO"/>
    <x v="0"/>
    <x v="4"/>
    <s v="Proyecto operacional"/>
    <s v="Publicado"/>
    <s v="22.12.999.022"/>
    <x v="4"/>
    <s v="3 cupos Residencia Protegida por 24 meses, en la Región Metropolitana, por un total de 2190 días de residencia protegida."/>
    <x v="1"/>
    <x v="4"/>
    <n v="1"/>
    <n v="1"/>
    <x v="3"/>
    <x v="4"/>
    <x v="1"/>
    <x v="2"/>
    <x v="3"/>
    <x v="4"/>
    <s v="64-335813-"/>
    <s v="antonia.caifil@redsalud.gob.cl"/>
    <x v="3"/>
    <d v="2024-07-05T00:00:00"/>
    <n v="12"/>
    <s v="1057532-1987-SE24"/>
    <n v="1"/>
    <n v="3369406"/>
    <d v="2026-11-01T00:00:00"/>
    <x v="0"/>
  </r>
  <r>
    <s v="SERVICIO DE SALUD OSORNO"/>
    <x v="0"/>
    <x v="4"/>
    <s v="Proyecto operacional"/>
    <s v="Publicado"/>
    <s v="22.12.999.022"/>
    <x v="4"/>
    <s v="3 cupos Residencia Protegida por 24 meses, en la Región Metropolitana, por un total de 2190 días de residencia protegida."/>
    <x v="1"/>
    <x v="4"/>
    <n v="1"/>
    <n v="1"/>
    <x v="3"/>
    <x v="4"/>
    <x v="1"/>
    <x v="2"/>
    <x v="3"/>
    <x v="4"/>
    <s v="64-335813-"/>
    <s v="antonia.caifil@redsalud.gob.cl"/>
    <x v="3"/>
    <d v="2024-07-05T00:00:00"/>
    <n v="12"/>
    <s v="1057532-1831-SE24"/>
    <n v="1"/>
    <n v="3369406"/>
    <d v="2026-07-01T00:00:00"/>
    <x v="0"/>
  </r>
  <r>
    <s v="SERVICIO DE SALUD OSORNO"/>
    <x v="0"/>
    <x v="4"/>
    <s v="Proyecto operacional"/>
    <s v="Publicado"/>
    <s v="22.12.999.022"/>
    <x v="4"/>
    <s v="3 cupos Residencia Protegida por 24 meses, en la Región Metropolitana, por un total de 2190 días de residencia protegida."/>
    <x v="1"/>
    <x v="4"/>
    <n v="1"/>
    <n v="1"/>
    <x v="3"/>
    <x v="4"/>
    <x v="1"/>
    <x v="2"/>
    <x v="3"/>
    <x v="4"/>
    <s v="64-335813-"/>
    <s v="antonia.caifil@redsalud.gob.cl"/>
    <x v="3"/>
    <d v="2024-07-05T00:00:00"/>
    <n v="12"/>
    <s v="1057532-4506-SE25"/>
    <n v="1"/>
    <n v="3369406"/>
    <d v="2026-02-01T00:00:00"/>
    <x v="0"/>
  </r>
  <r>
    <s v="SERVICIO DE SALUD OSORNO"/>
    <x v="0"/>
    <x v="4"/>
    <s v="Proyecto operacional"/>
    <s v="Publicado"/>
    <s v="22.12.999.022"/>
    <x v="4"/>
    <s v="3 cupos Residencia Protegida por 24 meses, en la Región Metropolitana, por un total de 2190 días de residencia protegida."/>
    <x v="1"/>
    <x v="4"/>
    <n v="1"/>
    <n v="1"/>
    <x v="3"/>
    <x v="4"/>
    <x v="1"/>
    <x v="2"/>
    <x v="3"/>
    <x v="4"/>
    <s v="64-335813-"/>
    <s v="antonia.caifil@redsalud.gob.cl"/>
    <x v="3"/>
    <d v="2024-07-05T00:00:00"/>
    <n v="12"/>
    <s v="1057532-1299-SE24"/>
    <n v="1"/>
    <n v="3369406"/>
    <d v="2026-02-01T00:00:00"/>
    <x v="0"/>
  </r>
  <r>
    <s v="SERVICIO DE SALUD OSORNO"/>
    <x v="0"/>
    <x v="4"/>
    <s v="Proyecto operacional"/>
    <s v="Publicado"/>
    <s v="22.12.999.022"/>
    <x v="4"/>
    <s v="3 cupos Residencia Protegida por 24 meses, en la Región Metropolitana, por un total de 2190 días de residencia protegida."/>
    <x v="1"/>
    <x v="4"/>
    <n v="1"/>
    <n v="1"/>
    <x v="3"/>
    <x v="5"/>
    <x v="1"/>
    <x v="2"/>
    <x v="3"/>
    <x v="4"/>
    <s v="64-335813-"/>
    <s v="antonia.caifil@redsalud.gob.cl"/>
    <x v="3"/>
    <d v="2024-07-05T00:00:00"/>
    <n v="12"/>
    <s v="1057532-1831-SE24"/>
    <n v="1"/>
    <n v="3369406"/>
    <d v="2026-08-01T00:00:00"/>
    <x v="0"/>
  </r>
  <r>
    <s v="SERVICIO DE SALUD OSORNO"/>
    <x v="0"/>
    <x v="4"/>
    <s v="Proyecto operacional"/>
    <s v="Publicado"/>
    <s v="22.12.999.022"/>
    <x v="4"/>
    <s v="3 cupos Residencia Protegida por 24 meses, en la Región Metropolitana, por un total de 2190 días de residencia protegida."/>
    <x v="1"/>
    <x v="4"/>
    <n v="1"/>
    <n v="1"/>
    <x v="3"/>
    <x v="5"/>
    <x v="1"/>
    <x v="2"/>
    <x v="3"/>
    <x v="4"/>
    <s v="64-335813-"/>
    <s v="antonia.caifil@redsalud.gob.cl"/>
    <x v="3"/>
    <d v="2024-07-05T00:00:00"/>
    <n v="12"/>
    <s v="1057532-1299-SE24"/>
    <n v="1"/>
    <n v="3369406"/>
    <d v="2026-11-01T00:00:00"/>
    <x v="0"/>
  </r>
  <r>
    <s v="SERVICIO DE SALUD OSORNO"/>
    <x v="0"/>
    <x v="4"/>
    <s v="Proyecto operacional"/>
    <s v="Publicado"/>
    <s v="22.12.999.022"/>
    <x v="4"/>
    <s v="3 cupos Residencia Protegida por 24 meses, en la Región Metropolitana, por un total de 2190 días de residencia protegida."/>
    <x v="1"/>
    <x v="4"/>
    <n v="1"/>
    <n v="1"/>
    <x v="3"/>
    <x v="5"/>
    <x v="1"/>
    <x v="2"/>
    <x v="3"/>
    <x v="4"/>
    <s v="64-335813-"/>
    <s v="antonia.caifil@redsalud.gob.cl"/>
    <x v="3"/>
    <d v="2024-07-05T00:00:00"/>
    <n v="12"/>
    <s v="1057532-1299-SE24"/>
    <n v="1"/>
    <n v="3369406"/>
    <d v="2026-05-01T00:00:00"/>
    <x v="0"/>
  </r>
  <r>
    <s v="SERVICIO DE SALUD OSORNO"/>
    <x v="0"/>
    <x v="5"/>
    <s v="Proyecto estratégico"/>
    <s v="Publicado"/>
    <s v="22.12.999.022"/>
    <x v="5"/>
    <s v="08 cupos Hogar Protegido Varones para el SSO en la ciudad de Osorno, por un periodo de 24 meses."/>
    <x v="1"/>
    <x v="4"/>
    <n v="1"/>
    <n v="1"/>
    <x v="4"/>
    <x v="6"/>
    <x v="1"/>
    <x v="2"/>
    <x v="3"/>
    <x v="5"/>
    <s v="64-335813-"/>
    <s v="caifil.antonia@redsalud.gob.cl"/>
    <x v="4"/>
    <d v="2024-07-05T00:00:00"/>
    <n v="5"/>
    <s v="1057532-1988-SE24"/>
    <n v="1"/>
    <n v="6530093"/>
    <d v="2026-02-01T00:00:00"/>
    <x v="0"/>
  </r>
  <r>
    <s v="SERVICIO DE SALUD OSORNO"/>
    <x v="0"/>
    <x v="5"/>
    <s v="Proyecto estratégico"/>
    <s v="Publicado"/>
    <s v="22.12.999.022"/>
    <x v="5"/>
    <s v="08 cupos Hogar Protegido Varones para el SSO en la ciudad de Osorno, por un periodo de 24 meses."/>
    <x v="1"/>
    <x v="4"/>
    <n v="1"/>
    <n v="1"/>
    <x v="4"/>
    <x v="6"/>
    <x v="1"/>
    <x v="2"/>
    <x v="3"/>
    <x v="5"/>
    <s v="64-335813-"/>
    <s v="caifil.antonia@redsalud.gob.cl"/>
    <x v="4"/>
    <d v="2024-07-05T00:00:00"/>
    <n v="5"/>
    <s v="1057532-1988-SE24"/>
    <n v="1"/>
    <n v="6530093"/>
    <d v="2026-01-01T00:00:00"/>
    <x v="0"/>
  </r>
  <r>
    <s v="SERVICIO DE SALUD OSORNO"/>
    <x v="0"/>
    <x v="5"/>
    <s v="Proyecto estratégico"/>
    <s v="Publicado"/>
    <s v="22.12.999.022"/>
    <x v="5"/>
    <s v="08 cupos Hogar Protegido Varones para el SSO en la ciudad de Osorno, por un periodo de 24 meses."/>
    <x v="1"/>
    <x v="4"/>
    <n v="1"/>
    <n v="1"/>
    <x v="4"/>
    <x v="6"/>
    <x v="1"/>
    <x v="2"/>
    <x v="3"/>
    <x v="5"/>
    <s v="64-335813-"/>
    <s v="caifil.antonia@redsalud.gob.cl"/>
    <x v="4"/>
    <d v="2024-07-05T00:00:00"/>
    <n v="5"/>
    <s v="1057532-1758-SE24"/>
    <n v="1"/>
    <n v="6530093"/>
    <d v="2026-01-01T00:00:00"/>
    <x v="0"/>
  </r>
  <r>
    <s v="SERVICIO DE SALUD OSORNO"/>
    <x v="0"/>
    <x v="5"/>
    <s v="Proyecto estratégico"/>
    <s v="Publicado"/>
    <s v="22.12.999.022"/>
    <x v="5"/>
    <s v="08 cupos Hogar Protegido Varones para el SSO en la ciudad de Osorno, por un periodo de 24 meses."/>
    <x v="1"/>
    <x v="4"/>
    <n v="1"/>
    <n v="1"/>
    <x v="4"/>
    <x v="6"/>
    <x v="1"/>
    <x v="2"/>
    <x v="3"/>
    <x v="5"/>
    <s v="64-335813-"/>
    <s v="caifil.antonia@redsalud.gob.cl"/>
    <x v="4"/>
    <d v="2024-07-05T00:00:00"/>
    <n v="5"/>
    <s v="1057532-2054-SE24"/>
    <n v="1"/>
    <n v="6530093"/>
    <d v="2026-05-01T00:00:00"/>
    <x v="0"/>
  </r>
  <r>
    <s v="SERVICIO DE SALUD OSORNO"/>
    <x v="0"/>
    <x v="5"/>
    <s v="Proyecto estratégico"/>
    <s v="Publicado"/>
    <s v="22.12.999.022"/>
    <x v="5"/>
    <s v="08 cupos Hogar Protegido Varones para el SSO en la ciudad de Osorno, por un periodo de 24 meses."/>
    <x v="1"/>
    <x v="4"/>
    <n v="1"/>
    <n v="1"/>
    <x v="4"/>
    <x v="6"/>
    <x v="1"/>
    <x v="2"/>
    <x v="3"/>
    <x v="5"/>
    <s v="64-335813-"/>
    <s v="caifil.antonia@redsalud.gob.cl"/>
    <x v="4"/>
    <d v="2024-07-05T00:00:00"/>
    <n v="5"/>
    <s v="1057532-2053-SE24"/>
    <n v="1"/>
    <n v="6530093"/>
    <d v="2026-08-01T00:00:00"/>
    <x v="0"/>
  </r>
  <r>
    <s v="SERVICIO DE SALUD OSORNO"/>
    <x v="0"/>
    <x v="5"/>
    <s v="Proyecto estratégico"/>
    <s v="Publicado"/>
    <s v="22.12.999.022"/>
    <x v="5"/>
    <s v="08 cupos Hogar Protegido Varones para el SSO en la ciudad de Osorno, por un periodo de 24 meses."/>
    <x v="1"/>
    <x v="4"/>
    <n v="1"/>
    <n v="1"/>
    <x v="4"/>
    <x v="6"/>
    <x v="1"/>
    <x v="2"/>
    <x v="3"/>
    <x v="5"/>
    <s v="64-335813-"/>
    <s v="caifil.antonia@redsalud.gob.cl"/>
    <x v="4"/>
    <d v="2024-07-05T00:00:00"/>
    <n v="5"/>
    <s v="1057532-1758-SE24"/>
    <n v="1"/>
    <n v="6530093"/>
    <d v="2026-05-01T00:00:00"/>
    <x v="0"/>
  </r>
  <r>
    <s v="SERVICIO DE SALUD OSORNO"/>
    <x v="0"/>
    <x v="5"/>
    <s v="Proyecto estratégico"/>
    <s v="Publicado"/>
    <s v="22.12.999.022"/>
    <x v="5"/>
    <s v="08 cupos Hogar Protegido Varones para el SSO en la ciudad de Osorno, por un periodo de 24 meses."/>
    <x v="1"/>
    <x v="4"/>
    <n v="1"/>
    <n v="1"/>
    <x v="4"/>
    <x v="6"/>
    <x v="1"/>
    <x v="2"/>
    <x v="3"/>
    <x v="5"/>
    <s v="64-335813-"/>
    <s v="caifil.antonia@redsalud.gob.cl"/>
    <x v="4"/>
    <d v="2024-07-05T00:00:00"/>
    <n v="5"/>
    <s v="1057532-1988-SE24"/>
    <n v="1"/>
    <n v="6530093"/>
    <d v="2026-05-01T00:00:00"/>
    <x v="0"/>
  </r>
  <r>
    <s v="SERVICIO DE SALUD OSORNO"/>
    <x v="0"/>
    <x v="5"/>
    <s v="Proyecto estratégico"/>
    <s v="Publicado"/>
    <s v="22.12.999.022"/>
    <x v="5"/>
    <s v="08 cupos Hogar Protegido Varones para el SSO en la ciudad de Osorno, por un periodo de 24 meses."/>
    <x v="1"/>
    <x v="4"/>
    <n v="1"/>
    <n v="1"/>
    <x v="4"/>
    <x v="6"/>
    <x v="1"/>
    <x v="2"/>
    <x v="3"/>
    <x v="5"/>
    <s v="64-335813-"/>
    <s v="caifil.antonia@redsalud.gob.cl"/>
    <x v="4"/>
    <d v="2024-07-05T00:00:00"/>
    <n v="5"/>
    <s v="1057532-2053-SE24"/>
    <n v="1"/>
    <n v="6530093"/>
    <d v="2026-01-01T00:00:00"/>
    <x v="0"/>
  </r>
  <r>
    <s v="SERVICIO DE SALUD OSORNO"/>
    <x v="0"/>
    <x v="5"/>
    <s v="Proyecto estratégico"/>
    <s v="Publicado"/>
    <s v="22.12.999.022"/>
    <x v="5"/>
    <s v="08 cupos Hogar Protegido Varones para el SSO en la ciudad de Osorno, por un periodo de 24 meses."/>
    <x v="1"/>
    <x v="4"/>
    <n v="1"/>
    <n v="1"/>
    <x v="4"/>
    <x v="6"/>
    <x v="1"/>
    <x v="2"/>
    <x v="3"/>
    <x v="5"/>
    <s v="64-335813-"/>
    <s v="caifil.antonia@redsalud.gob.cl"/>
    <x v="4"/>
    <d v="2024-07-05T00:00:00"/>
    <n v="5"/>
    <s v="1057532-1758-SE24"/>
    <n v="1"/>
    <n v="6530093"/>
    <d v="2026-03-01T00:00:00"/>
    <x v="0"/>
  </r>
  <r>
    <s v="SERVICIO DE SALUD OSORNO"/>
    <x v="0"/>
    <x v="5"/>
    <s v="Proyecto estratégico"/>
    <s v="Publicado"/>
    <s v="22.12.999.022"/>
    <x v="5"/>
    <s v="08 cupos Hogar Protegido Varones para el SSO en la ciudad de Osorno, por un periodo de 24 meses."/>
    <x v="1"/>
    <x v="4"/>
    <n v="1"/>
    <n v="1"/>
    <x v="4"/>
    <x v="7"/>
    <x v="1"/>
    <x v="2"/>
    <x v="3"/>
    <x v="5"/>
    <s v="64-335813-"/>
    <s v="caifil.antonia@redsalud.gob.cl"/>
    <x v="4"/>
    <d v="2024-07-05T00:00:00"/>
    <n v="5"/>
    <s v="1057532-2054-SE24"/>
    <n v="1"/>
    <n v="6530099"/>
    <d v="2026-12-01T00:00:00"/>
    <x v="0"/>
  </r>
  <r>
    <s v="SERVICIO DE SALUD OSORNO"/>
    <x v="0"/>
    <x v="5"/>
    <s v="Proyecto estratégico"/>
    <s v="Publicado"/>
    <s v="22.12.999.022"/>
    <x v="5"/>
    <s v="08 cupos Hogar Protegido Varones para el SSO en la ciudad de Osorno, por un periodo de 24 meses."/>
    <x v="1"/>
    <x v="4"/>
    <n v="1"/>
    <n v="1"/>
    <x v="4"/>
    <x v="6"/>
    <x v="1"/>
    <x v="2"/>
    <x v="3"/>
    <x v="5"/>
    <s v="64-335813-"/>
    <s v="caifil.antonia@redsalud.gob.cl"/>
    <x v="4"/>
    <d v="2024-07-05T00:00:00"/>
    <n v="5"/>
    <s v="1057532-1758-SE24"/>
    <n v="1"/>
    <n v="6530093"/>
    <d v="2026-07-01T00:00:00"/>
    <x v="0"/>
  </r>
  <r>
    <s v="SERVICIO DE SALUD OSORNO"/>
    <x v="0"/>
    <x v="5"/>
    <s v="Proyecto estratégico"/>
    <s v="Publicado"/>
    <s v="22.12.999.022"/>
    <x v="5"/>
    <s v="08 cupos Hogar Protegido Varones para el SSO en la ciudad de Osorno, por un periodo de 24 meses."/>
    <x v="1"/>
    <x v="4"/>
    <n v="1"/>
    <n v="1"/>
    <x v="4"/>
    <x v="8"/>
    <x v="1"/>
    <x v="2"/>
    <x v="3"/>
    <x v="5"/>
    <s v="64-335813-"/>
    <s v="caifil.antonia@redsalud.gob.cl"/>
    <x v="4"/>
    <d v="2024-07-05T00:00:00"/>
    <n v="5"/>
    <s v="1057532-1758-SE24"/>
    <n v="1"/>
    <n v="6530093"/>
    <d v="2026-08-01T00:00:00"/>
    <x v="0"/>
  </r>
  <r>
    <s v="SERVICIO DE SALUD OSORNO"/>
    <x v="0"/>
    <x v="6"/>
    <s v="Proyecto operacional"/>
    <s v="Publicado"/>
    <s v="22.12.999.022"/>
    <x v="6"/>
    <s v="Se requiere la contratación del servicio denominado Hogar Protegido (beneficiarios 08 usuarios/as), para un periodo de 24 meses, por un total de 5840 días hogar protegido."/>
    <x v="1"/>
    <x v="4"/>
    <n v="1"/>
    <n v="1"/>
    <x v="4"/>
    <x v="6"/>
    <x v="1"/>
    <x v="2"/>
    <x v="3"/>
    <x v="5"/>
    <s v="64-334581-"/>
    <s v="antonia.caifil@redsalud.gob.cl"/>
    <x v="4"/>
    <d v="2024-07-05T00:00:00"/>
    <n v="11"/>
    <s v="1057532-4507-SE25"/>
    <n v="1"/>
    <n v="6530093"/>
    <d v="2026-04-01T00:00:00"/>
    <x v="0"/>
  </r>
  <r>
    <s v="SERVICIO DE SALUD OSORNO"/>
    <x v="0"/>
    <x v="6"/>
    <s v="Proyecto operacional"/>
    <s v="Publicado"/>
    <s v="22.12.999.022"/>
    <x v="6"/>
    <s v="Se requiere la contratación del servicio denominado Hogar Protegido (beneficiarios 08 usuarios/as), para un periodo de 24 meses, por un total de 5840 días hogar protegido."/>
    <x v="1"/>
    <x v="4"/>
    <n v="1"/>
    <n v="1"/>
    <x v="4"/>
    <x v="6"/>
    <x v="1"/>
    <x v="2"/>
    <x v="3"/>
    <x v="5"/>
    <s v="64-334581-"/>
    <s v="antonia.caifil@redsalud.gob.cl"/>
    <x v="4"/>
    <d v="2024-07-05T00:00:00"/>
    <n v="11"/>
    <s v="1057532-4668-SE25"/>
    <n v="1"/>
    <n v="6530093"/>
    <d v="2026-06-01T00:00:00"/>
    <x v="0"/>
  </r>
  <r>
    <s v="SERVICIO DE SALUD OSORNO"/>
    <x v="0"/>
    <x v="6"/>
    <s v="Proyecto operacional"/>
    <s v="Publicado"/>
    <s v="22.12.999.022"/>
    <x v="6"/>
    <s v="Se requiere la contratación del servicio denominado Hogar Protegido (beneficiarios 08 usuarios/as), para un periodo de 24 meses, por un total de 5840 días hogar protegido."/>
    <x v="1"/>
    <x v="4"/>
    <n v="1"/>
    <n v="1"/>
    <x v="4"/>
    <x v="6"/>
    <x v="1"/>
    <x v="2"/>
    <x v="3"/>
    <x v="5"/>
    <s v="64-334581-"/>
    <s v="antonia.caifil@redsalud.gob.cl"/>
    <x v="4"/>
    <d v="2024-07-05T00:00:00"/>
    <n v="11"/>
    <s v="1057532-5016-SE25"/>
    <n v="1"/>
    <n v="6530093"/>
    <d v="2026-10-01T00:00:00"/>
    <x v="0"/>
  </r>
  <r>
    <s v="SERVICIO DE SALUD OSORNO"/>
    <x v="0"/>
    <x v="6"/>
    <s v="Proyecto operacional"/>
    <s v="Publicado"/>
    <s v="22.12.999.022"/>
    <x v="6"/>
    <s v="Se requiere la contratación del servicio denominado Hogar Protegido (beneficiarios 08 usuarios/as), para un periodo de 24 meses, por un total de 5840 días hogar protegido."/>
    <x v="1"/>
    <x v="4"/>
    <n v="1"/>
    <n v="1"/>
    <x v="4"/>
    <x v="6"/>
    <x v="1"/>
    <x v="2"/>
    <x v="3"/>
    <x v="5"/>
    <s v="64-334581-"/>
    <s v="antonia.caifil@redsalud.gob.cl"/>
    <x v="4"/>
    <d v="2024-07-05T00:00:00"/>
    <n v="11"/>
    <s v="1057532-4851-SE25"/>
    <n v="1"/>
    <n v="6530093"/>
    <d v="2026-01-01T00:00:00"/>
    <x v="0"/>
  </r>
  <r>
    <s v="SERVICIO DE SALUD OSORNO"/>
    <x v="0"/>
    <x v="6"/>
    <s v="Proyecto operacional"/>
    <s v="Publicado"/>
    <s v="22.12.999.022"/>
    <x v="6"/>
    <s v="Se requiere la contratación del servicio denominado Hogar Protegido (beneficiarios 08 usuarios/as), para un periodo de 24 meses, por un total de 5840 días hogar protegido."/>
    <x v="1"/>
    <x v="4"/>
    <n v="1"/>
    <n v="1"/>
    <x v="4"/>
    <x v="6"/>
    <x v="1"/>
    <x v="2"/>
    <x v="3"/>
    <x v="5"/>
    <s v="64-334581-"/>
    <s v="antonia.caifil@redsalud.gob.cl"/>
    <x v="4"/>
    <d v="2024-07-05T00:00:00"/>
    <n v="11"/>
    <s v="1057532-4851-SE25"/>
    <n v="1"/>
    <n v="6530093"/>
    <d v="2026-07-01T00:00:00"/>
    <x v="0"/>
  </r>
  <r>
    <s v="SERVICIO DE SALUD OSORNO"/>
    <x v="0"/>
    <x v="6"/>
    <s v="Proyecto operacional"/>
    <s v="Publicado"/>
    <s v="22.12.999.022"/>
    <x v="6"/>
    <s v="Se requiere la contratación del servicio denominado Hogar Protegido (beneficiarios 08 usuarios/as), para un periodo de 24 meses, por un total de 5840 días hogar protegido."/>
    <x v="1"/>
    <x v="4"/>
    <n v="1"/>
    <n v="1"/>
    <x v="4"/>
    <x v="8"/>
    <x v="1"/>
    <x v="2"/>
    <x v="3"/>
    <x v="5"/>
    <s v="64-334581-"/>
    <s v="antonia.caifil@redsalud.gob.cl"/>
    <x v="4"/>
    <d v="2024-07-05T00:00:00"/>
    <n v="11"/>
    <s v="1057532-5669-SE25"/>
    <n v="1"/>
    <n v="6530095"/>
    <d v="2026-11-01T00:00:00"/>
    <x v="0"/>
  </r>
  <r>
    <s v="SERVICIO DE SALUD OSORNO"/>
    <x v="0"/>
    <x v="6"/>
    <s v="Proyecto operacional"/>
    <s v="Publicado"/>
    <s v="22.12.999.022"/>
    <x v="6"/>
    <s v="Se requiere la contratación del servicio denominado Hogar Protegido (beneficiarios 08 usuarios/as), para un periodo de 24 meses, por un total de 5840 días hogar protegido."/>
    <x v="1"/>
    <x v="4"/>
    <n v="1"/>
    <n v="1"/>
    <x v="4"/>
    <x v="6"/>
    <x v="1"/>
    <x v="2"/>
    <x v="3"/>
    <x v="5"/>
    <s v="64-334581-"/>
    <s v="antonia.caifil@redsalud.gob.cl"/>
    <x v="4"/>
    <d v="2024-07-05T00:00:00"/>
    <n v="11"/>
    <s v="1057532-5224-SE25"/>
    <n v="1"/>
    <n v="6530093"/>
    <d v="2026-08-01T00:00:00"/>
    <x v="0"/>
  </r>
  <r>
    <s v="SERVICIO DE SALUD OSORNO"/>
    <x v="0"/>
    <x v="6"/>
    <s v="Proyecto operacional"/>
    <s v="Publicado"/>
    <s v="22.12.999.022"/>
    <x v="6"/>
    <s v="Se requiere la contratación del servicio denominado Hogar Protegido (beneficiarios 08 usuarios/as), para un periodo de 24 meses, por un total de 5840 días hogar protegido."/>
    <x v="1"/>
    <x v="4"/>
    <n v="1"/>
    <n v="1"/>
    <x v="4"/>
    <x v="6"/>
    <x v="1"/>
    <x v="2"/>
    <x v="3"/>
    <x v="5"/>
    <s v="64-334581-"/>
    <s v="antonia.caifil@redsalud.gob.cl"/>
    <x v="4"/>
    <d v="2024-07-05T00:00:00"/>
    <n v="11"/>
    <s v="1057532-5224-SE25"/>
    <n v="1"/>
    <n v="6530093"/>
    <d v="2026-04-01T00:00:00"/>
    <x v="0"/>
  </r>
  <r>
    <s v="SERVICIO DE SALUD OSORNO"/>
    <x v="0"/>
    <x v="6"/>
    <s v="Proyecto operacional"/>
    <s v="Publicado"/>
    <s v="22.12.999.022"/>
    <x v="6"/>
    <s v="Se requiere la contratación del servicio denominado Hogar Protegido (beneficiarios 08 usuarios/as), para un periodo de 24 meses, por un total de 5840 días hogar protegido."/>
    <x v="1"/>
    <x v="4"/>
    <n v="1"/>
    <n v="1"/>
    <x v="4"/>
    <x v="8"/>
    <x v="1"/>
    <x v="2"/>
    <x v="3"/>
    <x v="5"/>
    <s v="64-334581-"/>
    <s v="antonia.caifil@redsalud.gob.cl"/>
    <x v="4"/>
    <d v="2024-07-05T00:00:00"/>
    <n v="11"/>
    <s v="1057532-16-SE25"/>
    <n v="1"/>
    <n v="6530095"/>
    <d v="2026-11-01T00:00:00"/>
    <x v="0"/>
  </r>
  <r>
    <s v="SERVICIO DE SALUD OSORNO"/>
    <x v="0"/>
    <x v="6"/>
    <s v="Proyecto operacional"/>
    <s v="Publicado"/>
    <s v="22.12.999.022"/>
    <x v="6"/>
    <s v="Se requiere la contratación del servicio denominado Hogar Protegido (beneficiarios 08 usuarios/as), para un periodo de 24 meses, por un total de 5840 días hogar protegido."/>
    <x v="1"/>
    <x v="4"/>
    <n v="1"/>
    <n v="1"/>
    <x v="4"/>
    <x v="6"/>
    <x v="1"/>
    <x v="2"/>
    <x v="3"/>
    <x v="5"/>
    <s v="64-334581-"/>
    <s v="antonia.caifil@redsalud.gob.cl"/>
    <x v="4"/>
    <d v="2024-07-05T00:00:00"/>
    <n v="11"/>
    <s v="1057532-5514-SE25"/>
    <n v="1"/>
    <n v="6530093"/>
    <d v="2026-09-01T00:00:00"/>
    <x v="0"/>
  </r>
  <r>
    <s v="SERVICIO DE SALUD OSORNO"/>
    <x v="0"/>
    <x v="6"/>
    <s v="Proyecto operacional"/>
    <s v="Publicado"/>
    <s v="22.12.999.022"/>
    <x v="6"/>
    <s v="Se requiere la contratación del servicio denominado Hogar Protegido (beneficiarios 08 usuarios/as), para un periodo de 24 meses, por un total de 5840 días hogar protegido."/>
    <x v="1"/>
    <x v="4"/>
    <n v="1"/>
    <n v="1"/>
    <x v="4"/>
    <x v="6"/>
    <x v="1"/>
    <x v="2"/>
    <x v="3"/>
    <x v="5"/>
    <s v="64-334581-"/>
    <s v="antonia.caifil@redsalud.gob.cl"/>
    <x v="4"/>
    <d v="2024-07-05T00:00:00"/>
    <n v="11"/>
    <s v="1057532-5016-SE25"/>
    <n v="1"/>
    <n v="6530093"/>
    <d v="2026-04-01T00:00:00"/>
    <x v="0"/>
  </r>
  <r>
    <s v="SERVICIO DE SALUD OSORNO"/>
    <x v="0"/>
    <x v="6"/>
    <s v="Proyecto operacional"/>
    <s v="Publicado"/>
    <s v="22.12.999.022"/>
    <x v="6"/>
    <s v="Se requiere la contratación del servicio denominado Hogar Protegido (beneficiarios 08 usuarios/as), para un periodo de 24 meses, por un total de 5840 días hogar protegido."/>
    <x v="1"/>
    <x v="4"/>
    <n v="1"/>
    <n v="1"/>
    <x v="4"/>
    <x v="9"/>
    <x v="1"/>
    <x v="2"/>
    <x v="3"/>
    <x v="5"/>
    <s v="64-334581-"/>
    <s v="antonia.caifil@redsalud.gob.cl"/>
    <x v="4"/>
    <d v="2024-07-05T00:00:00"/>
    <n v="11"/>
    <s v="1057532-5669-SE25"/>
    <n v="1"/>
    <n v="6530093"/>
    <d v="2026-03-01T00:00:00"/>
    <x v="0"/>
  </r>
  <r>
    <s v="SERVICIO DE SALUD OSORNO"/>
    <x v="0"/>
    <x v="7"/>
    <s v="Proyecto operacional"/>
    <s v="Publicado"/>
    <s v="22.04.012"/>
    <x v="7"/>
    <s v="SERVICIO DE MANTENCIÓN, RECARGA E INSPECCION PREVENTIVA PARA RED HÚMEDA Y EXTINTORES DE LOS ESTABLECIMIENTOS PERTENECIENTES AL SERVICIO DE SALUD OSORNO, POR UN PERIODO DE 3 AÑOS."/>
    <x v="1"/>
    <x v="5"/>
    <n v="1"/>
    <n v="1"/>
    <x v="5"/>
    <x v="10"/>
    <x v="2"/>
    <x v="3"/>
    <x v="4"/>
    <x v="6"/>
    <s v="64-337046-"/>
    <s v="karin.scholz@redsalud.gob.cl"/>
    <x v="4"/>
    <d v="2024-07-05T00:00:00"/>
    <n v="35"/>
    <s v="1057532-1505-SE24"/>
    <n v="1"/>
    <n v="1505000"/>
    <d v="2026-06-01T00:00:00"/>
    <x v="0"/>
  </r>
  <r>
    <s v="SERVICIO DE SALUD OSORNO"/>
    <x v="0"/>
    <x v="7"/>
    <s v="Proyecto operacional"/>
    <s v="Publicado"/>
    <s v="22.04.012"/>
    <x v="7"/>
    <s v="SERVICIO DE MANTENCIÓN, RECARGA E INSPECCION PREVENTIVA PARA RED HÚMEDA Y EXTINTORES DE LOS ESTABLECIMIENTOS PERTENECIENTES AL SERVICIO DE SALUD OSORNO, POR UN PERIODO DE 3 AÑOS."/>
    <x v="1"/>
    <x v="5"/>
    <n v="1"/>
    <n v="1"/>
    <x v="5"/>
    <x v="10"/>
    <x v="2"/>
    <x v="3"/>
    <x v="4"/>
    <x v="6"/>
    <s v="64-337046-"/>
    <s v="karin.scholz@redsalud.gob.cl"/>
    <x v="4"/>
    <d v="2024-07-05T00:00:00"/>
    <n v="35"/>
    <s v="1057532-1505-SE24"/>
    <n v="1"/>
    <n v="1505000"/>
    <d v="2026-12-01T00:00:00"/>
    <x v="0"/>
  </r>
  <r>
    <s v="SERVICIO DE SALUD OSORNO"/>
    <x v="0"/>
    <x v="7"/>
    <s v="Proyecto operacional"/>
    <s v="Publicado"/>
    <s v="22.04.012"/>
    <x v="7"/>
    <s v="SERVICIO DE MANTENCIÓN, RECARGA E INSPECCION PREVENTIVA PARA RED HÚMEDA Y EXTINTORES DE LOS ESTABLECIMIENTOS PERTENECIENTES AL SERVICIO DE SALUD OSORNO, POR UN PERIODO DE 3 AÑOS."/>
    <x v="1"/>
    <x v="5"/>
    <n v="1"/>
    <n v="1"/>
    <x v="5"/>
    <x v="10"/>
    <x v="2"/>
    <x v="3"/>
    <x v="4"/>
    <x v="6"/>
    <s v="64-337046-"/>
    <s v="karin.scholz@redsalud.gob.cl"/>
    <x v="4"/>
    <d v="2024-07-05T00:00:00"/>
    <n v="35"/>
    <s v="1057532-1505-SE24"/>
    <n v="1"/>
    <n v="1505000"/>
    <d v="2026-07-01T00:00:00"/>
    <x v="0"/>
  </r>
  <r>
    <s v="SERVICIO DE SALUD OSORNO"/>
    <x v="0"/>
    <x v="7"/>
    <s v="Proyecto operacional"/>
    <s v="Publicado"/>
    <s v="22.04.012"/>
    <x v="7"/>
    <s v="SERVICIO DE MANTENCIÓN, RECARGA E INSPECCION PREVENTIVA PARA RED HÚMEDA Y EXTINTORES DE LOS ESTABLECIMIENTOS PERTENECIENTES AL SERVICIO DE SALUD OSORNO, POR UN PERIODO DE 3 AÑOS."/>
    <x v="1"/>
    <x v="5"/>
    <n v="1"/>
    <n v="1"/>
    <x v="5"/>
    <x v="10"/>
    <x v="2"/>
    <x v="3"/>
    <x v="4"/>
    <x v="6"/>
    <s v="64-337046-"/>
    <s v="karin.scholz@redsalud.gob.cl"/>
    <x v="4"/>
    <d v="2024-07-05T00:00:00"/>
    <n v="35"/>
    <s v="1057532-1505-SE24"/>
    <n v="1"/>
    <n v="1505000"/>
    <d v="2026-02-01T00:00:00"/>
    <x v="0"/>
  </r>
  <r>
    <s v="SERVICIO DE SALUD OSORNO"/>
    <x v="0"/>
    <x v="7"/>
    <s v="Proyecto operacional"/>
    <s v="Publicado"/>
    <s v="22.04.012"/>
    <x v="7"/>
    <s v="SERVICIO DE MANTENCIÓN, RECARGA E INSPECCION PREVENTIVA PARA RED HÚMEDA Y EXTINTORES DE LOS ESTABLECIMIENTOS PERTENECIENTES AL SERVICIO DE SALUD OSORNO, POR UN PERIODO DE 3 AÑOS."/>
    <x v="1"/>
    <x v="5"/>
    <n v="1"/>
    <n v="1"/>
    <x v="5"/>
    <x v="10"/>
    <x v="2"/>
    <x v="3"/>
    <x v="4"/>
    <x v="6"/>
    <s v="64-337046-"/>
    <s v="karin.scholz@redsalud.gob.cl"/>
    <x v="4"/>
    <d v="2024-07-05T00:00:00"/>
    <n v="35"/>
    <s v="1057532-1505-SE24"/>
    <n v="1"/>
    <n v="1505000"/>
    <d v="2026-03-01T00:00:00"/>
    <x v="0"/>
  </r>
  <r>
    <s v="SERVICIO DE SALUD OSORNO"/>
    <x v="0"/>
    <x v="7"/>
    <s v="Proyecto operacional"/>
    <s v="Publicado"/>
    <s v="22.04.012"/>
    <x v="7"/>
    <s v="SERVICIO DE MANTENCIÓN, RECARGA E INSPECCION PREVENTIVA PARA RED HÚMEDA Y EXTINTORES DE LOS ESTABLECIMIENTOS PERTENECIENTES AL SERVICIO DE SALUD OSORNO, POR UN PERIODO DE 3 AÑOS."/>
    <x v="1"/>
    <x v="5"/>
    <n v="1"/>
    <n v="1"/>
    <x v="5"/>
    <x v="10"/>
    <x v="2"/>
    <x v="3"/>
    <x v="4"/>
    <x v="6"/>
    <s v="64-337046-"/>
    <s v="karin.scholz@redsalud.gob.cl"/>
    <x v="4"/>
    <d v="2024-07-05T00:00:00"/>
    <n v="35"/>
    <s v="1057532-1505-SE24"/>
    <n v="1"/>
    <n v="1505000"/>
    <d v="2026-05-01T00:00:00"/>
    <x v="0"/>
  </r>
  <r>
    <s v="SERVICIO DE SALUD OSORNO"/>
    <x v="0"/>
    <x v="7"/>
    <s v="Proyecto operacional"/>
    <s v="Publicado"/>
    <s v="22.04.012"/>
    <x v="7"/>
    <s v="SERVICIO DE MANTENCIÓN, RECARGA E INSPECCION PREVENTIVA PARA RED HÚMEDA Y EXTINTORES DE LOS ESTABLECIMIENTOS PERTENECIENTES AL SERVICIO DE SALUD OSORNO, POR UN PERIODO DE 3 AÑOS."/>
    <x v="1"/>
    <x v="5"/>
    <n v="1"/>
    <n v="1"/>
    <x v="5"/>
    <x v="10"/>
    <x v="2"/>
    <x v="3"/>
    <x v="4"/>
    <x v="6"/>
    <s v="64-337046-"/>
    <s v="karin.scholz@redsalud.gob.cl"/>
    <x v="4"/>
    <d v="2024-07-05T00:00:00"/>
    <n v="35"/>
    <s v="1057532-2252-SE24"/>
    <n v="1"/>
    <n v="1505000"/>
    <d v="2026-02-01T00:00:00"/>
    <x v="0"/>
  </r>
  <r>
    <s v="SERVICIO DE SALUD OSORNO"/>
    <x v="0"/>
    <x v="7"/>
    <s v="Proyecto operacional"/>
    <s v="Publicado"/>
    <s v="22.04.012"/>
    <x v="7"/>
    <s v="SERVICIO DE MANTENCIÓN, RECARGA E INSPECCION PREVENTIVA PARA RED HÚMEDA Y EXTINTORES DE LOS ESTABLECIMIENTOS PERTENECIENTES AL SERVICIO DE SALUD OSORNO, POR UN PERIODO DE 3 AÑOS."/>
    <x v="1"/>
    <x v="5"/>
    <n v="1"/>
    <n v="1"/>
    <x v="5"/>
    <x v="10"/>
    <x v="2"/>
    <x v="3"/>
    <x v="4"/>
    <x v="6"/>
    <s v="64-337046-"/>
    <s v="karin.scholz@redsalud.gob.cl"/>
    <x v="4"/>
    <d v="2024-07-05T00:00:00"/>
    <n v="35"/>
    <s v="1057532-1505-SE24"/>
    <n v="1"/>
    <n v="1505000"/>
    <d v="2026-04-01T00:00:00"/>
    <x v="0"/>
  </r>
  <r>
    <s v="SERVICIO DE SALUD OSORNO"/>
    <x v="0"/>
    <x v="7"/>
    <s v="Proyecto operacional"/>
    <s v="Publicado"/>
    <s v="22.04.012"/>
    <x v="7"/>
    <s v="SERVICIO DE MANTENCIÓN, RECARGA E INSPECCION PREVENTIVA PARA RED HÚMEDA Y EXTINTORES DE LOS ESTABLECIMIENTOS PERTENECIENTES AL SERVICIO DE SALUD OSORNO, POR UN PERIODO DE 3 AÑOS."/>
    <x v="1"/>
    <x v="5"/>
    <n v="1"/>
    <n v="1"/>
    <x v="5"/>
    <x v="10"/>
    <x v="2"/>
    <x v="3"/>
    <x v="4"/>
    <x v="6"/>
    <s v="64-337046-"/>
    <s v="karin.scholz@redsalud.gob.cl"/>
    <x v="4"/>
    <d v="2024-07-05T00:00:00"/>
    <n v="35"/>
    <s v="1057532-2255-SE24"/>
    <n v="1"/>
    <n v="1505000"/>
    <d v="2026-06-01T00:00:00"/>
    <x v="0"/>
  </r>
  <r>
    <s v="SERVICIO DE SALUD OSORNO"/>
    <x v="0"/>
    <x v="7"/>
    <s v="Proyecto operacional"/>
    <s v="Publicado"/>
    <s v="22.04.012"/>
    <x v="7"/>
    <s v="SERVICIO DE MANTENCIÓN, RECARGA E INSPECCION PREVENTIVA PARA RED HÚMEDA Y EXTINTORES DE LOS ESTABLECIMIENTOS PERTENECIENTES AL SERVICIO DE SALUD OSORNO, POR UN PERIODO DE 3 AÑOS."/>
    <x v="1"/>
    <x v="5"/>
    <n v="1"/>
    <n v="1"/>
    <x v="5"/>
    <x v="10"/>
    <x v="2"/>
    <x v="3"/>
    <x v="4"/>
    <x v="6"/>
    <s v="64-337046-"/>
    <s v="karin.scholz@redsalud.gob.cl"/>
    <x v="4"/>
    <d v="2024-07-05T00:00:00"/>
    <n v="35"/>
    <s v="1057532-2252-SE24"/>
    <n v="1"/>
    <n v="1505000"/>
    <d v="2026-05-01T00:00:00"/>
    <x v="0"/>
  </r>
  <r>
    <s v="SERVICIO DE SALUD OSORNO"/>
    <x v="0"/>
    <x v="7"/>
    <s v="Proyecto operacional"/>
    <s v="Publicado"/>
    <s v="22.04.012"/>
    <x v="7"/>
    <s v="SERVICIO DE MANTENCIÓN, RECARGA E INSPECCION PREVENTIVA PARA RED HÚMEDA Y EXTINTORES DE LOS ESTABLECIMIENTOS PERTENECIENTES AL SERVICIO DE SALUD OSORNO, POR UN PERIODO DE 3 AÑOS."/>
    <x v="1"/>
    <x v="5"/>
    <n v="1"/>
    <n v="1"/>
    <x v="5"/>
    <x v="10"/>
    <x v="2"/>
    <x v="3"/>
    <x v="4"/>
    <x v="6"/>
    <s v="64-337046-"/>
    <s v="karin.scholz@redsalud.gob.cl"/>
    <x v="4"/>
    <d v="2024-07-05T00:00:00"/>
    <n v="35"/>
    <s v="1057532-2251-SE24"/>
    <n v="1"/>
    <n v="1505000"/>
    <d v="2026-01-01T00:00:00"/>
    <x v="0"/>
  </r>
  <r>
    <s v="SERVICIO DE SALUD OSORNO"/>
    <x v="0"/>
    <x v="7"/>
    <s v="Proyecto operacional"/>
    <s v="Publicado"/>
    <s v="22.04.012"/>
    <x v="7"/>
    <s v="SERVICIO DE MANTENCIÓN, RECARGA E INSPECCION PREVENTIVA PARA RED HÚMEDA Y EXTINTORES DE LOS ESTABLECIMIENTOS PERTENECIENTES AL SERVICIO DE SALUD OSORNO, POR UN PERIODO DE 3 AÑOS."/>
    <x v="1"/>
    <x v="5"/>
    <n v="1"/>
    <n v="1"/>
    <x v="5"/>
    <x v="10"/>
    <x v="2"/>
    <x v="3"/>
    <x v="4"/>
    <x v="6"/>
    <s v="64-337046-"/>
    <s v="karin.scholz@redsalud.gob.cl"/>
    <x v="4"/>
    <d v="2024-07-05T00:00:00"/>
    <n v="35"/>
    <s v="1057532-2251-SE24"/>
    <n v="1"/>
    <n v="1505000"/>
    <d v="2026-02-01T00:00:00"/>
    <x v="0"/>
  </r>
  <r>
    <s v="SERVICIO DE SALUD OSORNO"/>
    <x v="0"/>
    <x v="8"/>
    <s v="Proyecto operacional"/>
    <s v="Publicado"/>
    <s v="22.06.002.001"/>
    <x v="8"/>
    <s v="Mantenciones Preventivas, correctivas y/o reparativas de vehículos motorizados de la Red Asistencial del Servicio de Salud Osorno."/>
    <x v="1"/>
    <x v="6"/>
    <n v="1"/>
    <n v="1"/>
    <x v="6"/>
    <x v="11"/>
    <x v="1"/>
    <x v="2"/>
    <x v="5"/>
    <x v="7"/>
    <s v="64-2567046-"/>
    <s v="felipe.salvob@redsalud.gob.cl"/>
    <x v="3"/>
    <d v="2024-07-05T00:00:00"/>
    <n v="46"/>
    <s v="1057532-119-SE25"/>
    <n v="1"/>
    <n v="12500000"/>
    <d v="2026-08-01T00:00:00"/>
    <x v="0"/>
  </r>
  <r>
    <s v="SERVICIO DE SALUD OSORNO"/>
    <x v="0"/>
    <x v="8"/>
    <s v="Proyecto operacional"/>
    <s v="Publicado"/>
    <s v="22.06.002.001"/>
    <x v="8"/>
    <s v="Mantenciones Preventivas, correctivas y/o reparativas de vehículos motorizados de la Red Asistencial del Servicio de Salud Osorno."/>
    <x v="1"/>
    <x v="6"/>
    <n v="1"/>
    <n v="1"/>
    <x v="6"/>
    <x v="11"/>
    <x v="1"/>
    <x v="2"/>
    <x v="5"/>
    <x v="7"/>
    <s v="64-2567046-"/>
    <s v="felipe.salvob@redsalud.gob.cl"/>
    <x v="3"/>
    <d v="2024-07-05T00:00:00"/>
    <n v="46"/>
    <s v="1057532-127-SE25"/>
    <n v="1"/>
    <n v="12500000"/>
    <d v="2026-11-01T00:00:00"/>
    <x v="0"/>
  </r>
  <r>
    <s v="SERVICIO DE SALUD OSORNO"/>
    <x v="0"/>
    <x v="8"/>
    <s v="Proyecto operacional"/>
    <s v="Publicado"/>
    <s v="22.06.002.001"/>
    <x v="8"/>
    <s v="Mantenciones Preventivas, correctivas y/o reparativas de vehículos motorizados de la Red Asistencial del Servicio de Salud Osorno."/>
    <x v="1"/>
    <x v="6"/>
    <n v="1"/>
    <n v="1"/>
    <x v="6"/>
    <x v="11"/>
    <x v="1"/>
    <x v="2"/>
    <x v="5"/>
    <x v="7"/>
    <s v="64-2567046-"/>
    <s v="felipe.salvob@redsalud.gob.cl"/>
    <x v="3"/>
    <d v="2024-07-05T00:00:00"/>
    <n v="46"/>
    <s v="1057532-119-SE25"/>
    <n v="1"/>
    <n v="12500000"/>
    <d v="2026-04-01T00:00:00"/>
    <x v="0"/>
  </r>
  <r>
    <s v="SERVICIO DE SALUD OSORNO"/>
    <x v="0"/>
    <x v="8"/>
    <s v="Proyecto operacional"/>
    <s v="Publicado"/>
    <s v="22.06.002.001"/>
    <x v="8"/>
    <s v="Mantenciones Preventivas, correctivas y/o reparativas de vehículos motorizados de la Red Asistencial del Servicio de Salud Osorno."/>
    <x v="1"/>
    <x v="6"/>
    <n v="1"/>
    <n v="1"/>
    <x v="6"/>
    <x v="11"/>
    <x v="1"/>
    <x v="2"/>
    <x v="5"/>
    <x v="7"/>
    <s v="64-2567046-"/>
    <s v="felipe.salvob@redsalud.gob.cl"/>
    <x v="3"/>
    <d v="2024-07-05T00:00:00"/>
    <n v="46"/>
    <s v="1057532-119-SE25"/>
    <n v="1"/>
    <n v="12500000"/>
    <d v="2026-01-01T00:00:00"/>
    <x v="0"/>
  </r>
  <r>
    <s v="SERVICIO DE SALUD OSORNO"/>
    <x v="0"/>
    <x v="8"/>
    <s v="Proyecto operacional"/>
    <s v="Publicado"/>
    <s v="22.06.002.001"/>
    <x v="8"/>
    <s v="Mantenciones Preventivas, correctivas y/o reparativas de vehículos motorizados de la Red Asistencial del Servicio de Salud Osorno."/>
    <x v="1"/>
    <x v="6"/>
    <n v="1"/>
    <n v="1"/>
    <x v="6"/>
    <x v="11"/>
    <x v="1"/>
    <x v="2"/>
    <x v="5"/>
    <x v="7"/>
    <s v="64-2567046-"/>
    <s v="felipe.salvob@redsalud.gob.cl"/>
    <x v="3"/>
    <d v="2024-07-05T00:00:00"/>
    <n v="46"/>
    <s v="1057532-119-SE25"/>
    <n v="1"/>
    <n v="12500000"/>
    <d v="2026-02-01T00:00:00"/>
    <x v="0"/>
  </r>
  <r>
    <s v="SERVICIO DE SALUD OSORNO"/>
    <x v="0"/>
    <x v="8"/>
    <s v="Proyecto operacional"/>
    <s v="Publicado"/>
    <s v="22.06.002.001"/>
    <x v="8"/>
    <s v="Mantenciones Preventivas, correctivas y/o reparativas de vehículos motorizados de la Red Asistencial del Servicio de Salud Osorno."/>
    <x v="1"/>
    <x v="6"/>
    <n v="1"/>
    <n v="1"/>
    <x v="6"/>
    <x v="11"/>
    <x v="1"/>
    <x v="2"/>
    <x v="5"/>
    <x v="7"/>
    <s v="64-2567046-"/>
    <s v="felipe.salvob@redsalud.gob.cl"/>
    <x v="3"/>
    <d v="2024-07-05T00:00:00"/>
    <n v="46"/>
    <s v="1057532-119-SE25"/>
    <n v="1"/>
    <n v="12500000"/>
    <d v="2026-07-01T00:00:00"/>
    <x v="0"/>
  </r>
  <r>
    <s v="SERVICIO DE SALUD OSORNO"/>
    <x v="0"/>
    <x v="8"/>
    <s v="Proyecto operacional"/>
    <s v="Publicado"/>
    <s v="22.06.002.001"/>
    <x v="8"/>
    <s v="Mantenciones Preventivas, correctivas y/o reparativas de vehículos motorizados de la Red Asistencial del Servicio de Salud Osorno."/>
    <x v="1"/>
    <x v="6"/>
    <n v="1"/>
    <n v="1"/>
    <x v="6"/>
    <x v="11"/>
    <x v="1"/>
    <x v="2"/>
    <x v="5"/>
    <x v="7"/>
    <s v="64-2567046-"/>
    <s v="felipe.salvob@redsalud.gob.cl"/>
    <x v="3"/>
    <d v="2024-07-05T00:00:00"/>
    <n v="46"/>
    <s v="1057532-125-SE25"/>
    <n v="1"/>
    <n v="12500000"/>
    <d v="2026-07-01T00:00:00"/>
    <x v="0"/>
  </r>
  <r>
    <s v="SERVICIO DE SALUD OSORNO"/>
    <x v="0"/>
    <x v="8"/>
    <s v="Proyecto operacional"/>
    <s v="Publicado"/>
    <s v="22.06.002.001"/>
    <x v="8"/>
    <s v="Mantenciones Preventivas, correctivas y/o reparativas de vehículos motorizados de la Red Asistencial del Servicio de Salud Osorno."/>
    <x v="1"/>
    <x v="6"/>
    <n v="1"/>
    <n v="1"/>
    <x v="6"/>
    <x v="11"/>
    <x v="1"/>
    <x v="2"/>
    <x v="5"/>
    <x v="7"/>
    <s v="64-2567046-"/>
    <s v="felipe.salvob@redsalud.gob.cl"/>
    <x v="3"/>
    <d v="2024-07-05T00:00:00"/>
    <n v="46"/>
    <s v="1057532-125-SE25"/>
    <n v="1"/>
    <n v="12500000"/>
    <d v="2026-04-01T00:00:00"/>
    <x v="0"/>
  </r>
  <r>
    <s v="SERVICIO DE SALUD OSORNO"/>
    <x v="0"/>
    <x v="8"/>
    <s v="Proyecto operacional"/>
    <s v="Publicado"/>
    <s v="22.06.002.001"/>
    <x v="8"/>
    <s v="Mantenciones Preventivas, correctivas y/o reparativas de vehículos motorizados de la Red Asistencial del Servicio de Salud Osorno."/>
    <x v="1"/>
    <x v="6"/>
    <n v="1"/>
    <n v="1"/>
    <x v="6"/>
    <x v="11"/>
    <x v="1"/>
    <x v="2"/>
    <x v="5"/>
    <x v="7"/>
    <s v="64-2567046-"/>
    <s v="felipe.salvob@redsalud.gob.cl"/>
    <x v="3"/>
    <d v="2024-07-05T00:00:00"/>
    <n v="46"/>
    <s v="1057532-119-SE25"/>
    <n v="1"/>
    <n v="12500000"/>
    <d v="2026-12-01T00:00:00"/>
    <x v="0"/>
  </r>
  <r>
    <s v="SERVICIO DE SALUD OSORNO"/>
    <x v="0"/>
    <x v="8"/>
    <s v="Proyecto operacional"/>
    <s v="Publicado"/>
    <s v="22.06.002.001"/>
    <x v="8"/>
    <s v="Mantenciones Preventivas, correctivas y/o reparativas de vehículos motorizados de la Red Asistencial del Servicio de Salud Osorno."/>
    <x v="1"/>
    <x v="6"/>
    <n v="1"/>
    <n v="1"/>
    <x v="6"/>
    <x v="11"/>
    <x v="1"/>
    <x v="2"/>
    <x v="5"/>
    <x v="7"/>
    <s v="64-2567046-"/>
    <s v="felipe.salvob@redsalud.gob.cl"/>
    <x v="3"/>
    <d v="2024-07-05T00:00:00"/>
    <n v="46"/>
    <s v="1057532-119-SE25"/>
    <n v="1"/>
    <n v="12500000"/>
    <d v="2026-09-01T00:00:00"/>
    <x v="0"/>
  </r>
  <r>
    <s v="SERVICIO DE SALUD OSORNO"/>
    <x v="0"/>
    <x v="8"/>
    <s v="Proyecto operacional"/>
    <s v="Publicado"/>
    <s v="22.06.002.001"/>
    <x v="8"/>
    <s v="Mantenciones Preventivas, correctivas y/o reparativas de vehículos motorizados de la Red Asistencial del Servicio de Salud Osorno."/>
    <x v="1"/>
    <x v="6"/>
    <n v="1"/>
    <n v="1"/>
    <x v="6"/>
    <x v="11"/>
    <x v="1"/>
    <x v="2"/>
    <x v="5"/>
    <x v="7"/>
    <s v="64-2567046-"/>
    <s v="felipe.salvob@redsalud.gob.cl"/>
    <x v="3"/>
    <d v="2024-07-05T00:00:00"/>
    <n v="46"/>
    <s v="1057532-119-SE25"/>
    <n v="1"/>
    <n v="12500000"/>
    <d v="2026-03-01T00:00:00"/>
    <x v="0"/>
  </r>
  <r>
    <s v="SERVICIO DE SALUD OSORNO"/>
    <x v="0"/>
    <x v="8"/>
    <s v="Proyecto operacional"/>
    <s v="Publicado"/>
    <s v="22.06.002.001"/>
    <x v="8"/>
    <s v="Mantenciones Preventivas, correctivas y/o reparativas de vehículos motorizados de la Red Asistencial del Servicio de Salud Osorno."/>
    <x v="1"/>
    <x v="6"/>
    <n v="1"/>
    <n v="1"/>
    <x v="6"/>
    <x v="11"/>
    <x v="1"/>
    <x v="2"/>
    <x v="5"/>
    <x v="7"/>
    <s v="64-2567046-"/>
    <s v="felipe.salvob@redsalud.gob.cl"/>
    <x v="3"/>
    <d v="2024-07-05T00:00:00"/>
    <n v="46"/>
    <s v="1057532-119-SE25"/>
    <n v="1"/>
    <n v="12500000"/>
    <d v="2026-05-01T00:00:00"/>
    <x v="0"/>
  </r>
  <r>
    <s v="SERVICIO DE SALUD OSORNO"/>
    <x v="0"/>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x v="1"/>
    <x v="7"/>
    <n v="1"/>
    <n v="1"/>
    <x v="7"/>
    <x v="12"/>
    <x v="1"/>
    <x v="2"/>
    <x v="4"/>
    <x v="8"/>
    <s v="64-337046-"/>
    <s v="karin.scholz@redsalud.gob.cl"/>
    <x v="5"/>
    <d v="2024-07-05T00:00:00"/>
    <n v="2"/>
    <s v="1057532-3993-TD25"/>
    <n v="1"/>
    <n v="33113266"/>
    <d v="2026-01-01T00:00:00"/>
    <x v="0"/>
  </r>
  <r>
    <s v="SERVICIO DE SALUD OSORNO"/>
    <x v="0"/>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x v="1"/>
    <x v="7"/>
    <n v="1"/>
    <n v="1"/>
    <x v="7"/>
    <x v="12"/>
    <x v="1"/>
    <x v="2"/>
    <x v="4"/>
    <x v="8"/>
    <s v="64-337046-"/>
    <s v="karin.scholz@redsalud.gob.cl"/>
    <x v="5"/>
    <d v="2024-07-05T00:00:00"/>
    <n v="2"/>
    <s v="1057532-3992-TD25"/>
    <n v="1"/>
    <n v="33113266"/>
    <d v="2026-03-01T00:00:00"/>
    <x v="0"/>
  </r>
  <r>
    <s v="SERVICIO DE SALUD OSORNO"/>
    <x v="0"/>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x v="1"/>
    <x v="7"/>
    <n v="1"/>
    <n v="1"/>
    <x v="7"/>
    <x v="12"/>
    <x v="1"/>
    <x v="2"/>
    <x v="4"/>
    <x v="8"/>
    <s v="64-337046-"/>
    <s v="karin.scholz@redsalud.gob.cl"/>
    <x v="5"/>
    <d v="2024-07-05T00:00:00"/>
    <n v="2"/>
    <s v="1057532-3992-TD25"/>
    <n v="1"/>
    <n v="33113266"/>
    <d v="2026-01-01T00:00:00"/>
    <x v="0"/>
  </r>
  <r>
    <s v="SERVICIO DE SALUD OSORNO"/>
    <x v="0"/>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x v="1"/>
    <x v="7"/>
    <n v="1"/>
    <n v="1"/>
    <x v="7"/>
    <x v="12"/>
    <x v="1"/>
    <x v="2"/>
    <x v="4"/>
    <x v="8"/>
    <s v="64-337046-"/>
    <s v="karin.scholz@redsalud.gob.cl"/>
    <x v="5"/>
    <d v="2024-07-05T00:00:00"/>
    <n v="2"/>
    <s v="1057532-3992-TD25"/>
    <n v="1"/>
    <n v="33113266"/>
    <d v="2026-02-01T00:00:00"/>
    <x v="0"/>
  </r>
  <r>
    <s v="SERVICIO DE SALUD OSORNO"/>
    <x v="0"/>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x v="1"/>
    <x v="7"/>
    <n v="1"/>
    <n v="1"/>
    <x v="7"/>
    <x v="12"/>
    <x v="1"/>
    <x v="2"/>
    <x v="4"/>
    <x v="8"/>
    <s v="64-337046-"/>
    <s v="karin.scholz@redsalud.gob.cl"/>
    <x v="5"/>
    <d v="2024-07-05T00:00:00"/>
    <n v="2"/>
    <s v="1057532-3992-TD25"/>
    <n v="1"/>
    <n v="33113266"/>
    <d v="2026-04-01T00:00:00"/>
    <x v="0"/>
  </r>
  <r>
    <s v="SERVICIO DE SALUD OSORNO"/>
    <x v="0"/>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x v="1"/>
    <x v="7"/>
    <n v="1"/>
    <n v="1"/>
    <x v="7"/>
    <x v="12"/>
    <x v="1"/>
    <x v="2"/>
    <x v="4"/>
    <x v="8"/>
    <s v="64-337046-"/>
    <s v="karin.scholz@redsalud.gob.cl"/>
    <x v="5"/>
    <d v="2024-07-05T00:00:00"/>
    <n v="2"/>
    <s v="1057532-3992-TD25"/>
    <n v="1"/>
    <n v="33113266"/>
    <d v="2026-07-01T00:00:00"/>
    <x v="0"/>
  </r>
  <r>
    <s v="SERVICIO DE SALUD OSORNO"/>
    <x v="0"/>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x v="1"/>
    <x v="7"/>
    <n v="1"/>
    <n v="1"/>
    <x v="7"/>
    <x v="12"/>
    <x v="1"/>
    <x v="2"/>
    <x v="4"/>
    <x v="8"/>
    <s v="64-337046-"/>
    <s v="karin.scholz@redsalud.gob.cl"/>
    <x v="5"/>
    <d v="2024-07-05T00:00:00"/>
    <n v="2"/>
    <s v="1057532-3992-TD25"/>
    <n v="1"/>
    <n v="33113266"/>
    <d v="2026-06-01T00:00:00"/>
    <x v="0"/>
  </r>
  <r>
    <s v="SERVICIO DE SALUD OSORNO"/>
    <x v="0"/>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x v="1"/>
    <x v="7"/>
    <n v="1"/>
    <n v="1"/>
    <x v="7"/>
    <x v="12"/>
    <x v="1"/>
    <x v="2"/>
    <x v="4"/>
    <x v="8"/>
    <s v="64-337046-"/>
    <s v="karin.scholz@redsalud.gob.cl"/>
    <x v="5"/>
    <d v="2024-07-05T00:00:00"/>
    <n v="2"/>
    <s v="1057532-3992-TD25"/>
    <n v="1"/>
    <n v="33113266"/>
    <d v="2026-11-01T00:00:00"/>
    <x v="0"/>
  </r>
  <r>
    <s v="SERVICIO DE SALUD OSORNO"/>
    <x v="0"/>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x v="1"/>
    <x v="7"/>
    <n v="1"/>
    <n v="1"/>
    <x v="7"/>
    <x v="12"/>
    <x v="1"/>
    <x v="2"/>
    <x v="4"/>
    <x v="8"/>
    <s v="64-337046-"/>
    <s v="karin.scholz@redsalud.gob.cl"/>
    <x v="5"/>
    <d v="2024-07-05T00:00:00"/>
    <n v="2"/>
    <s v="1057532-3993-TD25"/>
    <n v="1"/>
    <n v="33113266"/>
    <d v="2026-08-01T00:00:00"/>
    <x v="0"/>
  </r>
  <r>
    <s v="SERVICIO DE SALUD OSORNO"/>
    <x v="0"/>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x v="1"/>
    <x v="7"/>
    <n v="1"/>
    <n v="1"/>
    <x v="7"/>
    <x v="12"/>
    <x v="1"/>
    <x v="2"/>
    <x v="4"/>
    <x v="8"/>
    <s v="64-337046-"/>
    <s v="karin.scholz@redsalud.gob.cl"/>
    <x v="5"/>
    <d v="2024-07-05T00:00:00"/>
    <n v="2"/>
    <s v="1057532-3992-TD25"/>
    <n v="1"/>
    <n v="33113266"/>
    <d v="2026-12-01T00:00:00"/>
    <x v="0"/>
  </r>
  <r>
    <s v="SERVICIO DE SALUD OSORNO"/>
    <x v="0"/>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x v="1"/>
    <x v="7"/>
    <n v="1"/>
    <n v="1"/>
    <x v="7"/>
    <x v="12"/>
    <x v="1"/>
    <x v="2"/>
    <x v="4"/>
    <x v="8"/>
    <s v="64-337046-"/>
    <s v="karin.scholz@redsalud.gob.cl"/>
    <x v="5"/>
    <d v="2024-07-05T00:00:00"/>
    <n v="2"/>
    <s v="1057532-3993-TD25"/>
    <n v="1"/>
    <n v="33113266"/>
    <d v="2026-04-01T00:00:00"/>
    <x v="0"/>
  </r>
  <r>
    <s v="SERVICIO DE SALUD OSORNO"/>
    <x v="0"/>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x v="1"/>
    <x v="7"/>
    <n v="1"/>
    <n v="1"/>
    <x v="7"/>
    <x v="13"/>
    <x v="1"/>
    <x v="2"/>
    <x v="4"/>
    <x v="8"/>
    <s v="64-337046-"/>
    <s v="karin.scholz@redsalud.gob.cl"/>
    <x v="5"/>
    <d v="2024-07-05T00:00:00"/>
    <n v="2"/>
    <s v="1057532-3992-TD25"/>
    <n v="1"/>
    <n v="33113289"/>
    <d v="2026-05-01T00:00:00"/>
    <x v="0"/>
  </r>
  <r>
    <s v="SERVICIO DE SALUD OSORNO"/>
    <x v="0"/>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x v="1"/>
    <x v="8"/>
    <n v="1"/>
    <n v="1"/>
    <x v="8"/>
    <x v="14"/>
    <x v="2"/>
    <x v="3"/>
    <x v="6"/>
    <x v="9"/>
    <s v="64-335780-"/>
    <s v="JORGE.OYARZUNS@REDSALUD.GOB.CL"/>
    <x v="4"/>
    <d v="2024-07-05T00:00:00"/>
    <n v="14"/>
    <s v="1057532-131-SE25"/>
    <n v="1"/>
    <n v="41414809"/>
    <d v="2026-03-01T00:00:00"/>
    <x v="0"/>
  </r>
  <r>
    <s v="SERVICIO DE SALUD OSORNO"/>
    <x v="0"/>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x v="1"/>
    <x v="8"/>
    <n v="1"/>
    <n v="1"/>
    <x v="8"/>
    <x v="14"/>
    <x v="2"/>
    <x v="3"/>
    <x v="6"/>
    <x v="9"/>
    <s v="64-335780-"/>
    <s v="JORGE.OYARZUNS@REDSALUD.GOB.CL"/>
    <x v="4"/>
    <d v="2024-07-05T00:00:00"/>
    <n v="14"/>
    <s v="1057532-1236-SE24"/>
    <n v="1"/>
    <n v="41414809"/>
    <d v="2026-03-01T00:00:00"/>
    <x v="0"/>
  </r>
  <r>
    <s v="SERVICIO DE SALUD OSORNO"/>
    <x v="0"/>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x v="1"/>
    <x v="8"/>
    <n v="1"/>
    <n v="1"/>
    <x v="8"/>
    <x v="14"/>
    <x v="2"/>
    <x v="3"/>
    <x v="6"/>
    <x v="9"/>
    <s v="64-335780-"/>
    <s v="JORGE.OYARZUNS@REDSALUD.GOB.CL"/>
    <x v="4"/>
    <d v="2024-07-05T00:00:00"/>
    <n v="14"/>
    <s v="1057532-1236-SE24"/>
    <n v="1"/>
    <n v="41414809"/>
    <d v="2026-11-01T00:00:00"/>
    <x v="0"/>
  </r>
  <r>
    <s v="SERVICIO DE SALUD OSORNO"/>
    <x v="0"/>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x v="1"/>
    <x v="8"/>
    <n v="1"/>
    <n v="1"/>
    <x v="8"/>
    <x v="14"/>
    <x v="2"/>
    <x v="3"/>
    <x v="6"/>
    <x v="9"/>
    <s v="64-335780-"/>
    <s v="JORGE.OYARZUNS@REDSALUD.GOB.CL"/>
    <x v="4"/>
    <d v="2024-07-05T00:00:00"/>
    <n v="14"/>
    <s v="1057532-4087-SE25"/>
    <n v="1"/>
    <n v="41414809"/>
    <d v="2026-01-01T00:00:00"/>
    <x v="0"/>
  </r>
  <r>
    <s v="SERVICIO DE SALUD OSORNO"/>
    <x v="0"/>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x v="1"/>
    <x v="8"/>
    <n v="1"/>
    <n v="1"/>
    <x v="8"/>
    <x v="14"/>
    <x v="2"/>
    <x v="3"/>
    <x v="6"/>
    <x v="9"/>
    <s v="64-335780-"/>
    <s v="JORGE.OYARZUNS@REDSALUD.GOB.CL"/>
    <x v="4"/>
    <d v="2024-07-05T00:00:00"/>
    <n v="14"/>
    <s v="1057532-131-SE25"/>
    <n v="1"/>
    <n v="41414809"/>
    <d v="2026-07-01T00:00:00"/>
    <x v="0"/>
  </r>
  <r>
    <s v="SERVICIO DE SALUD OSORNO"/>
    <x v="0"/>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x v="1"/>
    <x v="8"/>
    <n v="1"/>
    <n v="1"/>
    <x v="8"/>
    <x v="14"/>
    <x v="2"/>
    <x v="3"/>
    <x v="6"/>
    <x v="9"/>
    <s v="64-335780-"/>
    <s v="JORGE.OYARZUNS@REDSALUD.GOB.CL"/>
    <x v="4"/>
    <d v="2024-07-05T00:00:00"/>
    <n v="14"/>
    <s v="1057532-1236-SE24"/>
    <n v="1"/>
    <n v="41414809"/>
    <d v="2026-07-01T00:00:00"/>
    <x v="0"/>
  </r>
  <r>
    <s v="SERVICIO DE SALUD OSORNO"/>
    <x v="0"/>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x v="1"/>
    <x v="8"/>
    <n v="1"/>
    <n v="1"/>
    <x v="8"/>
    <x v="14"/>
    <x v="2"/>
    <x v="3"/>
    <x v="6"/>
    <x v="9"/>
    <s v="64-335780-"/>
    <s v="JORGE.OYARZUNS@REDSALUD.GOB.CL"/>
    <x v="4"/>
    <d v="2024-07-05T00:00:00"/>
    <n v="14"/>
    <s v="1057532-4087-SE25"/>
    <n v="1"/>
    <n v="41414809"/>
    <d v="2026-05-01T00:00:00"/>
    <x v="0"/>
  </r>
  <r>
    <s v="SERVICIO DE SALUD OSORNO"/>
    <x v="0"/>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x v="1"/>
    <x v="8"/>
    <n v="1"/>
    <n v="1"/>
    <x v="8"/>
    <x v="14"/>
    <x v="2"/>
    <x v="3"/>
    <x v="6"/>
    <x v="9"/>
    <s v="64-335780-"/>
    <s v="JORGE.OYARZUNS@REDSALUD.GOB.CL"/>
    <x v="4"/>
    <d v="2024-07-05T00:00:00"/>
    <n v="14"/>
    <s v="1057532-131-SE25"/>
    <n v="1"/>
    <n v="41414809"/>
    <d v="2026-04-01T00:00:00"/>
    <x v="0"/>
  </r>
  <r>
    <s v="SERVICIO DE SALUD OSORNO"/>
    <x v="0"/>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x v="1"/>
    <x v="8"/>
    <n v="1"/>
    <n v="1"/>
    <x v="8"/>
    <x v="14"/>
    <x v="2"/>
    <x v="3"/>
    <x v="6"/>
    <x v="9"/>
    <s v="64-335780-"/>
    <s v="JORGE.OYARZUNS@REDSALUD.GOB.CL"/>
    <x v="4"/>
    <d v="2024-07-05T00:00:00"/>
    <n v="14"/>
    <s v="1057532-1236-SE24"/>
    <n v="1"/>
    <n v="41414809"/>
    <d v="2026-05-01T00:00:00"/>
    <x v="0"/>
  </r>
  <r>
    <s v="SERVICIO DE SALUD OSORNO"/>
    <x v="0"/>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x v="1"/>
    <x v="8"/>
    <n v="1"/>
    <n v="1"/>
    <x v="8"/>
    <x v="14"/>
    <x v="2"/>
    <x v="3"/>
    <x v="6"/>
    <x v="9"/>
    <s v="64-335780-"/>
    <s v="JORGE.OYARZUNS@REDSALUD.GOB.CL"/>
    <x v="4"/>
    <d v="2024-07-05T00:00:00"/>
    <n v="14"/>
    <s v="1057532-1236-SE24"/>
    <n v="1"/>
    <n v="41414809"/>
    <d v="2026-04-01T00:00:00"/>
    <x v="0"/>
  </r>
  <r>
    <s v="SERVICIO DE SALUD OSORNO"/>
    <x v="0"/>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x v="1"/>
    <x v="8"/>
    <n v="1"/>
    <n v="1"/>
    <x v="8"/>
    <x v="14"/>
    <x v="2"/>
    <x v="3"/>
    <x v="6"/>
    <x v="9"/>
    <s v="64-335780-"/>
    <s v="JORGE.OYARZUNS@REDSALUD.GOB.CL"/>
    <x v="4"/>
    <d v="2024-07-05T00:00:00"/>
    <n v="14"/>
    <s v="1057532-131-SE25"/>
    <n v="1"/>
    <n v="41414809"/>
    <d v="2026-01-01T00:00:00"/>
    <x v="0"/>
  </r>
  <r>
    <s v="SERVICIO DE SALUD OSORNO"/>
    <x v="0"/>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x v="1"/>
    <x v="8"/>
    <n v="1"/>
    <n v="1"/>
    <x v="8"/>
    <x v="14"/>
    <x v="2"/>
    <x v="3"/>
    <x v="6"/>
    <x v="9"/>
    <s v="64-335780-"/>
    <s v="JORGE.OYARZUNS@REDSALUD.GOB.CL"/>
    <x v="4"/>
    <d v="2024-07-05T00:00:00"/>
    <n v="14"/>
    <s v="1057532-1236-SE24"/>
    <n v="1"/>
    <n v="41414809"/>
    <d v="2026-02-01T00:00:00"/>
    <x v="0"/>
  </r>
  <r>
    <s v="SERVICIO DE SALUD OSORNO"/>
    <x v="0"/>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x v="1"/>
    <x v="9"/>
    <n v="1"/>
    <n v="1"/>
    <x v="9"/>
    <x v="15"/>
    <x v="1"/>
    <x v="2"/>
    <x v="7"/>
    <x v="10"/>
    <s v="64-335809-"/>
    <s v="mario.aburto@redsalud.gov.cl"/>
    <x v="3"/>
    <d v="2024-07-05T00:00:00"/>
    <n v="23"/>
    <s v="1057532-5543-SE25"/>
    <n v="1"/>
    <n v="9833333"/>
    <d v="2026-06-01T00:00:00"/>
    <x v="0"/>
  </r>
  <r>
    <s v="SERVICIO DE SALUD OSORNO"/>
    <x v="0"/>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x v="1"/>
    <x v="9"/>
    <n v="1"/>
    <n v="1"/>
    <x v="9"/>
    <x v="15"/>
    <x v="1"/>
    <x v="2"/>
    <x v="7"/>
    <x v="10"/>
    <s v="64-335809-"/>
    <s v="mario.aburto@redsalud.gov.cl"/>
    <x v="3"/>
    <d v="2024-07-05T00:00:00"/>
    <n v="23"/>
    <s v="1057532-4736-SE25"/>
    <n v="1"/>
    <n v="9833333"/>
    <d v="2026-05-01T00:00:00"/>
    <x v="0"/>
  </r>
  <r>
    <s v="SERVICIO DE SALUD OSORNO"/>
    <x v="0"/>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x v="1"/>
    <x v="9"/>
    <n v="1"/>
    <n v="1"/>
    <x v="9"/>
    <x v="15"/>
    <x v="1"/>
    <x v="2"/>
    <x v="7"/>
    <x v="10"/>
    <s v="64-335809-"/>
    <s v="mario.aburto@redsalud.gov.cl"/>
    <x v="3"/>
    <d v="2024-07-05T00:00:00"/>
    <n v="23"/>
    <s v="1057532-5012-SE25"/>
    <n v="1"/>
    <n v="9833333"/>
    <d v="2026-11-01T00:00:00"/>
    <x v="0"/>
  </r>
  <r>
    <s v="SERVICIO DE SALUD OSORNO"/>
    <x v="0"/>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x v="1"/>
    <x v="9"/>
    <n v="1"/>
    <n v="1"/>
    <x v="9"/>
    <x v="16"/>
    <x v="1"/>
    <x v="2"/>
    <x v="7"/>
    <x v="10"/>
    <s v="64-335809-"/>
    <s v="mario.aburto@redsalud.gov.cl"/>
    <x v="3"/>
    <d v="2024-07-05T00:00:00"/>
    <n v="23"/>
    <s v="1057532-4671-SE25"/>
    <n v="1"/>
    <n v="9833341"/>
    <d v="2026-12-01T00:00:00"/>
    <x v="0"/>
  </r>
  <r>
    <s v="SERVICIO DE SALUD OSORNO"/>
    <x v="0"/>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x v="1"/>
    <x v="9"/>
    <n v="1"/>
    <n v="1"/>
    <x v="9"/>
    <x v="15"/>
    <x v="1"/>
    <x v="2"/>
    <x v="7"/>
    <x v="10"/>
    <s v="64-335809-"/>
    <s v="mario.aburto@redsalud.gov.cl"/>
    <x v="3"/>
    <d v="2024-07-05T00:00:00"/>
    <n v="23"/>
    <s v="1057532-4671-SE25"/>
    <n v="1"/>
    <n v="9833333"/>
    <d v="2026-08-01T00:00:00"/>
    <x v="0"/>
  </r>
  <r>
    <s v="SERVICIO DE SALUD OSORNO"/>
    <x v="0"/>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x v="1"/>
    <x v="9"/>
    <n v="1"/>
    <n v="1"/>
    <x v="9"/>
    <x v="15"/>
    <x v="1"/>
    <x v="2"/>
    <x v="7"/>
    <x v="10"/>
    <s v="64-335809-"/>
    <s v="mario.aburto@redsalud.gov.cl"/>
    <x v="3"/>
    <d v="2024-07-05T00:00:00"/>
    <n v="23"/>
    <s v="1057532-5098-SE25"/>
    <n v="1"/>
    <n v="9833333"/>
    <d v="2026-09-01T00:00:00"/>
    <x v="0"/>
  </r>
  <r>
    <s v="SERVICIO DE SALUD OSORNO"/>
    <x v="0"/>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x v="1"/>
    <x v="9"/>
    <n v="1"/>
    <n v="1"/>
    <x v="9"/>
    <x v="15"/>
    <x v="1"/>
    <x v="2"/>
    <x v="7"/>
    <x v="10"/>
    <s v="64-335809-"/>
    <s v="mario.aburto@redsalud.gov.cl"/>
    <x v="3"/>
    <d v="2024-07-05T00:00:00"/>
    <n v="23"/>
    <s v="1057532-5144-SE25"/>
    <n v="1"/>
    <n v="9833333"/>
    <d v="2026-01-01T00:00:00"/>
    <x v="0"/>
  </r>
  <r>
    <s v="SERVICIO DE SALUD OSORNO"/>
    <x v="0"/>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x v="1"/>
    <x v="9"/>
    <n v="1"/>
    <n v="1"/>
    <x v="9"/>
    <x v="15"/>
    <x v="1"/>
    <x v="2"/>
    <x v="7"/>
    <x v="10"/>
    <s v="64-335809-"/>
    <s v="mario.aburto@redsalud.gov.cl"/>
    <x v="3"/>
    <d v="2024-07-05T00:00:00"/>
    <n v="23"/>
    <s v="1057532-5655-SE25"/>
    <n v="1"/>
    <n v="9833333"/>
    <d v="2026-05-01T00:00:00"/>
    <x v="0"/>
  </r>
  <r>
    <s v="SERVICIO DE SALUD OSORNO"/>
    <x v="0"/>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x v="1"/>
    <x v="9"/>
    <n v="1"/>
    <n v="1"/>
    <x v="9"/>
    <x v="15"/>
    <x v="1"/>
    <x v="2"/>
    <x v="7"/>
    <x v="10"/>
    <s v="64-335809-"/>
    <s v="mario.aburto@redsalud.gov.cl"/>
    <x v="3"/>
    <d v="2024-07-05T00:00:00"/>
    <n v="23"/>
    <s v="1057532-5543-SE25"/>
    <n v="1"/>
    <n v="9833333"/>
    <d v="2026-07-01T00:00:00"/>
    <x v="0"/>
  </r>
  <r>
    <s v="SERVICIO DE SALUD OSORNO"/>
    <x v="0"/>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x v="1"/>
    <x v="9"/>
    <n v="1"/>
    <n v="1"/>
    <x v="9"/>
    <x v="15"/>
    <x v="1"/>
    <x v="2"/>
    <x v="7"/>
    <x v="10"/>
    <s v="64-335809-"/>
    <s v="mario.aburto@redsalud.gov.cl"/>
    <x v="3"/>
    <d v="2024-07-05T00:00:00"/>
    <n v="23"/>
    <s v="1057532-5098-SE25"/>
    <n v="1"/>
    <n v="9833333"/>
    <d v="2026-10-01T00:00:00"/>
    <x v="0"/>
  </r>
  <r>
    <s v="SERVICIO DE SALUD OSORNO"/>
    <x v="0"/>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x v="1"/>
    <x v="9"/>
    <n v="1"/>
    <n v="1"/>
    <x v="9"/>
    <x v="15"/>
    <x v="1"/>
    <x v="2"/>
    <x v="7"/>
    <x v="10"/>
    <s v="64-335809-"/>
    <s v="mario.aburto@redsalud.gov.cl"/>
    <x v="3"/>
    <d v="2024-07-05T00:00:00"/>
    <n v="23"/>
    <s v="1057532-5098-SE25"/>
    <n v="1"/>
    <n v="9833333"/>
    <d v="2026-02-01T00:00:00"/>
    <x v="0"/>
  </r>
  <r>
    <s v="SERVICIO DE SALUD OSORNO"/>
    <x v="0"/>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x v="1"/>
    <x v="9"/>
    <n v="1"/>
    <n v="1"/>
    <x v="9"/>
    <x v="17"/>
    <x v="1"/>
    <x v="2"/>
    <x v="7"/>
    <x v="10"/>
    <s v="64-335809-"/>
    <s v="mario.aburto@redsalud.gov.cl"/>
    <x v="3"/>
    <d v="2024-07-05T00:00:00"/>
    <n v="23"/>
    <s v="1057532-5207-SE25"/>
    <n v="1"/>
    <n v="9833341"/>
    <d v="2026-12-01T00:00:00"/>
    <x v="0"/>
  </r>
  <r>
    <s v="SERVICIO DE SALUD OSORNO"/>
    <x v="0"/>
    <x v="12"/>
    <s v="Proyecto operacional"/>
    <s v="Publicado"/>
    <s v="22.05.008"/>
    <x v="12"/>
    <s v="Aquisición de Soporte y mantenimiento de Sistema de repetición VHF del Servicio de Salud osorno, para el periodo 2025 - 2026."/>
    <x v="1"/>
    <x v="3"/>
    <n v="1"/>
    <n v="1"/>
    <x v="10"/>
    <x v="18"/>
    <x v="1"/>
    <x v="2"/>
    <x v="8"/>
    <x v="3"/>
    <s v="64-337728-"/>
    <s v="CATALINA.VERAC@REDSALUD.GOB.CL"/>
    <x v="4"/>
    <d v="2024-07-05T00:00:00"/>
    <n v="16"/>
    <s v="1057532-4665-TD25"/>
    <n v="1"/>
    <n v="833333"/>
    <d v="2026-07-01T00:00:00"/>
    <x v="0"/>
  </r>
  <r>
    <s v="SERVICIO DE SALUD OSORNO"/>
    <x v="0"/>
    <x v="12"/>
    <s v="Proyecto operacional"/>
    <s v="Publicado"/>
    <s v="22.05.008"/>
    <x v="12"/>
    <s v="Aquisición de Soporte y mantenimiento de Sistema de repetición VHF del Servicio de Salud osorno, para el periodo 2025 - 2026."/>
    <x v="1"/>
    <x v="3"/>
    <n v="1"/>
    <n v="1"/>
    <x v="10"/>
    <x v="18"/>
    <x v="1"/>
    <x v="2"/>
    <x v="8"/>
    <x v="3"/>
    <s v="64-337728-"/>
    <s v="CATALINA.VERAC@REDSALUD.GOB.CL"/>
    <x v="4"/>
    <d v="2024-07-05T00:00:00"/>
    <n v="16"/>
    <s v="1057532-5093-TD25"/>
    <n v="1"/>
    <n v="833333"/>
    <d v="2026-06-01T00:00:00"/>
    <x v="0"/>
  </r>
  <r>
    <s v="SERVICIO DE SALUD OSORNO"/>
    <x v="0"/>
    <x v="12"/>
    <s v="Proyecto operacional"/>
    <s v="Publicado"/>
    <s v="22.05.008"/>
    <x v="12"/>
    <s v="Aquisición de Soporte y mantenimiento de Sistema de repetición VHF del Servicio de Salud osorno, para el periodo 2025 - 2026."/>
    <x v="1"/>
    <x v="3"/>
    <n v="1"/>
    <n v="1"/>
    <x v="10"/>
    <x v="18"/>
    <x v="1"/>
    <x v="2"/>
    <x v="8"/>
    <x v="3"/>
    <s v="64-337728-"/>
    <s v="CATALINA.VERAC@REDSALUD.GOB.CL"/>
    <x v="4"/>
    <d v="2024-07-05T00:00:00"/>
    <n v="16"/>
    <s v="1057532-5273-TD25"/>
    <n v="1"/>
    <n v="833333"/>
    <d v="2026-03-01T00:00:00"/>
    <x v="0"/>
  </r>
  <r>
    <s v="SERVICIO DE SALUD OSORNO"/>
    <x v="0"/>
    <x v="12"/>
    <s v="Proyecto operacional"/>
    <s v="Publicado"/>
    <s v="22.05.008"/>
    <x v="12"/>
    <s v="Aquisición de Soporte y mantenimiento de Sistema de repetición VHF del Servicio de Salud osorno, para el periodo 2025 - 2026."/>
    <x v="1"/>
    <x v="3"/>
    <n v="1"/>
    <n v="1"/>
    <x v="10"/>
    <x v="18"/>
    <x v="1"/>
    <x v="2"/>
    <x v="8"/>
    <x v="3"/>
    <s v="64-337728-"/>
    <s v="CATALINA.VERAC@REDSALUD.GOB.CL"/>
    <x v="4"/>
    <d v="2024-07-05T00:00:00"/>
    <n v="16"/>
    <s v="1057532-4472-AG25"/>
    <n v="1"/>
    <n v="833333"/>
    <d v="2026-06-01T00:00:00"/>
    <x v="0"/>
  </r>
  <r>
    <s v="SERVICIO DE SALUD OSORNO"/>
    <x v="0"/>
    <x v="12"/>
    <s v="Proyecto operacional"/>
    <s v="Publicado"/>
    <s v="22.05.008"/>
    <x v="12"/>
    <s v="Aquisición de Soporte y mantenimiento de Sistema de repetición VHF del Servicio de Salud osorno, para el periodo 2025 - 2026."/>
    <x v="1"/>
    <x v="3"/>
    <n v="1"/>
    <n v="1"/>
    <x v="10"/>
    <x v="18"/>
    <x v="1"/>
    <x v="2"/>
    <x v="8"/>
    <x v="3"/>
    <s v="64-337728-"/>
    <s v="CATALINA.VERAC@REDSALUD.GOB.CL"/>
    <x v="4"/>
    <d v="2024-07-05T00:00:00"/>
    <n v="16"/>
    <s v="1057532-5045-TD25"/>
    <n v="1"/>
    <n v="833333"/>
    <d v="2026-09-01T00:00:00"/>
    <x v="0"/>
  </r>
  <r>
    <s v="SERVICIO DE SALUD OSORNO"/>
    <x v="0"/>
    <x v="12"/>
    <s v="Proyecto operacional"/>
    <s v="Publicado"/>
    <s v="22.05.008"/>
    <x v="12"/>
    <s v="Aquisición de Soporte y mantenimiento de Sistema de repetición VHF del Servicio de Salud osorno, para el periodo 2025 - 2026."/>
    <x v="1"/>
    <x v="3"/>
    <n v="1"/>
    <n v="1"/>
    <x v="10"/>
    <x v="19"/>
    <x v="1"/>
    <x v="2"/>
    <x v="8"/>
    <x v="3"/>
    <s v="64-337728-"/>
    <s v="CATALINA.VERAC@REDSALUD.GOB.CL"/>
    <x v="4"/>
    <d v="2024-07-05T00:00:00"/>
    <n v="16"/>
    <s v="1057532-5093-TD25"/>
    <n v="1"/>
    <n v="833341"/>
    <d v="2026-12-01T00:00:00"/>
    <x v="0"/>
  </r>
  <r>
    <s v="SERVICIO DE SALUD OSORNO"/>
    <x v="0"/>
    <x v="12"/>
    <s v="Proyecto operacional"/>
    <s v="Publicado"/>
    <s v="22.05.008"/>
    <x v="12"/>
    <s v="Aquisición de Soporte y mantenimiento de Sistema de repetición VHF del Servicio de Salud osorno, para el periodo 2025 - 2026."/>
    <x v="1"/>
    <x v="3"/>
    <n v="1"/>
    <n v="1"/>
    <x v="10"/>
    <x v="18"/>
    <x v="1"/>
    <x v="2"/>
    <x v="8"/>
    <x v="3"/>
    <s v="64-337728-"/>
    <s v="CATALINA.VERAC@REDSALUD.GOB.CL"/>
    <x v="4"/>
    <d v="2024-07-05T00:00:00"/>
    <n v="16"/>
    <s v="1057532-4618-TD25"/>
    <n v="1"/>
    <n v="833333"/>
    <d v="2026-01-01T00:00:00"/>
    <x v="0"/>
  </r>
  <r>
    <s v="SERVICIO DE SALUD OSORNO"/>
    <x v="0"/>
    <x v="12"/>
    <s v="Proyecto operacional"/>
    <s v="Publicado"/>
    <s v="22.05.008"/>
    <x v="12"/>
    <s v="Aquisición de Soporte y mantenimiento de Sistema de repetición VHF del Servicio de Salud osorno, para el periodo 2025 - 2026."/>
    <x v="1"/>
    <x v="3"/>
    <n v="1"/>
    <n v="1"/>
    <x v="10"/>
    <x v="18"/>
    <x v="1"/>
    <x v="2"/>
    <x v="8"/>
    <x v="3"/>
    <s v="64-337728-"/>
    <s v="CATALINA.VERAC@REDSALUD.GOB.CL"/>
    <x v="4"/>
    <d v="2024-07-05T00:00:00"/>
    <n v="16"/>
    <s v="1057532-4618-TD25"/>
    <n v="1"/>
    <n v="833333"/>
    <d v="2026-11-01T00:00:00"/>
    <x v="0"/>
  </r>
  <r>
    <s v="SERVICIO DE SALUD OSORNO"/>
    <x v="0"/>
    <x v="12"/>
    <s v="Proyecto operacional"/>
    <s v="Publicado"/>
    <s v="22.05.008"/>
    <x v="12"/>
    <s v="Aquisición de Soporte y mantenimiento de Sistema de repetición VHF del Servicio de Salud osorno, para el periodo 2025 - 2026."/>
    <x v="1"/>
    <x v="3"/>
    <n v="1"/>
    <n v="1"/>
    <x v="10"/>
    <x v="20"/>
    <x v="1"/>
    <x v="2"/>
    <x v="8"/>
    <x v="3"/>
    <s v="64-337728-"/>
    <s v="CATALINA.VERAC@REDSALUD.GOB.CL"/>
    <x v="4"/>
    <d v="2024-07-05T00:00:00"/>
    <n v="16"/>
    <s v="1057532-4472-AG25"/>
    <n v="1"/>
    <n v="833341"/>
    <d v="2026-12-01T00:00:00"/>
    <x v="0"/>
  </r>
  <r>
    <s v="SERVICIO DE SALUD OSORNO"/>
    <x v="0"/>
    <x v="12"/>
    <s v="Proyecto operacional"/>
    <s v="Publicado"/>
    <s v="22.05.008"/>
    <x v="12"/>
    <s v="Aquisición de Soporte y mantenimiento de Sistema de repetición VHF del Servicio de Salud osorno, para el periodo 2025 - 2026."/>
    <x v="1"/>
    <x v="3"/>
    <n v="1"/>
    <n v="1"/>
    <x v="10"/>
    <x v="18"/>
    <x v="1"/>
    <x v="2"/>
    <x v="8"/>
    <x v="3"/>
    <s v="64-337728-"/>
    <s v="CATALINA.VERAC@REDSALUD.GOB.CL"/>
    <x v="4"/>
    <d v="2024-07-05T00:00:00"/>
    <n v="16"/>
    <s v="1057532-4242-TD25"/>
    <n v="1"/>
    <n v="833333"/>
    <d v="2026-10-01T00:00:00"/>
    <x v="0"/>
  </r>
  <r>
    <s v="SERVICIO DE SALUD OSORNO"/>
    <x v="0"/>
    <x v="12"/>
    <s v="Proyecto operacional"/>
    <s v="Publicado"/>
    <s v="22.05.008"/>
    <x v="12"/>
    <s v="Aquisición de Soporte y mantenimiento de Sistema de repetición VHF del Servicio de Salud osorno, para el periodo 2025 - 2026."/>
    <x v="1"/>
    <x v="3"/>
    <n v="1"/>
    <n v="1"/>
    <x v="10"/>
    <x v="18"/>
    <x v="1"/>
    <x v="2"/>
    <x v="8"/>
    <x v="3"/>
    <s v="64-337728-"/>
    <s v="CATALINA.VERAC@REDSALUD.GOB.CL"/>
    <x v="4"/>
    <d v="2024-07-05T00:00:00"/>
    <n v="16"/>
    <s v="1057532-4242-TD25"/>
    <n v="1"/>
    <n v="833333"/>
    <d v="2026-05-01T00:00:00"/>
    <x v="0"/>
  </r>
  <r>
    <s v="SERVICIO DE SALUD OSORNO"/>
    <x v="0"/>
    <x v="12"/>
    <s v="Proyecto operacional"/>
    <s v="Publicado"/>
    <s v="22.05.008"/>
    <x v="12"/>
    <s v="Aquisición de Soporte y mantenimiento de Sistema de repetición VHF del Servicio de Salud osorno, para el periodo 2025 - 2026."/>
    <x v="1"/>
    <x v="3"/>
    <n v="1"/>
    <n v="1"/>
    <x v="10"/>
    <x v="18"/>
    <x v="1"/>
    <x v="2"/>
    <x v="8"/>
    <x v="3"/>
    <s v="64-337728-"/>
    <s v="CATALINA.VERAC@REDSALUD.GOB.CL"/>
    <x v="4"/>
    <d v="2024-07-05T00:00:00"/>
    <n v="16"/>
    <s v="1057532-4665-TD25"/>
    <n v="1"/>
    <n v="833333"/>
    <d v="2026-03-01T00:00:00"/>
    <x v="0"/>
  </r>
  <r>
    <s v="SERVICIO DE SALUD OSORNO"/>
    <x v="0"/>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x v="1"/>
    <x v="10"/>
    <n v="1"/>
    <n v="1"/>
    <x v="11"/>
    <x v="21"/>
    <x v="1"/>
    <x v="2"/>
    <x v="9"/>
    <x v="11"/>
    <s v="64-2567381-"/>
    <s v="lorena.torresc@redsalud.gob.cl"/>
    <x v="4"/>
    <d v="2024-07-05T00:00:00"/>
    <n v="46"/>
    <s v="1057532-205-SE25"/>
    <n v="1"/>
    <n v="75433075"/>
    <d v="2026-08-01T00:00:00"/>
    <x v="0"/>
  </r>
  <r>
    <s v="SERVICIO DE SALUD OSORNO"/>
    <x v="0"/>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x v="1"/>
    <x v="10"/>
    <n v="1"/>
    <n v="1"/>
    <x v="11"/>
    <x v="21"/>
    <x v="1"/>
    <x v="2"/>
    <x v="9"/>
    <x v="11"/>
    <s v="64-2567381-"/>
    <s v="lorena.torresc@redsalud.gob.cl"/>
    <x v="4"/>
    <d v="2024-07-05T00:00:00"/>
    <n v="46"/>
    <s v="1057532-205-SE25"/>
    <n v="1"/>
    <n v="75433075"/>
    <d v="2026-11-01T00:00:00"/>
    <x v="0"/>
  </r>
  <r>
    <s v="SERVICIO DE SALUD OSORNO"/>
    <x v="0"/>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x v="1"/>
    <x v="10"/>
    <n v="1"/>
    <n v="1"/>
    <x v="11"/>
    <x v="21"/>
    <x v="1"/>
    <x v="2"/>
    <x v="9"/>
    <x v="11"/>
    <s v="64-2567381-"/>
    <s v="lorena.torresc@redsalud.gob.cl"/>
    <x v="4"/>
    <d v="2024-07-05T00:00:00"/>
    <n v="46"/>
    <s v="1057532-205-SE25"/>
    <n v="1"/>
    <n v="75433075"/>
    <d v="2026-03-01T00:00:00"/>
    <x v="0"/>
  </r>
  <r>
    <s v="SERVICIO DE SALUD OSORNO"/>
    <x v="0"/>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x v="1"/>
    <x v="10"/>
    <n v="1"/>
    <n v="1"/>
    <x v="11"/>
    <x v="21"/>
    <x v="1"/>
    <x v="2"/>
    <x v="9"/>
    <x v="11"/>
    <s v="64-2567381-"/>
    <s v="lorena.torresc@redsalud.gob.cl"/>
    <x v="4"/>
    <d v="2024-07-05T00:00:00"/>
    <n v="46"/>
    <s v="1057532-205-SE25"/>
    <n v="1"/>
    <n v="75433075"/>
    <d v="2026-01-01T00:00:00"/>
    <x v="0"/>
  </r>
  <r>
    <s v="SERVICIO DE SALUD OSORNO"/>
    <x v="0"/>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x v="1"/>
    <x v="10"/>
    <n v="1"/>
    <n v="1"/>
    <x v="11"/>
    <x v="21"/>
    <x v="1"/>
    <x v="2"/>
    <x v="9"/>
    <x v="11"/>
    <s v="64-2567381-"/>
    <s v="lorena.torresc@redsalud.gob.cl"/>
    <x v="4"/>
    <d v="2024-07-05T00:00:00"/>
    <n v="46"/>
    <s v="1057532-4654-TD25"/>
    <n v="1"/>
    <n v="75433075"/>
    <d v="2026-01-01T00:00:00"/>
    <x v="0"/>
  </r>
  <r>
    <s v="SERVICIO DE SALUD OSORNO"/>
    <x v="0"/>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x v="1"/>
    <x v="10"/>
    <n v="1"/>
    <n v="1"/>
    <x v="11"/>
    <x v="21"/>
    <x v="1"/>
    <x v="2"/>
    <x v="9"/>
    <x v="11"/>
    <s v="64-2567381-"/>
    <s v="lorena.torresc@redsalud.gob.cl"/>
    <x v="4"/>
    <d v="2024-07-05T00:00:00"/>
    <n v="46"/>
    <s v="1057532-4651-TD25"/>
    <n v="1"/>
    <n v="75433075"/>
    <d v="2026-05-01T00:00:00"/>
    <x v="0"/>
  </r>
  <r>
    <s v="SERVICIO DE SALUD OSORNO"/>
    <x v="0"/>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x v="1"/>
    <x v="10"/>
    <n v="1"/>
    <n v="1"/>
    <x v="11"/>
    <x v="21"/>
    <x v="1"/>
    <x v="2"/>
    <x v="9"/>
    <x v="11"/>
    <s v="64-2567381-"/>
    <s v="lorena.torresc@redsalud.gob.cl"/>
    <x v="4"/>
    <d v="2024-07-05T00:00:00"/>
    <n v="46"/>
    <s v="1057532-205-SE25"/>
    <n v="1"/>
    <n v="75433075"/>
    <d v="2026-07-01T00:00:00"/>
    <x v="0"/>
  </r>
  <r>
    <s v="SERVICIO DE SALUD OSORNO"/>
    <x v="0"/>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x v="1"/>
    <x v="10"/>
    <n v="1"/>
    <n v="1"/>
    <x v="11"/>
    <x v="21"/>
    <x v="1"/>
    <x v="2"/>
    <x v="9"/>
    <x v="11"/>
    <s v="64-2567381-"/>
    <s v="lorena.torresc@redsalud.gob.cl"/>
    <x v="4"/>
    <d v="2024-07-05T00:00:00"/>
    <n v="46"/>
    <s v="1057532-4651-TD25"/>
    <n v="1"/>
    <n v="75433075"/>
    <d v="2026-11-01T00:00:00"/>
    <x v="0"/>
  </r>
  <r>
    <s v="SERVICIO DE SALUD OSORNO"/>
    <x v="0"/>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x v="1"/>
    <x v="10"/>
    <n v="1"/>
    <n v="1"/>
    <x v="11"/>
    <x v="21"/>
    <x v="1"/>
    <x v="2"/>
    <x v="9"/>
    <x v="11"/>
    <s v="64-2567381-"/>
    <s v="lorena.torresc@redsalud.gob.cl"/>
    <x v="4"/>
    <d v="2024-07-05T00:00:00"/>
    <n v="46"/>
    <s v="1057532-4651-TD25"/>
    <n v="1"/>
    <n v="75433075"/>
    <d v="2026-06-01T00:00:00"/>
    <x v="0"/>
  </r>
  <r>
    <s v="SERVICIO DE SALUD OSORNO"/>
    <x v="0"/>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x v="1"/>
    <x v="10"/>
    <n v="1"/>
    <n v="1"/>
    <x v="11"/>
    <x v="21"/>
    <x v="1"/>
    <x v="2"/>
    <x v="9"/>
    <x v="11"/>
    <s v="64-2567381-"/>
    <s v="lorena.torresc@redsalud.gob.cl"/>
    <x v="4"/>
    <d v="2024-07-05T00:00:00"/>
    <n v="46"/>
    <s v="1057532-4264-TD25"/>
    <n v="1"/>
    <n v="75433075"/>
    <d v="2026-06-01T00:00:00"/>
    <x v="0"/>
  </r>
  <r>
    <s v="SERVICIO DE SALUD OSORNO"/>
    <x v="0"/>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x v="1"/>
    <x v="10"/>
    <n v="1"/>
    <n v="1"/>
    <x v="11"/>
    <x v="21"/>
    <x v="1"/>
    <x v="2"/>
    <x v="9"/>
    <x v="11"/>
    <s v="64-2567381-"/>
    <s v="lorena.torresc@redsalud.gob.cl"/>
    <x v="4"/>
    <d v="2024-07-05T00:00:00"/>
    <n v="46"/>
    <s v="1057532-205-SE25"/>
    <n v="1"/>
    <n v="75433075"/>
    <d v="2026-04-01T00:00:00"/>
    <x v="0"/>
  </r>
  <r>
    <s v="SERVICIO DE SALUD OSORNO"/>
    <x v="0"/>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x v="1"/>
    <x v="10"/>
    <n v="1"/>
    <n v="1"/>
    <x v="11"/>
    <x v="22"/>
    <x v="1"/>
    <x v="2"/>
    <x v="9"/>
    <x v="11"/>
    <s v="64-2567381-"/>
    <s v="lorena.torresc@redsalud.gob.cl"/>
    <x v="4"/>
    <d v="2024-07-05T00:00:00"/>
    <n v="46"/>
    <s v="1057532-4652-TD25"/>
    <n v="1"/>
    <n v="75433075"/>
    <d v="2026-07-01T00:00:00"/>
    <x v="0"/>
  </r>
  <r>
    <s v="SERVICIO DE SALUD OSORNO"/>
    <x v="0"/>
    <x v="14"/>
    <s v="Proyecto operacional"/>
    <s v="Publicado"/>
    <s v="22.09.006"/>
    <x v="14"/>
    <s v="Licitar en modalidad el servicio de arriendo equipos computacionales PC AIO con licenciamiento de Sistema Operativo (Windows), Office 365 y antivirus."/>
    <x v="0"/>
    <x v="11"/>
    <n v="4"/>
    <n v="159"/>
    <x v="12"/>
    <x v="23"/>
    <x v="3"/>
    <x v="4"/>
    <x v="10"/>
    <x v="12"/>
    <s v="64-2335838-"/>
    <s v="alvaro.montecinos@redsalud.gob.cl"/>
    <x v="6"/>
    <d v="2025-08-20T00:00:00"/>
    <n v="0"/>
    <m/>
    <n v="1"/>
    <n v="9258570"/>
    <d v="2026-08-01T00:00:00"/>
    <x v="0"/>
  </r>
  <r>
    <s v="SERVICIO DE SALUD OSORNO"/>
    <x v="0"/>
    <x v="14"/>
    <s v="Proyecto operacional"/>
    <s v="Publicado"/>
    <s v="22.09.006"/>
    <x v="15"/>
    <s v="Licitar en modalidad el servicio de arriendo equipos computacionales PC AIO con licenciamiento de Sistema Operativo (Windows), Office 365 y antivirus."/>
    <x v="0"/>
    <x v="11"/>
    <n v="4"/>
    <n v="159"/>
    <x v="12"/>
    <x v="23"/>
    <x v="4"/>
    <x v="4"/>
    <x v="10"/>
    <x v="12"/>
    <s v="64-2335838-"/>
    <s v="alvaro.montecinos@redsalud.gob.cl"/>
    <x v="7"/>
    <d v="2025-08-20T00:00:00"/>
    <n v="0"/>
    <m/>
    <n v="1"/>
    <n v="9258570"/>
    <d v="2026-06-01T00:00:00"/>
    <x v="0"/>
  </r>
  <r>
    <s v="SERVICIO DE SALUD OSORNO"/>
    <x v="0"/>
    <x v="14"/>
    <s v="Proyecto operacional"/>
    <s v="Publicado"/>
    <s v="22.09.006"/>
    <x v="14"/>
    <s v="Licitar en modalidad el servicio de arriendo equipos computacionales PC AIO con licenciamiento de Sistema Operativo (Windows), Office 365 y antivirus."/>
    <x v="0"/>
    <x v="11"/>
    <n v="4"/>
    <n v="159"/>
    <x v="12"/>
    <x v="23"/>
    <x v="3"/>
    <x v="4"/>
    <x v="10"/>
    <x v="12"/>
    <s v="64-2335838-"/>
    <s v="alvaro.montecinos@redsalud.gob.cl"/>
    <x v="6"/>
    <d v="2025-08-20T00:00:00"/>
    <n v="0"/>
    <m/>
    <n v="1"/>
    <n v="9258570"/>
    <d v="2026-07-01T00:00:00"/>
    <x v="0"/>
  </r>
  <r>
    <s v="SERVICIO DE SALUD OSORNO"/>
    <x v="0"/>
    <x v="14"/>
    <s v="Proyecto operacional"/>
    <s v="Publicado"/>
    <s v="22.09.006"/>
    <x v="14"/>
    <s v="Licitar en modalidad el servicio de arriendo equipos computacionales PC AIO con licenciamiento de Sistema Operativo (Windows), Office 365 y antivirus."/>
    <x v="0"/>
    <x v="11"/>
    <n v="4"/>
    <n v="159"/>
    <x v="12"/>
    <x v="23"/>
    <x v="3"/>
    <x v="4"/>
    <x v="10"/>
    <x v="12"/>
    <s v="64-2335838-"/>
    <s v="alvaro.montecinos@redsalud.gob.cl"/>
    <x v="6"/>
    <d v="2025-08-20T00:00:00"/>
    <n v="0"/>
    <m/>
    <n v="1"/>
    <n v="9258570"/>
    <d v="2026-01-01T00:00:00"/>
    <x v="0"/>
  </r>
  <r>
    <s v="SERVICIO DE SALUD OSORNO"/>
    <x v="0"/>
    <x v="14"/>
    <s v="Proyecto operacional"/>
    <s v="Publicado"/>
    <s v="22.09.006"/>
    <x v="15"/>
    <s v="Licitar en modalidad el servicio de arriendo equipos computacionales PC AIO con licenciamiento de Sistema Operativo (Windows), Office 365 y antivirus."/>
    <x v="0"/>
    <x v="11"/>
    <n v="4"/>
    <n v="159"/>
    <x v="12"/>
    <x v="23"/>
    <x v="4"/>
    <x v="4"/>
    <x v="10"/>
    <x v="12"/>
    <s v="64-2335838-"/>
    <s v="alvaro.montecinos@redsalud.gob.cl"/>
    <x v="7"/>
    <d v="2025-08-20T00:00:00"/>
    <n v="0"/>
    <m/>
    <n v="1"/>
    <n v="9258570"/>
    <d v="2026-01-01T00:00:00"/>
    <x v="0"/>
  </r>
  <r>
    <s v="SERVICIO DE SALUD OSORNO"/>
    <x v="0"/>
    <x v="14"/>
    <s v="Proyecto operacional"/>
    <s v="Publicado"/>
    <s v="22.09.006"/>
    <x v="15"/>
    <s v="Licitar en modalidad el servicio de arriendo equipos computacionales PC AIO con licenciamiento de Sistema Operativo (Windows), Office 365 y antivirus."/>
    <x v="0"/>
    <x v="11"/>
    <n v="4"/>
    <n v="159"/>
    <x v="12"/>
    <x v="23"/>
    <x v="4"/>
    <x v="4"/>
    <x v="10"/>
    <x v="12"/>
    <s v="64-2335838-"/>
    <s v="alvaro.montecinos@redsalud.gob.cl"/>
    <x v="7"/>
    <d v="2025-08-20T00:00:00"/>
    <n v="0"/>
    <m/>
    <n v="1"/>
    <n v="9258570"/>
    <d v="2026-05-01T00:00:00"/>
    <x v="0"/>
  </r>
  <r>
    <s v="SERVICIO DE SALUD OSORNO"/>
    <x v="0"/>
    <x v="14"/>
    <s v="Proyecto operacional"/>
    <s v="Publicado"/>
    <s v="22.09.006"/>
    <x v="15"/>
    <s v="Licitar en modalidad el servicio de arriendo equipos computacionales PC AIO con licenciamiento de Sistema Operativo (Windows), Office 365 y antivirus."/>
    <x v="0"/>
    <x v="11"/>
    <n v="4"/>
    <n v="159"/>
    <x v="12"/>
    <x v="23"/>
    <x v="4"/>
    <x v="4"/>
    <x v="10"/>
    <x v="12"/>
    <s v="64-2335838-"/>
    <s v="alvaro.montecinos@redsalud.gob.cl"/>
    <x v="7"/>
    <d v="2025-08-20T00:00:00"/>
    <n v="0"/>
    <m/>
    <n v="1"/>
    <n v="9258570"/>
    <d v="2026-04-01T00:00:00"/>
    <x v="0"/>
  </r>
  <r>
    <s v="SERVICIO DE SALUD OSORNO"/>
    <x v="0"/>
    <x v="14"/>
    <s v="Proyecto operacional"/>
    <s v="Publicado"/>
    <s v="22.09.006"/>
    <x v="15"/>
    <s v="Licitar en modalidad el servicio de arriendo equipos computacionales PC AIO con licenciamiento de Sistema Operativo (Windows), Office 365 y antivirus."/>
    <x v="0"/>
    <x v="11"/>
    <n v="4"/>
    <n v="159"/>
    <x v="12"/>
    <x v="23"/>
    <x v="4"/>
    <x v="4"/>
    <x v="10"/>
    <x v="12"/>
    <s v="64-2335838-"/>
    <s v="alvaro.montecinos@redsalud.gob.cl"/>
    <x v="7"/>
    <d v="2025-08-20T00:00:00"/>
    <n v="0"/>
    <m/>
    <n v="1"/>
    <n v="9258570"/>
    <d v="2026-12-01T00:00:00"/>
    <x v="0"/>
  </r>
  <r>
    <s v="SERVICIO DE SALUD OSORNO"/>
    <x v="0"/>
    <x v="14"/>
    <s v="Proyecto operacional"/>
    <s v="Publicado"/>
    <s v="22.09.006"/>
    <x v="15"/>
    <s v="Licitar en modalidad el servicio de arriendo equipos computacionales PC AIO con licenciamiento de Sistema Operativo (Windows), Office 365 y antivirus."/>
    <x v="0"/>
    <x v="11"/>
    <n v="4"/>
    <n v="159"/>
    <x v="12"/>
    <x v="23"/>
    <x v="4"/>
    <x v="4"/>
    <x v="10"/>
    <x v="12"/>
    <s v="64-2335838-"/>
    <s v="alvaro.montecinos@redsalud.gob.cl"/>
    <x v="7"/>
    <d v="2025-08-20T00:00:00"/>
    <n v="0"/>
    <m/>
    <n v="1"/>
    <n v="9258570"/>
    <d v="2026-03-01T00:00:00"/>
    <x v="0"/>
  </r>
  <r>
    <s v="SERVICIO DE SALUD OSORNO"/>
    <x v="0"/>
    <x v="14"/>
    <s v="Proyecto operacional"/>
    <s v="Publicado"/>
    <s v="22.09.006"/>
    <x v="15"/>
    <s v="Licitar en modalidad el servicio de arriendo equipos computacionales PC AIO con licenciamiento de Sistema Operativo (Windows), Office 365 y antivirus."/>
    <x v="0"/>
    <x v="11"/>
    <n v="4"/>
    <n v="159"/>
    <x v="12"/>
    <x v="23"/>
    <x v="4"/>
    <x v="4"/>
    <x v="10"/>
    <x v="12"/>
    <s v="64-2335838-"/>
    <s v="alvaro.montecinos@redsalud.gob.cl"/>
    <x v="7"/>
    <d v="2025-08-20T00:00:00"/>
    <n v="0"/>
    <m/>
    <n v="1"/>
    <n v="9258570"/>
    <d v="2026-02-01T00:00:00"/>
    <x v="0"/>
  </r>
  <r>
    <s v="SERVICIO DE SALUD OSORNO"/>
    <x v="0"/>
    <x v="14"/>
    <s v="Proyecto operacional"/>
    <s v="Publicado"/>
    <s v="22.09.006"/>
    <x v="14"/>
    <s v="Licitar en modalidad el servicio de arriendo equipos computacionales PC AIO con licenciamiento de Sistema Operativo (Windows), Office 365 y antivirus."/>
    <x v="0"/>
    <x v="11"/>
    <n v="4"/>
    <n v="159"/>
    <x v="12"/>
    <x v="23"/>
    <x v="3"/>
    <x v="4"/>
    <x v="10"/>
    <x v="12"/>
    <s v="64-2335838-"/>
    <s v="alvaro.montecinos@redsalud.gob.cl"/>
    <x v="6"/>
    <d v="2025-08-20T00:00:00"/>
    <n v="0"/>
    <m/>
    <n v="1"/>
    <n v="9258570"/>
    <d v="2026-09-01T00:00:00"/>
    <x v="0"/>
  </r>
  <r>
    <s v="SERVICIO DE SALUD OSORNO"/>
    <x v="0"/>
    <x v="14"/>
    <s v="Proyecto operacional"/>
    <s v="Publicado"/>
    <s v="22.09.006"/>
    <x v="15"/>
    <s v="Licitar en modalidad el servicio de arriendo equipos computacionales PC AIO con licenciamiento de Sistema Operativo (Windows), Office 365 y antivirus."/>
    <x v="0"/>
    <x v="11"/>
    <n v="4"/>
    <n v="159"/>
    <x v="12"/>
    <x v="23"/>
    <x v="4"/>
    <x v="4"/>
    <x v="10"/>
    <x v="12"/>
    <s v="64-2335838-"/>
    <s v="alvaro.montecinos@redsalud.gob.cl"/>
    <x v="7"/>
    <d v="2025-08-20T00:00:00"/>
    <n v="0"/>
    <m/>
    <n v="1"/>
    <n v="9258570"/>
    <d v="2026-11-01T00:00:00"/>
    <x v="0"/>
  </r>
  <r>
    <s v="SERVICIO DE SALUD OSORNO"/>
    <x v="0"/>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x v="0"/>
    <x v="12"/>
    <n v="4"/>
    <n v="54"/>
    <x v="13"/>
    <x v="24"/>
    <x v="5"/>
    <x v="5"/>
    <x v="9"/>
    <x v="11"/>
    <s v="64-2337381-"/>
    <s v="lorena.torresc@redsalud.gob.cl"/>
    <x v="8"/>
    <d v="2025-08-20T00:00:00"/>
    <n v="16"/>
    <s v="1057532-4942-SE25"/>
    <n v="1"/>
    <n v="5861115"/>
    <d v="2026-01-01T00:00:00"/>
    <x v="0"/>
  </r>
  <r>
    <s v="SERVICIO DE SALUD OSORNO"/>
    <x v="0"/>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x v="0"/>
    <x v="12"/>
    <n v="4"/>
    <n v="54"/>
    <x v="13"/>
    <x v="24"/>
    <x v="5"/>
    <x v="5"/>
    <x v="9"/>
    <x v="11"/>
    <s v="64-2337381-"/>
    <s v="lorena.torresc@redsalud.gob.cl"/>
    <x v="8"/>
    <d v="2025-08-20T00:00:00"/>
    <n v="16"/>
    <s v="1057532-4948-SE25"/>
    <n v="1"/>
    <n v="5861115"/>
    <d v="2026-01-01T00:00:00"/>
    <x v="0"/>
  </r>
  <r>
    <s v="SERVICIO DE SALUD OSORNO"/>
    <x v="0"/>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x v="0"/>
    <x v="12"/>
    <n v="4"/>
    <n v="54"/>
    <x v="13"/>
    <x v="24"/>
    <x v="5"/>
    <x v="5"/>
    <x v="9"/>
    <x v="11"/>
    <s v="64-2337381-"/>
    <s v="lorena.torresc@redsalud.gob.cl"/>
    <x v="8"/>
    <d v="2025-08-20T00:00:00"/>
    <n v="16"/>
    <s v="1057532-4604-SE25"/>
    <n v="1"/>
    <n v="5861115"/>
    <d v="2026-01-01T00:00:00"/>
    <x v="0"/>
  </r>
  <r>
    <s v="SERVICIO DE SALUD OSORNO"/>
    <x v="0"/>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x v="0"/>
    <x v="12"/>
    <n v="4"/>
    <n v="54"/>
    <x v="13"/>
    <x v="24"/>
    <x v="5"/>
    <x v="5"/>
    <x v="9"/>
    <x v="11"/>
    <s v="64-2337381-"/>
    <s v="lorena.torresc@redsalud.gob.cl"/>
    <x v="8"/>
    <d v="2025-08-20T00:00:00"/>
    <n v="16"/>
    <s v="1057532-4942-SE25"/>
    <n v="1"/>
    <n v="5861115"/>
    <d v="2026-05-01T00:00:00"/>
    <x v="0"/>
  </r>
  <r>
    <s v="SERVICIO DE SALUD OSORNO"/>
    <x v="0"/>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x v="0"/>
    <x v="12"/>
    <n v="4"/>
    <n v="54"/>
    <x v="13"/>
    <x v="24"/>
    <x v="5"/>
    <x v="5"/>
    <x v="9"/>
    <x v="11"/>
    <s v="64-2337381-"/>
    <s v="lorena.torresc@redsalud.gob.cl"/>
    <x v="8"/>
    <d v="2025-08-20T00:00:00"/>
    <n v="16"/>
    <s v="1057532-4604-SE25"/>
    <n v="1"/>
    <n v="5861115"/>
    <d v="2026-02-01T00:00:00"/>
    <x v="0"/>
  </r>
  <r>
    <s v="SERVICIO DE SALUD OSORNO"/>
    <x v="0"/>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x v="0"/>
    <x v="12"/>
    <n v="4"/>
    <n v="54"/>
    <x v="13"/>
    <x v="24"/>
    <x v="5"/>
    <x v="5"/>
    <x v="9"/>
    <x v="11"/>
    <s v="64-2337381-"/>
    <s v="lorena.torresc@redsalud.gob.cl"/>
    <x v="8"/>
    <d v="2025-08-20T00:00:00"/>
    <n v="16"/>
    <s v="1057532-5193-SE25"/>
    <n v="1"/>
    <n v="5861115"/>
    <d v="2026-12-01T00:00:00"/>
    <x v="0"/>
  </r>
  <r>
    <s v="SERVICIO DE SALUD OSORNO"/>
    <x v="0"/>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x v="0"/>
    <x v="12"/>
    <n v="4"/>
    <n v="54"/>
    <x v="13"/>
    <x v="24"/>
    <x v="5"/>
    <x v="5"/>
    <x v="9"/>
    <x v="11"/>
    <s v="64-2337381-"/>
    <s v="lorena.torresc@redsalud.gob.cl"/>
    <x v="8"/>
    <d v="2025-08-20T00:00:00"/>
    <n v="16"/>
    <s v="1057532-4942-SE25"/>
    <n v="1"/>
    <n v="5861115"/>
    <d v="2026-04-01T00:00:00"/>
    <x v="0"/>
  </r>
  <r>
    <s v="SERVICIO DE SALUD OSORNO"/>
    <x v="0"/>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x v="0"/>
    <x v="12"/>
    <n v="4"/>
    <n v="54"/>
    <x v="13"/>
    <x v="24"/>
    <x v="5"/>
    <x v="5"/>
    <x v="9"/>
    <x v="11"/>
    <s v="64-2337381-"/>
    <s v="lorena.torresc@redsalud.gob.cl"/>
    <x v="8"/>
    <d v="2025-08-20T00:00:00"/>
    <n v="16"/>
    <s v="1057532-4942-SE25"/>
    <n v="1"/>
    <n v="5861115"/>
    <d v="2026-02-01T00:00:00"/>
    <x v="0"/>
  </r>
  <r>
    <s v="SERVICIO DE SALUD OSORNO"/>
    <x v="0"/>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x v="0"/>
    <x v="12"/>
    <n v="4"/>
    <n v="54"/>
    <x v="13"/>
    <x v="24"/>
    <x v="5"/>
    <x v="5"/>
    <x v="9"/>
    <x v="11"/>
    <s v="64-2337381-"/>
    <s v="lorena.torresc@redsalud.gob.cl"/>
    <x v="8"/>
    <d v="2025-08-20T00:00:00"/>
    <n v="16"/>
    <s v="1057532-5191-SE25"/>
    <n v="1"/>
    <n v="5861115"/>
    <d v="2026-02-01T00:00:00"/>
    <x v="0"/>
  </r>
  <r>
    <s v="SERVICIO DE SALUD OSORNO"/>
    <x v="0"/>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x v="0"/>
    <x v="12"/>
    <n v="4"/>
    <n v="54"/>
    <x v="13"/>
    <x v="24"/>
    <x v="5"/>
    <x v="5"/>
    <x v="9"/>
    <x v="11"/>
    <s v="64-2337381-"/>
    <s v="lorena.torresc@redsalud.gob.cl"/>
    <x v="8"/>
    <d v="2025-08-20T00:00:00"/>
    <n v="16"/>
    <s v="1057532-4604-SE25"/>
    <n v="1"/>
    <n v="5861115"/>
    <d v="2026-05-01T00:00:00"/>
    <x v="0"/>
  </r>
  <r>
    <s v="SERVICIO DE SALUD OSORNO"/>
    <x v="0"/>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x v="0"/>
    <x v="12"/>
    <n v="4"/>
    <n v="54"/>
    <x v="13"/>
    <x v="24"/>
    <x v="5"/>
    <x v="5"/>
    <x v="9"/>
    <x v="11"/>
    <s v="64-2337381-"/>
    <s v="lorena.torresc@redsalud.gob.cl"/>
    <x v="8"/>
    <d v="2025-08-20T00:00:00"/>
    <n v="16"/>
    <s v="1057532-4942-SE25"/>
    <n v="1"/>
    <n v="5861115"/>
    <d v="2026-06-01T00:00:00"/>
    <x v="0"/>
  </r>
  <r>
    <s v="SERVICIO DE SALUD OSORNO"/>
    <x v="0"/>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x v="0"/>
    <x v="12"/>
    <n v="4"/>
    <n v="54"/>
    <x v="13"/>
    <x v="24"/>
    <x v="5"/>
    <x v="5"/>
    <x v="9"/>
    <x v="11"/>
    <s v="64-2337381-"/>
    <s v="lorena.torresc@redsalud.gob.cl"/>
    <x v="8"/>
    <d v="2025-08-20T00:00:00"/>
    <n v="16"/>
    <s v="1057532-4604-SE25"/>
    <n v="1"/>
    <n v="5861115"/>
    <d v="2026-12-01T00:00:00"/>
    <x v="0"/>
  </r>
  <r>
    <s v="SERVICIO DE SALUD OSORNO"/>
    <x v="0"/>
    <x v="16"/>
    <s v="Proyecto operacional"/>
    <s v="Publicado"/>
    <s v="22.06.001"/>
    <x v="17"/>
    <s v="ADQUISICION SERVICIO DE SOPORTE Y MANTENIMIENTO DE LOS DOS SITIOS DE REPETICION VHF DE EMERGENCIAS, SERVICIO DE SALUD OSORNO (COMPRA ENERO A MARZO 2025)"/>
    <x v="0"/>
    <x v="6"/>
    <n v="4"/>
    <n v="1"/>
    <x v="14"/>
    <x v="25"/>
    <x v="1"/>
    <x v="2"/>
    <x v="11"/>
    <x v="13"/>
    <s v="64-2335606-"/>
    <s v="ESTEBAN.ALARCONB@REDSALUD.GOB.CL"/>
    <x v="8"/>
    <d v="2025-08-20T00:00:00"/>
    <n v="0"/>
    <m/>
    <n v="1"/>
    <n v="520341"/>
    <d v="2026-08-01T00:00:00"/>
    <x v="0"/>
  </r>
  <r>
    <s v="SERVICIO DE SALUD OSORNO"/>
    <x v="0"/>
    <x v="16"/>
    <s v="Proyecto operacional"/>
    <s v="Publicado"/>
    <s v="22.06.001"/>
    <x v="17"/>
    <s v="ADQUISICION SERVICIO DE SOPORTE Y MANTENIMIENTO DE LOS DOS SITIOS DE REPETICION VHF DE EMERGENCIAS, SERVICIO DE SALUD OSORNO (COMPRA ENERO A MARZO 2025)"/>
    <x v="0"/>
    <x v="6"/>
    <n v="4"/>
    <n v="1"/>
    <x v="14"/>
    <x v="26"/>
    <x v="1"/>
    <x v="2"/>
    <x v="11"/>
    <x v="13"/>
    <s v="64-2335606-"/>
    <s v="ESTEBAN.ALARCONB@REDSALUD.GOB.CL"/>
    <x v="8"/>
    <d v="2025-08-20T00:00:00"/>
    <n v="0"/>
    <m/>
    <n v="1"/>
    <n v="520333"/>
    <d v="2026-05-01T00:00:00"/>
    <x v="0"/>
  </r>
  <r>
    <s v="SERVICIO DE SALUD OSORNO"/>
    <x v="0"/>
    <x v="16"/>
    <s v="Proyecto operacional"/>
    <s v="Publicado"/>
    <s v="22.06.001"/>
    <x v="17"/>
    <s v="ADQUISICION SERVICIO DE SOPORTE Y MANTENIMIENTO DE LOS DOS SITIOS DE REPETICION VHF DE EMERGENCIAS, SERVICIO DE SALUD OSORNO (COMPRA ENERO A MARZO 2025)"/>
    <x v="0"/>
    <x v="6"/>
    <n v="4"/>
    <n v="1"/>
    <x v="14"/>
    <x v="27"/>
    <x v="1"/>
    <x v="2"/>
    <x v="11"/>
    <x v="13"/>
    <s v="64-2335606-"/>
    <s v="ESTEBAN.ALARCONB@REDSALUD.GOB.CL"/>
    <x v="8"/>
    <d v="2025-08-20T00:00:00"/>
    <n v="0"/>
    <m/>
    <n v="1"/>
    <n v="530333"/>
    <d v="2026-12-01T00:00:00"/>
    <x v="0"/>
  </r>
  <r>
    <s v="SERVICIO DE SALUD OSORNO"/>
    <x v="0"/>
    <x v="16"/>
    <s v="Proyecto operacional"/>
    <s v="Publicado"/>
    <s v="22.06.001"/>
    <x v="17"/>
    <s v="ADQUISICION SERVICIO DE SOPORTE Y MANTENIMIENTO DE LOS DOS SITIOS DE REPETICION VHF DE EMERGENCIAS, SERVICIO DE SALUD OSORNO (COMPRA ENERO A MARZO 2025)"/>
    <x v="0"/>
    <x v="6"/>
    <n v="4"/>
    <n v="1"/>
    <x v="14"/>
    <x v="26"/>
    <x v="1"/>
    <x v="2"/>
    <x v="11"/>
    <x v="13"/>
    <s v="64-2335606-"/>
    <s v="ESTEBAN.ALARCONB@REDSALUD.GOB.CL"/>
    <x v="8"/>
    <d v="2025-08-20T00:00:00"/>
    <n v="0"/>
    <m/>
    <n v="1"/>
    <n v="520333"/>
    <d v="2026-03-01T00:00:00"/>
    <x v="0"/>
  </r>
  <r>
    <s v="SERVICIO DE SALUD OSORNO"/>
    <x v="0"/>
    <x v="16"/>
    <s v="Proyecto operacional"/>
    <s v="Publicado"/>
    <s v="22.06.001"/>
    <x v="17"/>
    <s v="ADQUISICION SERVICIO DE SOPORTE Y MANTENIMIENTO DE LOS DOS SITIOS DE REPETICION VHF DE EMERGENCIAS, SERVICIO DE SALUD OSORNO (COMPRA ENERO A MARZO 2025)"/>
    <x v="0"/>
    <x v="6"/>
    <n v="4"/>
    <n v="1"/>
    <x v="14"/>
    <x v="26"/>
    <x v="1"/>
    <x v="2"/>
    <x v="11"/>
    <x v="13"/>
    <s v="64-2335606-"/>
    <s v="ESTEBAN.ALARCONB@REDSALUD.GOB.CL"/>
    <x v="8"/>
    <d v="2025-08-20T00:00:00"/>
    <n v="0"/>
    <m/>
    <n v="1"/>
    <n v="520333"/>
    <d v="2026-02-01T00:00:00"/>
    <x v="0"/>
  </r>
  <r>
    <s v="SERVICIO DE SALUD OSORNO"/>
    <x v="0"/>
    <x v="16"/>
    <s v="Proyecto operacional"/>
    <s v="Publicado"/>
    <s v="22.06.001"/>
    <x v="17"/>
    <s v="ADQUISICION SERVICIO DE SOPORTE Y MANTENIMIENTO DE LOS DOS SITIOS DE REPETICION VHF DE EMERGENCIAS, SERVICIO DE SALUD OSORNO (COMPRA ENERO A MARZO 2025)"/>
    <x v="0"/>
    <x v="6"/>
    <n v="4"/>
    <n v="1"/>
    <x v="14"/>
    <x v="28"/>
    <x v="1"/>
    <x v="2"/>
    <x v="11"/>
    <x v="13"/>
    <s v="64-2335606-"/>
    <s v="ESTEBAN.ALARCONB@REDSALUD.GOB.CL"/>
    <x v="8"/>
    <d v="2025-08-20T00:00:00"/>
    <n v="0"/>
    <m/>
    <n v="1"/>
    <n v="521333"/>
    <d v="2026-11-01T00:00:00"/>
    <x v="0"/>
  </r>
  <r>
    <s v="SERVICIO DE SALUD OSORNO"/>
    <x v="0"/>
    <x v="16"/>
    <s v="Proyecto operacional"/>
    <s v="Publicado"/>
    <s v="22.06.001"/>
    <x v="17"/>
    <s v="ADQUISICION SERVICIO DE SOPORTE Y MANTENIMIENTO DE LOS DOS SITIOS DE REPETICION VHF DE EMERGENCIAS, SERVICIO DE SALUD OSORNO (COMPRA ENERO A MARZO 2025)"/>
    <x v="0"/>
    <x v="6"/>
    <n v="4"/>
    <n v="1"/>
    <x v="14"/>
    <x v="26"/>
    <x v="1"/>
    <x v="2"/>
    <x v="11"/>
    <x v="13"/>
    <s v="64-2335606-"/>
    <s v="ESTEBAN.ALARCONB@REDSALUD.GOB.CL"/>
    <x v="8"/>
    <d v="2025-08-20T00:00:00"/>
    <n v="0"/>
    <m/>
    <n v="1"/>
    <n v="520333"/>
    <d v="2026-01-01T00:00:00"/>
    <x v="0"/>
  </r>
  <r>
    <s v="SERVICIO DE SALUD OSORNO"/>
    <x v="0"/>
    <x v="16"/>
    <s v="Proyecto operacional"/>
    <s v="Publicado"/>
    <s v="22.06.001"/>
    <x v="17"/>
    <s v="ADQUISICION SERVICIO DE SOPORTE Y MANTENIMIENTO DE LOS DOS SITIOS DE REPETICION VHF DE EMERGENCIAS, SERVICIO DE SALUD OSORNO (COMPRA ENERO A MARZO 2025)"/>
    <x v="0"/>
    <x v="6"/>
    <n v="4"/>
    <n v="1"/>
    <x v="14"/>
    <x v="26"/>
    <x v="1"/>
    <x v="2"/>
    <x v="11"/>
    <x v="13"/>
    <s v="64-2335606-"/>
    <s v="ESTEBAN.ALARCONB@REDSALUD.GOB.CL"/>
    <x v="8"/>
    <d v="2025-08-20T00:00:00"/>
    <n v="0"/>
    <m/>
    <n v="1"/>
    <n v="520333"/>
    <d v="2026-06-01T00:00:00"/>
    <x v="0"/>
  </r>
  <r>
    <s v="SERVICIO DE SALUD OSORNO"/>
    <x v="0"/>
    <x v="16"/>
    <s v="Proyecto operacional"/>
    <s v="Publicado"/>
    <s v="22.06.001"/>
    <x v="17"/>
    <s v="ADQUISICION SERVICIO DE SOPORTE Y MANTENIMIENTO DE LOS DOS SITIOS DE REPETICION VHF DE EMERGENCIAS, SERVICIO DE SALUD OSORNO (COMPRA ENERO A MARZO 2025)"/>
    <x v="0"/>
    <x v="6"/>
    <n v="4"/>
    <n v="1"/>
    <x v="14"/>
    <x v="26"/>
    <x v="1"/>
    <x v="2"/>
    <x v="11"/>
    <x v="13"/>
    <s v="64-2335606-"/>
    <s v="ESTEBAN.ALARCONB@REDSALUD.GOB.CL"/>
    <x v="8"/>
    <d v="2025-08-20T00:00:00"/>
    <n v="0"/>
    <m/>
    <n v="1"/>
    <n v="520333"/>
    <d v="2026-04-01T00:00:00"/>
    <x v="0"/>
  </r>
  <r>
    <s v="SERVICIO DE SALUD OSORNO"/>
    <x v="0"/>
    <x v="16"/>
    <s v="Proyecto operacional"/>
    <s v="Publicado"/>
    <s v="22.06.001"/>
    <x v="17"/>
    <s v="ADQUISICION SERVICIO DE SOPORTE Y MANTENIMIENTO DE LOS DOS SITIOS DE REPETICION VHF DE EMERGENCIAS, SERVICIO DE SALUD OSORNO (COMPRA ENERO A MARZO 2025)"/>
    <x v="0"/>
    <x v="6"/>
    <n v="4"/>
    <n v="1"/>
    <x v="14"/>
    <x v="26"/>
    <x v="1"/>
    <x v="2"/>
    <x v="11"/>
    <x v="13"/>
    <s v="64-2335606-"/>
    <s v="ESTEBAN.ALARCONB@REDSALUD.GOB.CL"/>
    <x v="8"/>
    <d v="2025-08-20T00:00:00"/>
    <n v="0"/>
    <m/>
    <n v="1"/>
    <n v="520333"/>
    <d v="2026-07-01T00:00:00"/>
    <x v="0"/>
  </r>
  <r>
    <s v="SERVICIO DE SALUD OSORNO"/>
    <x v="0"/>
    <x v="16"/>
    <s v="Proyecto operacional"/>
    <s v="Publicado"/>
    <s v="22.06.001"/>
    <x v="17"/>
    <s v="ADQUISICION SERVICIO DE SOPORTE Y MANTENIMIENTO DE LOS DOS SITIOS DE REPETICION VHF DE EMERGENCIAS, SERVICIO DE SALUD OSORNO (COMPRA ENERO A MARZO 2025)"/>
    <x v="0"/>
    <x v="6"/>
    <n v="4"/>
    <n v="1"/>
    <x v="14"/>
    <x v="29"/>
    <x v="1"/>
    <x v="2"/>
    <x v="11"/>
    <x v="13"/>
    <s v="64-2335606-"/>
    <s v="ESTEBAN.ALARCONB@REDSALUD.GOB.CL"/>
    <x v="8"/>
    <d v="2025-08-20T00:00:00"/>
    <n v="0"/>
    <m/>
    <n v="1"/>
    <n v="520833"/>
    <d v="2026-09-01T00:00:00"/>
    <x v="0"/>
  </r>
  <r>
    <s v="SERVICIO DE SALUD OSORNO"/>
    <x v="0"/>
    <x v="16"/>
    <s v="Proyecto operacional"/>
    <s v="Publicado"/>
    <s v="22.06.001"/>
    <x v="17"/>
    <s v="ADQUISICION SERVICIO DE SOPORTE Y MANTENIMIENTO DE LOS DOS SITIOS DE REPETICION VHF DE EMERGENCIAS, SERVICIO DE SALUD OSORNO (COMPRA ENERO A MARZO 2025)"/>
    <x v="0"/>
    <x v="6"/>
    <n v="4"/>
    <n v="1"/>
    <x v="14"/>
    <x v="26"/>
    <x v="1"/>
    <x v="2"/>
    <x v="11"/>
    <x v="13"/>
    <s v="64-2335606-"/>
    <s v="ESTEBAN.ALARCONB@REDSALUD.GOB.CL"/>
    <x v="8"/>
    <d v="2025-08-20T00:00:00"/>
    <n v="0"/>
    <m/>
    <n v="1"/>
    <n v="520333"/>
    <d v="2026-10-01T00:00:00"/>
    <x v="0"/>
  </r>
  <r>
    <s v="SERVICIO DE SALUD OSORNO"/>
    <x v="0"/>
    <x v="17"/>
    <s v="Proyecto operacional"/>
    <s v="Publicado"/>
    <s v="22.12.999"/>
    <x v="18"/>
    <s v="Se requiere la contratación del servicio denominado Residencia Protegida (beneficiarios 3 usuarios) para usuarios/as por un periodo de 24 meses. Modificando PAC ID: 1057532-188-PC23"/>
    <x v="0"/>
    <x v="13"/>
    <n v="4"/>
    <n v="3"/>
    <x v="15"/>
    <x v="30"/>
    <x v="1"/>
    <x v="2"/>
    <x v="12"/>
    <x v="14"/>
    <s v="64-2335813-"/>
    <s v="angelo.palma@redsalud.gob.cl"/>
    <x v="8"/>
    <d v="2025-08-20T00:00:00"/>
    <n v="11"/>
    <s v="1057532-4191-SE25"/>
    <n v="1"/>
    <n v="4009593"/>
    <d v="2026-02-01T00:00:00"/>
    <x v="0"/>
  </r>
  <r>
    <s v="SERVICIO DE SALUD OSORNO"/>
    <x v="0"/>
    <x v="17"/>
    <s v="Proyecto operacional"/>
    <s v="Publicado"/>
    <s v="22.12.999"/>
    <x v="18"/>
    <s v="Se requiere la contratación del servicio denominado Residencia Protegida (beneficiarios 3 usuarios) para usuarios/as por un periodo de 24 meses. Modificando PAC ID: 1057532-188-PC23"/>
    <x v="0"/>
    <x v="13"/>
    <n v="4"/>
    <n v="3"/>
    <x v="15"/>
    <x v="30"/>
    <x v="1"/>
    <x v="2"/>
    <x v="12"/>
    <x v="14"/>
    <s v="64-2335813-"/>
    <s v="angelo.palma@redsalud.gob.cl"/>
    <x v="8"/>
    <d v="2025-08-20T00:00:00"/>
    <n v="11"/>
    <s v="1057532-4191-SE25"/>
    <n v="1"/>
    <n v="4009593"/>
    <d v="2026-07-01T00:00:00"/>
    <x v="0"/>
  </r>
  <r>
    <s v="SERVICIO DE SALUD OSORNO"/>
    <x v="0"/>
    <x v="17"/>
    <s v="Proyecto operacional"/>
    <s v="Publicado"/>
    <s v="22.12.999"/>
    <x v="18"/>
    <s v="Se requiere la contratación del servicio denominado Residencia Protegida (beneficiarios 3 usuarios) para usuarios/as por un periodo de 24 meses. Modificando PAC ID: 1057532-188-PC23"/>
    <x v="0"/>
    <x v="13"/>
    <n v="4"/>
    <n v="3"/>
    <x v="15"/>
    <x v="30"/>
    <x v="1"/>
    <x v="2"/>
    <x v="12"/>
    <x v="14"/>
    <s v="64-2335813-"/>
    <s v="angelo.palma@redsalud.gob.cl"/>
    <x v="8"/>
    <d v="2025-08-20T00:00:00"/>
    <n v="11"/>
    <s v="1057532-274-SE25"/>
    <n v="1"/>
    <n v="4009593"/>
    <d v="2026-07-01T00:00:00"/>
    <x v="0"/>
  </r>
  <r>
    <s v="SERVICIO DE SALUD OSORNO"/>
    <x v="0"/>
    <x v="17"/>
    <s v="Proyecto operacional"/>
    <s v="Publicado"/>
    <s v="22.12.999"/>
    <x v="18"/>
    <s v="Se requiere la contratación del servicio denominado Residencia Protegida (beneficiarios 3 usuarios) para usuarios/as por un periodo de 24 meses. Modificando PAC ID: 1057532-188-PC23"/>
    <x v="0"/>
    <x v="13"/>
    <n v="4"/>
    <n v="3"/>
    <x v="15"/>
    <x v="30"/>
    <x v="1"/>
    <x v="2"/>
    <x v="12"/>
    <x v="14"/>
    <s v="64-2335813-"/>
    <s v="angelo.palma@redsalud.gob.cl"/>
    <x v="8"/>
    <d v="2025-08-20T00:00:00"/>
    <n v="11"/>
    <s v="1057532-4423-SE25"/>
    <n v="1"/>
    <n v="4009593"/>
    <d v="2026-05-01T00:00:00"/>
    <x v="0"/>
  </r>
  <r>
    <s v="SERVICIO DE SALUD OSORNO"/>
    <x v="0"/>
    <x v="17"/>
    <s v="Proyecto operacional"/>
    <s v="Publicado"/>
    <s v="22.12.999"/>
    <x v="18"/>
    <s v="Se requiere la contratación del servicio denominado Residencia Protegida (beneficiarios 3 usuarios) para usuarios/as por un periodo de 24 meses. Modificando PAC ID: 1057532-188-PC23"/>
    <x v="0"/>
    <x v="13"/>
    <n v="4"/>
    <n v="3"/>
    <x v="15"/>
    <x v="30"/>
    <x v="1"/>
    <x v="2"/>
    <x v="12"/>
    <x v="14"/>
    <s v="64-2335813-"/>
    <s v="angelo.palma@redsalud.gob.cl"/>
    <x v="8"/>
    <d v="2025-08-20T00:00:00"/>
    <n v="11"/>
    <s v="1057532-4746-SE25"/>
    <n v="1"/>
    <n v="4009593"/>
    <d v="2026-10-01T00:00:00"/>
    <x v="0"/>
  </r>
  <r>
    <s v="SERVICIO DE SALUD OSORNO"/>
    <x v="0"/>
    <x v="17"/>
    <s v="Proyecto operacional"/>
    <s v="Publicado"/>
    <s v="22.12.999"/>
    <x v="18"/>
    <s v="Se requiere la contratación del servicio denominado Residencia Protegida (beneficiarios 3 usuarios) para usuarios/as por un periodo de 24 meses. Modificando PAC ID: 1057532-188-PC23"/>
    <x v="0"/>
    <x v="13"/>
    <n v="4"/>
    <n v="3"/>
    <x v="15"/>
    <x v="30"/>
    <x v="1"/>
    <x v="2"/>
    <x v="12"/>
    <x v="14"/>
    <s v="64-2335813-"/>
    <s v="angelo.palma@redsalud.gob.cl"/>
    <x v="8"/>
    <d v="2025-08-20T00:00:00"/>
    <n v="11"/>
    <s v="1057532-3967-SE25"/>
    <n v="1"/>
    <n v="4009593"/>
    <d v="2026-09-01T00:00:00"/>
    <x v="0"/>
  </r>
  <r>
    <s v="SERVICIO DE SALUD OSORNO"/>
    <x v="0"/>
    <x v="17"/>
    <s v="Proyecto operacional"/>
    <s v="Publicado"/>
    <s v="22.12.999"/>
    <x v="18"/>
    <s v="Se requiere la contratación del servicio denominado Residencia Protegida (beneficiarios 3 usuarios) para usuarios/as por un periodo de 24 meses. Modificando PAC ID: 1057532-188-PC23"/>
    <x v="0"/>
    <x v="13"/>
    <n v="4"/>
    <n v="3"/>
    <x v="15"/>
    <x v="30"/>
    <x v="1"/>
    <x v="2"/>
    <x v="12"/>
    <x v="14"/>
    <s v="64-2335813-"/>
    <s v="angelo.palma@redsalud.gob.cl"/>
    <x v="8"/>
    <d v="2025-08-20T00:00:00"/>
    <n v="11"/>
    <s v="1057532-4746-SE25"/>
    <n v="1"/>
    <n v="4009593"/>
    <d v="2026-05-01T00:00:00"/>
    <x v="0"/>
  </r>
  <r>
    <s v="SERVICIO DE SALUD OSORNO"/>
    <x v="0"/>
    <x v="17"/>
    <s v="Proyecto operacional"/>
    <s v="Publicado"/>
    <s v="22.12.999"/>
    <x v="18"/>
    <s v="Se requiere la contratación del servicio denominado Residencia Protegida (beneficiarios 3 usuarios) para usuarios/as por un periodo de 24 meses. Modificando PAC ID: 1057532-188-PC23"/>
    <x v="0"/>
    <x v="13"/>
    <n v="4"/>
    <n v="3"/>
    <x v="15"/>
    <x v="30"/>
    <x v="1"/>
    <x v="2"/>
    <x v="12"/>
    <x v="14"/>
    <s v="64-2335813-"/>
    <s v="angelo.palma@redsalud.gob.cl"/>
    <x v="8"/>
    <d v="2025-08-20T00:00:00"/>
    <n v="11"/>
    <s v="1057532-4423-SE25"/>
    <n v="1"/>
    <n v="4009593"/>
    <d v="2026-07-01T00:00:00"/>
    <x v="0"/>
  </r>
  <r>
    <s v="SERVICIO DE SALUD OSORNO"/>
    <x v="0"/>
    <x v="17"/>
    <s v="Proyecto operacional"/>
    <s v="Publicado"/>
    <s v="22.12.999"/>
    <x v="18"/>
    <s v="Se requiere la contratación del servicio denominado Residencia Protegida (beneficiarios 3 usuarios) para usuarios/as por un periodo de 24 meses. Modificando PAC ID: 1057532-188-PC23"/>
    <x v="0"/>
    <x v="13"/>
    <n v="4"/>
    <n v="3"/>
    <x v="15"/>
    <x v="30"/>
    <x v="1"/>
    <x v="2"/>
    <x v="12"/>
    <x v="14"/>
    <s v="64-2335813-"/>
    <s v="angelo.palma@redsalud.gob.cl"/>
    <x v="8"/>
    <d v="2025-08-20T00:00:00"/>
    <n v="11"/>
    <s v="1057532-4551-SE25"/>
    <n v="1"/>
    <n v="4009593"/>
    <d v="2026-11-01T00:00:00"/>
    <x v="0"/>
  </r>
  <r>
    <s v="SERVICIO DE SALUD OSORNO"/>
    <x v="0"/>
    <x v="17"/>
    <s v="Proyecto operacional"/>
    <s v="Publicado"/>
    <s v="22.12.999"/>
    <x v="18"/>
    <s v="Se requiere la contratación del servicio denominado Residencia Protegida (beneficiarios 3 usuarios) para usuarios/as por un periodo de 24 meses. Modificando PAC ID: 1057532-188-PC23"/>
    <x v="0"/>
    <x v="13"/>
    <n v="4"/>
    <n v="3"/>
    <x v="15"/>
    <x v="30"/>
    <x v="1"/>
    <x v="2"/>
    <x v="12"/>
    <x v="14"/>
    <s v="64-2335813-"/>
    <s v="angelo.palma@redsalud.gob.cl"/>
    <x v="8"/>
    <d v="2025-08-20T00:00:00"/>
    <n v="11"/>
    <s v="1057532-5466-SE25"/>
    <n v="1"/>
    <n v="4009593"/>
    <d v="2026-06-01T00:00:00"/>
    <x v="0"/>
  </r>
  <r>
    <s v="SERVICIO DE SALUD OSORNO"/>
    <x v="0"/>
    <x v="17"/>
    <s v="Proyecto operacional"/>
    <s v="Publicado"/>
    <s v="22.12.999"/>
    <x v="18"/>
    <s v="Se requiere la contratación del servicio denominado Residencia Protegida (beneficiarios 3 usuarios) para usuarios/as por un periodo de 24 meses. Modificando PAC ID: 1057532-188-PC23"/>
    <x v="0"/>
    <x v="13"/>
    <n v="4"/>
    <n v="3"/>
    <x v="15"/>
    <x v="30"/>
    <x v="1"/>
    <x v="2"/>
    <x v="12"/>
    <x v="14"/>
    <s v="64-2335813-"/>
    <s v="angelo.palma@redsalud.gob.cl"/>
    <x v="8"/>
    <d v="2025-08-20T00:00:00"/>
    <n v="11"/>
    <s v="1057532-3967-SE25"/>
    <n v="1"/>
    <n v="4009593"/>
    <d v="2026-01-01T00:00:00"/>
    <x v="0"/>
  </r>
  <r>
    <s v="SERVICIO DE SALUD OSORNO"/>
    <x v="0"/>
    <x v="17"/>
    <s v="Proyecto operacional"/>
    <s v="Publicado"/>
    <s v="22.12.999"/>
    <x v="18"/>
    <s v="Se requiere la contratación del servicio denominado Residencia Protegida (beneficiarios 3 usuarios) para usuarios/as por un periodo de 24 meses. Modificando PAC ID: 1057532-188-PC23"/>
    <x v="0"/>
    <x v="13"/>
    <n v="4"/>
    <n v="3"/>
    <x v="15"/>
    <x v="31"/>
    <x v="1"/>
    <x v="2"/>
    <x v="12"/>
    <x v="14"/>
    <s v="64-2335813-"/>
    <s v="angelo.palma@redsalud.gob.cl"/>
    <x v="8"/>
    <d v="2025-08-20T00:00:00"/>
    <n v="11"/>
    <s v="1057532-4746-SE25"/>
    <n v="1"/>
    <n v="4009605"/>
    <d v="2026-12-01T00:00:00"/>
    <x v="0"/>
  </r>
  <r>
    <s v="SERVICIO DE SALUD OSORNO"/>
    <x v="0"/>
    <x v="18"/>
    <s v="Proyecto operacional"/>
    <s v="Publicado"/>
    <s v="22.12.999"/>
    <x v="19"/>
    <s v="Se requiere la contratación del servicio denominado Residencia Protegida (beneficiarios 12 usuarios) para usuarios/as por un periodo de 24 meses."/>
    <x v="0"/>
    <x v="13"/>
    <n v="4"/>
    <n v="12"/>
    <x v="16"/>
    <x v="32"/>
    <x v="1"/>
    <x v="2"/>
    <x v="12"/>
    <x v="14"/>
    <s v="64-2335813-"/>
    <s v="angelo.palma@redsalud.gob.cl"/>
    <x v="8"/>
    <d v="2025-08-20T00:00:00"/>
    <n v="12"/>
    <s v="1057532-4430-SE25"/>
    <n v="1"/>
    <n v="19762925"/>
    <d v="2026-05-01T00:00:00"/>
    <x v="0"/>
  </r>
  <r>
    <s v="SERVICIO DE SALUD OSORNO"/>
    <x v="0"/>
    <x v="18"/>
    <s v="Proyecto operacional"/>
    <s v="Publicado"/>
    <s v="22.12.999"/>
    <x v="19"/>
    <s v="Se requiere la contratación del servicio denominado Residencia Protegida (beneficiarios 12 usuarios) para usuarios/as por un periodo de 24 meses."/>
    <x v="0"/>
    <x v="13"/>
    <n v="4"/>
    <n v="12"/>
    <x v="16"/>
    <x v="32"/>
    <x v="1"/>
    <x v="2"/>
    <x v="12"/>
    <x v="14"/>
    <s v="64-2335813-"/>
    <s v="angelo.palma@redsalud.gob.cl"/>
    <x v="8"/>
    <d v="2025-08-20T00:00:00"/>
    <n v="12"/>
    <s v="1057532-4430-SE25"/>
    <n v="1"/>
    <n v="19762925"/>
    <d v="2026-04-01T00:00:00"/>
    <x v="0"/>
  </r>
  <r>
    <s v="SERVICIO DE SALUD OSORNO"/>
    <x v="0"/>
    <x v="18"/>
    <s v="Proyecto operacional"/>
    <s v="Publicado"/>
    <s v="22.12.999"/>
    <x v="19"/>
    <s v="Se requiere la contratación del servicio denominado Residencia Protegida (beneficiarios 12 usuarios) para usuarios/as por un periodo de 24 meses."/>
    <x v="0"/>
    <x v="13"/>
    <n v="4"/>
    <n v="12"/>
    <x v="16"/>
    <x v="32"/>
    <x v="1"/>
    <x v="2"/>
    <x v="12"/>
    <x v="14"/>
    <s v="64-2335813-"/>
    <s v="angelo.palma@redsalud.gob.cl"/>
    <x v="8"/>
    <d v="2025-08-20T00:00:00"/>
    <n v="12"/>
    <s v="1057532-4137-TD25"/>
    <n v="1"/>
    <n v="19762925"/>
    <d v="2026-09-01T00:00:00"/>
    <x v="0"/>
  </r>
  <r>
    <s v="SERVICIO DE SALUD OSORNO"/>
    <x v="0"/>
    <x v="18"/>
    <s v="Proyecto operacional"/>
    <s v="Publicado"/>
    <s v="22.12.999"/>
    <x v="19"/>
    <s v="Se requiere la contratación del servicio denominado Residencia Protegida (beneficiarios 12 usuarios) para usuarios/as por un periodo de 24 meses."/>
    <x v="0"/>
    <x v="13"/>
    <n v="4"/>
    <n v="12"/>
    <x v="16"/>
    <x v="32"/>
    <x v="1"/>
    <x v="2"/>
    <x v="12"/>
    <x v="14"/>
    <s v="64-2335813-"/>
    <s v="angelo.palma@redsalud.gob.cl"/>
    <x v="8"/>
    <d v="2025-08-20T00:00:00"/>
    <n v="12"/>
    <s v="1057532-4210-SE25"/>
    <n v="1"/>
    <n v="19762925"/>
    <d v="2026-04-01T00:00:00"/>
    <x v="0"/>
  </r>
  <r>
    <s v="SERVICIO DE SALUD OSORNO"/>
    <x v="0"/>
    <x v="18"/>
    <s v="Proyecto operacional"/>
    <s v="Publicado"/>
    <s v="22.12.999"/>
    <x v="19"/>
    <s v="Se requiere la contratación del servicio denominado Residencia Protegida (beneficiarios 12 usuarios) para usuarios/as por un periodo de 24 meses."/>
    <x v="0"/>
    <x v="13"/>
    <n v="4"/>
    <n v="12"/>
    <x v="16"/>
    <x v="32"/>
    <x v="1"/>
    <x v="2"/>
    <x v="12"/>
    <x v="14"/>
    <s v="64-2335813-"/>
    <s v="angelo.palma@redsalud.gob.cl"/>
    <x v="8"/>
    <d v="2025-08-20T00:00:00"/>
    <n v="12"/>
    <s v="1057532-4137-TD25"/>
    <n v="1"/>
    <n v="19762925"/>
    <d v="2026-06-01T00:00:00"/>
    <x v="0"/>
  </r>
  <r>
    <s v="SERVICIO DE SALUD OSORNO"/>
    <x v="0"/>
    <x v="18"/>
    <s v="Proyecto operacional"/>
    <s v="Publicado"/>
    <s v="22.12.999"/>
    <x v="19"/>
    <s v="Se requiere la contratación del servicio denominado Residencia Protegida (beneficiarios 12 usuarios) para usuarios/as por un periodo de 24 meses."/>
    <x v="0"/>
    <x v="13"/>
    <n v="4"/>
    <n v="12"/>
    <x v="16"/>
    <x v="32"/>
    <x v="1"/>
    <x v="2"/>
    <x v="12"/>
    <x v="14"/>
    <s v="64-2335813-"/>
    <s v="angelo.palma@redsalud.gob.cl"/>
    <x v="8"/>
    <d v="2025-08-20T00:00:00"/>
    <n v="12"/>
    <s v="1057532-4210-SE25"/>
    <n v="1"/>
    <n v="19762925"/>
    <d v="2026-12-01T00:00:00"/>
    <x v="0"/>
  </r>
  <r>
    <s v="SERVICIO DE SALUD OSORNO"/>
    <x v="0"/>
    <x v="18"/>
    <s v="Proyecto operacional"/>
    <s v="Publicado"/>
    <s v="22.12.999"/>
    <x v="19"/>
    <s v="Se requiere la contratación del servicio denominado Residencia Protegida (beneficiarios 12 usuarios) para usuarios/as por un periodo de 24 meses."/>
    <x v="0"/>
    <x v="13"/>
    <n v="4"/>
    <n v="12"/>
    <x v="16"/>
    <x v="32"/>
    <x v="1"/>
    <x v="2"/>
    <x v="12"/>
    <x v="14"/>
    <s v="64-2335813-"/>
    <s v="angelo.palma@redsalud.gob.cl"/>
    <x v="8"/>
    <d v="2025-08-20T00:00:00"/>
    <n v="12"/>
    <s v="1057532-4137-TD25"/>
    <n v="1"/>
    <n v="19762925"/>
    <d v="2026-03-01T00:00:00"/>
    <x v="0"/>
  </r>
  <r>
    <s v="SERVICIO DE SALUD OSORNO"/>
    <x v="0"/>
    <x v="18"/>
    <s v="Proyecto operacional"/>
    <s v="Publicado"/>
    <s v="22.12.999"/>
    <x v="19"/>
    <s v="Se requiere la contratación del servicio denominado Residencia Protegida (beneficiarios 12 usuarios) para usuarios/as por un periodo de 24 meses."/>
    <x v="0"/>
    <x v="13"/>
    <n v="4"/>
    <n v="12"/>
    <x v="16"/>
    <x v="32"/>
    <x v="1"/>
    <x v="2"/>
    <x v="12"/>
    <x v="14"/>
    <s v="64-2335813-"/>
    <s v="angelo.palma@redsalud.gob.cl"/>
    <x v="8"/>
    <d v="2025-08-20T00:00:00"/>
    <n v="12"/>
    <s v="1057532-4137-TD25"/>
    <n v="1"/>
    <n v="19762925"/>
    <d v="2026-12-01T00:00:00"/>
    <x v="0"/>
  </r>
  <r>
    <s v="SERVICIO DE SALUD OSORNO"/>
    <x v="0"/>
    <x v="18"/>
    <s v="Proyecto operacional"/>
    <s v="Publicado"/>
    <s v="22.12.999"/>
    <x v="19"/>
    <s v="Se requiere la contratación del servicio denominado Residencia Protegida (beneficiarios 12 usuarios) para usuarios/as por un periodo de 24 meses."/>
    <x v="0"/>
    <x v="13"/>
    <n v="4"/>
    <n v="12"/>
    <x v="16"/>
    <x v="32"/>
    <x v="1"/>
    <x v="2"/>
    <x v="12"/>
    <x v="14"/>
    <s v="64-2335813-"/>
    <s v="angelo.palma@redsalud.gob.cl"/>
    <x v="8"/>
    <d v="2025-08-20T00:00:00"/>
    <n v="12"/>
    <s v="1057532-4137-TD25"/>
    <n v="1"/>
    <n v="19762925"/>
    <d v="2026-05-01T00:00:00"/>
    <x v="0"/>
  </r>
  <r>
    <s v="SERVICIO DE SALUD OSORNO"/>
    <x v="0"/>
    <x v="18"/>
    <s v="Proyecto operacional"/>
    <s v="Publicado"/>
    <s v="22.12.999"/>
    <x v="19"/>
    <s v="Se requiere la contratación del servicio denominado Residencia Protegida (beneficiarios 12 usuarios) para usuarios/as por un periodo de 24 meses."/>
    <x v="0"/>
    <x v="13"/>
    <n v="4"/>
    <n v="12"/>
    <x v="16"/>
    <x v="32"/>
    <x v="1"/>
    <x v="2"/>
    <x v="12"/>
    <x v="14"/>
    <s v="64-2335813-"/>
    <s v="angelo.palma@redsalud.gob.cl"/>
    <x v="8"/>
    <d v="2025-08-20T00:00:00"/>
    <n v="12"/>
    <s v="1057532-4430-SE25"/>
    <n v="1"/>
    <n v="19762925"/>
    <d v="2026-03-01T00:00:00"/>
    <x v="0"/>
  </r>
  <r>
    <s v="SERVICIO DE SALUD OSORNO"/>
    <x v="0"/>
    <x v="18"/>
    <s v="Proyecto operacional"/>
    <s v="Publicado"/>
    <s v="22.12.999"/>
    <x v="19"/>
    <s v="Se requiere la contratación del servicio denominado Residencia Protegida (beneficiarios 12 usuarios) para usuarios/as por un periodo de 24 meses."/>
    <x v="0"/>
    <x v="13"/>
    <n v="4"/>
    <n v="12"/>
    <x v="16"/>
    <x v="32"/>
    <x v="1"/>
    <x v="2"/>
    <x v="12"/>
    <x v="14"/>
    <s v="64-2335813-"/>
    <s v="angelo.palma@redsalud.gob.cl"/>
    <x v="8"/>
    <d v="2025-08-20T00:00:00"/>
    <n v="12"/>
    <s v="1057532-4137-TD25"/>
    <n v="1"/>
    <n v="19762925"/>
    <d v="2026-04-01T00:00:00"/>
    <x v="0"/>
  </r>
  <r>
    <s v="SERVICIO DE SALUD OSORNO"/>
    <x v="0"/>
    <x v="18"/>
    <s v="Proyecto operacional"/>
    <s v="Publicado"/>
    <s v="22.12.999"/>
    <x v="19"/>
    <s v="Se requiere la contratación del servicio denominado Residencia Protegida (beneficiarios 12 usuarios) para usuarios/as por un periodo de 24 meses."/>
    <x v="0"/>
    <x v="13"/>
    <n v="4"/>
    <n v="12"/>
    <x v="16"/>
    <x v="32"/>
    <x v="1"/>
    <x v="2"/>
    <x v="12"/>
    <x v="14"/>
    <s v="64-2335813-"/>
    <s v="angelo.palma@redsalud.gob.cl"/>
    <x v="8"/>
    <d v="2025-08-20T00:00:00"/>
    <n v="12"/>
    <s v="1057532-4210-SE25"/>
    <n v="1"/>
    <n v="19762925"/>
    <d v="2026-07-01T00:00:00"/>
    <x v="0"/>
  </r>
  <r>
    <s v="SERVICIO DE SALUD OSORNO"/>
    <x v="0"/>
    <x v="19"/>
    <s v="Proyecto operacional"/>
    <s v="Publicado"/>
    <s v="22.12.999"/>
    <x v="20"/>
    <s v="Se requiere la contratación del servicio denominado Residencia Protegida alta complejidad (beneficiarios 10 usuarios) para usuarios/as por un periodo de 24 meses."/>
    <x v="0"/>
    <x v="13"/>
    <n v="4"/>
    <n v="10"/>
    <x v="17"/>
    <x v="33"/>
    <x v="1"/>
    <x v="2"/>
    <x v="12"/>
    <x v="14"/>
    <s v="64-2335813-"/>
    <s v="angelo.palma@redsalud.gob.cl"/>
    <x v="8"/>
    <d v="2025-08-20T00:00:00"/>
    <n v="10"/>
    <s v="1057532-4192-SE25"/>
    <n v="1"/>
    <n v="23725000"/>
    <d v="2026-03-01T00:00:00"/>
    <x v="0"/>
  </r>
  <r>
    <s v="SERVICIO DE SALUD OSORNO"/>
    <x v="0"/>
    <x v="19"/>
    <s v="Proyecto operacional"/>
    <s v="Publicado"/>
    <s v="22.12.999"/>
    <x v="20"/>
    <s v="Se requiere la contratación del servicio denominado Residencia Protegida alta complejidad (beneficiarios 10 usuarios) para usuarios/as por un periodo de 24 meses."/>
    <x v="0"/>
    <x v="13"/>
    <n v="4"/>
    <n v="10"/>
    <x v="17"/>
    <x v="33"/>
    <x v="1"/>
    <x v="2"/>
    <x v="12"/>
    <x v="14"/>
    <s v="64-2335813-"/>
    <s v="angelo.palma@redsalud.gob.cl"/>
    <x v="8"/>
    <d v="2025-08-20T00:00:00"/>
    <n v="10"/>
    <s v="1057532-4192-SE25"/>
    <n v="1"/>
    <n v="23725000"/>
    <d v="2026-11-01T00:00:00"/>
    <x v="0"/>
  </r>
  <r>
    <s v="SERVICIO DE SALUD OSORNO"/>
    <x v="0"/>
    <x v="19"/>
    <s v="Proyecto operacional"/>
    <s v="Publicado"/>
    <s v="22.12.999"/>
    <x v="20"/>
    <s v="Se requiere la contratación del servicio denominado Residencia Protegida alta complejidad (beneficiarios 10 usuarios) para usuarios/as por un periodo de 24 meses."/>
    <x v="0"/>
    <x v="13"/>
    <n v="4"/>
    <n v="10"/>
    <x v="17"/>
    <x v="33"/>
    <x v="1"/>
    <x v="2"/>
    <x v="12"/>
    <x v="14"/>
    <s v="64-2335813-"/>
    <s v="angelo.palma@redsalud.gob.cl"/>
    <x v="8"/>
    <d v="2025-08-20T00:00:00"/>
    <n v="10"/>
    <s v="1057532-4505-SE25"/>
    <n v="1"/>
    <n v="23725000"/>
    <d v="2026-03-01T00:00:00"/>
    <x v="0"/>
  </r>
  <r>
    <s v="SERVICIO DE SALUD OSORNO"/>
    <x v="0"/>
    <x v="19"/>
    <s v="Proyecto operacional"/>
    <s v="Publicado"/>
    <s v="22.12.999"/>
    <x v="20"/>
    <s v="Se requiere la contratación del servicio denominado Residencia Protegida alta complejidad (beneficiarios 10 usuarios) para usuarios/as por un periodo de 24 meses."/>
    <x v="0"/>
    <x v="13"/>
    <n v="4"/>
    <n v="10"/>
    <x v="17"/>
    <x v="33"/>
    <x v="1"/>
    <x v="2"/>
    <x v="12"/>
    <x v="14"/>
    <s v="64-2335813-"/>
    <s v="angelo.palma@redsalud.gob.cl"/>
    <x v="8"/>
    <d v="2025-08-20T00:00:00"/>
    <n v="10"/>
    <s v="1057532-4347-SE25"/>
    <n v="1"/>
    <n v="23725000"/>
    <d v="2026-04-01T00:00:00"/>
    <x v="0"/>
  </r>
  <r>
    <s v="SERVICIO DE SALUD OSORNO"/>
    <x v="0"/>
    <x v="19"/>
    <s v="Proyecto operacional"/>
    <s v="Publicado"/>
    <s v="22.12.999"/>
    <x v="20"/>
    <s v="Se requiere la contratación del servicio denominado Residencia Protegida alta complejidad (beneficiarios 10 usuarios) para usuarios/as por un periodo de 24 meses."/>
    <x v="0"/>
    <x v="13"/>
    <n v="4"/>
    <n v="10"/>
    <x v="17"/>
    <x v="33"/>
    <x v="1"/>
    <x v="2"/>
    <x v="12"/>
    <x v="14"/>
    <s v="64-2335813-"/>
    <s v="angelo.palma@redsalud.gob.cl"/>
    <x v="8"/>
    <d v="2025-08-20T00:00:00"/>
    <n v="10"/>
    <s v="1057532-4505-SE25"/>
    <n v="1"/>
    <n v="23725000"/>
    <d v="2026-04-01T00:00:00"/>
    <x v="0"/>
  </r>
  <r>
    <s v="SERVICIO DE SALUD OSORNO"/>
    <x v="0"/>
    <x v="19"/>
    <s v="Proyecto operacional"/>
    <s v="Publicado"/>
    <s v="22.12.999"/>
    <x v="20"/>
    <s v="Se requiere la contratación del servicio denominado Residencia Protegida alta complejidad (beneficiarios 10 usuarios) para usuarios/as por un periodo de 24 meses."/>
    <x v="0"/>
    <x v="13"/>
    <n v="4"/>
    <n v="10"/>
    <x v="17"/>
    <x v="33"/>
    <x v="1"/>
    <x v="2"/>
    <x v="12"/>
    <x v="14"/>
    <s v="64-2335813-"/>
    <s v="angelo.palma@redsalud.gob.cl"/>
    <x v="8"/>
    <d v="2025-08-20T00:00:00"/>
    <n v="10"/>
    <s v="1057532-4347-SE25"/>
    <n v="1"/>
    <n v="23725000"/>
    <d v="2026-01-01T00:00:00"/>
    <x v="0"/>
  </r>
  <r>
    <s v="SERVICIO DE SALUD OSORNO"/>
    <x v="0"/>
    <x v="19"/>
    <s v="Proyecto operacional"/>
    <s v="Publicado"/>
    <s v="22.12.999"/>
    <x v="20"/>
    <s v="Se requiere la contratación del servicio denominado Residencia Protegida alta complejidad (beneficiarios 10 usuarios) para usuarios/as por un periodo de 24 meses."/>
    <x v="0"/>
    <x v="13"/>
    <n v="4"/>
    <n v="10"/>
    <x v="17"/>
    <x v="33"/>
    <x v="1"/>
    <x v="2"/>
    <x v="12"/>
    <x v="14"/>
    <s v="64-2335813-"/>
    <s v="angelo.palma@redsalud.gob.cl"/>
    <x v="8"/>
    <d v="2025-08-20T00:00:00"/>
    <n v="10"/>
    <s v="1057532-4347-SE25"/>
    <n v="1"/>
    <n v="23725000"/>
    <d v="2026-07-01T00:00:00"/>
    <x v="0"/>
  </r>
  <r>
    <s v="SERVICIO DE SALUD OSORNO"/>
    <x v="0"/>
    <x v="19"/>
    <s v="Proyecto operacional"/>
    <s v="Publicado"/>
    <s v="22.12.999"/>
    <x v="20"/>
    <s v="Se requiere la contratación del servicio denominado Residencia Protegida alta complejidad (beneficiarios 10 usuarios) para usuarios/as por un periodo de 24 meses."/>
    <x v="0"/>
    <x v="13"/>
    <n v="4"/>
    <n v="10"/>
    <x v="17"/>
    <x v="33"/>
    <x v="1"/>
    <x v="2"/>
    <x v="12"/>
    <x v="14"/>
    <s v="64-2335813-"/>
    <s v="angelo.palma@redsalud.gob.cl"/>
    <x v="8"/>
    <d v="2025-08-20T00:00:00"/>
    <n v="10"/>
    <s v="1057532-4347-SE25"/>
    <n v="1"/>
    <n v="23725000"/>
    <d v="2026-02-01T00:00:00"/>
    <x v="0"/>
  </r>
  <r>
    <s v="SERVICIO DE SALUD OSORNO"/>
    <x v="0"/>
    <x v="19"/>
    <s v="Proyecto operacional"/>
    <s v="Publicado"/>
    <s v="22.12.999"/>
    <x v="20"/>
    <s v="Se requiere la contratación del servicio denominado Residencia Protegida alta complejidad (beneficiarios 10 usuarios) para usuarios/as por un periodo de 24 meses."/>
    <x v="0"/>
    <x v="13"/>
    <n v="4"/>
    <n v="10"/>
    <x v="17"/>
    <x v="33"/>
    <x v="1"/>
    <x v="2"/>
    <x v="12"/>
    <x v="14"/>
    <s v="64-2335813-"/>
    <s v="angelo.palma@redsalud.gob.cl"/>
    <x v="8"/>
    <d v="2025-08-20T00:00:00"/>
    <n v="10"/>
    <s v="1057532-4192-SE25"/>
    <n v="1"/>
    <n v="23725000"/>
    <d v="2026-07-01T00:00:00"/>
    <x v="0"/>
  </r>
  <r>
    <s v="SERVICIO DE SALUD OSORNO"/>
    <x v="0"/>
    <x v="19"/>
    <s v="Proyecto operacional"/>
    <s v="Publicado"/>
    <s v="22.12.999"/>
    <x v="20"/>
    <s v="Se requiere la contratación del servicio denominado Residencia Protegida alta complejidad (beneficiarios 10 usuarios) para usuarios/as por un periodo de 24 meses."/>
    <x v="0"/>
    <x v="13"/>
    <n v="4"/>
    <n v="10"/>
    <x v="17"/>
    <x v="33"/>
    <x v="1"/>
    <x v="2"/>
    <x v="12"/>
    <x v="14"/>
    <s v="64-2335813-"/>
    <s v="angelo.palma@redsalud.gob.cl"/>
    <x v="8"/>
    <d v="2025-08-20T00:00:00"/>
    <n v="10"/>
    <s v="1057532-4347-SE25"/>
    <n v="1"/>
    <n v="23725000"/>
    <d v="2026-05-01T00:00:00"/>
    <x v="0"/>
  </r>
  <r>
    <s v="SERVICIO DE SALUD OSORNO"/>
    <x v="0"/>
    <x v="19"/>
    <s v="Proyecto operacional"/>
    <s v="Publicado"/>
    <s v="22.12.999"/>
    <x v="20"/>
    <s v="Se requiere la contratación del servicio denominado Residencia Protegida alta complejidad (beneficiarios 10 usuarios) para usuarios/as por un periodo de 24 meses."/>
    <x v="0"/>
    <x v="13"/>
    <n v="4"/>
    <n v="10"/>
    <x v="17"/>
    <x v="33"/>
    <x v="1"/>
    <x v="2"/>
    <x v="12"/>
    <x v="14"/>
    <s v="64-2335813-"/>
    <s v="angelo.palma@redsalud.gob.cl"/>
    <x v="8"/>
    <d v="2025-08-20T00:00:00"/>
    <n v="10"/>
    <s v="1057532-4192-SE25"/>
    <n v="1"/>
    <n v="23725000"/>
    <d v="2026-04-01T00:00:00"/>
    <x v="0"/>
  </r>
  <r>
    <s v="SERVICIO DE SALUD OSORNO"/>
    <x v="0"/>
    <x v="19"/>
    <s v="Proyecto operacional"/>
    <s v="Publicado"/>
    <s v="22.12.999"/>
    <x v="20"/>
    <s v="Se requiere la contratación del servicio denominado Residencia Protegida alta complejidad (beneficiarios 10 usuarios) para usuarios/as por un periodo de 24 meses."/>
    <x v="0"/>
    <x v="13"/>
    <n v="4"/>
    <n v="10"/>
    <x v="17"/>
    <x v="33"/>
    <x v="1"/>
    <x v="2"/>
    <x v="12"/>
    <x v="14"/>
    <s v="64-2335813-"/>
    <s v="angelo.palma@redsalud.gob.cl"/>
    <x v="8"/>
    <d v="2025-08-20T00:00:00"/>
    <n v="10"/>
    <s v="1057532-4859-SE25"/>
    <n v="1"/>
    <n v="23725000"/>
    <d v="2026-02-01T00:00:00"/>
    <x v="0"/>
  </r>
  <r>
    <s v="SERVICIO DE SALUD OSORNO"/>
    <x v="0"/>
    <x v="20"/>
    <s v="Proyecto operacional"/>
    <s v="Publicado"/>
    <s v="22.06.005"/>
    <x v="21"/>
    <s v="Dar cobertura a las necesidades de mantención de Equipos Médicos e Industriales de los establecimientos de la Red del Servicio de Salud Osorno."/>
    <x v="2"/>
    <x v="14"/>
    <n v="4"/>
    <n v="100"/>
    <x v="18"/>
    <x v="34"/>
    <x v="6"/>
    <x v="6"/>
    <x v="13"/>
    <x v="15"/>
    <s v="64-2337431-"/>
    <s v="khris.silva@redsalud.gob.cl"/>
    <x v="9"/>
    <d v="2025-08-20T00:00:00"/>
    <n v="0"/>
    <m/>
    <n v="1"/>
    <n v="10400000"/>
    <d v="2026-12-01T00:00:00"/>
    <x v="0"/>
  </r>
  <r>
    <s v="SERVICIO DE SALUD OSORNO"/>
    <x v="0"/>
    <x v="20"/>
    <s v="Proyecto operacional"/>
    <s v="Publicado"/>
    <s v="22.06.005"/>
    <x v="21"/>
    <s v="Dar cobertura a las necesidades de mantención de Equipos Médicos e Industriales de los establecimientos de la Red del Servicio de Salud Osorno."/>
    <x v="2"/>
    <x v="14"/>
    <n v="4"/>
    <n v="100"/>
    <x v="18"/>
    <x v="34"/>
    <x v="6"/>
    <x v="6"/>
    <x v="13"/>
    <x v="15"/>
    <s v="64-2337431-"/>
    <s v="khris.silva@redsalud.gob.cl"/>
    <x v="9"/>
    <d v="2025-08-20T00:00:00"/>
    <n v="0"/>
    <m/>
    <n v="1"/>
    <n v="10400000"/>
    <d v="2026-06-01T00:00:00"/>
    <x v="0"/>
  </r>
  <r>
    <s v="SERVICIO DE SALUD OSORNO"/>
    <x v="0"/>
    <x v="20"/>
    <s v="Proyecto operacional"/>
    <s v="Publicado"/>
    <s v="22.06.005"/>
    <x v="21"/>
    <s v="Dar cobertura a las necesidades de mantención de Equipos Médicos e Industriales de los establecimientos de la Red del Servicio de Salud Osorno."/>
    <x v="2"/>
    <x v="15"/>
    <n v="4"/>
    <n v="100"/>
    <x v="19"/>
    <x v="35"/>
    <x v="7"/>
    <x v="7"/>
    <x v="13"/>
    <x v="15"/>
    <s v="64-2337431-"/>
    <s v="khris.silva@redsalud.gob.cl"/>
    <x v="9"/>
    <d v="2025-08-20T00:00:00"/>
    <n v="0"/>
    <m/>
    <n v="1"/>
    <n v="35950000"/>
    <d v="2026-03-01T00:00:00"/>
    <x v="0"/>
  </r>
  <r>
    <s v="SERVICIO DE SALUD OSORNO"/>
    <x v="0"/>
    <x v="20"/>
    <s v="Proyecto operacional"/>
    <s v="Publicado"/>
    <s v="22.06.005"/>
    <x v="21"/>
    <s v="Dar cobertura a las necesidades de mantención de Equipos Médicos e Industriales de los establecimientos de la Red del Servicio de Salud Osorno."/>
    <x v="2"/>
    <x v="15"/>
    <n v="4"/>
    <n v="100"/>
    <x v="19"/>
    <x v="35"/>
    <x v="7"/>
    <x v="7"/>
    <x v="13"/>
    <x v="15"/>
    <s v="64-2337431-"/>
    <s v="khris.silva@redsalud.gob.cl"/>
    <x v="9"/>
    <d v="2025-08-20T00:00:00"/>
    <n v="0"/>
    <m/>
    <n v="1"/>
    <n v="35950000"/>
    <d v="2026-12-01T00:00:00"/>
    <x v="0"/>
  </r>
  <r>
    <s v="SERVICIO DE SALUD OSORNO"/>
    <x v="0"/>
    <x v="20"/>
    <s v="Proyecto operacional"/>
    <s v="Publicado"/>
    <s v="22.06.005"/>
    <x v="21"/>
    <s v="Dar cobertura a las necesidades de mantención de Equipos Médicos e Industriales de los establecimientos de la Red del Servicio de Salud Osorno."/>
    <x v="2"/>
    <x v="16"/>
    <n v="4"/>
    <n v="100"/>
    <x v="20"/>
    <x v="36"/>
    <x v="8"/>
    <x v="8"/>
    <x v="13"/>
    <x v="15"/>
    <s v="64-2337431-"/>
    <s v="khris.silva@redsalud.gob.cl"/>
    <x v="9"/>
    <d v="2025-08-20T00:00:00"/>
    <n v="0"/>
    <m/>
    <n v="1"/>
    <n v="7000000"/>
    <d v="2026-10-01T00:00:00"/>
    <x v="0"/>
  </r>
  <r>
    <s v="SERVICIO DE SALUD OSORNO"/>
    <x v="0"/>
    <x v="20"/>
    <s v="Proyecto operacional"/>
    <s v="Publicado"/>
    <s v="22.06.005"/>
    <x v="21"/>
    <s v="Dar cobertura a las necesidades de mantención de Equipos Médicos e Industriales de los establecimientos de la Red del Servicio de Salud Osorno."/>
    <x v="2"/>
    <x v="17"/>
    <n v="4"/>
    <n v="100"/>
    <x v="21"/>
    <x v="37"/>
    <x v="8"/>
    <x v="9"/>
    <x v="13"/>
    <x v="15"/>
    <s v="64-2337431-"/>
    <s v="khris.silva@redsalud.gob.cl"/>
    <x v="9"/>
    <d v="2025-08-20T00:00:00"/>
    <n v="0"/>
    <m/>
    <n v="1"/>
    <n v="45150000"/>
    <d v="2026-07-01T00:00:00"/>
    <x v="0"/>
  </r>
  <r>
    <s v="SERVICIO DE SALUD OSORNO"/>
    <x v="0"/>
    <x v="20"/>
    <s v="Proyecto operacional"/>
    <s v="Publicado"/>
    <s v="22.06.005"/>
    <x v="21"/>
    <s v="Dar cobertura a las necesidades de mantención de Equipos Médicos e Industriales de los establecimientos de la Red del Servicio de Salud Osorno."/>
    <x v="2"/>
    <x v="18"/>
    <n v="4"/>
    <n v="100"/>
    <x v="22"/>
    <x v="38"/>
    <x v="7"/>
    <x v="10"/>
    <x v="13"/>
    <x v="15"/>
    <s v="64-2337431-"/>
    <s v="khris.silva@redsalud.gob.cl"/>
    <x v="9"/>
    <d v="2025-08-20T00:00:00"/>
    <n v="0"/>
    <m/>
    <n v="1"/>
    <n v="12410000"/>
    <d v="2026-03-01T00:00:00"/>
    <x v="0"/>
  </r>
  <r>
    <s v="SERVICIO DE SALUD OSORNO"/>
    <x v="0"/>
    <x v="20"/>
    <s v="Proyecto operacional"/>
    <s v="Publicado"/>
    <s v="22.06.005"/>
    <x v="21"/>
    <s v="Dar cobertura a las necesidades de mantención de Equipos Médicos e Industriales de los establecimientos de la Red del Servicio de Salud Osorno."/>
    <x v="2"/>
    <x v="18"/>
    <n v="4"/>
    <n v="100"/>
    <x v="22"/>
    <x v="38"/>
    <x v="7"/>
    <x v="10"/>
    <x v="13"/>
    <x v="15"/>
    <s v="64-2337431-"/>
    <s v="khris.silva@redsalud.gob.cl"/>
    <x v="9"/>
    <d v="2025-08-20T00:00:00"/>
    <n v="0"/>
    <m/>
    <n v="1"/>
    <n v="12410000"/>
    <d v="2026-09-01T00:00:00"/>
    <x v="0"/>
  </r>
  <r>
    <s v="SERVICIO DE SALUD OSORNO"/>
    <x v="0"/>
    <x v="20"/>
    <s v="Proyecto operacional"/>
    <s v="Publicado"/>
    <s v="22.06.005"/>
    <x v="21"/>
    <s v="Dar cobertura a las necesidades de mantención de Equipos Médicos e Industriales de los establecimientos de la Red del Servicio de Salud Osorno."/>
    <x v="2"/>
    <x v="19"/>
    <n v="4"/>
    <n v="100"/>
    <x v="23"/>
    <x v="39"/>
    <x v="9"/>
    <x v="11"/>
    <x v="13"/>
    <x v="15"/>
    <s v="64-2337431-"/>
    <s v="khris.silva@redsalud.gob.cl"/>
    <x v="9"/>
    <d v="2025-08-20T00:00:00"/>
    <n v="0"/>
    <m/>
    <n v="1"/>
    <n v="7733333"/>
    <d v="2026-06-01T00:00:00"/>
    <x v="0"/>
  </r>
  <r>
    <s v="SERVICIO DE SALUD OSORNO"/>
    <x v="0"/>
    <x v="20"/>
    <s v="Proyecto operacional"/>
    <s v="Publicado"/>
    <s v="22.06.005"/>
    <x v="21"/>
    <s v="Dar cobertura a las necesidades de mantención de Equipos Médicos e Industriales de los establecimientos de la Red del Servicio de Salud Osorno."/>
    <x v="2"/>
    <x v="19"/>
    <n v="4"/>
    <n v="100"/>
    <x v="23"/>
    <x v="40"/>
    <x v="9"/>
    <x v="11"/>
    <x v="13"/>
    <x v="15"/>
    <s v="64-2337431-"/>
    <s v="khris.silva@redsalud.gob.cl"/>
    <x v="9"/>
    <d v="2025-08-20T00:00:00"/>
    <n v="0"/>
    <m/>
    <n v="1"/>
    <n v="7733335"/>
    <d v="2026-12-01T00:00:00"/>
    <x v="0"/>
  </r>
  <r>
    <s v="SERVICIO DE SALUD OSORNO"/>
    <x v="0"/>
    <x v="20"/>
    <s v="Proyecto operacional"/>
    <s v="Publicado"/>
    <s v="22.06.005"/>
    <x v="21"/>
    <s v="Dar cobertura a las necesidades de mantención de Equipos Médicos e Industriales de los establecimientos de la Red del Servicio de Salud Osorno."/>
    <x v="2"/>
    <x v="19"/>
    <n v="4"/>
    <n v="100"/>
    <x v="23"/>
    <x v="39"/>
    <x v="9"/>
    <x v="11"/>
    <x v="13"/>
    <x v="15"/>
    <s v="64-2337431-"/>
    <s v="khris.silva@redsalud.gob.cl"/>
    <x v="9"/>
    <d v="2025-08-20T00:00:00"/>
    <n v="0"/>
    <m/>
    <n v="1"/>
    <n v="7733333"/>
    <d v="2026-11-01T00:00:00"/>
    <x v="0"/>
  </r>
  <r>
    <s v="SERVICIO DE SALUD OSORNO"/>
    <x v="0"/>
    <x v="20"/>
    <s v="Proyecto operacional"/>
    <s v="Publicado"/>
    <s v="22.06.005"/>
    <x v="21"/>
    <s v="Dar cobertura a las necesidades de mantención de Equipos Médicos e Industriales de los establecimientos de la Red del Servicio de Salud Osorno."/>
    <x v="2"/>
    <x v="20"/>
    <n v="4"/>
    <n v="100"/>
    <x v="24"/>
    <x v="41"/>
    <x v="7"/>
    <x v="6"/>
    <x v="13"/>
    <x v="15"/>
    <s v="64-2337431-"/>
    <s v="khris.silva@redsalud.gob.cl"/>
    <x v="9"/>
    <d v="2025-08-20T00:00:00"/>
    <n v="0"/>
    <m/>
    <n v="1"/>
    <n v="40750000"/>
    <d v="2026-12-01T00:00:00"/>
    <x v="0"/>
  </r>
  <r>
    <s v="SERVICIO DE SALUD OSORNO"/>
    <x v="0"/>
    <x v="20"/>
    <s v="Proyecto operacional"/>
    <s v="Publicado"/>
    <s v="22.06.005"/>
    <x v="21"/>
    <s v="Dar cobertura a las necesidades de mantención de Equipos Médicos e Industriales de los establecimientos de la Red del Servicio de Salud Osorno."/>
    <x v="2"/>
    <x v="20"/>
    <n v="4"/>
    <n v="100"/>
    <x v="24"/>
    <x v="41"/>
    <x v="7"/>
    <x v="6"/>
    <x v="13"/>
    <x v="15"/>
    <s v="64-2337431-"/>
    <s v="khris.silva@redsalud.gob.cl"/>
    <x v="9"/>
    <d v="2025-08-20T00:00:00"/>
    <n v="0"/>
    <m/>
    <n v="1"/>
    <n v="40750000"/>
    <d v="2026-06-01T00:00:00"/>
    <x v="0"/>
  </r>
  <r>
    <s v="SERVICIO DE SALUD OSORNO"/>
    <x v="0"/>
    <x v="20"/>
    <s v="Proyecto operacional"/>
    <s v="Publicado"/>
    <s v="22.06.005"/>
    <x v="21"/>
    <s v="Dar cobertura a las necesidades de mantención de Equipos Médicos e Industriales de los establecimientos de la Red del Servicio de Salud Osorno."/>
    <x v="2"/>
    <x v="21"/>
    <n v="4"/>
    <n v="100"/>
    <x v="25"/>
    <x v="42"/>
    <x v="10"/>
    <x v="12"/>
    <x v="13"/>
    <x v="15"/>
    <s v="64-2337431-"/>
    <s v="khris.silva@redsalud.gob.cl"/>
    <x v="9"/>
    <d v="2025-08-20T00:00:00"/>
    <n v="1"/>
    <s v="1057532-5462-SE25"/>
    <n v="1"/>
    <n v="3487500"/>
    <d v="2026-08-01T00:00:00"/>
    <x v="0"/>
  </r>
  <r>
    <s v="SERVICIO DE SALUD OSORNO"/>
    <x v="0"/>
    <x v="20"/>
    <s v="Proyecto operacional"/>
    <s v="Publicado"/>
    <s v="22.06.005"/>
    <x v="21"/>
    <s v="Dar cobertura a las necesidades de mantención de Equipos Médicos e Industriales de los establecimientos de la Red del Servicio de Salud Osorno."/>
    <x v="2"/>
    <x v="21"/>
    <n v="4"/>
    <n v="100"/>
    <x v="25"/>
    <x v="42"/>
    <x v="10"/>
    <x v="12"/>
    <x v="13"/>
    <x v="15"/>
    <s v="64-2337431-"/>
    <s v="khris.silva@redsalud.gob.cl"/>
    <x v="9"/>
    <d v="2025-08-20T00:00:00"/>
    <n v="1"/>
    <s v="1057532-5462-SE25"/>
    <n v="1"/>
    <n v="3487500"/>
    <d v="2026-05-01T00:00:00"/>
    <x v="0"/>
  </r>
  <r>
    <s v="SERVICIO DE SALUD OSORNO"/>
    <x v="0"/>
    <x v="20"/>
    <s v="Proyecto operacional"/>
    <s v="Publicado"/>
    <s v="22.06.005"/>
    <x v="21"/>
    <s v="Dar cobertura a las necesidades de mantención de Equipos Médicos e Industriales de los establecimientos de la Red del Servicio de Salud Osorno."/>
    <x v="2"/>
    <x v="21"/>
    <n v="4"/>
    <n v="100"/>
    <x v="25"/>
    <x v="42"/>
    <x v="10"/>
    <x v="12"/>
    <x v="13"/>
    <x v="15"/>
    <s v="64-2337431-"/>
    <s v="khris.silva@redsalud.gob.cl"/>
    <x v="9"/>
    <d v="2025-08-20T00:00:00"/>
    <n v="1"/>
    <s v="1057532-5462-SE25"/>
    <n v="1"/>
    <n v="3487500"/>
    <d v="2026-04-01T00:00:00"/>
    <x v="0"/>
  </r>
  <r>
    <s v="SERVICIO DE SALUD OSORNO"/>
    <x v="0"/>
    <x v="20"/>
    <s v="Proyecto operacional"/>
    <s v="Publicado"/>
    <s v="22.06.005"/>
    <x v="21"/>
    <s v="Dar cobertura a las necesidades de mantención de Equipos Médicos e Industriales de los establecimientos de la Red del Servicio de Salud Osorno."/>
    <x v="2"/>
    <x v="21"/>
    <n v="4"/>
    <n v="100"/>
    <x v="25"/>
    <x v="42"/>
    <x v="10"/>
    <x v="12"/>
    <x v="13"/>
    <x v="15"/>
    <s v="64-2337431-"/>
    <s v="khris.silva@redsalud.gob.cl"/>
    <x v="9"/>
    <d v="2025-08-20T00:00:00"/>
    <n v="1"/>
    <s v="1057532-5462-SE25"/>
    <n v="1"/>
    <n v="3487500"/>
    <d v="2026-10-01T00:00:00"/>
    <x v="0"/>
  </r>
  <r>
    <s v="SERVICIO DE SALUD OSORNO"/>
    <x v="0"/>
    <x v="20"/>
    <s v="Proyecto operacional"/>
    <s v="Publicado"/>
    <s v="22.06.005"/>
    <x v="21"/>
    <s v="Dar cobertura a las necesidades de mantención de Equipos Médicos e Industriales de los establecimientos de la Red del Servicio de Salud Osorno."/>
    <x v="2"/>
    <x v="22"/>
    <n v="4"/>
    <n v="100"/>
    <x v="26"/>
    <x v="43"/>
    <x v="10"/>
    <x v="13"/>
    <x v="13"/>
    <x v="15"/>
    <s v="64-2337431-"/>
    <s v="khris.silva@redsalud.gob.cl"/>
    <x v="9"/>
    <d v="2025-08-20T00:00:00"/>
    <n v="0"/>
    <m/>
    <n v="1"/>
    <n v="11450000"/>
    <d v="2026-08-01T00:00:00"/>
    <x v="0"/>
  </r>
  <r>
    <s v="SERVICIO DE SALUD OSORNO"/>
    <x v="0"/>
    <x v="20"/>
    <s v="Proyecto operacional"/>
    <s v="Publicado"/>
    <s v="22.06.005"/>
    <x v="21"/>
    <s v="Dar cobertura a las necesidades de mantención de Equipos Médicos e Industriales de los establecimientos de la Red del Servicio de Salud Osorno."/>
    <x v="2"/>
    <x v="22"/>
    <n v="4"/>
    <n v="100"/>
    <x v="26"/>
    <x v="43"/>
    <x v="10"/>
    <x v="13"/>
    <x v="13"/>
    <x v="15"/>
    <s v="64-2337431-"/>
    <s v="khris.silva@redsalud.gob.cl"/>
    <x v="9"/>
    <d v="2025-08-20T00:00:00"/>
    <n v="0"/>
    <m/>
    <n v="1"/>
    <n v="11450000"/>
    <d v="2026-02-01T00:00:00"/>
    <x v="0"/>
  </r>
  <r>
    <s v="SERVICIO DE SALUD OSORNO"/>
    <x v="0"/>
    <x v="20"/>
    <s v="Proyecto operacional"/>
    <s v="Publicado"/>
    <s v="22.06.005"/>
    <x v="21"/>
    <s v="Dar cobertura a las necesidades de mantención de Equipos Médicos e Industriales de los establecimientos de la Red del Servicio de Salud Osorno."/>
    <x v="2"/>
    <x v="22"/>
    <n v="4"/>
    <n v="100"/>
    <x v="26"/>
    <x v="43"/>
    <x v="10"/>
    <x v="13"/>
    <x v="13"/>
    <x v="15"/>
    <s v="64-2337431-"/>
    <s v="khris.silva@redsalud.gob.cl"/>
    <x v="9"/>
    <d v="2025-08-20T00:00:00"/>
    <n v="0"/>
    <m/>
    <n v="1"/>
    <n v="11450000"/>
    <d v="2026-05-01T00:00:00"/>
    <x v="0"/>
  </r>
  <r>
    <s v="SERVICIO DE SALUD OSORNO"/>
    <x v="0"/>
    <x v="20"/>
    <s v="Proyecto operacional"/>
    <s v="Publicado"/>
    <s v="22.06.005"/>
    <x v="21"/>
    <s v="Dar cobertura a las necesidades de mantención de Equipos Médicos e Industriales de los establecimientos de la Red del Servicio de Salud Osorno."/>
    <x v="2"/>
    <x v="22"/>
    <n v="4"/>
    <n v="100"/>
    <x v="26"/>
    <x v="43"/>
    <x v="10"/>
    <x v="13"/>
    <x v="13"/>
    <x v="15"/>
    <s v="64-2337431-"/>
    <s v="khris.silva@redsalud.gob.cl"/>
    <x v="9"/>
    <d v="2025-08-20T00:00:00"/>
    <n v="0"/>
    <m/>
    <n v="1"/>
    <n v="11450000"/>
    <d v="2026-11-01T00:00:00"/>
    <x v="0"/>
  </r>
  <r>
    <s v="SERVICIO DE SALUD OSORNO"/>
    <x v="0"/>
    <x v="20"/>
    <s v="Proyecto operacional"/>
    <s v="Publicado"/>
    <s v="22.06.005"/>
    <x v="21"/>
    <s v="Dar cobertura a las necesidades de mantención de Equipos Médicos e Industriales de los establecimientos de la Red del Servicio de Salud Osorno."/>
    <x v="2"/>
    <x v="23"/>
    <n v="4"/>
    <n v="100"/>
    <x v="27"/>
    <x v="44"/>
    <x v="1"/>
    <x v="14"/>
    <x v="13"/>
    <x v="15"/>
    <s v="64-2337431-"/>
    <s v="khris.silva@redsalud.gob.cl"/>
    <x v="9"/>
    <d v="2025-08-20T00:00:00"/>
    <n v="2"/>
    <s v="1057532-4799-AG25"/>
    <n v="1"/>
    <n v="1773333"/>
    <d v="2026-08-01T00:00:00"/>
    <x v="0"/>
  </r>
  <r>
    <s v="SERVICIO DE SALUD OSORNO"/>
    <x v="0"/>
    <x v="20"/>
    <s v="Proyecto operacional"/>
    <s v="Publicado"/>
    <s v="22.06.005"/>
    <x v="21"/>
    <s v="Dar cobertura a las necesidades de mantención de Equipos Médicos e Industriales de los establecimientos de la Red del Servicio de Salud Osorno."/>
    <x v="2"/>
    <x v="23"/>
    <n v="4"/>
    <n v="100"/>
    <x v="27"/>
    <x v="44"/>
    <x v="1"/>
    <x v="14"/>
    <x v="13"/>
    <x v="15"/>
    <s v="64-2337431-"/>
    <s v="khris.silva@redsalud.gob.cl"/>
    <x v="9"/>
    <d v="2025-08-20T00:00:00"/>
    <n v="2"/>
    <s v="1057532-5363-AG25"/>
    <n v="1"/>
    <n v="1773333"/>
    <d v="2026-01-01T00:00:00"/>
    <x v="0"/>
  </r>
  <r>
    <s v="SERVICIO DE SALUD OSORNO"/>
    <x v="0"/>
    <x v="20"/>
    <s v="Proyecto operacional"/>
    <s v="Publicado"/>
    <s v="22.06.005"/>
    <x v="21"/>
    <s v="Dar cobertura a las necesidades de mantención de Equipos Médicos e Industriales de los establecimientos de la Red del Servicio de Salud Osorno."/>
    <x v="2"/>
    <x v="23"/>
    <n v="4"/>
    <n v="100"/>
    <x v="27"/>
    <x v="44"/>
    <x v="1"/>
    <x v="14"/>
    <x v="13"/>
    <x v="15"/>
    <s v="64-2337431-"/>
    <s v="khris.silva@redsalud.gob.cl"/>
    <x v="9"/>
    <d v="2025-08-20T00:00:00"/>
    <n v="2"/>
    <s v="1057532-5363-AG25"/>
    <n v="1"/>
    <n v="1773333"/>
    <d v="2026-04-01T00:00:00"/>
    <x v="0"/>
  </r>
  <r>
    <s v="SERVICIO DE SALUD OSORNO"/>
    <x v="0"/>
    <x v="20"/>
    <s v="Proyecto operacional"/>
    <s v="Publicado"/>
    <s v="22.06.005"/>
    <x v="21"/>
    <s v="Dar cobertura a las necesidades de mantención de Equipos Médicos e Industriales de los establecimientos de la Red del Servicio de Salud Osorno."/>
    <x v="2"/>
    <x v="23"/>
    <n v="4"/>
    <n v="100"/>
    <x v="27"/>
    <x v="44"/>
    <x v="1"/>
    <x v="14"/>
    <x v="13"/>
    <x v="15"/>
    <s v="64-2337431-"/>
    <s v="khris.silva@redsalud.gob.cl"/>
    <x v="9"/>
    <d v="2025-08-20T00:00:00"/>
    <n v="2"/>
    <s v="1057532-5363-AG25"/>
    <n v="1"/>
    <n v="1773333"/>
    <d v="2026-02-01T00:00:00"/>
    <x v="0"/>
  </r>
  <r>
    <s v="SERVICIO DE SALUD OSORNO"/>
    <x v="0"/>
    <x v="20"/>
    <s v="Proyecto operacional"/>
    <s v="Publicado"/>
    <s v="22.06.005"/>
    <x v="21"/>
    <s v="Dar cobertura a las necesidades de mantención de Equipos Médicos e Industriales de los establecimientos de la Red del Servicio de Salud Osorno."/>
    <x v="2"/>
    <x v="23"/>
    <n v="4"/>
    <n v="100"/>
    <x v="27"/>
    <x v="44"/>
    <x v="1"/>
    <x v="14"/>
    <x v="13"/>
    <x v="15"/>
    <s v="64-2337431-"/>
    <s v="khris.silva@redsalud.gob.cl"/>
    <x v="9"/>
    <d v="2025-08-20T00:00:00"/>
    <n v="2"/>
    <s v="1057532-5363-AG25"/>
    <n v="1"/>
    <n v="1773333"/>
    <d v="2026-06-01T00:00:00"/>
    <x v="0"/>
  </r>
  <r>
    <s v="SERVICIO DE SALUD OSORNO"/>
    <x v="0"/>
    <x v="20"/>
    <s v="Proyecto operacional"/>
    <s v="Publicado"/>
    <s v="22.06.005"/>
    <x v="21"/>
    <s v="Dar cobertura a las necesidades de mantención de Equipos Médicos e Industriales de los establecimientos de la Red del Servicio de Salud Osorno."/>
    <x v="2"/>
    <x v="23"/>
    <n v="4"/>
    <n v="100"/>
    <x v="27"/>
    <x v="44"/>
    <x v="1"/>
    <x v="14"/>
    <x v="13"/>
    <x v="15"/>
    <s v="64-2337431-"/>
    <s v="khris.silva@redsalud.gob.cl"/>
    <x v="9"/>
    <d v="2025-08-20T00:00:00"/>
    <n v="2"/>
    <s v="1057532-4799-AG25"/>
    <n v="1"/>
    <n v="1773333"/>
    <d v="2026-03-01T00:00:00"/>
    <x v="0"/>
  </r>
  <r>
    <s v="SERVICIO DE SALUD OSORNO"/>
    <x v="0"/>
    <x v="20"/>
    <s v="Proyecto operacional"/>
    <s v="Publicado"/>
    <s v="22.06.005"/>
    <x v="21"/>
    <s v="Dar cobertura a las necesidades de mantención de Equipos Médicos e Industriales de los establecimientos de la Red del Servicio de Salud Osorno."/>
    <x v="2"/>
    <x v="23"/>
    <n v="4"/>
    <n v="100"/>
    <x v="27"/>
    <x v="44"/>
    <x v="1"/>
    <x v="14"/>
    <x v="13"/>
    <x v="15"/>
    <s v="64-2337431-"/>
    <s v="khris.silva@redsalud.gob.cl"/>
    <x v="9"/>
    <d v="2025-08-20T00:00:00"/>
    <n v="2"/>
    <s v="1057532-4799-AG25"/>
    <n v="1"/>
    <n v="1773333"/>
    <d v="2026-07-01T00:00:00"/>
    <x v="0"/>
  </r>
  <r>
    <s v="SERVICIO DE SALUD OSORNO"/>
    <x v="0"/>
    <x v="20"/>
    <s v="Proyecto operacional"/>
    <s v="Publicado"/>
    <s v="22.06.005"/>
    <x v="21"/>
    <s v="Dar cobertura a las necesidades de mantención de Equipos Médicos e Industriales de los establecimientos de la Red del Servicio de Salud Osorno."/>
    <x v="2"/>
    <x v="23"/>
    <n v="4"/>
    <n v="100"/>
    <x v="27"/>
    <x v="44"/>
    <x v="1"/>
    <x v="14"/>
    <x v="13"/>
    <x v="15"/>
    <s v="64-2337431-"/>
    <s v="khris.silva@redsalud.gob.cl"/>
    <x v="9"/>
    <d v="2025-08-20T00:00:00"/>
    <n v="2"/>
    <s v="1057532-4799-AG25"/>
    <n v="1"/>
    <n v="1773333"/>
    <d v="2026-01-01T00:00:00"/>
    <x v="0"/>
  </r>
  <r>
    <s v="SERVICIO DE SALUD OSORNO"/>
    <x v="0"/>
    <x v="20"/>
    <s v="Proyecto operacional"/>
    <s v="Publicado"/>
    <s v="22.06.005"/>
    <x v="21"/>
    <s v="Dar cobertura a las necesidades de mantención de Equipos Médicos e Industriales de los establecimientos de la Red del Servicio de Salud Osorno."/>
    <x v="2"/>
    <x v="23"/>
    <n v="4"/>
    <n v="100"/>
    <x v="27"/>
    <x v="44"/>
    <x v="1"/>
    <x v="14"/>
    <x v="13"/>
    <x v="15"/>
    <s v="64-2337431-"/>
    <s v="khris.silva@redsalud.gob.cl"/>
    <x v="9"/>
    <d v="2025-08-20T00:00:00"/>
    <n v="2"/>
    <s v="1057532-4799-AG25"/>
    <n v="1"/>
    <n v="1773333"/>
    <d v="2026-05-01T00:00:00"/>
    <x v="0"/>
  </r>
  <r>
    <s v="SERVICIO DE SALUD OSORNO"/>
    <x v="0"/>
    <x v="20"/>
    <s v="Proyecto operacional"/>
    <s v="Publicado"/>
    <s v="22.06.005"/>
    <x v="21"/>
    <s v="Dar cobertura a las necesidades de mantención de Equipos Médicos e Industriales de los establecimientos de la Red del Servicio de Salud Osorno."/>
    <x v="2"/>
    <x v="23"/>
    <n v="4"/>
    <n v="100"/>
    <x v="27"/>
    <x v="44"/>
    <x v="1"/>
    <x v="14"/>
    <x v="13"/>
    <x v="15"/>
    <s v="64-2337431-"/>
    <s v="khris.silva@redsalud.gob.cl"/>
    <x v="9"/>
    <d v="2025-08-20T00:00:00"/>
    <n v="2"/>
    <s v="1057532-4799-AG25"/>
    <n v="1"/>
    <n v="1773333"/>
    <d v="2026-06-01T00:00:00"/>
    <x v="0"/>
  </r>
  <r>
    <s v="SERVICIO DE SALUD OSORNO"/>
    <x v="0"/>
    <x v="20"/>
    <s v="Proyecto operacional"/>
    <s v="Publicado"/>
    <s v="22.06.005"/>
    <x v="21"/>
    <s v="Dar cobertura a las necesidades de mantención de Equipos Médicos e Industriales de los establecimientos de la Red del Servicio de Salud Osorno."/>
    <x v="2"/>
    <x v="23"/>
    <n v="4"/>
    <n v="100"/>
    <x v="27"/>
    <x v="44"/>
    <x v="1"/>
    <x v="14"/>
    <x v="13"/>
    <x v="15"/>
    <s v="64-2337431-"/>
    <s v="khris.silva@redsalud.gob.cl"/>
    <x v="9"/>
    <d v="2025-08-20T00:00:00"/>
    <n v="2"/>
    <s v="1057532-4799-AG25"/>
    <n v="1"/>
    <n v="1773333"/>
    <d v="2026-12-01T00:00:00"/>
    <x v="0"/>
  </r>
  <r>
    <s v="SERVICIO DE SALUD OSORNO"/>
    <x v="0"/>
    <x v="20"/>
    <s v="Proyecto operacional"/>
    <s v="Publicado"/>
    <s v="22.06.005"/>
    <x v="21"/>
    <s v="Dar cobertura a las necesidades de mantención de Equipos Médicos e Industriales de los establecimientos de la Red del Servicio de Salud Osorno."/>
    <x v="2"/>
    <x v="23"/>
    <n v="4"/>
    <n v="100"/>
    <x v="27"/>
    <x v="44"/>
    <x v="1"/>
    <x v="14"/>
    <x v="13"/>
    <x v="15"/>
    <s v="64-2337431-"/>
    <s v="khris.silva@redsalud.gob.cl"/>
    <x v="9"/>
    <d v="2025-08-20T00:00:00"/>
    <n v="2"/>
    <s v="1057532-4799-AG25"/>
    <n v="1"/>
    <n v="1773333"/>
    <d v="2026-04-01T00:00:00"/>
    <x v="0"/>
  </r>
  <r>
    <s v="SERVICIO DE SALUD OSORNO"/>
    <x v="0"/>
    <x v="20"/>
    <s v="Proyecto operacional"/>
    <s v="Publicado"/>
    <s v="22.06.005"/>
    <x v="21"/>
    <s v="Dar cobertura a las necesidades de mantención de Equipos Médicos e Industriales de los establecimientos de la Red del Servicio de Salud Osorno."/>
    <x v="2"/>
    <x v="24"/>
    <n v="4"/>
    <n v="100"/>
    <x v="28"/>
    <x v="45"/>
    <x v="8"/>
    <x v="15"/>
    <x v="13"/>
    <x v="15"/>
    <s v="64-2337431-"/>
    <s v="khris.silva@redsalud.gob.cl"/>
    <x v="10"/>
    <d v="2025-08-20T00:00:00"/>
    <n v="1"/>
    <s v="1057532-4785-AG25"/>
    <n v="1"/>
    <n v="225000"/>
    <d v="2026-03-01T00:00:00"/>
    <x v="0"/>
  </r>
  <r>
    <s v="SERVICIO DE SALUD OSORNO"/>
    <x v="0"/>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x v="1"/>
    <x v="25"/>
    <n v="4"/>
    <n v="1"/>
    <x v="29"/>
    <x v="46"/>
    <x v="1"/>
    <x v="16"/>
    <x v="14"/>
    <x v="16"/>
    <s v="64-335811-"/>
    <s v="eleuterio.roman@redsalud.gob.cl"/>
    <x v="11"/>
    <d v="2025-08-20T00:00:00"/>
    <n v="12"/>
    <s v="1057532-5204-SE25"/>
    <n v="1"/>
    <n v="6250000"/>
    <d v="2026-09-01T00:00:00"/>
    <x v="0"/>
  </r>
  <r>
    <s v="SERVICIO DE SALUD OSORNO"/>
    <x v="0"/>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x v="1"/>
    <x v="25"/>
    <n v="4"/>
    <n v="1"/>
    <x v="29"/>
    <x v="46"/>
    <x v="1"/>
    <x v="16"/>
    <x v="14"/>
    <x v="16"/>
    <s v="64-335811-"/>
    <s v="eleuterio.roman@redsalud.gob.cl"/>
    <x v="11"/>
    <d v="2025-08-20T00:00:00"/>
    <n v="12"/>
    <s v="1057532-5140-SE25"/>
    <n v="1"/>
    <n v="6250000"/>
    <d v="2026-01-01T00:00:00"/>
    <x v="0"/>
  </r>
  <r>
    <s v="SERVICIO DE SALUD OSORNO"/>
    <x v="0"/>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x v="1"/>
    <x v="25"/>
    <n v="4"/>
    <n v="1"/>
    <x v="29"/>
    <x v="46"/>
    <x v="1"/>
    <x v="16"/>
    <x v="14"/>
    <x v="16"/>
    <s v="64-335811-"/>
    <s v="eleuterio.roman@redsalud.gob.cl"/>
    <x v="11"/>
    <d v="2025-08-20T00:00:00"/>
    <n v="12"/>
    <s v="1057532-5140-SE25"/>
    <n v="1"/>
    <n v="6250000"/>
    <d v="2026-08-01T00:00:00"/>
    <x v="0"/>
  </r>
  <r>
    <s v="SERVICIO DE SALUD OSORNO"/>
    <x v="0"/>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x v="1"/>
    <x v="25"/>
    <n v="4"/>
    <n v="1"/>
    <x v="29"/>
    <x v="46"/>
    <x v="1"/>
    <x v="16"/>
    <x v="14"/>
    <x v="16"/>
    <s v="64-335811-"/>
    <s v="eleuterio.roman@redsalud.gob.cl"/>
    <x v="11"/>
    <d v="2025-08-20T00:00:00"/>
    <n v="12"/>
    <s v="1057532-5140-SE25"/>
    <n v="1"/>
    <n v="6250000"/>
    <d v="2026-07-01T00:00:00"/>
    <x v="0"/>
  </r>
  <r>
    <s v="SERVICIO DE SALUD OSORNO"/>
    <x v="0"/>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x v="1"/>
    <x v="25"/>
    <n v="4"/>
    <n v="1"/>
    <x v="29"/>
    <x v="46"/>
    <x v="1"/>
    <x v="16"/>
    <x v="14"/>
    <x v="16"/>
    <s v="64-335811-"/>
    <s v="eleuterio.roman@redsalud.gob.cl"/>
    <x v="11"/>
    <d v="2025-08-20T00:00:00"/>
    <n v="12"/>
    <s v="1057532-5140-SE25"/>
    <n v="1"/>
    <n v="6250000"/>
    <d v="2026-02-01T00:00:00"/>
    <x v="0"/>
  </r>
  <r>
    <s v="SERVICIO DE SALUD OSORNO"/>
    <x v="0"/>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x v="1"/>
    <x v="25"/>
    <n v="4"/>
    <n v="1"/>
    <x v="29"/>
    <x v="46"/>
    <x v="1"/>
    <x v="16"/>
    <x v="14"/>
    <x v="16"/>
    <s v="64-335811-"/>
    <s v="eleuterio.roman@redsalud.gob.cl"/>
    <x v="11"/>
    <d v="2025-08-20T00:00:00"/>
    <n v="12"/>
    <s v="1057532-5140-SE25"/>
    <n v="1"/>
    <n v="6250000"/>
    <d v="2026-05-01T00:00:00"/>
    <x v="0"/>
  </r>
  <r>
    <s v="SERVICIO DE SALUD OSORNO"/>
    <x v="0"/>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x v="1"/>
    <x v="25"/>
    <n v="4"/>
    <n v="1"/>
    <x v="29"/>
    <x v="46"/>
    <x v="1"/>
    <x v="16"/>
    <x v="14"/>
    <x v="16"/>
    <s v="64-335811-"/>
    <s v="eleuterio.roman@redsalud.gob.cl"/>
    <x v="11"/>
    <d v="2025-08-20T00:00:00"/>
    <n v="12"/>
    <s v="1057532-5140-SE25"/>
    <n v="1"/>
    <n v="6250000"/>
    <d v="2026-03-01T00:00:00"/>
    <x v="0"/>
  </r>
  <r>
    <s v="SERVICIO DE SALUD OSORNO"/>
    <x v="0"/>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x v="1"/>
    <x v="25"/>
    <n v="4"/>
    <n v="1"/>
    <x v="29"/>
    <x v="46"/>
    <x v="1"/>
    <x v="16"/>
    <x v="14"/>
    <x v="16"/>
    <s v="64-335811-"/>
    <s v="eleuterio.roman@redsalud.gob.cl"/>
    <x v="11"/>
    <d v="2025-08-20T00:00:00"/>
    <n v="12"/>
    <s v="1057532-5142-SE25"/>
    <n v="1"/>
    <n v="6250000"/>
    <d v="2026-05-01T00:00:00"/>
    <x v="0"/>
  </r>
  <r>
    <s v="SERVICIO DE SALUD OSORNO"/>
    <x v="0"/>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x v="1"/>
    <x v="25"/>
    <n v="4"/>
    <n v="1"/>
    <x v="29"/>
    <x v="46"/>
    <x v="1"/>
    <x v="16"/>
    <x v="14"/>
    <x v="16"/>
    <s v="64-335811-"/>
    <s v="eleuterio.roman@redsalud.gob.cl"/>
    <x v="11"/>
    <d v="2025-08-20T00:00:00"/>
    <n v="12"/>
    <s v="1057532-5148-SE25"/>
    <n v="1"/>
    <n v="6250000"/>
    <d v="2026-03-01T00:00:00"/>
    <x v="0"/>
  </r>
  <r>
    <s v="SERVICIO DE SALUD OSORNO"/>
    <x v="0"/>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x v="1"/>
    <x v="25"/>
    <n v="4"/>
    <n v="1"/>
    <x v="29"/>
    <x v="46"/>
    <x v="1"/>
    <x v="16"/>
    <x v="14"/>
    <x v="16"/>
    <s v="64-335811-"/>
    <s v="eleuterio.roman@redsalud.gob.cl"/>
    <x v="11"/>
    <d v="2025-08-20T00:00:00"/>
    <n v="12"/>
    <s v="1057532-5204-SE25"/>
    <n v="1"/>
    <n v="6250000"/>
    <d v="2026-08-01T00:00:00"/>
    <x v="0"/>
  </r>
  <r>
    <s v="SERVICIO DE SALUD OSORNO"/>
    <x v="0"/>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x v="1"/>
    <x v="25"/>
    <n v="4"/>
    <n v="1"/>
    <x v="29"/>
    <x v="46"/>
    <x v="1"/>
    <x v="16"/>
    <x v="14"/>
    <x v="16"/>
    <s v="64-335811-"/>
    <s v="eleuterio.roman@redsalud.gob.cl"/>
    <x v="11"/>
    <d v="2025-08-20T00:00:00"/>
    <n v="12"/>
    <s v="1057532-5204-SE25"/>
    <n v="1"/>
    <n v="6250000"/>
    <d v="2026-06-01T00:00:00"/>
    <x v="0"/>
  </r>
  <r>
    <s v="SERVICIO DE SALUD OSORNO"/>
    <x v="0"/>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x v="1"/>
    <x v="25"/>
    <n v="4"/>
    <n v="1"/>
    <x v="29"/>
    <x v="46"/>
    <x v="1"/>
    <x v="16"/>
    <x v="14"/>
    <x v="16"/>
    <s v="64-335811-"/>
    <s v="eleuterio.roman@redsalud.gob.cl"/>
    <x v="11"/>
    <d v="2025-08-20T00:00:00"/>
    <n v="12"/>
    <s v="1057532-5140-SE25"/>
    <n v="1"/>
    <n v="6250000"/>
    <d v="2026-04-01T00:00:00"/>
    <x v="0"/>
  </r>
  <r>
    <s v="SERVICIO DE SALUD OSORNO"/>
    <x v="0"/>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x v="1"/>
    <x v="12"/>
    <n v="4"/>
    <n v="1"/>
    <x v="30"/>
    <x v="47"/>
    <x v="5"/>
    <x v="5"/>
    <x v="9"/>
    <x v="17"/>
    <s v="64-337381-"/>
    <s v="lorena.torresc@redsalud.gob.cl"/>
    <x v="12"/>
    <d v="2025-08-20T00:00:00"/>
    <n v="0"/>
    <m/>
    <n v="1"/>
    <n v="12000000"/>
    <d v="2026-12-01T00:00:00"/>
    <x v="0"/>
  </r>
  <r>
    <s v="SERVICIO DE SALUD OSORNO"/>
    <x v="0"/>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x v="1"/>
    <x v="12"/>
    <n v="4"/>
    <n v="1"/>
    <x v="30"/>
    <x v="47"/>
    <x v="5"/>
    <x v="5"/>
    <x v="9"/>
    <x v="17"/>
    <s v="64-337381-"/>
    <s v="lorena.torresc@redsalud.gob.cl"/>
    <x v="12"/>
    <d v="2025-08-20T00:00:00"/>
    <n v="0"/>
    <m/>
    <n v="1"/>
    <n v="12000000"/>
    <d v="2026-06-01T00:00:00"/>
    <x v="0"/>
  </r>
  <r>
    <s v="SERVICIO DE SALUD OSORNO"/>
    <x v="0"/>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x v="1"/>
    <x v="12"/>
    <n v="4"/>
    <n v="1"/>
    <x v="30"/>
    <x v="47"/>
    <x v="5"/>
    <x v="5"/>
    <x v="9"/>
    <x v="17"/>
    <s v="64-337381-"/>
    <s v="lorena.torresc@redsalud.gob.cl"/>
    <x v="12"/>
    <d v="2025-08-20T00:00:00"/>
    <n v="0"/>
    <m/>
    <n v="1"/>
    <n v="12000000"/>
    <d v="2026-02-01T00:00:00"/>
    <x v="0"/>
  </r>
  <r>
    <s v="SERVICIO DE SALUD OSORNO"/>
    <x v="0"/>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x v="1"/>
    <x v="12"/>
    <n v="4"/>
    <n v="1"/>
    <x v="30"/>
    <x v="47"/>
    <x v="5"/>
    <x v="5"/>
    <x v="9"/>
    <x v="17"/>
    <s v="64-337381-"/>
    <s v="lorena.torresc@redsalud.gob.cl"/>
    <x v="12"/>
    <d v="2025-08-20T00:00:00"/>
    <n v="0"/>
    <m/>
    <n v="1"/>
    <n v="12000000"/>
    <d v="2026-01-01T00:00:00"/>
    <x v="0"/>
  </r>
  <r>
    <s v="SERVICIO DE SALUD OSORNO"/>
    <x v="0"/>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x v="1"/>
    <x v="12"/>
    <n v="4"/>
    <n v="1"/>
    <x v="30"/>
    <x v="47"/>
    <x v="5"/>
    <x v="5"/>
    <x v="9"/>
    <x v="17"/>
    <s v="64-337381-"/>
    <s v="lorena.torresc@redsalud.gob.cl"/>
    <x v="12"/>
    <d v="2025-08-20T00:00:00"/>
    <n v="0"/>
    <m/>
    <n v="1"/>
    <n v="12000000"/>
    <d v="2026-07-01T00:00:00"/>
    <x v="0"/>
  </r>
  <r>
    <s v="SERVICIO DE SALUD OSORNO"/>
    <x v="0"/>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x v="1"/>
    <x v="12"/>
    <n v="4"/>
    <n v="1"/>
    <x v="30"/>
    <x v="47"/>
    <x v="5"/>
    <x v="5"/>
    <x v="9"/>
    <x v="17"/>
    <s v="64-337381-"/>
    <s v="lorena.torresc@redsalud.gob.cl"/>
    <x v="12"/>
    <d v="2025-08-20T00:00:00"/>
    <n v="0"/>
    <m/>
    <n v="1"/>
    <n v="12000000"/>
    <d v="2026-03-01T00:00:00"/>
    <x v="0"/>
  </r>
  <r>
    <s v="SERVICIO DE SALUD OSORNO"/>
    <x v="0"/>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x v="1"/>
    <x v="12"/>
    <n v="4"/>
    <n v="1"/>
    <x v="30"/>
    <x v="47"/>
    <x v="5"/>
    <x v="5"/>
    <x v="9"/>
    <x v="17"/>
    <s v="64-337381-"/>
    <s v="lorena.torresc@redsalud.gob.cl"/>
    <x v="12"/>
    <d v="2025-08-20T00:00:00"/>
    <n v="0"/>
    <m/>
    <n v="1"/>
    <n v="12000000"/>
    <d v="2026-11-01T00:00:00"/>
    <x v="0"/>
  </r>
  <r>
    <s v="SERVICIO DE SALUD OSORNO"/>
    <x v="0"/>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x v="1"/>
    <x v="12"/>
    <n v="4"/>
    <n v="1"/>
    <x v="30"/>
    <x v="47"/>
    <x v="5"/>
    <x v="5"/>
    <x v="9"/>
    <x v="17"/>
    <s v="64-337381-"/>
    <s v="lorena.torresc@redsalud.gob.cl"/>
    <x v="12"/>
    <d v="2025-08-20T00:00:00"/>
    <n v="0"/>
    <m/>
    <n v="1"/>
    <n v="12000000"/>
    <d v="2026-04-01T00:00:00"/>
    <x v="0"/>
  </r>
  <r>
    <s v="SERVICIO DE SALUD OSORNO"/>
    <x v="0"/>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x v="1"/>
    <x v="12"/>
    <n v="4"/>
    <n v="1"/>
    <x v="30"/>
    <x v="47"/>
    <x v="5"/>
    <x v="5"/>
    <x v="9"/>
    <x v="17"/>
    <s v="64-337381-"/>
    <s v="lorena.torresc@redsalud.gob.cl"/>
    <x v="12"/>
    <d v="2025-08-20T00:00:00"/>
    <n v="0"/>
    <m/>
    <n v="1"/>
    <n v="12000000"/>
    <d v="2026-09-01T00:00:00"/>
    <x v="0"/>
  </r>
  <r>
    <s v="SERVICIO DE SALUD OSORNO"/>
    <x v="0"/>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x v="1"/>
    <x v="12"/>
    <n v="4"/>
    <n v="1"/>
    <x v="30"/>
    <x v="47"/>
    <x v="5"/>
    <x v="5"/>
    <x v="9"/>
    <x v="17"/>
    <s v="64-337381-"/>
    <s v="lorena.torresc@redsalud.gob.cl"/>
    <x v="12"/>
    <d v="2025-08-20T00:00:00"/>
    <n v="0"/>
    <m/>
    <n v="1"/>
    <n v="12000000"/>
    <d v="2026-10-01T00:00:00"/>
    <x v="0"/>
  </r>
  <r>
    <s v="SERVICIO DE SALUD OSORNO"/>
    <x v="0"/>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x v="1"/>
    <x v="12"/>
    <n v="4"/>
    <n v="1"/>
    <x v="30"/>
    <x v="47"/>
    <x v="5"/>
    <x v="5"/>
    <x v="9"/>
    <x v="17"/>
    <s v="64-337381-"/>
    <s v="lorena.torresc@redsalud.gob.cl"/>
    <x v="12"/>
    <d v="2025-08-20T00:00:00"/>
    <n v="0"/>
    <m/>
    <n v="1"/>
    <n v="12000000"/>
    <d v="2026-08-01T00:00:00"/>
    <x v="0"/>
  </r>
  <r>
    <s v="SERVICIO DE SALUD OSORNO"/>
    <x v="0"/>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x v="1"/>
    <x v="12"/>
    <n v="4"/>
    <n v="1"/>
    <x v="30"/>
    <x v="47"/>
    <x v="5"/>
    <x v="5"/>
    <x v="9"/>
    <x v="17"/>
    <s v="64-337381-"/>
    <s v="lorena.torresc@redsalud.gob.cl"/>
    <x v="12"/>
    <d v="2025-08-20T00:00:00"/>
    <n v="0"/>
    <m/>
    <n v="1"/>
    <n v="12000000"/>
    <d v="2026-05-01T00:00:00"/>
    <x v="0"/>
  </r>
  <r>
    <s v="SERVICIO DE SALUD OSORNO"/>
    <x v="0"/>
    <x v="23"/>
    <s v="Proyecto operacional"/>
    <s v="Publicado"/>
    <s v="22.04.005.003"/>
    <x v="24"/>
    <s v="INSUMOS PARA EXAMENES DE LABORATORIO TIPO POC, CON ARRIENDO DE EQUIPOS (HOSPITAL RIO NEGRO, HOSPITAL PUERTO OCTAY, HOSPITAL PU MULEN QUILACAHUIN, HOSPITAL FUKA SRUKA LAWENCHE KUNKO MAPU MO, CESFAM PUYEHUE)."/>
    <x v="1"/>
    <x v="26"/>
    <n v="4"/>
    <n v="1"/>
    <x v="31"/>
    <x v="48"/>
    <x v="11"/>
    <x v="17"/>
    <x v="15"/>
    <x v="18"/>
    <s v="64-335827-"/>
    <s v="sofiav.reyes@redsalud.gob.cl"/>
    <x v="12"/>
    <d v="2025-08-20T00:00:00"/>
    <n v="0"/>
    <m/>
    <n v="1"/>
    <n v="5833333"/>
    <d v="2026-05-01T00:00:00"/>
    <x v="0"/>
  </r>
  <r>
    <s v="SERVICIO DE SALUD OSORNO"/>
    <x v="0"/>
    <x v="23"/>
    <s v="Proyecto operacional"/>
    <s v="Publicado"/>
    <s v="22.04.005.003"/>
    <x v="24"/>
    <s v="INSUMOS PARA EXAMENES DE LABORATORIO TIPO POC, CON ARRIENDO DE EQUIPOS (HOSPITAL RIO NEGRO, HOSPITAL PUERTO OCTAY, HOSPITAL PU MULEN QUILACAHUIN, HOSPITAL FUKA SRUKA LAWENCHE KUNKO MAPU MO, CESFAM PUYEHUE)."/>
    <x v="1"/>
    <x v="26"/>
    <n v="4"/>
    <n v="1"/>
    <x v="31"/>
    <x v="48"/>
    <x v="11"/>
    <x v="17"/>
    <x v="15"/>
    <x v="18"/>
    <s v="64-335827-"/>
    <s v="sofiav.reyes@redsalud.gob.cl"/>
    <x v="12"/>
    <d v="2025-08-20T00:00:00"/>
    <n v="0"/>
    <m/>
    <n v="1"/>
    <n v="5833333"/>
    <d v="2026-02-01T00:00:00"/>
    <x v="0"/>
  </r>
  <r>
    <s v="SERVICIO DE SALUD OSORNO"/>
    <x v="0"/>
    <x v="23"/>
    <s v="Proyecto operacional"/>
    <s v="Publicado"/>
    <s v="22.04.005.003"/>
    <x v="24"/>
    <s v="INSUMOS PARA EXAMENES DE LABORATORIO TIPO POC, CON ARRIENDO DE EQUIPOS (HOSPITAL RIO NEGRO, HOSPITAL PUERTO OCTAY, HOSPITAL PU MULEN QUILACAHUIN, HOSPITAL FUKA SRUKA LAWENCHE KUNKO MAPU MO, CESFAM PUYEHUE)."/>
    <x v="1"/>
    <x v="26"/>
    <n v="4"/>
    <n v="1"/>
    <x v="31"/>
    <x v="48"/>
    <x v="11"/>
    <x v="17"/>
    <x v="15"/>
    <x v="18"/>
    <s v="64-335827-"/>
    <s v="sofiav.reyes@redsalud.gob.cl"/>
    <x v="12"/>
    <d v="2025-08-20T00:00:00"/>
    <n v="0"/>
    <m/>
    <n v="1"/>
    <n v="5833333"/>
    <d v="2026-01-01T00:00:00"/>
    <x v="0"/>
  </r>
  <r>
    <s v="SERVICIO DE SALUD OSORNO"/>
    <x v="0"/>
    <x v="23"/>
    <s v="Proyecto operacional"/>
    <s v="Publicado"/>
    <s v="22.04.005.003"/>
    <x v="24"/>
    <s v="INSUMOS PARA EXAMENES DE LABORATORIO TIPO POC, CON ARRIENDO DE EQUIPOS (HOSPITAL RIO NEGRO, HOSPITAL PUERTO OCTAY, HOSPITAL PU MULEN QUILACAHUIN, HOSPITAL FUKA SRUKA LAWENCHE KUNKO MAPU MO, CESFAM PUYEHUE)."/>
    <x v="1"/>
    <x v="26"/>
    <n v="4"/>
    <n v="1"/>
    <x v="31"/>
    <x v="48"/>
    <x v="11"/>
    <x v="17"/>
    <x v="15"/>
    <x v="18"/>
    <s v="64-335827-"/>
    <s v="sofiav.reyes@redsalud.gob.cl"/>
    <x v="12"/>
    <d v="2025-08-20T00:00:00"/>
    <n v="0"/>
    <m/>
    <n v="1"/>
    <n v="5833333"/>
    <d v="2026-04-01T00:00:00"/>
    <x v="0"/>
  </r>
  <r>
    <s v="SERVICIO DE SALUD OSORNO"/>
    <x v="0"/>
    <x v="23"/>
    <s v="Proyecto operacional"/>
    <s v="Publicado"/>
    <s v="22.04.005.003"/>
    <x v="24"/>
    <s v="INSUMOS PARA EXAMENES DE LABORATORIO TIPO POC, CON ARRIENDO DE EQUIPOS (HOSPITAL RIO NEGRO, HOSPITAL PUERTO OCTAY, HOSPITAL PU MULEN QUILACAHUIN, HOSPITAL FUKA SRUKA LAWENCHE KUNKO MAPU MO, CESFAM PUYEHUE)."/>
    <x v="1"/>
    <x v="26"/>
    <n v="4"/>
    <n v="1"/>
    <x v="31"/>
    <x v="49"/>
    <x v="11"/>
    <x v="17"/>
    <x v="15"/>
    <x v="18"/>
    <s v="64-335827-"/>
    <s v="sofiav.reyes@redsalud.gob.cl"/>
    <x v="12"/>
    <d v="2025-08-20T00:00:00"/>
    <n v="0"/>
    <m/>
    <n v="1"/>
    <n v="5833337"/>
    <d v="2026-07-01T00:00:00"/>
    <x v="0"/>
  </r>
  <r>
    <s v="SERVICIO DE SALUD OSORNO"/>
    <x v="0"/>
    <x v="23"/>
    <s v="Proyecto operacional"/>
    <s v="Publicado"/>
    <s v="22.04.005.003"/>
    <x v="24"/>
    <s v="INSUMOS PARA EXAMENES DE LABORATORIO TIPO POC, CON ARRIENDO DE EQUIPOS (HOSPITAL RIO NEGRO, HOSPITAL PUERTO OCTAY, HOSPITAL PU MULEN QUILACAHUIN, HOSPITAL FUKA SRUKA LAWENCHE KUNKO MAPU MO, CESFAM PUYEHUE)."/>
    <x v="1"/>
    <x v="26"/>
    <n v="4"/>
    <n v="1"/>
    <x v="31"/>
    <x v="48"/>
    <x v="11"/>
    <x v="17"/>
    <x v="15"/>
    <x v="18"/>
    <s v="64-335827-"/>
    <s v="sofiav.reyes@redsalud.gob.cl"/>
    <x v="12"/>
    <d v="2025-08-20T00:00:00"/>
    <n v="0"/>
    <m/>
    <n v="1"/>
    <n v="5833333"/>
    <d v="2026-03-01T00:00:00"/>
    <x v="0"/>
  </r>
  <r>
    <s v="SERVICIO DE SALUD OSORNO"/>
    <x v="0"/>
    <x v="23"/>
    <s v="Proyecto operacional"/>
    <s v="Publicado"/>
    <s v="22.04.005.003"/>
    <x v="24"/>
    <s v="INSUMOS PARA EXAMENES DE LABORATORIO TIPO POC, CON ARRIENDO DE EQUIPOS (HOSPITAL RIO NEGRO, HOSPITAL PUERTO OCTAY, HOSPITAL PU MULEN QUILACAHUIN, HOSPITAL FUKA SRUKA LAWENCHE KUNKO MAPU MO, CESFAM PUYEHUE)."/>
    <x v="1"/>
    <x v="26"/>
    <n v="4"/>
    <n v="1"/>
    <x v="31"/>
    <x v="48"/>
    <x v="11"/>
    <x v="17"/>
    <x v="15"/>
    <x v="18"/>
    <s v="64-335827-"/>
    <s v="sofiav.reyes@redsalud.gob.cl"/>
    <x v="12"/>
    <d v="2025-08-20T00:00:00"/>
    <n v="0"/>
    <m/>
    <n v="1"/>
    <n v="5833333"/>
    <d v="2026-06-01T00:00:00"/>
    <x v="0"/>
  </r>
  <r>
    <s v="SERVICIO DE SALUD OSORNO"/>
    <x v="0"/>
    <x v="24"/>
    <s v="Proyecto operacional"/>
    <s v="Publicado"/>
    <s v="22.08.007"/>
    <x v="25"/>
    <s v="Movilización para el traslado de usuarios y funcionarios CDR adulto mayor Kumelen de la Comuna de Osorno. Inicio de servicio 01/01/2026."/>
    <x v="1"/>
    <x v="27"/>
    <n v="4"/>
    <n v="1"/>
    <x v="32"/>
    <x v="50"/>
    <x v="11"/>
    <x v="18"/>
    <x v="16"/>
    <x v="19"/>
    <s v="64-647366-"/>
    <s v="luis.floresme@redsalud.gob.cl"/>
    <x v="12"/>
    <d v="2025-08-20T00:00:00"/>
    <n v="0"/>
    <m/>
    <n v="1"/>
    <n v="3291667"/>
    <d v="2026-08-01T00:00:00"/>
    <x v="0"/>
  </r>
  <r>
    <s v="SERVICIO DE SALUD OSORNO"/>
    <x v="0"/>
    <x v="24"/>
    <s v="Proyecto operacional"/>
    <s v="Publicado"/>
    <s v="22.08.007"/>
    <x v="25"/>
    <s v="Movilización para el traslado de usuarios y funcionarios CDR adulto mayor Kumelen de la Comuna de Osorno. Inicio de servicio 01/01/2026."/>
    <x v="1"/>
    <x v="27"/>
    <n v="4"/>
    <n v="1"/>
    <x v="32"/>
    <x v="50"/>
    <x v="11"/>
    <x v="18"/>
    <x v="16"/>
    <x v="19"/>
    <s v="64-647366-"/>
    <s v="luis.floresme@redsalud.gob.cl"/>
    <x v="12"/>
    <d v="2025-08-20T00:00:00"/>
    <n v="0"/>
    <m/>
    <n v="1"/>
    <n v="3291667"/>
    <d v="2026-06-01T00:00:00"/>
    <x v="0"/>
  </r>
  <r>
    <s v="SERVICIO DE SALUD OSORNO"/>
    <x v="0"/>
    <x v="24"/>
    <s v="Proyecto operacional"/>
    <s v="Publicado"/>
    <s v="22.08.007"/>
    <x v="25"/>
    <s v="Movilización para el traslado de usuarios y funcionarios CDR adulto mayor Kumelen de la Comuna de Osorno. Inicio de servicio 01/01/2026."/>
    <x v="1"/>
    <x v="27"/>
    <n v="4"/>
    <n v="1"/>
    <x v="32"/>
    <x v="50"/>
    <x v="11"/>
    <x v="18"/>
    <x v="16"/>
    <x v="19"/>
    <s v="64-647366-"/>
    <s v="luis.floresme@redsalud.gob.cl"/>
    <x v="12"/>
    <d v="2025-08-20T00:00:00"/>
    <n v="0"/>
    <m/>
    <n v="1"/>
    <n v="3291667"/>
    <d v="2026-03-01T00:00:00"/>
    <x v="0"/>
  </r>
  <r>
    <s v="SERVICIO DE SALUD OSORNO"/>
    <x v="0"/>
    <x v="24"/>
    <s v="Proyecto operacional"/>
    <s v="Publicado"/>
    <s v="22.08.007"/>
    <x v="25"/>
    <s v="Movilización para el traslado de usuarios y funcionarios CDR adulto mayor Kumelen de la Comuna de Osorno. Inicio de servicio 01/01/2026."/>
    <x v="1"/>
    <x v="27"/>
    <n v="4"/>
    <n v="1"/>
    <x v="32"/>
    <x v="50"/>
    <x v="11"/>
    <x v="18"/>
    <x v="16"/>
    <x v="19"/>
    <s v="64-647366-"/>
    <s v="luis.floresme@redsalud.gob.cl"/>
    <x v="12"/>
    <d v="2025-08-20T00:00:00"/>
    <n v="0"/>
    <m/>
    <n v="1"/>
    <n v="3291667"/>
    <d v="2026-10-01T00:00:00"/>
    <x v="0"/>
  </r>
  <r>
    <s v="SERVICIO DE SALUD OSORNO"/>
    <x v="0"/>
    <x v="24"/>
    <s v="Proyecto operacional"/>
    <s v="Publicado"/>
    <s v="22.08.007"/>
    <x v="25"/>
    <s v="Movilización para el traslado de usuarios y funcionarios CDR adulto mayor Kumelen de la Comuna de Osorno. Inicio de servicio 01/01/2026."/>
    <x v="1"/>
    <x v="27"/>
    <n v="4"/>
    <n v="1"/>
    <x v="32"/>
    <x v="50"/>
    <x v="11"/>
    <x v="18"/>
    <x v="16"/>
    <x v="19"/>
    <s v="64-647366-"/>
    <s v="luis.floresme@redsalud.gob.cl"/>
    <x v="12"/>
    <d v="2025-08-20T00:00:00"/>
    <n v="0"/>
    <m/>
    <n v="1"/>
    <n v="3291667"/>
    <d v="2026-11-01T00:00:00"/>
    <x v="0"/>
  </r>
  <r>
    <s v="SERVICIO DE SALUD OSORNO"/>
    <x v="0"/>
    <x v="24"/>
    <s v="Proyecto operacional"/>
    <s v="Publicado"/>
    <s v="22.08.007"/>
    <x v="25"/>
    <s v="Movilización para el traslado de usuarios y funcionarios CDR adulto mayor Kumelen de la Comuna de Osorno. Inicio de servicio 01/01/2026."/>
    <x v="1"/>
    <x v="27"/>
    <n v="4"/>
    <n v="1"/>
    <x v="32"/>
    <x v="50"/>
    <x v="11"/>
    <x v="18"/>
    <x v="16"/>
    <x v="19"/>
    <s v="64-647366-"/>
    <s v="luis.floresme@redsalud.gob.cl"/>
    <x v="12"/>
    <d v="2025-08-20T00:00:00"/>
    <n v="0"/>
    <m/>
    <n v="1"/>
    <n v="3291667"/>
    <d v="2026-05-01T00:00:00"/>
    <x v="0"/>
  </r>
  <r>
    <s v="SERVICIO DE SALUD OSORNO"/>
    <x v="0"/>
    <x v="24"/>
    <s v="Proyecto operacional"/>
    <s v="Publicado"/>
    <s v="22.08.007"/>
    <x v="25"/>
    <s v="Movilización para el traslado de usuarios y funcionarios CDR adulto mayor Kumelen de la Comuna de Osorno. Inicio de servicio 01/01/2026."/>
    <x v="1"/>
    <x v="27"/>
    <n v="4"/>
    <n v="1"/>
    <x v="32"/>
    <x v="50"/>
    <x v="11"/>
    <x v="18"/>
    <x v="16"/>
    <x v="19"/>
    <s v="64-647366-"/>
    <s v="luis.floresme@redsalud.gob.cl"/>
    <x v="12"/>
    <d v="2025-08-20T00:00:00"/>
    <n v="0"/>
    <m/>
    <n v="1"/>
    <n v="3291667"/>
    <d v="2026-04-01T00:00:00"/>
    <x v="0"/>
  </r>
  <r>
    <s v="SERVICIO DE SALUD OSORNO"/>
    <x v="0"/>
    <x v="24"/>
    <s v="Proyecto operacional"/>
    <s v="Publicado"/>
    <s v="22.08.007"/>
    <x v="25"/>
    <s v="Movilización para el traslado de usuarios y funcionarios CDR adulto mayor Kumelen de la Comuna de Osorno. Inicio de servicio 01/01/2026."/>
    <x v="1"/>
    <x v="27"/>
    <n v="4"/>
    <n v="1"/>
    <x v="32"/>
    <x v="50"/>
    <x v="11"/>
    <x v="18"/>
    <x v="16"/>
    <x v="19"/>
    <s v="64-647366-"/>
    <s v="luis.floresme@redsalud.gob.cl"/>
    <x v="12"/>
    <d v="2025-08-20T00:00:00"/>
    <n v="0"/>
    <m/>
    <n v="1"/>
    <n v="3291667"/>
    <d v="2026-07-01T00:00:00"/>
    <x v="0"/>
  </r>
  <r>
    <s v="SERVICIO DE SALUD OSORNO"/>
    <x v="0"/>
    <x v="24"/>
    <s v="Proyecto operacional"/>
    <s v="Publicado"/>
    <s v="22.08.007"/>
    <x v="25"/>
    <s v="Movilización para el traslado de usuarios y funcionarios CDR adulto mayor Kumelen de la Comuna de Osorno. Inicio de servicio 01/01/2026."/>
    <x v="1"/>
    <x v="27"/>
    <n v="4"/>
    <n v="1"/>
    <x v="32"/>
    <x v="50"/>
    <x v="11"/>
    <x v="18"/>
    <x v="16"/>
    <x v="19"/>
    <s v="64-647366-"/>
    <s v="luis.floresme@redsalud.gob.cl"/>
    <x v="12"/>
    <d v="2025-08-20T00:00:00"/>
    <n v="0"/>
    <m/>
    <n v="1"/>
    <n v="3291667"/>
    <d v="2026-12-01T00:00:00"/>
    <x v="0"/>
  </r>
  <r>
    <s v="SERVICIO DE SALUD OSORNO"/>
    <x v="0"/>
    <x v="24"/>
    <s v="Proyecto operacional"/>
    <s v="Publicado"/>
    <s v="22.08.007"/>
    <x v="25"/>
    <s v="Movilización para el traslado de usuarios y funcionarios CDR adulto mayor Kumelen de la Comuna de Osorno. Inicio de servicio 01/01/2026."/>
    <x v="1"/>
    <x v="27"/>
    <n v="4"/>
    <n v="1"/>
    <x v="32"/>
    <x v="50"/>
    <x v="11"/>
    <x v="18"/>
    <x v="16"/>
    <x v="19"/>
    <s v="64-647366-"/>
    <s v="luis.floresme@redsalud.gob.cl"/>
    <x v="12"/>
    <d v="2025-08-20T00:00:00"/>
    <n v="0"/>
    <m/>
    <n v="1"/>
    <n v="3291667"/>
    <d v="2026-09-01T00:00:00"/>
    <x v="0"/>
  </r>
  <r>
    <s v="SERVICIO DE SALUD OSORNO"/>
    <x v="0"/>
    <x v="24"/>
    <s v="Proyecto operacional"/>
    <s v="Publicado"/>
    <s v="22.08.007"/>
    <x v="25"/>
    <s v="Movilización para el traslado de usuarios y funcionarios CDR adulto mayor Kumelen de la Comuna de Osorno. Inicio de servicio 01/01/2026."/>
    <x v="1"/>
    <x v="27"/>
    <n v="4"/>
    <n v="1"/>
    <x v="32"/>
    <x v="50"/>
    <x v="11"/>
    <x v="18"/>
    <x v="16"/>
    <x v="19"/>
    <s v="64-647366-"/>
    <s v="luis.floresme@redsalud.gob.cl"/>
    <x v="12"/>
    <d v="2025-08-20T00:00:00"/>
    <n v="0"/>
    <m/>
    <n v="1"/>
    <n v="3291667"/>
    <d v="2026-02-01T00:00:00"/>
    <x v="0"/>
  </r>
  <r>
    <s v="SERVICIO DE SALUD OSORNO"/>
    <x v="0"/>
    <x v="25"/>
    <s v="Proyecto operacional"/>
    <s v="Publicado"/>
    <s v="22.08.007"/>
    <x v="26"/>
    <s v="Servicio de Movilizacion para Funcionarios CDR Adulto Mayor Kumelen,Vencimiento del contrato actual finaliza el 31/12/2025. Inicio del servicio 01/01/2026."/>
    <x v="1"/>
    <x v="28"/>
    <n v="4"/>
    <n v="1"/>
    <x v="33"/>
    <x v="51"/>
    <x v="11"/>
    <x v="18"/>
    <x v="16"/>
    <x v="19"/>
    <s v="64-2647366-"/>
    <s v="luis.floresme@redsalud.gob.cl"/>
    <x v="7"/>
    <d v="2025-08-20T00:00:00"/>
    <n v="0"/>
    <m/>
    <n v="1"/>
    <n v="2625000"/>
    <d v="2026-11-01T00:00:00"/>
    <x v="0"/>
  </r>
  <r>
    <s v="SERVICIO DE SALUD OSORNO"/>
    <x v="0"/>
    <x v="25"/>
    <s v="Proyecto operacional"/>
    <s v="Publicado"/>
    <s v="22.08.007"/>
    <x v="26"/>
    <s v="Servicio de Movilizacion para Funcionarios CDR Adulto Mayor Kumelen,Vencimiento del contrato actual finaliza el 31/12/2025. Inicio del servicio 01/01/2026."/>
    <x v="1"/>
    <x v="28"/>
    <n v="4"/>
    <n v="1"/>
    <x v="33"/>
    <x v="51"/>
    <x v="11"/>
    <x v="18"/>
    <x v="16"/>
    <x v="19"/>
    <s v="64-2647366-"/>
    <s v="luis.floresme@redsalud.gob.cl"/>
    <x v="7"/>
    <d v="2025-08-20T00:00:00"/>
    <n v="0"/>
    <m/>
    <n v="1"/>
    <n v="2625000"/>
    <d v="2026-03-01T00:00:00"/>
    <x v="0"/>
  </r>
  <r>
    <s v="SERVICIO DE SALUD OSORNO"/>
    <x v="0"/>
    <x v="25"/>
    <s v="Proyecto operacional"/>
    <s v="Publicado"/>
    <s v="22.08.007"/>
    <x v="26"/>
    <s v="Servicio de Movilizacion para Funcionarios CDR Adulto Mayor Kumelen,Vencimiento del contrato actual finaliza el 31/12/2025. Inicio del servicio 01/01/2026."/>
    <x v="1"/>
    <x v="28"/>
    <n v="4"/>
    <n v="1"/>
    <x v="33"/>
    <x v="51"/>
    <x v="11"/>
    <x v="18"/>
    <x v="16"/>
    <x v="19"/>
    <s v="64-2647366-"/>
    <s v="luis.floresme@redsalud.gob.cl"/>
    <x v="7"/>
    <d v="2025-08-20T00:00:00"/>
    <n v="0"/>
    <m/>
    <n v="1"/>
    <n v="2625000"/>
    <d v="2026-02-01T00:00:00"/>
    <x v="0"/>
  </r>
  <r>
    <s v="SERVICIO DE SALUD OSORNO"/>
    <x v="0"/>
    <x v="25"/>
    <s v="Proyecto operacional"/>
    <s v="Publicado"/>
    <s v="22.08.007"/>
    <x v="26"/>
    <s v="Servicio de Movilizacion para Funcionarios CDR Adulto Mayor Kumelen,Vencimiento del contrato actual finaliza el 31/12/2025. Inicio del servicio 01/01/2026."/>
    <x v="1"/>
    <x v="28"/>
    <n v="4"/>
    <n v="1"/>
    <x v="33"/>
    <x v="51"/>
    <x v="11"/>
    <x v="18"/>
    <x v="16"/>
    <x v="19"/>
    <s v="64-2647366-"/>
    <s v="luis.floresme@redsalud.gob.cl"/>
    <x v="7"/>
    <d v="2025-08-20T00:00:00"/>
    <n v="0"/>
    <m/>
    <n v="1"/>
    <n v="2625000"/>
    <d v="2026-12-01T00:00:00"/>
    <x v="0"/>
  </r>
  <r>
    <s v="SERVICIO DE SALUD OSORNO"/>
    <x v="0"/>
    <x v="25"/>
    <s v="Proyecto operacional"/>
    <s v="Publicado"/>
    <s v="22.08.007"/>
    <x v="26"/>
    <s v="Servicio de Movilizacion para Funcionarios CDR Adulto Mayor Kumelen,Vencimiento del contrato actual finaliza el 31/12/2025. Inicio del servicio 01/01/2026."/>
    <x v="1"/>
    <x v="28"/>
    <n v="4"/>
    <n v="1"/>
    <x v="33"/>
    <x v="51"/>
    <x v="11"/>
    <x v="18"/>
    <x v="16"/>
    <x v="19"/>
    <s v="64-2647366-"/>
    <s v="luis.floresme@redsalud.gob.cl"/>
    <x v="7"/>
    <d v="2025-08-20T00:00:00"/>
    <n v="0"/>
    <m/>
    <n v="1"/>
    <n v="2625000"/>
    <d v="2026-05-01T00:00:00"/>
    <x v="0"/>
  </r>
  <r>
    <s v="SERVICIO DE SALUD OSORNO"/>
    <x v="0"/>
    <x v="25"/>
    <s v="Proyecto operacional"/>
    <s v="Publicado"/>
    <s v="22.08.007"/>
    <x v="26"/>
    <s v="Servicio de Movilizacion para Funcionarios CDR Adulto Mayor Kumelen,Vencimiento del contrato actual finaliza el 31/12/2025. Inicio del servicio 01/01/2026."/>
    <x v="1"/>
    <x v="28"/>
    <n v="4"/>
    <n v="1"/>
    <x v="33"/>
    <x v="51"/>
    <x v="11"/>
    <x v="18"/>
    <x v="16"/>
    <x v="19"/>
    <s v="64-2647366-"/>
    <s v="luis.floresme@redsalud.gob.cl"/>
    <x v="7"/>
    <d v="2025-08-20T00:00:00"/>
    <n v="0"/>
    <m/>
    <n v="1"/>
    <n v="2625000"/>
    <d v="2026-06-01T00:00:00"/>
    <x v="0"/>
  </r>
  <r>
    <s v="SERVICIO DE SALUD OSORNO"/>
    <x v="0"/>
    <x v="25"/>
    <s v="Proyecto operacional"/>
    <s v="Publicado"/>
    <s v="22.08.007"/>
    <x v="26"/>
    <s v="Servicio de Movilizacion para Funcionarios CDR Adulto Mayor Kumelen,Vencimiento del contrato actual finaliza el 31/12/2025. Inicio del servicio 01/01/2026."/>
    <x v="1"/>
    <x v="28"/>
    <n v="4"/>
    <n v="1"/>
    <x v="33"/>
    <x v="51"/>
    <x v="11"/>
    <x v="18"/>
    <x v="16"/>
    <x v="19"/>
    <s v="64-2647366-"/>
    <s v="luis.floresme@redsalud.gob.cl"/>
    <x v="7"/>
    <d v="2025-08-20T00:00:00"/>
    <n v="0"/>
    <m/>
    <n v="1"/>
    <n v="2625000"/>
    <d v="2026-08-01T00:00:00"/>
    <x v="0"/>
  </r>
  <r>
    <s v="SERVICIO DE SALUD OSORNO"/>
    <x v="0"/>
    <x v="25"/>
    <s v="Proyecto operacional"/>
    <s v="Publicado"/>
    <s v="22.08.007"/>
    <x v="26"/>
    <s v="Servicio de Movilizacion para Funcionarios CDR Adulto Mayor Kumelen,Vencimiento del contrato actual finaliza el 31/12/2025. Inicio del servicio 01/01/2026."/>
    <x v="1"/>
    <x v="28"/>
    <n v="4"/>
    <n v="1"/>
    <x v="33"/>
    <x v="51"/>
    <x v="11"/>
    <x v="18"/>
    <x v="16"/>
    <x v="19"/>
    <s v="64-2647366-"/>
    <s v="luis.floresme@redsalud.gob.cl"/>
    <x v="7"/>
    <d v="2025-08-20T00:00:00"/>
    <n v="0"/>
    <m/>
    <n v="1"/>
    <n v="2625000"/>
    <d v="2026-07-01T00:00:00"/>
    <x v="0"/>
  </r>
  <r>
    <s v="SERVICIO DE SALUD OSORNO"/>
    <x v="0"/>
    <x v="25"/>
    <s v="Proyecto operacional"/>
    <s v="Publicado"/>
    <s v="22.08.007"/>
    <x v="26"/>
    <s v="Servicio de Movilizacion para Funcionarios CDR Adulto Mayor Kumelen,Vencimiento del contrato actual finaliza el 31/12/2025. Inicio del servicio 01/01/2026."/>
    <x v="1"/>
    <x v="28"/>
    <n v="4"/>
    <n v="1"/>
    <x v="33"/>
    <x v="51"/>
    <x v="11"/>
    <x v="18"/>
    <x v="16"/>
    <x v="19"/>
    <s v="64-2647366-"/>
    <s v="luis.floresme@redsalud.gob.cl"/>
    <x v="7"/>
    <d v="2025-08-20T00:00:00"/>
    <n v="0"/>
    <m/>
    <n v="1"/>
    <n v="2625000"/>
    <d v="2026-04-01T00:00:00"/>
    <x v="0"/>
  </r>
  <r>
    <s v="SERVICIO DE SALUD OSORNO"/>
    <x v="0"/>
    <x v="25"/>
    <s v="Proyecto operacional"/>
    <s v="Publicado"/>
    <s v="22.08.007"/>
    <x v="26"/>
    <s v="Servicio de Movilizacion para Funcionarios CDR Adulto Mayor Kumelen,Vencimiento del contrato actual finaliza el 31/12/2025. Inicio del servicio 01/01/2026."/>
    <x v="1"/>
    <x v="28"/>
    <n v="4"/>
    <n v="1"/>
    <x v="33"/>
    <x v="51"/>
    <x v="11"/>
    <x v="18"/>
    <x v="16"/>
    <x v="19"/>
    <s v="64-2647366-"/>
    <s v="luis.floresme@redsalud.gob.cl"/>
    <x v="7"/>
    <d v="2025-08-20T00:00:00"/>
    <n v="0"/>
    <m/>
    <n v="1"/>
    <n v="2625000"/>
    <d v="2026-09-01T00:00:00"/>
    <x v="0"/>
  </r>
  <r>
    <s v="SERVICIO DE SALUD OSORNO"/>
    <x v="0"/>
    <x v="25"/>
    <s v="Proyecto operacional"/>
    <s v="Publicado"/>
    <s v="22.08.007"/>
    <x v="26"/>
    <s v="Servicio de Movilizacion para Funcionarios CDR Adulto Mayor Kumelen,Vencimiento del contrato actual finaliza el 31/12/2025. Inicio del servicio 01/01/2026."/>
    <x v="1"/>
    <x v="28"/>
    <n v="4"/>
    <n v="1"/>
    <x v="33"/>
    <x v="51"/>
    <x v="11"/>
    <x v="18"/>
    <x v="16"/>
    <x v="19"/>
    <s v="64-2647366-"/>
    <s v="luis.floresme@redsalud.gob.cl"/>
    <x v="7"/>
    <d v="2025-08-20T00:00:00"/>
    <n v="0"/>
    <m/>
    <n v="1"/>
    <n v="2625000"/>
    <d v="2026-10-01T00:00:00"/>
    <x v="0"/>
  </r>
  <r>
    <s v="SERVICIO DE SALUD OSORNO"/>
    <x v="0"/>
    <x v="26"/>
    <s v="Proyecto operacional"/>
    <s v="Publicado"/>
    <s v="22.04.005.003"/>
    <x v="27"/>
    <s v="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
    <x v="1"/>
    <x v="29"/>
    <n v="4"/>
    <n v="1"/>
    <x v="0"/>
    <x v="52"/>
    <x v="11"/>
    <x v="17"/>
    <x v="17"/>
    <x v="20"/>
    <s v="64-2567046-"/>
    <s v="nicolas.asencio@redsalud.gob.cl"/>
    <x v="12"/>
    <d v="2025-08-20T00:00:00"/>
    <n v="3"/>
    <s v="1057532-4808-AG25"/>
    <n v="1"/>
    <n v="7500000"/>
    <d v="2026-06-01T00:00:00"/>
    <x v="0"/>
  </r>
  <r>
    <s v="SERVICIO DE SALUD OSORNO"/>
    <x v="0"/>
    <x v="26"/>
    <s v="Proyecto operacional"/>
    <s v="Publicado"/>
    <s v="22.04.005.003"/>
    <x v="27"/>
    <s v="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
    <x v="1"/>
    <x v="29"/>
    <n v="4"/>
    <n v="1"/>
    <x v="0"/>
    <x v="52"/>
    <x v="11"/>
    <x v="17"/>
    <x v="17"/>
    <x v="20"/>
    <s v="64-2567046-"/>
    <s v="nicolas.asencio@redsalud.gob.cl"/>
    <x v="12"/>
    <d v="2025-08-20T00:00:00"/>
    <n v="3"/>
    <s v="1057532-4808-AG25"/>
    <n v="1"/>
    <n v="7500000"/>
    <d v="2026-03-01T00:00:00"/>
    <x v="0"/>
  </r>
  <r>
    <s v="SERVICIO DE SALUD OSORNO"/>
    <x v="0"/>
    <x v="26"/>
    <s v="Proyecto operacional"/>
    <s v="Publicado"/>
    <s v="22.04.005.003"/>
    <x v="27"/>
    <s v="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
    <x v="1"/>
    <x v="29"/>
    <n v="4"/>
    <n v="1"/>
    <x v="0"/>
    <x v="52"/>
    <x v="11"/>
    <x v="17"/>
    <x v="17"/>
    <x v="20"/>
    <s v="64-2567046-"/>
    <s v="nicolas.asencio@redsalud.gob.cl"/>
    <x v="12"/>
    <d v="2025-08-20T00:00:00"/>
    <n v="3"/>
    <s v="1057532-4808-AG25"/>
    <n v="1"/>
    <n v="7500000"/>
    <d v="2026-07-01T00:00:00"/>
    <x v="0"/>
  </r>
  <r>
    <s v="SERVICIO DE SALUD OSORNO"/>
    <x v="0"/>
    <x v="26"/>
    <s v="Proyecto operacional"/>
    <s v="Publicado"/>
    <s v="22.04.005.003"/>
    <x v="27"/>
    <s v="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
    <x v="1"/>
    <x v="29"/>
    <n v="4"/>
    <n v="1"/>
    <x v="0"/>
    <x v="52"/>
    <x v="11"/>
    <x v="17"/>
    <x v="17"/>
    <x v="20"/>
    <s v="64-2567046-"/>
    <s v="nicolas.asencio@redsalud.gob.cl"/>
    <x v="12"/>
    <d v="2025-08-20T00:00:00"/>
    <n v="3"/>
    <s v="1057532-4808-AG25"/>
    <n v="1"/>
    <n v="7500000"/>
    <d v="2026-02-01T00:00:00"/>
    <x v="0"/>
  </r>
  <r>
    <s v="SERVICIO DE SALUD OSORNO"/>
    <x v="0"/>
    <x v="26"/>
    <s v="Proyecto operacional"/>
    <s v="Publicado"/>
    <s v="22.04.005.003"/>
    <x v="27"/>
    <s v="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
    <x v="1"/>
    <x v="29"/>
    <n v="4"/>
    <n v="1"/>
    <x v="0"/>
    <x v="52"/>
    <x v="11"/>
    <x v="17"/>
    <x v="17"/>
    <x v="20"/>
    <s v="64-2567046-"/>
    <s v="nicolas.asencio@redsalud.gob.cl"/>
    <x v="12"/>
    <d v="2025-08-20T00:00:00"/>
    <n v="3"/>
    <s v="1057532-4808-AG25"/>
    <n v="1"/>
    <n v="7500000"/>
    <d v="2026-01-01T00:00:00"/>
    <x v="0"/>
  </r>
  <r>
    <s v="SERVICIO DE SALUD OSORNO"/>
    <x v="0"/>
    <x v="26"/>
    <s v="Proyecto operacional"/>
    <s v="Publicado"/>
    <s v="22.04.005.003"/>
    <x v="27"/>
    <s v="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
    <x v="1"/>
    <x v="29"/>
    <n v="4"/>
    <n v="1"/>
    <x v="0"/>
    <x v="52"/>
    <x v="11"/>
    <x v="17"/>
    <x v="17"/>
    <x v="20"/>
    <s v="64-2567046-"/>
    <s v="nicolas.asencio@redsalud.gob.cl"/>
    <x v="12"/>
    <d v="2025-08-20T00:00:00"/>
    <n v="3"/>
    <s v="1057532-5641-SE25"/>
    <n v="1"/>
    <n v="7500000"/>
    <d v="2026-01-01T00:00:00"/>
    <x v="0"/>
  </r>
  <r>
    <s v="SERVICIO DE SALUD OSORNO"/>
    <x v="0"/>
    <x v="26"/>
    <s v="Proyecto operacional"/>
    <s v="Publicado"/>
    <s v="22.04.005.003"/>
    <x v="27"/>
    <s v="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
    <x v="1"/>
    <x v="29"/>
    <n v="4"/>
    <n v="1"/>
    <x v="0"/>
    <x v="52"/>
    <x v="11"/>
    <x v="17"/>
    <x v="17"/>
    <x v="20"/>
    <s v="64-2567046-"/>
    <s v="nicolas.asencio@redsalud.gob.cl"/>
    <x v="12"/>
    <d v="2025-08-20T00:00:00"/>
    <n v="3"/>
    <s v="1057532-4808-AG25"/>
    <n v="1"/>
    <n v="7500000"/>
    <d v="2026-04-01T00:00:00"/>
    <x v="0"/>
  </r>
  <r>
    <s v="SERVICIO DE SALUD OSORNO"/>
    <x v="0"/>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x v="1"/>
    <x v="30"/>
    <n v="5"/>
    <n v="1"/>
    <x v="34"/>
    <x v="53"/>
    <x v="5"/>
    <x v="5"/>
    <x v="18"/>
    <x v="21"/>
    <s v="64-2565594-"/>
    <s v="sandra.espinoza@redsalud.gob.cl"/>
    <x v="10"/>
    <d v="2025-08-20T00:00:00"/>
    <n v="27"/>
    <s v="1057532-4762-SE25"/>
    <n v="1"/>
    <n v="916666"/>
    <d v="2026-11-01T00:00:00"/>
    <x v="0"/>
  </r>
  <r>
    <s v="SERVICIO DE SALUD OSORNO"/>
    <x v="0"/>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x v="1"/>
    <x v="30"/>
    <n v="5"/>
    <n v="1"/>
    <x v="34"/>
    <x v="53"/>
    <x v="5"/>
    <x v="5"/>
    <x v="18"/>
    <x v="21"/>
    <s v="64-2565594-"/>
    <s v="sandra.espinoza@redsalud.gob.cl"/>
    <x v="10"/>
    <d v="2025-08-20T00:00:00"/>
    <n v="27"/>
    <s v="1057532-5096-CM25"/>
    <n v="1"/>
    <n v="916666"/>
    <d v="2026-11-01T00:00:00"/>
    <x v="0"/>
  </r>
  <r>
    <s v="SERVICIO DE SALUD OSORNO"/>
    <x v="0"/>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x v="1"/>
    <x v="30"/>
    <n v="5"/>
    <n v="1"/>
    <x v="34"/>
    <x v="53"/>
    <x v="5"/>
    <x v="5"/>
    <x v="18"/>
    <x v="21"/>
    <s v="64-2565594-"/>
    <s v="sandra.espinoza@redsalud.gob.cl"/>
    <x v="10"/>
    <d v="2025-08-20T00:00:00"/>
    <n v="27"/>
    <s v="1057532-5070-CM25"/>
    <n v="1"/>
    <n v="916666"/>
    <d v="2026-03-01T00:00:00"/>
    <x v="0"/>
  </r>
  <r>
    <s v="SERVICIO DE SALUD OSORNO"/>
    <x v="0"/>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x v="1"/>
    <x v="30"/>
    <n v="5"/>
    <n v="1"/>
    <x v="34"/>
    <x v="53"/>
    <x v="5"/>
    <x v="5"/>
    <x v="18"/>
    <x v="21"/>
    <s v="64-2565594-"/>
    <s v="sandra.espinoza@redsalud.gob.cl"/>
    <x v="10"/>
    <d v="2025-08-20T00:00:00"/>
    <n v="27"/>
    <s v="1057532-4720-CM25"/>
    <n v="1"/>
    <n v="916666"/>
    <d v="2026-03-01T00:00:00"/>
    <x v="0"/>
  </r>
  <r>
    <s v="SERVICIO DE SALUD OSORNO"/>
    <x v="0"/>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x v="1"/>
    <x v="30"/>
    <n v="5"/>
    <n v="1"/>
    <x v="34"/>
    <x v="53"/>
    <x v="5"/>
    <x v="5"/>
    <x v="18"/>
    <x v="21"/>
    <s v="64-2565594-"/>
    <s v="sandra.espinoza@redsalud.gob.cl"/>
    <x v="10"/>
    <d v="2025-08-20T00:00:00"/>
    <n v="27"/>
    <s v="1057532-5352-CM25"/>
    <n v="1"/>
    <n v="916666"/>
    <d v="2026-11-01T00:00:00"/>
    <x v="0"/>
  </r>
  <r>
    <s v="SERVICIO DE SALUD OSORNO"/>
    <x v="0"/>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x v="1"/>
    <x v="30"/>
    <n v="5"/>
    <n v="1"/>
    <x v="34"/>
    <x v="53"/>
    <x v="5"/>
    <x v="5"/>
    <x v="18"/>
    <x v="21"/>
    <s v="64-2565594-"/>
    <s v="sandra.espinoza@redsalud.gob.cl"/>
    <x v="10"/>
    <d v="2025-08-20T00:00:00"/>
    <n v="27"/>
    <s v="1057532-5335-CM25"/>
    <n v="1"/>
    <n v="916666"/>
    <d v="2026-08-01T00:00:00"/>
    <x v="0"/>
  </r>
  <r>
    <s v="SERVICIO DE SALUD OSORNO"/>
    <x v="0"/>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x v="1"/>
    <x v="30"/>
    <n v="5"/>
    <n v="1"/>
    <x v="34"/>
    <x v="53"/>
    <x v="5"/>
    <x v="5"/>
    <x v="18"/>
    <x v="21"/>
    <s v="64-2565594-"/>
    <s v="sandra.espinoza@redsalud.gob.cl"/>
    <x v="10"/>
    <d v="2025-08-20T00:00:00"/>
    <n v="27"/>
    <s v="1057532-4899-CM25"/>
    <n v="1"/>
    <n v="916666"/>
    <d v="2026-06-01T00:00:00"/>
    <x v="0"/>
  </r>
  <r>
    <s v="SERVICIO DE SALUD OSORNO"/>
    <x v="0"/>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x v="1"/>
    <x v="30"/>
    <n v="5"/>
    <n v="1"/>
    <x v="34"/>
    <x v="53"/>
    <x v="5"/>
    <x v="5"/>
    <x v="18"/>
    <x v="21"/>
    <s v="64-2565594-"/>
    <s v="sandra.espinoza@redsalud.gob.cl"/>
    <x v="10"/>
    <d v="2025-08-20T00:00:00"/>
    <n v="27"/>
    <s v="1057532-5599-CM25"/>
    <n v="1"/>
    <n v="916666"/>
    <d v="2026-01-01T00:00:00"/>
    <x v="0"/>
  </r>
  <r>
    <s v="SERVICIO DE SALUD OSORNO"/>
    <x v="0"/>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x v="1"/>
    <x v="30"/>
    <n v="5"/>
    <n v="1"/>
    <x v="34"/>
    <x v="53"/>
    <x v="5"/>
    <x v="5"/>
    <x v="18"/>
    <x v="21"/>
    <s v="64-2565594-"/>
    <s v="sandra.espinoza@redsalud.gob.cl"/>
    <x v="10"/>
    <d v="2025-08-20T00:00:00"/>
    <n v="27"/>
    <s v="1057532-5071-CM25"/>
    <n v="1"/>
    <n v="916666"/>
    <d v="2026-03-01T00:00:00"/>
    <x v="0"/>
  </r>
  <r>
    <s v="SERVICIO DE SALUD OSORNO"/>
    <x v="0"/>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x v="1"/>
    <x v="30"/>
    <n v="5"/>
    <n v="1"/>
    <x v="34"/>
    <x v="53"/>
    <x v="5"/>
    <x v="5"/>
    <x v="18"/>
    <x v="21"/>
    <s v="64-2565594-"/>
    <s v="sandra.espinoza@redsalud.gob.cl"/>
    <x v="10"/>
    <d v="2025-08-20T00:00:00"/>
    <n v="27"/>
    <s v="1057532-4899-CM25"/>
    <n v="1"/>
    <n v="916666"/>
    <d v="2026-01-01T00:00:00"/>
    <x v="0"/>
  </r>
  <r>
    <s v="SERVICIO DE SALUD OSORNO"/>
    <x v="0"/>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x v="1"/>
    <x v="30"/>
    <n v="5"/>
    <n v="1"/>
    <x v="34"/>
    <x v="53"/>
    <x v="5"/>
    <x v="5"/>
    <x v="18"/>
    <x v="21"/>
    <s v="64-2565594-"/>
    <s v="sandra.espinoza@redsalud.gob.cl"/>
    <x v="10"/>
    <d v="2025-08-20T00:00:00"/>
    <n v="27"/>
    <s v="1057532-5335-CM25"/>
    <n v="1"/>
    <n v="916666"/>
    <d v="2026-02-01T00:00:00"/>
    <x v="0"/>
  </r>
  <r>
    <s v="SERVICIO DE SALUD OSORNO"/>
    <x v="0"/>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x v="1"/>
    <x v="30"/>
    <n v="5"/>
    <n v="1"/>
    <x v="34"/>
    <x v="54"/>
    <x v="5"/>
    <x v="5"/>
    <x v="18"/>
    <x v="21"/>
    <s v="64-2565594-"/>
    <s v="sandra.espinoza@redsalud.gob.cl"/>
    <x v="10"/>
    <d v="2025-08-20T00:00:00"/>
    <n v="27"/>
    <s v="1057532-4718-CM25"/>
    <n v="1"/>
    <n v="916678"/>
    <d v="2026-12-01T00:00:00"/>
    <x v="0"/>
  </r>
  <r>
    <s v="SERVICIO DE SALUD OSORNO"/>
    <x v="0"/>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x v="1"/>
    <x v="31"/>
    <n v="4"/>
    <n v="12"/>
    <x v="35"/>
    <x v="55"/>
    <x v="11"/>
    <x v="18"/>
    <x v="19"/>
    <x v="22"/>
    <s v="64-2565492-"/>
    <s v="mariaines.asenjo@redsalud.gob.cl"/>
    <x v="7"/>
    <d v="2025-08-20T00:00:00"/>
    <n v="2"/>
    <s v="1057532-5735-AG25"/>
    <n v="1"/>
    <n v="2750000"/>
    <d v="2026-04-01T00:00:00"/>
    <x v="0"/>
  </r>
  <r>
    <s v="SERVICIO DE SALUD OSORNO"/>
    <x v="0"/>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x v="1"/>
    <x v="31"/>
    <n v="4"/>
    <n v="12"/>
    <x v="35"/>
    <x v="55"/>
    <x v="11"/>
    <x v="18"/>
    <x v="19"/>
    <x v="22"/>
    <s v="64-2565492-"/>
    <s v="mariaines.asenjo@redsalud.gob.cl"/>
    <x v="7"/>
    <d v="2025-08-20T00:00:00"/>
    <n v="2"/>
    <s v="1057532-5735-AG25"/>
    <n v="1"/>
    <n v="2750000"/>
    <d v="2026-02-01T00:00:00"/>
    <x v="0"/>
  </r>
  <r>
    <s v="SERVICIO DE SALUD OSORNO"/>
    <x v="0"/>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x v="1"/>
    <x v="31"/>
    <n v="4"/>
    <n v="12"/>
    <x v="35"/>
    <x v="55"/>
    <x v="11"/>
    <x v="18"/>
    <x v="19"/>
    <x v="22"/>
    <s v="64-2565492-"/>
    <s v="mariaines.asenjo@redsalud.gob.cl"/>
    <x v="7"/>
    <d v="2025-08-20T00:00:00"/>
    <n v="2"/>
    <s v="1057532-5735-AG25"/>
    <n v="1"/>
    <n v="2750000"/>
    <d v="2026-07-01T00:00:00"/>
    <x v="0"/>
  </r>
  <r>
    <s v="SERVICIO DE SALUD OSORNO"/>
    <x v="0"/>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x v="1"/>
    <x v="31"/>
    <n v="4"/>
    <n v="12"/>
    <x v="35"/>
    <x v="55"/>
    <x v="11"/>
    <x v="18"/>
    <x v="19"/>
    <x v="22"/>
    <s v="64-2565492-"/>
    <s v="mariaines.asenjo@redsalud.gob.cl"/>
    <x v="7"/>
    <d v="2025-08-20T00:00:00"/>
    <n v="2"/>
    <s v="1057532-5735-AG25"/>
    <n v="1"/>
    <n v="2750000"/>
    <d v="2026-05-01T00:00:00"/>
    <x v="0"/>
  </r>
  <r>
    <s v="SERVICIO DE SALUD OSORNO"/>
    <x v="0"/>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x v="1"/>
    <x v="31"/>
    <n v="4"/>
    <n v="12"/>
    <x v="35"/>
    <x v="55"/>
    <x v="11"/>
    <x v="18"/>
    <x v="19"/>
    <x v="22"/>
    <s v="64-2565492-"/>
    <s v="mariaines.asenjo@redsalud.gob.cl"/>
    <x v="7"/>
    <d v="2025-08-20T00:00:00"/>
    <n v="2"/>
    <s v="1057532-5753-AG25"/>
    <n v="1"/>
    <n v="2750000"/>
    <d v="2026-12-01T00:00:00"/>
    <x v="0"/>
  </r>
  <r>
    <s v="SERVICIO DE SALUD OSORNO"/>
    <x v="0"/>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x v="1"/>
    <x v="31"/>
    <n v="4"/>
    <n v="12"/>
    <x v="35"/>
    <x v="55"/>
    <x v="11"/>
    <x v="18"/>
    <x v="19"/>
    <x v="22"/>
    <s v="64-2565492-"/>
    <s v="mariaines.asenjo@redsalud.gob.cl"/>
    <x v="7"/>
    <d v="2025-08-20T00:00:00"/>
    <n v="2"/>
    <s v="1057532-5735-AG25"/>
    <n v="1"/>
    <n v="2750000"/>
    <d v="2026-08-01T00:00:00"/>
    <x v="0"/>
  </r>
  <r>
    <s v="SERVICIO DE SALUD OSORNO"/>
    <x v="0"/>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x v="1"/>
    <x v="31"/>
    <n v="4"/>
    <n v="12"/>
    <x v="35"/>
    <x v="55"/>
    <x v="11"/>
    <x v="18"/>
    <x v="19"/>
    <x v="22"/>
    <s v="64-2565492-"/>
    <s v="mariaines.asenjo@redsalud.gob.cl"/>
    <x v="7"/>
    <d v="2025-08-20T00:00:00"/>
    <n v="2"/>
    <s v="1057532-5735-AG25"/>
    <n v="1"/>
    <n v="2750000"/>
    <d v="2026-03-01T00:00:00"/>
    <x v="0"/>
  </r>
  <r>
    <s v="SERVICIO DE SALUD OSORNO"/>
    <x v="0"/>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x v="1"/>
    <x v="31"/>
    <n v="4"/>
    <n v="12"/>
    <x v="35"/>
    <x v="55"/>
    <x v="11"/>
    <x v="18"/>
    <x v="19"/>
    <x v="22"/>
    <s v="64-2565492-"/>
    <s v="mariaines.asenjo@redsalud.gob.cl"/>
    <x v="7"/>
    <d v="2025-08-20T00:00:00"/>
    <n v="2"/>
    <s v="1057532-5735-AG25"/>
    <n v="1"/>
    <n v="2750000"/>
    <d v="2026-12-01T00:00:00"/>
    <x v="0"/>
  </r>
  <r>
    <s v="SERVICIO DE SALUD OSORNO"/>
    <x v="0"/>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x v="1"/>
    <x v="31"/>
    <n v="4"/>
    <n v="12"/>
    <x v="35"/>
    <x v="55"/>
    <x v="11"/>
    <x v="18"/>
    <x v="19"/>
    <x v="22"/>
    <s v="64-2565492-"/>
    <s v="mariaines.asenjo@redsalud.gob.cl"/>
    <x v="7"/>
    <d v="2025-08-20T00:00:00"/>
    <n v="2"/>
    <s v="1057532-5735-AG25"/>
    <n v="1"/>
    <n v="2750000"/>
    <d v="2026-10-01T00:00:00"/>
    <x v="0"/>
  </r>
  <r>
    <s v="SERVICIO DE SALUD OSORNO"/>
    <x v="0"/>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x v="1"/>
    <x v="31"/>
    <n v="4"/>
    <n v="12"/>
    <x v="35"/>
    <x v="55"/>
    <x v="11"/>
    <x v="18"/>
    <x v="19"/>
    <x v="22"/>
    <s v="64-2565492-"/>
    <s v="mariaines.asenjo@redsalud.gob.cl"/>
    <x v="7"/>
    <d v="2025-08-20T00:00:00"/>
    <n v="2"/>
    <s v="1057532-5753-AG25"/>
    <n v="1"/>
    <n v="2750000"/>
    <d v="2026-02-01T00:00:00"/>
    <x v="0"/>
  </r>
  <r>
    <s v="SERVICIO DE SALUD OSORNO"/>
    <x v="0"/>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x v="1"/>
    <x v="31"/>
    <n v="4"/>
    <n v="12"/>
    <x v="35"/>
    <x v="55"/>
    <x v="11"/>
    <x v="18"/>
    <x v="19"/>
    <x v="22"/>
    <s v="64-2565492-"/>
    <s v="mariaines.asenjo@redsalud.gob.cl"/>
    <x v="7"/>
    <d v="2025-08-20T00:00:00"/>
    <n v="2"/>
    <s v="1057532-5735-AG25"/>
    <n v="1"/>
    <n v="2750000"/>
    <d v="2026-09-01T00:00:00"/>
    <x v="0"/>
  </r>
  <r>
    <s v="SERVICIO DE SALUD OSORNO"/>
    <x v="0"/>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x v="1"/>
    <x v="32"/>
    <n v="4"/>
    <n v="1"/>
    <x v="36"/>
    <x v="56"/>
    <x v="11"/>
    <x v="19"/>
    <x v="18"/>
    <x v="23"/>
    <s v="64-2565594-"/>
    <s v="sandra.espinoza@redsalud.gob.cl"/>
    <x v="7"/>
    <d v="2025-08-20T00:00:00"/>
    <n v="1"/>
    <s v="1057532-5233-SE25"/>
    <n v="1"/>
    <n v="6666300"/>
    <d v="2026-01-01T00:00:00"/>
    <x v="0"/>
  </r>
  <r>
    <s v="SERVICIO DE SALUD OSORNO"/>
    <x v="0"/>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x v="1"/>
    <x v="32"/>
    <n v="4"/>
    <n v="1"/>
    <x v="36"/>
    <x v="57"/>
    <x v="11"/>
    <x v="19"/>
    <x v="18"/>
    <x v="23"/>
    <s v="64-2565594-"/>
    <s v="sandra.espinoza@redsalud.gob.cl"/>
    <x v="7"/>
    <d v="2025-08-20T00:00:00"/>
    <n v="1"/>
    <s v="1057532-5233-SE25"/>
    <n v="1"/>
    <n v="6666700"/>
    <d v="2026-03-01T00:00:00"/>
    <x v="0"/>
  </r>
  <r>
    <s v="SERVICIO DE SALUD OSORNO"/>
    <x v="0"/>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x v="1"/>
    <x v="32"/>
    <n v="4"/>
    <n v="1"/>
    <x v="36"/>
    <x v="57"/>
    <x v="11"/>
    <x v="19"/>
    <x v="18"/>
    <x v="23"/>
    <s v="64-2565594-"/>
    <s v="sandra.espinoza@redsalud.gob.cl"/>
    <x v="7"/>
    <d v="2025-08-20T00:00:00"/>
    <n v="1"/>
    <s v="1057532-5233-SE25"/>
    <n v="1"/>
    <n v="6666700"/>
    <d v="2026-07-01T00:00:00"/>
    <x v="0"/>
  </r>
  <r>
    <s v="SERVICIO DE SALUD OSORNO"/>
    <x v="0"/>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x v="1"/>
    <x v="32"/>
    <n v="4"/>
    <n v="1"/>
    <x v="36"/>
    <x v="57"/>
    <x v="11"/>
    <x v="19"/>
    <x v="18"/>
    <x v="23"/>
    <s v="64-2565594-"/>
    <s v="sandra.espinoza@redsalud.gob.cl"/>
    <x v="7"/>
    <d v="2025-08-20T00:00:00"/>
    <n v="1"/>
    <s v="1057532-5233-SE25"/>
    <n v="1"/>
    <n v="6666700"/>
    <d v="2026-11-01T00:00:00"/>
    <x v="0"/>
  </r>
  <r>
    <s v="SERVICIO DE SALUD OSORNO"/>
    <x v="0"/>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x v="1"/>
    <x v="32"/>
    <n v="4"/>
    <n v="1"/>
    <x v="36"/>
    <x v="57"/>
    <x v="11"/>
    <x v="19"/>
    <x v="18"/>
    <x v="23"/>
    <s v="64-2565594-"/>
    <s v="sandra.espinoza@redsalud.gob.cl"/>
    <x v="7"/>
    <d v="2025-08-20T00:00:00"/>
    <n v="1"/>
    <s v="1057532-5233-SE25"/>
    <n v="1"/>
    <n v="6666700"/>
    <d v="2026-05-01T00:00:00"/>
    <x v="0"/>
  </r>
  <r>
    <s v="SERVICIO DE SALUD OSORNO"/>
    <x v="0"/>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x v="1"/>
    <x v="32"/>
    <n v="4"/>
    <n v="1"/>
    <x v="36"/>
    <x v="57"/>
    <x v="11"/>
    <x v="19"/>
    <x v="18"/>
    <x v="23"/>
    <s v="64-2565594-"/>
    <s v="sandra.espinoza@redsalud.gob.cl"/>
    <x v="7"/>
    <d v="2025-08-20T00:00:00"/>
    <n v="1"/>
    <s v="1057532-5233-SE25"/>
    <n v="1"/>
    <n v="6666700"/>
    <d v="2026-08-01T00:00:00"/>
    <x v="0"/>
  </r>
  <r>
    <s v="SERVICIO DE SALUD OSORNO"/>
    <x v="0"/>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x v="1"/>
    <x v="32"/>
    <n v="4"/>
    <n v="1"/>
    <x v="36"/>
    <x v="57"/>
    <x v="11"/>
    <x v="19"/>
    <x v="18"/>
    <x v="23"/>
    <s v="64-2565594-"/>
    <s v="sandra.espinoza@redsalud.gob.cl"/>
    <x v="7"/>
    <d v="2025-08-20T00:00:00"/>
    <n v="1"/>
    <s v="1057532-5233-SE25"/>
    <n v="1"/>
    <n v="6666700"/>
    <d v="2026-04-01T00:00:00"/>
    <x v="0"/>
  </r>
  <r>
    <s v="SERVICIO DE SALUD OSORNO"/>
    <x v="0"/>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x v="1"/>
    <x v="32"/>
    <n v="4"/>
    <n v="1"/>
    <x v="36"/>
    <x v="57"/>
    <x v="11"/>
    <x v="19"/>
    <x v="18"/>
    <x v="23"/>
    <s v="64-2565594-"/>
    <s v="sandra.espinoza@redsalud.gob.cl"/>
    <x v="7"/>
    <d v="2025-08-20T00:00:00"/>
    <n v="1"/>
    <s v="1057532-5233-SE25"/>
    <n v="1"/>
    <n v="6666700"/>
    <d v="2026-02-01T00:00:00"/>
    <x v="0"/>
  </r>
  <r>
    <s v="SERVICIO DE SALUD OSORNO"/>
    <x v="0"/>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x v="1"/>
    <x v="32"/>
    <n v="4"/>
    <n v="1"/>
    <x v="36"/>
    <x v="57"/>
    <x v="11"/>
    <x v="19"/>
    <x v="18"/>
    <x v="23"/>
    <s v="64-2565594-"/>
    <s v="sandra.espinoza@redsalud.gob.cl"/>
    <x v="7"/>
    <d v="2025-08-20T00:00:00"/>
    <n v="1"/>
    <s v="1057532-5233-SE25"/>
    <n v="1"/>
    <n v="6666700"/>
    <d v="2026-06-01T00:00:00"/>
    <x v="0"/>
  </r>
  <r>
    <s v="SERVICIO DE SALUD OSORNO"/>
    <x v="0"/>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x v="1"/>
    <x v="32"/>
    <n v="4"/>
    <n v="1"/>
    <x v="36"/>
    <x v="57"/>
    <x v="11"/>
    <x v="19"/>
    <x v="18"/>
    <x v="23"/>
    <s v="64-2565594-"/>
    <s v="sandra.espinoza@redsalud.gob.cl"/>
    <x v="7"/>
    <d v="2025-08-20T00:00:00"/>
    <n v="1"/>
    <s v="1057532-5233-SE25"/>
    <n v="1"/>
    <n v="6666700"/>
    <d v="2026-12-01T00:00:00"/>
    <x v="0"/>
  </r>
  <r>
    <s v="SERVICIO DE SALUD OSORNO"/>
    <x v="0"/>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x v="1"/>
    <x v="32"/>
    <n v="4"/>
    <n v="1"/>
    <x v="36"/>
    <x v="57"/>
    <x v="11"/>
    <x v="19"/>
    <x v="18"/>
    <x v="23"/>
    <s v="64-2565594-"/>
    <s v="sandra.espinoza@redsalud.gob.cl"/>
    <x v="7"/>
    <d v="2025-08-20T00:00:00"/>
    <n v="1"/>
    <s v="1057532-5233-SE25"/>
    <n v="1"/>
    <n v="6666700"/>
    <d v="2026-09-01T00:00:00"/>
    <x v="0"/>
  </r>
  <r>
    <s v="SERVICIO DE SALUD OSORNO"/>
    <x v="0"/>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x v="1"/>
    <x v="32"/>
    <n v="4"/>
    <n v="1"/>
    <x v="36"/>
    <x v="57"/>
    <x v="11"/>
    <x v="19"/>
    <x v="18"/>
    <x v="23"/>
    <s v="64-2565594-"/>
    <s v="sandra.espinoza@redsalud.gob.cl"/>
    <x v="7"/>
    <d v="2025-08-20T00:00:00"/>
    <n v="1"/>
    <s v="1057532-5233-SE25"/>
    <n v="1"/>
    <n v="6666700"/>
    <d v="2026-10-01T00:00:00"/>
    <x v="0"/>
  </r>
  <r>
    <s v="SERVICIO DE SALUD OSORNO"/>
    <x v="1"/>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x v="1"/>
    <x v="28"/>
    <n v="4"/>
    <n v="1"/>
    <x v="37"/>
    <x v="58"/>
    <x v="11"/>
    <x v="18"/>
    <x v="20"/>
    <x v="22"/>
    <s v="64-2565555-"/>
    <s v="yuvit.garciachacur@redsalud.gob.cl"/>
    <x v="12"/>
    <d v="2025-08-20T00:00:00"/>
    <n v="0"/>
    <m/>
    <n v="1"/>
    <n v="1583333"/>
    <d v="2026-12-01T00:00:00"/>
    <x v="0"/>
  </r>
  <r>
    <s v="SERVICIO DE SALUD OSORNO"/>
    <x v="1"/>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x v="1"/>
    <x v="28"/>
    <n v="4"/>
    <n v="1"/>
    <x v="37"/>
    <x v="58"/>
    <x v="11"/>
    <x v="18"/>
    <x v="20"/>
    <x v="22"/>
    <s v="64-2565555-"/>
    <s v="yuvit.garciachacur@redsalud.gob.cl"/>
    <x v="12"/>
    <d v="2025-08-20T00:00:00"/>
    <n v="0"/>
    <m/>
    <n v="1"/>
    <n v="1583333"/>
    <d v="2026-10-01T00:00:00"/>
    <x v="0"/>
  </r>
  <r>
    <s v="SERVICIO DE SALUD OSORNO"/>
    <x v="1"/>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x v="1"/>
    <x v="28"/>
    <n v="4"/>
    <n v="1"/>
    <x v="37"/>
    <x v="58"/>
    <x v="11"/>
    <x v="18"/>
    <x v="20"/>
    <x v="22"/>
    <s v="64-2565555-"/>
    <s v="yuvit.garciachacur@redsalud.gob.cl"/>
    <x v="12"/>
    <d v="2025-08-20T00:00:00"/>
    <n v="0"/>
    <m/>
    <n v="1"/>
    <n v="1583333"/>
    <d v="2026-04-01T00:00:00"/>
    <x v="0"/>
  </r>
  <r>
    <s v="SERVICIO DE SALUD OSORNO"/>
    <x v="1"/>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x v="1"/>
    <x v="28"/>
    <n v="4"/>
    <n v="1"/>
    <x v="37"/>
    <x v="58"/>
    <x v="11"/>
    <x v="18"/>
    <x v="20"/>
    <x v="22"/>
    <s v="64-2565555-"/>
    <s v="yuvit.garciachacur@redsalud.gob.cl"/>
    <x v="12"/>
    <d v="2025-08-20T00:00:00"/>
    <n v="0"/>
    <m/>
    <n v="1"/>
    <n v="1583333"/>
    <d v="2026-11-01T00:00:00"/>
    <x v="0"/>
  </r>
  <r>
    <s v="SERVICIO DE SALUD OSORNO"/>
    <x v="1"/>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x v="1"/>
    <x v="28"/>
    <n v="4"/>
    <n v="1"/>
    <x v="37"/>
    <x v="58"/>
    <x v="11"/>
    <x v="18"/>
    <x v="20"/>
    <x v="22"/>
    <s v="64-2565555-"/>
    <s v="yuvit.garciachacur@redsalud.gob.cl"/>
    <x v="12"/>
    <d v="2025-08-20T00:00:00"/>
    <n v="0"/>
    <m/>
    <n v="1"/>
    <n v="1583333"/>
    <d v="2026-02-01T00:00:00"/>
    <x v="0"/>
  </r>
  <r>
    <s v="SERVICIO DE SALUD OSORNO"/>
    <x v="1"/>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x v="1"/>
    <x v="28"/>
    <n v="4"/>
    <n v="1"/>
    <x v="37"/>
    <x v="58"/>
    <x v="11"/>
    <x v="18"/>
    <x v="20"/>
    <x v="22"/>
    <s v="64-2565555-"/>
    <s v="yuvit.garciachacur@redsalud.gob.cl"/>
    <x v="12"/>
    <d v="2025-08-20T00:00:00"/>
    <n v="0"/>
    <m/>
    <n v="1"/>
    <n v="1583333"/>
    <d v="2026-06-01T00:00:00"/>
    <x v="0"/>
  </r>
  <r>
    <s v="SERVICIO DE SALUD OSORNO"/>
    <x v="1"/>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x v="1"/>
    <x v="28"/>
    <n v="4"/>
    <n v="1"/>
    <x v="37"/>
    <x v="58"/>
    <x v="11"/>
    <x v="18"/>
    <x v="20"/>
    <x v="22"/>
    <s v="64-2565555-"/>
    <s v="yuvit.garciachacur@redsalud.gob.cl"/>
    <x v="12"/>
    <d v="2025-08-20T00:00:00"/>
    <n v="0"/>
    <m/>
    <n v="1"/>
    <n v="1583333"/>
    <d v="2026-05-01T00:00:00"/>
    <x v="0"/>
  </r>
  <r>
    <s v="SERVICIO DE SALUD OSORNO"/>
    <x v="1"/>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x v="1"/>
    <x v="28"/>
    <n v="4"/>
    <n v="1"/>
    <x v="37"/>
    <x v="58"/>
    <x v="11"/>
    <x v="18"/>
    <x v="20"/>
    <x v="22"/>
    <s v="64-2565555-"/>
    <s v="yuvit.garciachacur@redsalud.gob.cl"/>
    <x v="12"/>
    <d v="2025-08-20T00:00:00"/>
    <n v="0"/>
    <m/>
    <n v="1"/>
    <n v="1583333"/>
    <d v="2026-03-01T00:00:00"/>
    <x v="0"/>
  </r>
  <r>
    <s v="SERVICIO DE SALUD OSORNO"/>
    <x v="1"/>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x v="1"/>
    <x v="28"/>
    <n v="4"/>
    <n v="1"/>
    <x v="37"/>
    <x v="58"/>
    <x v="11"/>
    <x v="18"/>
    <x v="20"/>
    <x v="22"/>
    <s v="64-2565555-"/>
    <s v="yuvit.garciachacur@redsalud.gob.cl"/>
    <x v="12"/>
    <d v="2025-08-20T00:00:00"/>
    <n v="0"/>
    <m/>
    <n v="1"/>
    <n v="1583333"/>
    <d v="2026-07-01T00:00:00"/>
    <x v="0"/>
  </r>
  <r>
    <s v="SERVICIO DE SALUD OSORNO"/>
    <x v="1"/>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x v="1"/>
    <x v="28"/>
    <n v="4"/>
    <n v="1"/>
    <x v="37"/>
    <x v="58"/>
    <x v="11"/>
    <x v="18"/>
    <x v="20"/>
    <x v="22"/>
    <s v="64-2565555-"/>
    <s v="yuvit.garciachacur@redsalud.gob.cl"/>
    <x v="12"/>
    <d v="2025-08-20T00:00:00"/>
    <n v="0"/>
    <m/>
    <n v="1"/>
    <n v="1583333"/>
    <d v="2026-08-01T00:00:00"/>
    <x v="0"/>
  </r>
  <r>
    <s v="SERVICIO DE SALUD OSORNO"/>
    <x v="1"/>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x v="1"/>
    <x v="28"/>
    <n v="4"/>
    <n v="1"/>
    <x v="37"/>
    <x v="58"/>
    <x v="11"/>
    <x v="18"/>
    <x v="20"/>
    <x v="22"/>
    <s v="64-2565555-"/>
    <s v="yuvit.garciachacur@redsalud.gob.cl"/>
    <x v="12"/>
    <d v="2025-08-20T00:00:00"/>
    <n v="0"/>
    <m/>
    <n v="1"/>
    <n v="1583333"/>
    <d v="2026-09-01T00:00:00"/>
    <x v="0"/>
  </r>
  <r>
    <s v="SERVICIO DE SALUD OSORNO"/>
    <x v="0"/>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x v="1"/>
    <x v="28"/>
    <n v="4"/>
    <n v="1"/>
    <x v="38"/>
    <x v="59"/>
    <x v="11"/>
    <x v="18"/>
    <x v="21"/>
    <x v="24"/>
    <s v="64-2565610-"/>
    <s v="pedro.fritz@redsalud.gob.cl"/>
    <x v="7"/>
    <d v="2025-08-20T00:00:00"/>
    <n v="0"/>
    <m/>
    <n v="1"/>
    <n v="1458333"/>
    <d v="2026-11-01T00:00:00"/>
    <x v="0"/>
  </r>
  <r>
    <s v="SERVICIO DE SALUD OSORNO"/>
    <x v="0"/>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x v="1"/>
    <x v="28"/>
    <n v="4"/>
    <n v="1"/>
    <x v="38"/>
    <x v="59"/>
    <x v="11"/>
    <x v="18"/>
    <x v="21"/>
    <x v="24"/>
    <s v="64-2565610-"/>
    <s v="pedro.fritz@redsalud.gob.cl"/>
    <x v="7"/>
    <d v="2025-08-20T00:00:00"/>
    <n v="0"/>
    <m/>
    <n v="1"/>
    <n v="1458333"/>
    <d v="2026-12-01T00:00:00"/>
    <x v="0"/>
  </r>
  <r>
    <s v="SERVICIO DE SALUD OSORNO"/>
    <x v="0"/>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x v="1"/>
    <x v="28"/>
    <n v="4"/>
    <n v="1"/>
    <x v="38"/>
    <x v="59"/>
    <x v="11"/>
    <x v="18"/>
    <x v="21"/>
    <x v="24"/>
    <s v="64-2565610-"/>
    <s v="pedro.fritz@redsalud.gob.cl"/>
    <x v="7"/>
    <d v="2025-08-20T00:00:00"/>
    <n v="0"/>
    <m/>
    <n v="1"/>
    <n v="1458333"/>
    <d v="2026-04-01T00:00:00"/>
    <x v="0"/>
  </r>
  <r>
    <s v="SERVICIO DE SALUD OSORNO"/>
    <x v="0"/>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x v="1"/>
    <x v="28"/>
    <n v="4"/>
    <n v="1"/>
    <x v="38"/>
    <x v="59"/>
    <x v="11"/>
    <x v="18"/>
    <x v="21"/>
    <x v="24"/>
    <s v="64-2565610-"/>
    <s v="pedro.fritz@redsalud.gob.cl"/>
    <x v="7"/>
    <d v="2025-08-20T00:00:00"/>
    <n v="0"/>
    <m/>
    <n v="1"/>
    <n v="1458333"/>
    <d v="2026-07-01T00:00:00"/>
    <x v="0"/>
  </r>
  <r>
    <s v="SERVICIO DE SALUD OSORNO"/>
    <x v="0"/>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x v="1"/>
    <x v="28"/>
    <n v="4"/>
    <n v="1"/>
    <x v="38"/>
    <x v="59"/>
    <x v="11"/>
    <x v="18"/>
    <x v="21"/>
    <x v="24"/>
    <s v="64-2565610-"/>
    <s v="pedro.fritz@redsalud.gob.cl"/>
    <x v="7"/>
    <d v="2025-08-20T00:00:00"/>
    <n v="0"/>
    <m/>
    <n v="1"/>
    <n v="1458333"/>
    <d v="2026-06-01T00:00:00"/>
    <x v="0"/>
  </r>
  <r>
    <s v="SERVICIO DE SALUD OSORNO"/>
    <x v="0"/>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x v="1"/>
    <x v="28"/>
    <n v="4"/>
    <n v="1"/>
    <x v="38"/>
    <x v="59"/>
    <x v="11"/>
    <x v="18"/>
    <x v="21"/>
    <x v="24"/>
    <s v="64-2565610-"/>
    <s v="pedro.fritz@redsalud.gob.cl"/>
    <x v="7"/>
    <d v="2025-08-20T00:00:00"/>
    <n v="0"/>
    <m/>
    <n v="1"/>
    <n v="1458333"/>
    <d v="2026-02-01T00:00:00"/>
    <x v="0"/>
  </r>
  <r>
    <s v="SERVICIO DE SALUD OSORNO"/>
    <x v="0"/>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x v="1"/>
    <x v="28"/>
    <n v="4"/>
    <n v="1"/>
    <x v="38"/>
    <x v="59"/>
    <x v="11"/>
    <x v="18"/>
    <x v="21"/>
    <x v="24"/>
    <s v="64-2565610-"/>
    <s v="pedro.fritz@redsalud.gob.cl"/>
    <x v="7"/>
    <d v="2025-08-20T00:00:00"/>
    <n v="0"/>
    <m/>
    <n v="1"/>
    <n v="1458333"/>
    <d v="2026-10-01T00:00:00"/>
    <x v="0"/>
  </r>
  <r>
    <s v="SERVICIO DE SALUD OSORNO"/>
    <x v="0"/>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x v="1"/>
    <x v="28"/>
    <n v="4"/>
    <n v="1"/>
    <x v="38"/>
    <x v="59"/>
    <x v="11"/>
    <x v="18"/>
    <x v="21"/>
    <x v="24"/>
    <s v="64-2565610-"/>
    <s v="pedro.fritz@redsalud.gob.cl"/>
    <x v="7"/>
    <d v="2025-08-20T00:00:00"/>
    <n v="0"/>
    <m/>
    <n v="1"/>
    <n v="1458333"/>
    <d v="2026-05-01T00:00:00"/>
    <x v="0"/>
  </r>
  <r>
    <s v="SERVICIO DE SALUD OSORNO"/>
    <x v="0"/>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x v="1"/>
    <x v="28"/>
    <n v="4"/>
    <n v="1"/>
    <x v="38"/>
    <x v="59"/>
    <x v="11"/>
    <x v="18"/>
    <x v="21"/>
    <x v="24"/>
    <s v="64-2565610-"/>
    <s v="pedro.fritz@redsalud.gob.cl"/>
    <x v="7"/>
    <d v="2025-08-20T00:00:00"/>
    <n v="0"/>
    <m/>
    <n v="1"/>
    <n v="1458333"/>
    <d v="2026-03-01T00:00:00"/>
    <x v="0"/>
  </r>
  <r>
    <s v="SERVICIO DE SALUD OSORNO"/>
    <x v="0"/>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x v="1"/>
    <x v="28"/>
    <n v="4"/>
    <n v="1"/>
    <x v="38"/>
    <x v="59"/>
    <x v="11"/>
    <x v="18"/>
    <x v="21"/>
    <x v="24"/>
    <s v="64-2565610-"/>
    <s v="pedro.fritz@redsalud.gob.cl"/>
    <x v="7"/>
    <d v="2025-08-20T00:00:00"/>
    <n v="0"/>
    <m/>
    <n v="1"/>
    <n v="1458333"/>
    <d v="2026-09-01T00:00:00"/>
    <x v="0"/>
  </r>
  <r>
    <s v="SERVICIO DE SALUD OSORNO"/>
    <x v="0"/>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x v="1"/>
    <x v="28"/>
    <n v="4"/>
    <n v="1"/>
    <x v="38"/>
    <x v="59"/>
    <x v="11"/>
    <x v="18"/>
    <x v="21"/>
    <x v="24"/>
    <s v="64-2565610-"/>
    <s v="pedro.fritz@redsalud.gob.cl"/>
    <x v="7"/>
    <d v="2025-08-20T00:00:00"/>
    <n v="0"/>
    <m/>
    <n v="1"/>
    <n v="1458333"/>
    <d v="2026-08-01T00:00:00"/>
    <x v="0"/>
  </r>
  <r>
    <s v="SERVICIO DE SALUD OSORNO"/>
    <x v="0"/>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x v="1"/>
    <x v="28"/>
    <n v="4"/>
    <n v="1"/>
    <x v="39"/>
    <x v="60"/>
    <x v="11"/>
    <x v="18"/>
    <x v="20"/>
    <x v="22"/>
    <s v="64-2565555-"/>
    <s v="yuvit.garciachacur@redsalud.gob.cl"/>
    <x v="7"/>
    <d v="2025-08-20T00:00:00"/>
    <n v="0"/>
    <m/>
    <n v="1"/>
    <n v="1500000"/>
    <d v="2026-03-01T00:00:00"/>
    <x v="0"/>
  </r>
  <r>
    <s v="SERVICIO DE SALUD OSORNO"/>
    <x v="0"/>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x v="1"/>
    <x v="28"/>
    <n v="4"/>
    <n v="1"/>
    <x v="39"/>
    <x v="60"/>
    <x v="11"/>
    <x v="18"/>
    <x v="20"/>
    <x v="22"/>
    <s v="64-2565555-"/>
    <s v="yuvit.garciachacur@redsalud.gob.cl"/>
    <x v="7"/>
    <d v="2025-08-20T00:00:00"/>
    <n v="0"/>
    <m/>
    <n v="1"/>
    <n v="1500000"/>
    <d v="2026-07-01T00:00:00"/>
    <x v="0"/>
  </r>
  <r>
    <s v="SERVICIO DE SALUD OSORNO"/>
    <x v="0"/>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x v="1"/>
    <x v="28"/>
    <n v="4"/>
    <n v="1"/>
    <x v="39"/>
    <x v="60"/>
    <x v="11"/>
    <x v="18"/>
    <x v="20"/>
    <x v="22"/>
    <s v="64-2565555-"/>
    <s v="yuvit.garciachacur@redsalud.gob.cl"/>
    <x v="7"/>
    <d v="2025-08-20T00:00:00"/>
    <n v="0"/>
    <m/>
    <n v="1"/>
    <n v="1500000"/>
    <d v="2026-05-01T00:00:00"/>
    <x v="0"/>
  </r>
  <r>
    <s v="SERVICIO DE SALUD OSORNO"/>
    <x v="0"/>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x v="1"/>
    <x v="28"/>
    <n v="4"/>
    <n v="1"/>
    <x v="39"/>
    <x v="60"/>
    <x v="11"/>
    <x v="18"/>
    <x v="20"/>
    <x v="22"/>
    <s v="64-2565555-"/>
    <s v="yuvit.garciachacur@redsalud.gob.cl"/>
    <x v="7"/>
    <d v="2025-08-20T00:00:00"/>
    <n v="0"/>
    <m/>
    <n v="1"/>
    <n v="1500000"/>
    <d v="2026-11-01T00:00:00"/>
    <x v="0"/>
  </r>
  <r>
    <s v="SERVICIO DE SALUD OSORNO"/>
    <x v="0"/>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x v="1"/>
    <x v="28"/>
    <n v="4"/>
    <n v="1"/>
    <x v="39"/>
    <x v="60"/>
    <x v="11"/>
    <x v="18"/>
    <x v="20"/>
    <x v="22"/>
    <s v="64-2565555-"/>
    <s v="yuvit.garciachacur@redsalud.gob.cl"/>
    <x v="7"/>
    <d v="2025-08-20T00:00:00"/>
    <n v="0"/>
    <m/>
    <n v="1"/>
    <n v="1500000"/>
    <d v="2026-08-01T00:00:00"/>
    <x v="0"/>
  </r>
  <r>
    <s v="SERVICIO DE SALUD OSORNO"/>
    <x v="0"/>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x v="1"/>
    <x v="28"/>
    <n v="4"/>
    <n v="1"/>
    <x v="39"/>
    <x v="60"/>
    <x v="11"/>
    <x v="18"/>
    <x v="20"/>
    <x v="22"/>
    <s v="64-2565555-"/>
    <s v="yuvit.garciachacur@redsalud.gob.cl"/>
    <x v="7"/>
    <d v="2025-08-20T00:00:00"/>
    <n v="0"/>
    <m/>
    <n v="1"/>
    <n v="1500000"/>
    <d v="2026-06-01T00:00:00"/>
    <x v="0"/>
  </r>
  <r>
    <s v="SERVICIO DE SALUD OSORNO"/>
    <x v="0"/>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x v="1"/>
    <x v="28"/>
    <n v="4"/>
    <n v="1"/>
    <x v="39"/>
    <x v="60"/>
    <x v="11"/>
    <x v="18"/>
    <x v="20"/>
    <x v="22"/>
    <s v="64-2565555-"/>
    <s v="yuvit.garciachacur@redsalud.gob.cl"/>
    <x v="7"/>
    <d v="2025-08-20T00:00:00"/>
    <n v="0"/>
    <m/>
    <n v="1"/>
    <n v="1500000"/>
    <d v="2026-02-01T00:00:00"/>
    <x v="0"/>
  </r>
  <r>
    <s v="SERVICIO DE SALUD OSORNO"/>
    <x v="0"/>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x v="1"/>
    <x v="28"/>
    <n v="4"/>
    <n v="1"/>
    <x v="39"/>
    <x v="60"/>
    <x v="11"/>
    <x v="18"/>
    <x v="20"/>
    <x v="22"/>
    <s v="64-2565555-"/>
    <s v="yuvit.garciachacur@redsalud.gob.cl"/>
    <x v="7"/>
    <d v="2025-08-20T00:00:00"/>
    <n v="0"/>
    <m/>
    <n v="1"/>
    <n v="1500000"/>
    <d v="2026-04-01T00:00:00"/>
    <x v="0"/>
  </r>
  <r>
    <s v="SERVICIO DE SALUD OSORNO"/>
    <x v="0"/>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x v="1"/>
    <x v="28"/>
    <n v="4"/>
    <n v="1"/>
    <x v="39"/>
    <x v="60"/>
    <x v="11"/>
    <x v="18"/>
    <x v="20"/>
    <x v="22"/>
    <s v="64-2565555-"/>
    <s v="yuvit.garciachacur@redsalud.gob.cl"/>
    <x v="7"/>
    <d v="2025-08-20T00:00:00"/>
    <n v="0"/>
    <m/>
    <n v="1"/>
    <n v="1500000"/>
    <d v="2026-12-01T00:00:00"/>
    <x v="0"/>
  </r>
  <r>
    <s v="SERVICIO DE SALUD OSORNO"/>
    <x v="0"/>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x v="1"/>
    <x v="28"/>
    <n v="4"/>
    <n v="1"/>
    <x v="39"/>
    <x v="60"/>
    <x v="11"/>
    <x v="18"/>
    <x v="20"/>
    <x v="22"/>
    <s v="64-2565555-"/>
    <s v="yuvit.garciachacur@redsalud.gob.cl"/>
    <x v="7"/>
    <d v="2025-08-20T00:00:00"/>
    <n v="0"/>
    <m/>
    <n v="1"/>
    <n v="1500000"/>
    <d v="2026-09-01T00:00:00"/>
    <x v="0"/>
  </r>
  <r>
    <s v="SERVICIO DE SALUD OSORNO"/>
    <x v="0"/>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x v="1"/>
    <x v="28"/>
    <n v="4"/>
    <n v="1"/>
    <x v="39"/>
    <x v="60"/>
    <x v="11"/>
    <x v="18"/>
    <x v="20"/>
    <x v="22"/>
    <s v="64-2565555-"/>
    <s v="yuvit.garciachacur@redsalud.gob.cl"/>
    <x v="7"/>
    <d v="2025-08-20T00:00:00"/>
    <n v="0"/>
    <m/>
    <n v="1"/>
    <n v="1500000"/>
    <d v="2026-10-01T00:00:00"/>
    <x v="0"/>
  </r>
  <r>
    <s v="SERVICIO DE SALUD OSORNO"/>
    <x v="0"/>
    <x v="33"/>
    <s v="Proyecto operacional"/>
    <s v="Publicado"/>
    <s v="22.08.007"/>
    <x v="34"/>
    <s v="ejecución de la compra mes julio año 2025, duración del convenio corresponde a los meses de enero a diciembre 2026"/>
    <x v="1"/>
    <x v="28"/>
    <n v="4"/>
    <n v="1"/>
    <x v="37"/>
    <x v="58"/>
    <x v="11"/>
    <x v="18"/>
    <x v="22"/>
    <x v="25"/>
    <s v="64-2567766-"/>
    <s v="camila.roa@redsalud.gob.cl"/>
    <x v="7"/>
    <d v="2025-08-20T00:00:00"/>
    <n v="0"/>
    <m/>
    <n v="1"/>
    <n v="1583333"/>
    <d v="2026-05-01T00:00:00"/>
    <x v="0"/>
  </r>
  <r>
    <s v="SERVICIO DE SALUD OSORNO"/>
    <x v="0"/>
    <x v="33"/>
    <s v="Proyecto operacional"/>
    <s v="Publicado"/>
    <s v="22.08.007"/>
    <x v="34"/>
    <s v="ejecución de la compra mes julio año 2025, duración del convenio corresponde a los meses de enero a diciembre 2026"/>
    <x v="1"/>
    <x v="28"/>
    <n v="4"/>
    <n v="1"/>
    <x v="37"/>
    <x v="58"/>
    <x v="11"/>
    <x v="18"/>
    <x v="22"/>
    <x v="25"/>
    <s v="64-2567766-"/>
    <s v="camila.roa@redsalud.gob.cl"/>
    <x v="7"/>
    <d v="2025-08-20T00:00:00"/>
    <n v="0"/>
    <m/>
    <n v="1"/>
    <n v="1583333"/>
    <d v="2026-02-01T00:00:00"/>
    <x v="0"/>
  </r>
  <r>
    <s v="SERVICIO DE SALUD OSORNO"/>
    <x v="0"/>
    <x v="33"/>
    <s v="Proyecto operacional"/>
    <s v="Publicado"/>
    <s v="22.08.007"/>
    <x v="34"/>
    <s v="ejecución de la compra mes julio año 2025, duración del convenio corresponde a los meses de enero a diciembre 2026"/>
    <x v="1"/>
    <x v="28"/>
    <n v="4"/>
    <n v="1"/>
    <x v="37"/>
    <x v="58"/>
    <x v="11"/>
    <x v="18"/>
    <x v="22"/>
    <x v="25"/>
    <s v="64-2567766-"/>
    <s v="camila.roa@redsalud.gob.cl"/>
    <x v="7"/>
    <d v="2025-08-20T00:00:00"/>
    <n v="0"/>
    <m/>
    <n v="1"/>
    <n v="1583333"/>
    <d v="2026-12-01T00:00:00"/>
    <x v="0"/>
  </r>
  <r>
    <s v="SERVICIO DE SALUD OSORNO"/>
    <x v="0"/>
    <x v="33"/>
    <s v="Proyecto operacional"/>
    <s v="Publicado"/>
    <s v="22.08.007"/>
    <x v="34"/>
    <s v="ejecución de la compra mes julio año 2025, duración del convenio corresponde a los meses de enero a diciembre 2026"/>
    <x v="1"/>
    <x v="28"/>
    <n v="4"/>
    <n v="1"/>
    <x v="37"/>
    <x v="58"/>
    <x v="11"/>
    <x v="18"/>
    <x v="22"/>
    <x v="25"/>
    <s v="64-2567766-"/>
    <s v="camila.roa@redsalud.gob.cl"/>
    <x v="7"/>
    <d v="2025-08-20T00:00:00"/>
    <n v="0"/>
    <m/>
    <n v="1"/>
    <n v="1583333"/>
    <d v="2026-04-01T00:00:00"/>
    <x v="0"/>
  </r>
  <r>
    <s v="SERVICIO DE SALUD OSORNO"/>
    <x v="0"/>
    <x v="33"/>
    <s v="Proyecto operacional"/>
    <s v="Publicado"/>
    <s v="22.08.007"/>
    <x v="34"/>
    <s v="ejecución de la compra mes julio año 2025, duración del convenio corresponde a los meses de enero a diciembre 2026"/>
    <x v="1"/>
    <x v="28"/>
    <n v="4"/>
    <n v="1"/>
    <x v="37"/>
    <x v="58"/>
    <x v="11"/>
    <x v="18"/>
    <x v="22"/>
    <x v="25"/>
    <s v="64-2567766-"/>
    <s v="camila.roa@redsalud.gob.cl"/>
    <x v="7"/>
    <d v="2025-08-20T00:00:00"/>
    <n v="0"/>
    <m/>
    <n v="1"/>
    <n v="1583333"/>
    <d v="2026-08-01T00:00:00"/>
    <x v="0"/>
  </r>
  <r>
    <s v="SERVICIO DE SALUD OSORNO"/>
    <x v="0"/>
    <x v="33"/>
    <s v="Proyecto operacional"/>
    <s v="Publicado"/>
    <s v="22.08.007"/>
    <x v="34"/>
    <s v="ejecución de la compra mes julio año 2025, duración del convenio corresponde a los meses de enero a diciembre 2026"/>
    <x v="1"/>
    <x v="28"/>
    <n v="4"/>
    <n v="1"/>
    <x v="37"/>
    <x v="58"/>
    <x v="11"/>
    <x v="18"/>
    <x v="22"/>
    <x v="25"/>
    <s v="64-2567766-"/>
    <s v="camila.roa@redsalud.gob.cl"/>
    <x v="7"/>
    <d v="2025-08-20T00:00:00"/>
    <n v="0"/>
    <m/>
    <n v="1"/>
    <n v="1583333"/>
    <d v="2026-10-01T00:00:00"/>
    <x v="0"/>
  </r>
  <r>
    <s v="SERVICIO DE SALUD OSORNO"/>
    <x v="0"/>
    <x v="33"/>
    <s v="Proyecto operacional"/>
    <s v="Publicado"/>
    <s v="22.08.007"/>
    <x v="34"/>
    <s v="ejecución de la compra mes julio año 2025, duración del convenio corresponde a los meses de enero a diciembre 2026"/>
    <x v="1"/>
    <x v="28"/>
    <n v="4"/>
    <n v="1"/>
    <x v="37"/>
    <x v="58"/>
    <x v="11"/>
    <x v="18"/>
    <x v="22"/>
    <x v="25"/>
    <s v="64-2567766-"/>
    <s v="camila.roa@redsalud.gob.cl"/>
    <x v="7"/>
    <d v="2025-08-20T00:00:00"/>
    <n v="0"/>
    <m/>
    <n v="1"/>
    <n v="1583333"/>
    <d v="2026-06-01T00:00:00"/>
    <x v="0"/>
  </r>
  <r>
    <s v="SERVICIO DE SALUD OSORNO"/>
    <x v="0"/>
    <x v="33"/>
    <s v="Proyecto operacional"/>
    <s v="Publicado"/>
    <s v="22.08.007"/>
    <x v="34"/>
    <s v="ejecución de la compra mes julio año 2025, duración del convenio corresponde a los meses de enero a diciembre 2026"/>
    <x v="1"/>
    <x v="28"/>
    <n v="4"/>
    <n v="1"/>
    <x v="37"/>
    <x v="58"/>
    <x v="11"/>
    <x v="18"/>
    <x v="22"/>
    <x v="25"/>
    <s v="64-2567766-"/>
    <s v="camila.roa@redsalud.gob.cl"/>
    <x v="7"/>
    <d v="2025-08-20T00:00:00"/>
    <n v="0"/>
    <m/>
    <n v="1"/>
    <n v="1583333"/>
    <d v="2026-11-01T00:00:00"/>
    <x v="0"/>
  </r>
  <r>
    <s v="SERVICIO DE SALUD OSORNO"/>
    <x v="0"/>
    <x v="33"/>
    <s v="Proyecto operacional"/>
    <s v="Publicado"/>
    <s v="22.08.007"/>
    <x v="34"/>
    <s v="ejecución de la compra mes julio año 2025, duración del convenio corresponde a los meses de enero a diciembre 2026"/>
    <x v="1"/>
    <x v="28"/>
    <n v="4"/>
    <n v="1"/>
    <x v="37"/>
    <x v="58"/>
    <x v="11"/>
    <x v="18"/>
    <x v="22"/>
    <x v="25"/>
    <s v="64-2567766-"/>
    <s v="camila.roa@redsalud.gob.cl"/>
    <x v="7"/>
    <d v="2025-08-20T00:00:00"/>
    <n v="0"/>
    <m/>
    <n v="1"/>
    <n v="1583333"/>
    <d v="2026-03-01T00:00:00"/>
    <x v="0"/>
  </r>
  <r>
    <s v="SERVICIO DE SALUD OSORNO"/>
    <x v="0"/>
    <x v="33"/>
    <s v="Proyecto operacional"/>
    <s v="Publicado"/>
    <s v="22.08.007"/>
    <x v="34"/>
    <s v="ejecución de la compra mes julio año 2025, duración del convenio corresponde a los meses de enero a diciembre 2026"/>
    <x v="1"/>
    <x v="28"/>
    <n v="4"/>
    <n v="1"/>
    <x v="37"/>
    <x v="58"/>
    <x v="11"/>
    <x v="18"/>
    <x v="22"/>
    <x v="25"/>
    <s v="64-2567766-"/>
    <s v="camila.roa@redsalud.gob.cl"/>
    <x v="7"/>
    <d v="2025-08-20T00:00:00"/>
    <n v="0"/>
    <m/>
    <n v="1"/>
    <n v="1583333"/>
    <d v="2026-07-01T00:00:00"/>
    <x v="0"/>
  </r>
  <r>
    <s v="SERVICIO DE SALUD OSORNO"/>
    <x v="0"/>
    <x v="33"/>
    <s v="Proyecto operacional"/>
    <s v="Publicado"/>
    <s v="22.08.007"/>
    <x v="34"/>
    <s v="ejecución de la compra mes julio año 2025, duración del convenio corresponde a los meses de enero a diciembre 2026"/>
    <x v="1"/>
    <x v="28"/>
    <n v="4"/>
    <n v="1"/>
    <x v="37"/>
    <x v="58"/>
    <x v="11"/>
    <x v="18"/>
    <x v="22"/>
    <x v="25"/>
    <s v="64-2567766-"/>
    <s v="camila.roa@redsalud.gob.cl"/>
    <x v="7"/>
    <d v="2025-08-20T00:00:00"/>
    <n v="0"/>
    <m/>
    <n v="1"/>
    <n v="1583333"/>
    <d v="2026-09-01T00:00:00"/>
    <x v="0"/>
  </r>
  <r>
    <s v="SERVICIO DE SALUD OSORNO"/>
    <x v="0"/>
    <x v="34"/>
    <s v="Proyecto operacional"/>
    <s v="Publicado"/>
    <s v="22.08.007"/>
    <x v="35"/>
    <s v="Cumplir con los requerimientos GES 85 Enfemedad de"/>
    <x v="1"/>
    <x v="28"/>
    <n v="4"/>
    <n v="1"/>
    <x v="33"/>
    <x v="51"/>
    <x v="11"/>
    <x v="18"/>
    <x v="23"/>
    <x v="19"/>
    <s v="64-2567363-"/>
    <s v="ximena.campos@redsalud.gob.cl"/>
    <x v="7"/>
    <d v="2025-08-20T00:00:00"/>
    <n v="0"/>
    <m/>
    <n v="1"/>
    <n v="2625000"/>
    <d v="2026-07-01T00:00:00"/>
    <x v="0"/>
  </r>
  <r>
    <s v="SERVICIO DE SALUD OSORNO"/>
    <x v="0"/>
    <x v="34"/>
    <s v="Proyecto operacional"/>
    <s v="Publicado"/>
    <s v="22.08.007"/>
    <x v="35"/>
    <s v="Cumplir con los requerimientos GES 85 Enfemedad de"/>
    <x v="1"/>
    <x v="28"/>
    <n v="4"/>
    <n v="1"/>
    <x v="33"/>
    <x v="51"/>
    <x v="11"/>
    <x v="18"/>
    <x v="23"/>
    <x v="19"/>
    <s v="64-2567363-"/>
    <s v="ximena.campos@redsalud.gob.cl"/>
    <x v="7"/>
    <d v="2025-08-20T00:00:00"/>
    <n v="0"/>
    <m/>
    <n v="1"/>
    <n v="2625000"/>
    <d v="2026-12-01T00:00:00"/>
    <x v="0"/>
  </r>
  <r>
    <s v="SERVICIO DE SALUD OSORNO"/>
    <x v="0"/>
    <x v="34"/>
    <s v="Proyecto operacional"/>
    <s v="Publicado"/>
    <s v="22.08.007"/>
    <x v="35"/>
    <s v="Cumplir con los requerimientos GES 85 Enfemedad de"/>
    <x v="1"/>
    <x v="28"/>
    <n v="4"/>
    <n v="1"/>
    <x v="33"/>
    <x v="51"/>
    <x v="11"/>
    <x v="18"/>
    <x v="23"/>
    <x v="19"/>
    <s v="64-2567363-"/>
    <s v="ximena.campos@redsalud.gob.cl"/>
    <x v="7"/>
    <d v="2025-08-20T00:00:00"/>
    <n v="0"/>
    <m/>
    <n v="1"/>
    <n v="2625000"/>
    <d v="2026-08-01T00:00:00"/>
    <x v="0"/>
  </r>
  <r>
    <s v="SERVICIO DE SALUD OSORNO"/>
    <x v="0"/>
    <x v="34"/>
    <s v="Proyecto operacional"/>
    <s v="Publicado"/>
    <s v="22.08.007"/>
    <x v="35"/>
    <s v="Cumplir con los requerimientos GES 85 Enfemedad de"/>
    <x v="1"/>
    <x v="28"/>
    <n v="4"/>
    <n v="1"/>
    <x v="33"/>
    <x v="51"/>
    <x v="11"/>
    <x v="18"/>
    <x v="23"/>
    <x v="19"/>
    <s v="64-2567363-"/>
    <s v="ximena.campos@redsalud.gob.cl"/>
    <x v="7"/>
    <d v="2025-08-20T00:00:00"/>
    <n v="0"/>
    <m/>
    <n v="1"/>
    <n v="2625000"/>
    <d v="2026-05-01T00:00:00"/>
    <x v="0"/>
  </r>
  <r>
    <s v="SERVICIO DE SALUD OSORNO"/>
    <x v="0"/>
    <x v="34"/>
    <s v="Proyecto operacional"/>
    <s v="Publicado"/>
    <s v="22.08.007"/>
    <x v="35"/>
    <s v="Cumplir con los requerimientos GES 85 Enfemedad de"/>
    <x v="1"/>
    <x v="28"/>
    <n v="4"/>
    <n v="1"/>
    <x v="33"/>
    <x v="51"/>
    <x v="11"/>
    <x v="18"/>
    <x v="23"/>
    <x v="19"/>
    <s v="64-2567363-"/>
    <s v="ximena.campos@redsalud.gob.cl"/>
    <x v="7"/>
    <d v="2025-08-20T00:00:00"/>
    <n v="0"/>
    <m/>
    <n v="1"/>
    <n v="2625000"/>
    <d v="2026-09-01T00:00:00"/>
    <x v="0"/>
  </r>
  <r>
    <s v="SERVICIO DE SALUD OSORNO"/>
    <x v="0"/>
    <x v="34"/>
    <s v="Proyecto operacional"/>
    <s v="Publicado"/>
    <s v="22.08.007"/>
    <x v="35"/>
    <s v="Cumplir con los requerimientos GES 85 Enfemedad de"/>
    <x v="1"/>
    <x v="28"/>
    <n v="4"/>
    <n v="1"/>
    <x v="33"/>
    <x v="51"/>
    <x v="11"/>
    <x v="18"/>
    <x v="23"/>
    <x v="19"/>
    <s v="64-2567363-"/>
    <s v="ximena.campos@redsalud.gob.cl"/>
    <x v="7"/>
    <d v="2025-08-20T00:00:00"/>
    <n v="0"/>
    <m/>
    <n v="1"/>
    <n v="2625000"/>
    <d v="2026-11-01T00:00:00"/>
    <x v="0"/>
  </r>
  <r>
    <s v="SERVICIO DE SALUD OSORNO"/>
    <x v="0"/>
    <x v="34"/>
    <s v="Proyecto operacional"/>
    <s v="Publicado"/>
    <s v="22.08.007"/>
    <x v="35"/>
    <s v="Cumplir con los requerimientos GES 85 Enfemedad de"/>
    <x v="1"/>
    <x v="28"/>
    <n v="4"/>
    <n v="1"/>
    <x v="33"/>
    <x v="51"/>
    <x v="11"/>
    <x v="18"/>
    <x v="23"/>
    <x v="19"/>
    <s v="64-2567363-"/>
    <s v="ximena.campos@redsalud.gob.cl"/>
    <x v="7"/>
    <d v="2025-08-20T00:00:00"/>
    <n v="0"/>
    <m/>
    <n v="1"/>
    <n v="2625000"/>
    <d v="2026-02-01T00:00:00"/>
    <x v="0"/>
  </r>
  <r>
    <s v="SERVICIO DE SALUD OSORNO"/>
    <x v="0"/>
    <x v="34"/>
    <s v="Proyecto operacional"/>
    <s v="Publicado"/>
    <s v="22.08.007"/>
    <x v="35"/>
    <s v="Cumplir con los requerimientos GES 85 Enfemedad de"/>
    <x v="1"/>
    <x v="28"/>
    <n v="4"/>
    <n v="1"/>
    <x v="33"/>
    <x v="51"/>
    <x v="11"/>
    <x v="18"/>
    <x v="23"/>
    <x v="19"/>
    <s v="64-2567363-"/>
    <s v="ximena.campos@redsalud.gob.cl"/>
    <x v="7"/>
    <d v="2025-08-20T00:00:00"/>
    <n v="0"/>
    <m/>
    <n v="1"/>
    <n v="2625000"/>
    <d v="2026-06-01T00:00:00"/>
    <x v="0"/>
  </r>
  <r>
    <s v="SERVICIO DE SALUD OSORNO"/>
    <x v="0"/>
    <x v="34"/>
    <s v="Proyecto operacional"/>
    <s v="Publicado"/>
    <s v="22.08.007"/>
    <x v="35"/>
    <s v="Cumplir con los requerimientos GES 85 Enfemedad de"/>
    <x v="1"/>
    <x v="28"/>
    <n v="4"/>
    <n v="1"/>
    <x v="33"/>
    <x v="51"/>
    <x v="11"/>
    <x v="18"/>
    <x v="23"/>
    <x v="19"/>
    <s v="64-2567363-"/>
    <s v="ximena.campos@redsalud.gob.cl"/>
    <x v="7"/>
    <d v="2025-08-20T00:00:00"/>
    <n v="0"/>
    <m/>
    <n v="1"/>
    <n v="2625000"/>
    <d v="2026-03-01T00:00:00"/>
    <x v="0"/>
  </r>
  <r>
    <s v="SERVICIO DE SALUD OSORNO"/>
    <x v="0"/>
    <x v="34"/>
    <s v="Proyecto operacional"/>
    <s v="Publicado"/>
    <s v="22.08.007"/>
    <x v="35"/>
    <s v="Cumplir con los requerimientos GES 85 Enfemedad de"/>
    <x v="1"/>
    <x v="28"/>
    <n v="4"/>
    <n v="1"/>
    <x v="33"/>
    <x v="51"/>
    <x v="11"/>
    <x v="18"/>
    <x v="23"/>
    <x v="19"/>
    <s v="64-2567363-"/>
    <s v="ximena.campos@redsalud.gob.cl"/>
    <x v="7"/>
    <d v="2025-08-20T00:00:00"/>
    <n v="0"/>
    <m/>
    <n v="1"/>
    <n v="2625000"/>
    <d v="2026-04-01T00:00:00"/>
    <x v="0"/>
  </r>
  <r>
    <s v="SERVICIO DE SALUD OSORNO"/>
    <x v="0"/>
    <x v="34"/>
    <s v="Proyecto operacional"/>
    <s v="Publicado"/>
    <s v="22.08.007"/>
    <x v="35"/>
    <s v="Cumplir con los requerimientos GES 85 Enfemedad de"/>
    <x v="1"/>
    <x v="28"/>
    <n v="4"/>
    <n v="1"/>
    <x v="33"/>
    <x v="51"/>
    <x v="11"/>
    <x v="18"/>
    <x v="23"/>
    <x v="19"/>
    <s v="64-2567363-"/>
    <s v="ximena.campos@redsalud.gob.cl"/>
    <x v="7"/>
    <d v="2025-08-20T00:00:00"/>
    <n v="0"/>
    <m/>
    <n v="1"/>
    <n v="2625000"/>
    <d v="2026-10-01T00:00:00"/>
    <x v="0"/>
  </r>
  <r>
    <s v="SERVICIO DE SALUD OSORNO"/>
    <x v="0"/>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x v="1"/>
    <x v="28"/>
    <n v="4"/>
    <n v="1"/>
    <x v="40"/>
    <x v="61"/>
    <x v="11"/>
    <x v="18"/>
    <x v="19"/>
    <x v="22"/>
    <s v="64-2565492-"/>
    <s v="mariaines.asenjo@redsalud.gob.cl"/>
    <x v="7"/>
    <d v="2025-08-20T00:00:00"/>
    <n v="0"/>
    <m/>
    <n v="1"/>
    <n v="2166667"/>
    <d v="2026-03-01T00:00:00"/>
    <x v="0"/>
  </r>
  <r>
    <s v="SERVICIO DE SALUD OSORNO"/>
    <x v="0"/>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x v="1"/>
    <x v="28"/>
    <n v="4"/>
    <n v="1"/>
    <x v="40"/>
    <x v="61"/>
    <x v="11"/>
    <x v="18"/>
    <x v="19"/>
    <x v="22"/>
    <s v="64-2565492-"/>
    <s v="mariaines.asenjo@redsalud.gob.cl"/>
    <x v="7"/>
    <d v="2025-08-20T00:00:00"/>
    <n v="0"/>
    <m/>
    <n v="1"/>
    <n v="2166667"/>
    <d v="2026-08-01T00:00:00"/>
    <x v="0"/>
  </r>
  <r>
    <s v="SERVICIO DE SALUD OSORNO"/>
    <x v="0"/>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x v="1"/>
    <x v="28"/>
    <n v="4"/>
    <n v="1"/>
    <x v="40"/>
    <x v="61"/>
    <x v="11"/>
    <x v="18"/>
    <x v="19"/>
    <x v="22"/>
    <s v="64-2565492-"/>
    <s v="mariaines.asenjo@redsalud.gob.cl"/>
    <x v="7"/>
    <d v="2025-08-20T00:00:00"/>
    <n v="0"/>
    <m/>
    <n v="1"/>
    <n v="2166667"/>
    <d v="2026-02-01T00:00:00"/>
    <x v="0"/>
  </r>
  <r>
    <s v="SERVICIO DE SALUD OSORNO"/>
    <x v="0"/>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x v="1"/>
    <x v="28"/>
    <n v="4"/>
    <n v="1"/>
    <x v="40"/>
    <x v="61"/>
    <x v="11"/>
    <x v="18"/>
    <x v="19"/>
    <x v="22"/>
    <s v="64-2565492-"/>
    <s v="mariaines.asenjo@redsalud.gob.cl"/>
    <x v="7"/>
    <d v="2025-08-20T00:00:00"/>
    <n v="0"/>
    <m/>
    <n v="1"/>
    <n v="2166667"/>
    <d v="2026-04-01T00:00:00"/>
    <x v="0"/>
  </r>
  <r>
    <s v="SERVICIO DE SALUD OSORNO"/>
    <x v="0"/>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x v="1"/>
    <x v="28"/>
    <n v="4"/>
    <n v="1"/>
    <x v="40"/>
    <x v="61"/>
    <x v="11"/>
    <x v="18"/>
    <x v="19"/>
    <x v="22"/>
    <s v="64-2565492-"/>
    <s v="mariaines.asenjo@redsalud.gob.cl"/>
    <x v="7"/>
    <d v="2025-08-20T00:00:00"/>
    <n v="0"/>
    <m/>
    <n v="1"/>
    <n v="2166667"/>
    <d v="2026-10-01T00:00:00"/>
    <x v="0"/>
  </r>
  <r>
    <s v="SERVICIO DE SALUD OSORNO"/>
    <x v="0"/>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x v="1"/>
    <x v="28"/>
    <n v="4"/>
    <n v="1"/>
    <x v="40"/>
    <x v="61"/>
    <x v="11"/>
    <x v="18"/>
    <x v="19"/>
    <x v="22"/>
    <s v="64-2565492-"/>
    <s v="mariaines.asenjo@redsalud.gob.cl"/>
    <x v="7"/>
    <d v="2025-08-20T00:00:00"/>
    <n v="0"/>
    <m/>
    <n v="1"/>
    <n v="2166667"/>
    <d v="2026-05-01T00:00:00"/>
    <x v="0"/>
  </r>
  <r>
    <s v="SERVICIO DE SALUD OSORNO"/>
    <x v="0"/>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x v="1"/>
    <x v="28"/>
    <n v="4"/>
    <n v="1"/>
    <x v="40"/>
    <x v="61"/>
    <x v="11"/>
    <x v="18"/>
    <x v="19"/>
    <x v="22"/>
    <s v="64-2565492-"/>
    <s v="mariaines.asenjo@redsalud.gob.cl"/>
    <x v="7"/>
    <d v="2025-08-20T00:00:00"/>
    <n v="0"/>
    <m/>
    <n v="1"/>
    <n v="2166667"/>
    <d v="2026-06-01T00:00:00"/>
    <x v="0"/>
  </r>
  <r>
    <s v="SERVICIO DE SALUD OSORNO"/>
    <x v="0"/>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x v="1"/>
    <x v="28"/>
    <n v="4"/>
    <n v="1"/>
    <x v="40"/>
    <x v="61"/>
    <x v="11"/>
    <x v="18"/>
    <x v="19"/>
    <x v="22"/>
    <s v="64-2565492-"/>
    <s v="mariaines.asenjo@redsalud.gob.cl"/>
    <x v="7"/>
    <d v="2025-08-20T00:00:00"/>
    <n v="0"/>
    <m/>
    <n v="1"/>
    <n v="2166667"/>
    <d v="2026-11-01T00:00:00"/>
    <x v="0"/>
  </r>
  <r>
    <s v="SERVICIO DE SALUD OSORNO"/>
    <x v="0"/>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x v="1"/>
    <x v="28"/>
    <n v="4"/>
    <n v="1"/>
    <x v="40"/>
    <x v="61"/>
    <x v="11"/>
    <x v="18"/>
    <x v="19"/>
    <x v="22"/>
    <s v="64-2565492-"/>
    <s v="mariaines.asenjo@redsalud.gob.cl"/>
    <x v="7"/>
    <d v="2025-08-20T00:00:00"/>
    <n v="0"/>
    <m/>
    <n v="1"/>
    <n v="2166667"/>
    <d v="2026-12-01T00:00:00"/>
    <x v="0"/>
  </r>
  <r>
    <s v="SERVICIO DE SALUD OSORNO"/>
    <x v="0"/>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x v="1"/>
    <x v="28"/>
    <n v="4"/>
    <n v="1"/>
    <x v="40"/>
    <x v="61"/>
    <x v="11"/>
    <x v="18"/>
    <x v="19"/>
    <x v="22"/>
    <s v="64-2565492-"/>
    <s v="mariaines.asenjo@redsalud.gob.cl"/>
    <x v="7"/>
    <d v="2025-08-20T00:00:00"/>
    <n v="0"/>
    <m/>
    <n v="1"/>
    <n v="2166667"/>
    <d v="2026-07-01T00:00:00"/>
    <x v="0"/>
  </r>
  <r>
    <s v="SERVICIO DE SALUD OSORNO"/>
    <x v="0"/>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x v="1"/>
    <x v="28"/>
    <n v="4"/>
    <n v="1"/>
    <x v="40"/>
    <x v="61"/>
    <x v="11"/>
    <x v="18"/>
    <x v="19"/>
    <x v="22"/>
    <s v="64-2565492-"/>
    <s v="mariaines.asenjo@redsalud.gob.cl"/>
    <x v="7"/>
    <d v="2025-08-20T00:00:00"/>
    <n v="0"/>
    <m/>
    <n v="1"/>
    <n v="2166667"/>
    <d v="2026-09-01T00:00:00"/>
    <x v="0"/>
  </r>
  <r>
    <s v="SERVICIO DE SALUD OSORNO"/>
    <x v="0"/>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x v="1"/>
    <x v="33"/>
    <n v="4"/>
    <n v="1"/>
    <x v="41"/>
    <x v="62"/>
    <x v="11"/>
    <x v="20"/>
    <x v="24"/>
    <x v="26"/>
    <s v="64-2565810-"/>
    <s v="consuelo.cordova@redsalud.gob.cl"/>
    <x v="7"/>
    <d v="2025-08-20T00:00:00"/>
    <n v="0"/>
    <m/>
    <n v="1"/>
    <n v="41666666"/>
    <d v="2026-06-01T00:00:00"/>
    <x v="0"/>
  </r>
  <r>
    <s v="SERVICIO DE SALUD OSORNO"/>
    <x v="0"/>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x v="1"/>
    <x v="33"/>
    <n v="4"/>
    <n v="1"/>
    <x v="41"/>
    <x v="62"/>
    <x v="11"/>
    <x v="20"/>
    <x v="24"/>
    <x v="26"/>
    <s v="64-2565810-"/>
    <s v="consuelo.cordova@redsalud.gob.cl"/>
    <x v="7"/>
    <d v="2025-08-20T00:00:00"/>
    <n v="0"/>
    <m/>
    <n v="1"/>
    <n v="41666666"/>
    <d v="2026-11-01T00:00:00"/>
    <x v="0"/>
  </r>
  <r>
    <s v="SERVICIO DE SALUD OSORNO"/>
    <x v="0"/>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x v="1"/>
    <x v="33"/>
    <n v="4"/>
    <n v="1"/>
    <x v="41"/>
    <x v="62"/>
    <x v="11"/>
    <x v="20"/>
    <x v="24"/>
    <x v="26"/>
    <s v="64-2565810-"/>
    <s v="consuelo.cordova@redsalud.gob.cl"/>
    <x v="7"/>
    <d v="2025-08-20T00:00:00"/>
    <n v="0"/>
    <m/>
    <n v="1"/>
    <n v="41666666"/>
    <d v="2026-04-01T00:00:00"/>
    <x v="0"/>
  </r>
  <r>
    <s v="SERVICIO DE SALUD OSORNO"/>
    <x v="0"/>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x v="1"/>
    <x v="33"/>
    <n v="4"/>
    <n v="1"/>
    <x v="41"/>
    <x v="62"/>
    <x v="11"/>
    <x v="20"/>
    <x v="24"/>
    <x v="26"/>
    <s v="64-2565810-"/>
    <s v="consuelo.cordova@redsalud.gob.cl"/>
    <x v="7"/>
    <d v="2025-08-20T00:00:00"/>
    <n v="0"/>
    <m/>
    <n v="1"/>
    <n v="41666666"/>
    <d v="2026-01-01T00:00:00"/>
    <x v="0"/>
  </r>
  <r>
    <s v="SERVICIO DE SALUD OSORNO"/>
    <x v="0"/>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x v="1"/>
    <x v="33"/>
    <n v="4"/>
    <n v="1"/>
    <x v="41"/>
    <x v="62"/>
    <x v="11"/>
    <x v="20"/>
    <x v="24"/>
    <x v="26"/>
    <s v="64-2565810-"/>
    <s v="consuelo.cordova@redsalud.gob.cl"/>
    <x v="7"/>
    <d v="2025-08-20T00:00:00"/>
    <n v="0"/>
    <m/>
    <n v="1"/>
    <n v="41666666"/>
    <d v="2026-10-01T00:00:00"/>
    <x v="0"/>
  </r>
  <r>
    <s v="SERVICIO DE SALUD OSORNO"/>
    <x v="0"/>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x v="1"/>
    <x v="33"/>
    <n v="4"/>
    <n v="1"/>
    <x v="41"/>
    <x v="62"/>
    <x v="11"/>
    <x v="20"/>
    <x v="24"/>
    <x v="26"/>
    <s v="64-2565810-"/>
    <s v="consuelo.cordova@redsalud.gob.cl"/>
    <x v="7"/>
    <d v="2025-08-20T00:00:00"/>
    <n v="0"/>
    <m/>
    <n v="1"/>
    <n v="41666666"/>
    <d v="2026-08-01T00:00:00"/>
    <x v="0"/>
  </r>
  <r>
    <s v="SERVICIO DE SALUD OSORNO"/>
    <x v="0"/>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x v="1"/>
    <x v="33"/>
    <n v="4"/>
    <n v="1"/>
    <x v="41"/>
    <x v="62"/>
    <x v="11"/>
    <x v="20"/>
    <x v="24"/>
    <x v="26"/>
    <s v="64-2565810-"/>
    <s v="consuelo.cordova@redsalud.gob.cl"/>
    <x v="7"/>
    <d v="2025-08-20T00:00:00"/>
    <n v="0"/>
    <m/>
    <n v="1"/>
    <n v="41666666"/>
    <d v="2026-02-01T00:00:00"/>
    <x v="0"/>
  </r>
  <r>
    <s v="SERVICIO DE SALUD OSORNO"/>
    <x v="0"/>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x v="1"/>
    <x v="33"/>
    <n v="4"/>
    <n v="1"/>
    <x v="41"/>
    <x v="62"/>
    <x v="11"/>
    <x v="20"/>
    <x v="24"/>
    <x v="26"/>
    <s v="64-2565810-"/>
    <s v="consuelo.cordova@redsalud.gob.cl"/>
    <x v="7"/>
    <d v="2025-08-20T00:00:00"/>
    <n v="0"/>
    <m/>
    <n v="1"/>
    <n v="41666666"/>
    <d v="2026-05-01T00:00:00"/>
    <x v="0"/>
  </r>
  <r>
    <s v="SERVICIO DE SALUD OSORNO"/>
    <x v="0"/>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x v="1"/>
    <x v="33"/>
    <n v="4"/>
    <n v="1"/>
    <x v="41"/>
    <x v="62"/>
    <x v="11"/>
    <x v="20"/>
    <x v="24"/>
    <x v="26"/>
    <s v="64-2565810-"/>
    <s v="consuelo.cordova@redsalud.gob.cl"/>
    <x v="7"/>
    <d v="2025-08-20T00:00:00"/>
    <n v="0"/>
    <m/>
    <n v="1"/>
    <n v="41666666"/>
    <d v="2026-07-01T00:00:00"/>
    <x v="0"/>
  </r>
  <r>
    <s v="SERVICIO DE SALUD OSORNO"/>
    <x v="0"/>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x v="1"/>
    <x v="33"/>
    <n v="4"/>
    <n v="1"/>
    <x v="41"/>
    <x v="63"/>
    <x v="11"/>
    <x v="20"/>
    <x v="24"/>
    <x v="26"/>
    <s v="64-2565810-"/>
    <s v="consuelo.cordova@redsalud.gob.cl"/>
    <x v="7"/>
    <d v="2025-08-20T00:00:00"/>
    <n v="0"/>
    <m/>
    <n v="1"/>
    <n v="41666674"/>
    <d v="2026-12-01T00:00:00"/>
    <x v="0"/>
  </r>
  <r>
    <s v="SERVICIO DE SALUD OSORNO"/>
    <x v="0"/>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x v="1"/>
    <x v="33"/>
    <n v="4"/>
    <n v="1"/>
    <x v="41"/>
    <x v="62"/>
    <x v="11"/>
    <x v="20"/>
    <x v="24"/>
    <x v="26"/>
    <s v="64-2565810-"/>
    <s v="consuelo.cordova@redsalud.gob.cl"/>
    <x v="7"/>
    <d v="2025-08-20T00:00:00"/>
    <n v="0"/>
    <m/>
    <n v="1"/>
    <n v="41666666"/>
    <d v="2026-09-01T00:00:00"/>
    <x v="0"/>
  </r>
  <r>
    <s v="SERVICIO DE SALUD OSORNO"/>
    <x v="0"/>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x v="1"/>
    <x v="33"/>
    <n v="4"/>
    <n v="1"/>
    <x v="41"/>
    <x v="62"/>
    <x v="11"/>
    <x v="20"/>
    <x v="24"/>
    <x v="26"/>
    <s v="64-2565810-"/>
    <s v="consuelo.cordova@redsalud.gob.cl"/>
    <x v="7"/>
    <d v="2025-08-20T00:00:00"/>
    <n v="0"/>
    <m/>
    <n v="1"/>
    <n v="41666666"/>
    <d v="2026-03-01T00:00:00"/>
    <x v="0"/>
  </r>
  <r>
    <s v="SERVICIO DE SALUD OSORNO"/>
    <x v="0"/>
    <x v="37"/>
    <s v="Proyecto operacional"/>
    <s v="Publicado"/>
    <s v="22.08.001"/>
    <x v="38"/>
    <s v="El servicio requerido consta de la sanitización de baños, desratización y desinsectación de todos los hospitales de la red y establecimientos dependientes del SSO"/>
    <x v="1"/>
    <x v="34"/>
    <n v="4"/>
    <n v="1"/>
    <x v="42"/>
    <x v="64"/>
    <x v="11"/>
    <x v="18"/>
    <x v="25"/>
    <x v="27"/>
    <s v="64-2567030-"/>
    <s v="carlos.lopez@redsalud.gob.cl"/>
    <x v="7"/>
    <d v="2025-08-20T00:00:00"/>
    <n v="0"/>
    <m/>
    <n v="1"/>
    <n v="7956816"/>
    <d v="2026-03-01T00:00:00"/>
    <x v="0"/>
  </r>
  <r>
    <s v="SERVICIO DE SALUD OSORNO"/>
    <x v="0"/>
    <x v="37"/>
    <s v="Proyecto operacional"/>
    <s v="Publicado"/>
    <s v="22.08.001"/>
    <x v="38"/>
    <s v="El servicio requerido consta de la sanitización de baños, desratización y desinsectación de todos los hospitales de la red y establecimientos dependientes del SSO"/>
    <x v="1"/>
    <x v="34"/>
    <n v="4"/>
    <n v="1"/>
    <x v="42"/>
    <x v="64"/>
    <x v="11"/>
    <x v="18"/>
    <x v="25"/>
    <x v="27"/>
    <s v="64-2567030-"/>
    <s v="carlos.lopez@redsalud.gob.cl"/>
    <x v="7"/>
    <d v="2025-08-20T00:00:00"/>
    <n v="0"/>
    <m/>
    <n v="1"/>
    <n v="7956816"/>
    <d v="2026-08-01T00:00:00"/>
    <x v="0"/>
  </r>
  <r>
    <s v="SERVICIO DE SALUD OSORNO"/>
    <x v="0"/>
    <x v="37"/>
    <s v="Proyecto operacional"/>
    <s v="Publicado"/>
    <s v="22.08.001"/>
    <x v="38"/>
    <s v="El servicio requerido consta de la sanitización de baños, desratización y desinsectación de todos los hospitales de la red y establecimientos dependientes del SSO"/>
    <x v="1"/>
    <x v="34"/>
    <n v="4"/>
    <n v="1"/>
    <x v="42"/>
    <x v="64"/>
    <x v="11"/>
    <x v="18"/>
    <x v="25"/>
    <x v="27"/>
    <s v="64-2567030-"/>
    <s v="carlos.lopez@redsalud.gob.cl"/>
    <x v="7"/>
    <d v="2025-08-20T00:00:00"/>
    <n v="0"/>
    <m/>
    <n v="1"/>
    <n v="7956816"/>
    <d v="2026-12-01T00:00:00"/>
    <x v="0"/>
  </r>
  <r>
    <s v="SERVICIO DE SALUD OSORNO"/>
    <x v="0"/>
    <x v="37"/>
    <s v="Proyecto operacional"/>
    <s v="Publicado"/>
    <s v="22.08.001"/>
    <x v="38"/>
    <s v="El servicio requerido consta de la sanitización de baños, desratización y desinsectación de todos los hospitales de la red y establecimientos dependientes del SSO"/>
    <x v="1"/>
    <x v="34"/>
    <n v="4"/>
    <n v="1"/>
    <x v="42"/>
    <x v="64"/>
    <x v="11"/>
    <x v="18"/>
    <x v="25"/>
    <x v="27"/>
    <s v="64-2567030-"/>
    <s v="carlos.lopez@redsalud.gob.cl"/>
    <x v="7"/>
    <d v="2025-08-20T00:00:00"/>
    <n v="0"/>
    <m/>
    <n v="1"/>
    <n v="7956816"/>
    <d v="2026-04-01T00:00:00"/>
    <x v="0"/>
  </r>
  <r>
    <s v="SERVICIO DE SALUD OSORNO"/>
    <x v="0"/>
    <x v="37"/>
    <s v="Proyecto operacional"/>
    <s v="Publicado"/>
    <s v="22.08.001"/>
    <x v="38"/>
    <s v="El servicio requerido consta de la sanitización de baños, desratización y desinsectación de todos los hospitales de la red y establecimientos dependientes del SSO"/>
    <x v="1"/>
    <x v="34"/>
    <n v="4"/>
    <n v="1"/>
    <x v="42"/>
    <x v="64"/>
    <x v="11"/>
    <x v="18"/>
    <x v="25"/>
    <x v="27"/>
    <s v="64-2567030-"/>
    <s v="carlos.lopez@redsalud.gob.cl"/>
    <x v="7"/>
    <d v="2025-08-20T00:00:00"/>
    <n v="0"/>
    <m/>
    <n v="1"/>
    <n v="7956816"/>
    <d v="2026-07-01T00:00:00"/>
    <x v="0"/>
  </r>
  <r>
    <s v="SERVICIO DE SALUD OSORNO"/>
    <x v="0"/>
    <x v="37"/>
    <s v="Proyecto operacional"/>
    <s v="Publicado"/>
    <s v="22.08.001"/>
    <x v="38"/>
    <s v="El servicio requerido consta de la sanitización de baños, desratización y desinsectación de todos los hospitales de la red y establecimientos dependientes del SSO"/>
    <x v="1"/>
    <x v="34"/>
    <n v="4"/>
    <n v="1"/>
    <x v="42"/>
    <x v="64"/>
    <x v="11"/>
    <x v="18"/>
    <x v="25"/>
    <x v="27"/>
    <s v="64-2567030-"/>
    <s v="carlos.lopez@redsalud.gob.cl"/>
    <x v="7"/>
    <d v="2025-08-20T00:00:00"/>
    <n v="0"/>
    <m/>
    <n v="1"/>
    <n v="7956816"/>
    <d v="2026-02-01T00:00:00"/>
    <x v="0"/>
  </r>
  <r>
    <s v="SERVICIO DE SALUD OSORNO"/>
    <x v="0"/>
    <x v="37"/>
    <s v="Proyecto operacional"/>
    <s v="Publicado"/>
    <s v="22.08.001"/>
    <x v="38"/>
    <s v="El servicio requerido consta de la sanitización de baños, desratización y desinsectación de todos los hospitales de la red y establecimientos dependientes del SSO"/>
    <x v="1"/>
    <x v="34"/>
    <n v="4"/>
    <n v="1"/>
    <x v="42"/>
    <x v="64"/>
    <x v="11"/>
    <x v="18"/>
    <x v="25"/>
    <x v="27"/>
    <s v="64-2567030-"/>
    <s v="carlos.lopez@redsalud.gob.cl"/>
    <x v="7"/>
    <d v="2025-08-20T00:00:00"/>
    <n v="0"/>
    <m/>
    <n v="1"/>
    <n v="7956816"/>
    <d v="2026-05-01T00:00:00"/>
    <x v="0"/>
  </r>
  <r>
    <s v="SERVICIO DE SALUD OSORNO"/>
    <x v="0"/>
    <x v="37"/>
    <s v="Proyecto operacional"/>
    <s v="Publicado"/>
    <s v="22.08.001"/>
    <x v="38"/>
    <s v="El servicio requerido consta de la sanitización de baños, desratización y desinsectación de todos los hospitales de la red y establecimientos dependientes del SSO"/>
    <x v="1"/>
    <x v="34"/>
    <n v="4"/>
    <n v="1"/>
    <x v="42"/>
    <x v="64"/>
    <x v="11"/>
    <x v="18"/>
    <x v="25"/>
    <x v="27"/>
    <s v="64-2567030-"/>
    <s v="carlos.lopez@redsalud.gob.cl"/>
    <x v="7"/>
    <d v="2025-08-20T00:00:00"/>
    <n v="0"/>
    <m/>
    <n v="1"/>
    <n v="7956816"/>
    <d v="2026-11-01T00:00:00"/>
    <x v="0"/>
  </r>
  <r>
    <s v="SERVICIO DE SALUD OSORNO"/>
    <x v="0"/>
    <x v="37"/>
    <s v="Proyecto operacional"/>
    <s v="Publicado"/>
    <s v="22.08.001"/>
    <x v="38"/>
    <s v="El servicio requerido consta de la sanitización de baños, desratización y desinsectación de todos los hospitales de la red y establecimientos dependientes del SSO"/>
    <x v="1"/>
    <x v="34"/>
    <n v="4"/>
    <n v="1"/>
    <x v="42"/>
    <x v="64"/>
    <x v="11"/>
    <x v="18"/>
    <x v="25"/>
    <x v="27"/>
    <s v="64-2567030-"/>
    <s v="carlos.lopez@redsalud.gob.cl"/>
    <x v="7"/>
    <d v="2025-08-20T00:00:00"/>
    <n v="0"/>
    <m/>
    <n v="1"/>
    <n v="7956816"/>
    <d v="2026-10-01T00:00:00"/>
    <x v="0"/>
  </r>
  <r>
    <s v="SERVICIO DE SALUD OSORNO"/>
    <x v="0"/>
    <x v="37"/>
    <s v="Proyecto operacional"/>
    <s v="Publicado"/>
    <s v="22.08.001"/>
    <x v="38"/>
    <s v="El servicio requerido consta de la sanitización de baños, desratización y desinsectación de todos los hospitales de la red y establecimientos dependientes del SSO"/>
    <x v="1"/>
    <x v="34"/>
    <n v="4"/>
    <n v="1"/>
    <x v="42"/>
    <x v="64"/>
    <x v="11"/>
    <x v="18"/>
    <x v="25"/>
    <x v="27"/>
    <s v="64-2567030-"/>
    <s v="carlos.lopez@redsalud.gob.cl"/>
    <x v="7"/>
    <d v="2025-08-20T00:00:00"/>
    <n v="0"/>
    <m/>
    <n v="1"/>
    <n v="7956816"/>
    <d v="2026-06-01T00:00:00"/>
    <x v="0"/>
  </r>
  <r>
    <s v="SERVICIO DE SALUD OSORNO"/>
    <x v="0"/>
    <x v="37"/>
    <s v="Proyecto operacional"/>
    <s v="Publicado"/>
    <s v="22.08.001"/>
    <x v="38"/>
    <s v="El servicio requerido consta de la sanitización de baños, desratización y desinsectación de todos los hospitales de la red y establecimientos dependientes del SSO"/>
    <x v="1"/>
    <x v="34"/>
    <n v="4"/>
    <n v="1"/>
    <x v="42"/>
    <x v="64"/>
    <x v="11"/>
    <x v="18"/>
    <x v="25"/>
    <x v="27"/>
    <s v="64-2567030-"/>
    <s v="carlos.lopez@redsalud.gob.cl"/>
    <x v="7"/>
    <d v="2025-08-20T00:00:00"/>
    <n v="0"/>
    <m/>
    <n v="1"/>
    <n v="7956816"/>
    <d v="2026-09-01T00:00:00"/>
    <x v="0"/>
  </r>
  <r>
    <s v="SERVICIO DE SALUD OSORNO"/>
    <x v="0"/>
    <x v="38"/>
    <s v="Proyecto operacional"/>
    <s v="Publicado"/>
    <s v="22.04.003.002"/>
    <x v="39"/>
    <s v="Adquirir kit de detección de VPH y arriendo de equipo."/>
    <x v="1"/>
    <x v="33"/>
    <n v="4"/>
    <n v="3500"/>
    <x v="43"/>
    <x v="65"/>
    <x v="11"/>
    <x v="18"/>
    <x v="26"/>
    <x v="28"/>
    <s v="64-2565818-"/>
    <s v="Javiera.gajardom@redsalud.gob.cl"/>
    <x v="7"/>
    <d v="2025-08-20T00:00:00"/>
    <n v="0"/>
    <m/>
    <n v="1"/>
    <n v="4416666"/>
    <d v="2026-05-01T00:00:00"/>
    <x v="0"/>
  </r>
  <r>
    <s v="SERVICIO DE SALUD OSORNO"/>
    <x v="0"/>
    <x v="38"/>
    <s v="Proyecto operacional"/>
    <s v="Publicado"/>
    <s v="22.04.003.002"/>
    <x v="39"/>
    <s v="Adquirir kit de detección de VPH y arriendo de equipo."/>
    <x v="1"/>
    <x v="33"/>
    <n v="4"/>
    <n v="3500"/>
    <x v="43"/>
    <x v="65"/>
    <x v="11"/>
    <x v="18"/>
    <x v="26"/>
    <x v="28"/>
    <s v="64-2565818-"/>
    <s v="Javiera.gajardom@redsalud.gob.cl"/>
    <x v="7"/>
    <d v="2025-08-20T00:00:00"/>
    <n v="0"/>
    <m/>
    <n v="1"/>
    <n v="4416666"/>
    <d v="2026-06-01T00:00:00"/>
    <x v="0"/>
  </r>
  <r>
    <s v="SERVICIO DE SALUD OSORNO"/>
    <x v="0"/>
    <x v="38"/>
    <s v="Proyecto operacional"/>
    <s v="Publicado"/>
    <s v="22.04.003.002"/>
    <x v="39"/>
    <s v="Adquirir kit de detección de VPH y arriendo de equipo."/>
    <x v="1"/>
    <x v="33"/>
    <n v="4"/>
    <n v="3500"/>
    <x v="43"/>
    <x v="65"/>
    <x v="11"/>
    <x v="18"/>
    <x v="26"/>
    <x v="28"/>
    <s v="64-2565818-"/>
    <s v="Javiera.gajardom@redsalud.gob.cl"/>
    <x v="7"/>
    <d v="2025-08-20T00:00:00"/>
    <n v="0"/>
    <m/>
    <n v="1"/>
    <n v="4416666"/>
    <d v="2026-11-01T00:00:00"/>
    <x v="0"/>
  </r>
  <r>
    <s v="SERVICIO DE SALUD OSORNO"/>
    <x v="0"/>
    <x v="38"/>
    <s v="Proyecto operacional"/>
    <s v="Publicado"/>
    <s v="22.04.003.002"/>
    <x v="39"/>
    <s v="Adquirir kit de detección de VPH y arriendo de equipo."/>
    <x v="1"/>
    <x v="33"/>
    <n v="4"/>
    <n v="3500"/>
    <x v="43"/>
    <x v="65"/>
    <x v="11"/>
    <x v="18"/>
    <x v="26"/>
    <x v="28"/>
    <s v="64-2565818-"/>
    <s v="Javiera.gajardom@redsalud.gob.cl"/>
    <x v="7"/>
    <d v="2025-08-20T00:00:00"/>
    <n v="0"/>
    <m/>
    <n v="1"/>
    <n v="4416666"/>
    <d v="2026-04-01T00:00:00"/>
    <x v="0"/>
  </r>
  <r>
    <s v="SERVICIO DE SALUD OSORNO"/>
    <x v="0"/>
    <x v="38"/>
    <s v="Proyecto operacional"/>
    <s v="Publicado"/>
    <s v="22.04.003.002"/>
    <x v="39"/>
    <s v="Adquirir kit de detección de VPH y arriendo de equipo."/>
    <x v="1"/>
    <x v="33"/>
    <n v="4"/>
    <n v="3500"/>
    <x v="43"/>
    <x v="65"/>
    <x v="11"/>
    <x v="18"/>
    <x v="26"/>
    <x v="28"/>
    <s v="64-2565818-"/>
    <s v="Javiera.gajardom@redsalud.gob.cl"/>
    <x v="7"/>
    <d v="2025-08-20T00:00:00"/>
    <n v="0"/>
    <m/>
    <n v="1"/>
    <n v="4416666"/>
    <d v="2026-02-01T00:00:00"/>
    <x v="0"/>
  </r>
  <r>
    <s v="SERVICIO DE SALUD OSORNO"/>
    <x v="0"/>
    <x v="38"/>
    <s v="Proyecto operacional"/>
    <s v="Publicado"/>
    <s v="22.04.003.002"/>
    <x v="39"/>
    <s v="Adquirir kit de detección de VPH y arriendo de equipo."/>
    <x v="1"/>
    <x v="33"/>
    <n v="4"/>
    <n v="3500"/>
    <x v="43"/>
    <x v="65"/>
    <x v="11"/>
    <x v="18"/>
    <x v="26"/>
    <x v="28"/>
    <s v="64-2565818-"/>
    <s v="Javiera.gajardom@redsalud.gob.cl"/>
    <x v="7"/>
    <d v="2025-08-20T00:00:00"/>
    <n v="0"/>
    <m/>
    <n v="1"/>
    <n v="4416666"/>
    <d v="2026-10-01T00:00:00"/>
    <x v="0"/>
  </r>
  <r>
    <s v="SERVICIO DE SALUD OSORNO"/>
    <x v="0"/>
    <x v="38"/>
    <s v="Proyecto operacional"/>
    <s v="Publicado"/>
    <s v="22.04.003.002"/>
    <x v="39"/>
    <s v="Adquirir kit de detección de VPH y arriendo de equipo."/>
    <x v="1"/>
    <x v="33"/>
    <n v="4"/>
    <n v="3500"/>
    <x v="43"/>
    <x v="65"/>
    <x v="11"/>
    <x v="18"/>
    <x v="26"/>
    <x v="28"/>
    <s v="64-2565818-"/>
    <s v="Javiera.gajardom@redsalud.gob.cl"/>
    <x v="7"/>
    <d v="2025-08-20T00:00:00"/>
    <n v="0"/>
    <m/>
    <n v="1"/>
    <n v="4416666"/>
    <d v="2026-07-01T00:00:00"/>
    <x v="0"/>
  </r>
  <r>
    <s v="SERVICIO DE SALUD OSORNO"/>
    <x v="0"/>
    <x v="38"/>
    <s v="Proyecto operacional"/>
    <s v="Publicado"/>
    <s v="22.04.003.002"/>
    <x v="39"/>
    <s v="Adquirir kit de detección de VPH y arriendo de equipo."/>
    <x v="1"/>
    <x v="33"/>
    <n v="4"/>
    <n v="3500"/>
    <x v="43"/>
    <x v="65"/>
    <x v="11"/>
    <x v="18"/>
    <x v="26"/>
    <x v="28"/>
    <s v="64-2565818-"/>
    <s v="Javiera.gajardom@redsalud.gob.cl"/>
    <x v="7"/>
    <d v="2025-08-20T00:00:00"/>
    <n v="0"/>
    <m/>
    <n v="1"/>
    <n v="4416666"/>
    <d v="2026-09-01T00:00:00"/>
    <x v="0"/>
  </r>
  <r>
    <s v="SERVICIO DE SALUD OSORNO"/>
    <x v="0"/>
    <x v="38"/>
    <s v="Proyecto operacional"/>
    <s v="Publicado"/>
    <s v="22.04.003.002"/>
    <x v="39"/>
    <s v="Adquirir kit de detección de VPH y arriendo de equipo."/>
    <x v="1"/>
    <x v="33"/>
    <n v="4"/>
    <n v="3500"/>
    <x v="43"/>
    <x v="65"/>
    <x v="11"/>
    <x v="18"/>
    <x v="26"/>
    <x v="28"/>
    <s v="64-2565818-"/>
    <s v="Javiera.gajardom@redsalud.gob.cl"/>
    <x v="7"/>
    <d v="2025-08-20T00:00:00"/>
    <n v="0"/>
    <m/>
    <n v="1"/>
    <n v="4416666"/>
    <d v="2026-12-01T00:00:00"/>
    <x v="0"/>
  </r>
  <r>
    <s v="SERVICIO DE SALUD OSORNO"/>
    <x v="0"/>
    <x v="38"/>
    <s v="Proyecto operacional"/>
    <s v="Publicado"/>
    <s v="22.04.003.002"/>
    <x v="39"/>
    <s v="Adquirir kit de detección de VPH y arriendo de equipo."/>
    <x v="1"/>
    <x v="33"/>
    <n v="4"/>
    <n v="3500"/>
    <x v="43"/>
    <x v="65"/>
    <x v="11"/>
    <x v="18"/>
    <x v="26"/>
    <x v="28"/>
    <s v="64-2565818-"/>
    <s v="Javiera.gajardom@redsalud.gob.cl"/>
    <x v="7"/>
    <d v="2025-08-20T00:00:00"/>
    <n v="0"/>
    <m/>
    <n v="1"/>
    <n v="4416666"/>
    <d v="2026-03-01T00:00:00"/>
    <x v="0"/>
  </r>
  <r>
    <s v="SERVICIO DE SALUD OSORNO"/>
    <x v="0"/>
    <x v="38"/>
    <s v="Proyecto operacional"/>
    <s v="Publicado"/>
    <s v="22.04.003.002"/>
    <x v="39"/>
    <s v="Adquirir kit de detección de VPH y arriendo de equipo."/>
    <x v="1"/>
    <x v="33"/>
    <n v="4"/>
    <n v="3500"/>
    <x v="43"/>
    <x v="65"/>
    <x v="11"/>
    <x v="18"/>
    <x v="26"/>
    <x v="28"/>
    <s v="64-2565818-"/>
    <s v="Javiera.gajardom@redsalud.gob.cl"/>
    <x v="7"/>
    <d v="2025-08-20T00:00:00"/>
    <n v="0"/>
    <m/>
    <n v="1"/>
    <n v="4416666"/>
    <d v="2026-08-01T00:00:00"/>
    <x v="0"/>
  </r>
  <r>
    <s v="SERVICIO DE SALUD OSORNO"/>
    <x v="0"/>
    <x v="39"/>
    <s v="Proyecto operacional"/>
    <s v="Publicado"/>
    <s v="22.01.001.001"/>
    <x v="40"/>
    <s v="Servicio de alimentación CDR Kumelen para usuarios que participan en talleres de lunes a viernes. Proceso licitatorio año 2025 finaliza 31/12/2025. Iniciar con Servicio 01/01/2026."/>
    <x v="1"/>
    <x v="31"/>
    <n v="4"/>
    <n v="1"/>
    <x v="36"/>
    <x v="66"/>
    <x v="11"/>
    <x v="18"/>
    <x v="16"/>
    <x v="19"/>
    <s v="64-2567366-"/>
    <s v="luis.floresme@redsalud.gob.cl"/>
    <x v="7"/>
    <d v="2025-08-20T00:00:00"/>
    <n v="0"/>
    <m/>
    <n v="1"/>
    <n v="6666666"/>
    <d v="2026-03-01T00:00:00"/>
    <x v="0"/>
  </r>
  <r>
    <s v="SERVICIO DE SALUD OSORNO"/>
    <x v="0"/>
    <x v="39"/>
    <s v="Proyecto operacional"/>
    <s v="Publicado"/>
    <s v="22.01.001.001"/>
    <x v="40"/>
    <s v="Servicio de alimentación CDR Kumelen para usuarios que participan en talleres de lunes a viernes. Proceso licitatorio año 2025 finaliza 31/12/2025. Iniciar con Servicio 01/01/2026."/>
    <x v="1"/>
    <x v="31"/>
    <n v="4"/>
    <n v="1"/>
    <x v="36"/>
    <x v="66"/>
    <x v="11"/>
    <x v="18"/>
    <x v="16"/>
    <x v="19"/>
    <s v="64-2567366-"/>
    <s v="luis.floresme@redsalud.gob.cl"/>
    <x v="7"/>
    <d v="2025-08-20T00:00:00"/>
    <n v="0"/>
    <m/>
    <n v="1"/>
    <n v="6666666"/>
    <d v="2026-04-01T00:00:00"/>
    <x v="0"/>
  </r>
  <r>
    <s v="SERVICIO DE SALUD OSORNO"/>
    <x v="0"/>
    <x v="39"/>
    <s v="Proyecto operacional"/>
    <s v="Publicado"/>
    <s v="22.01.001.001"/>
    <x v="40"/>
    <s v="Servicio de alimentación CDR Kumelen para usuarios que participan en talleres de lunes a viernes. Proceso licitatorio año 2025 finaliza 31/12/2025. Iniciar con Servicio 01/01/2026."/>
    <x v="1"/>
    <x v="31"/>
    <n v="4"/>
    <n v="1"/>
    <x v="36"/>
    <x v="66"/>
    <x v="11"/>
    <x v="18"/>
    <x v="16"/>
    <x v="19"/>
    <s v="64-2567366-"/>
    <s v="luis.floresme@redsalud.gob.cl"/>
    <x v="7"/>
    <d v="2025-08-20T00:00:00"/>
    <n v="0"/>
    <m/>
    <n v="1"/>
    <n v="6666666"/>
    <d v="2026-12-01T00:00:00"/>
    <x v="0"/>
  </r>
  <r>
    <s v="SERVICIO DE SALUD OSORNO"/>
    <x v="0"/>
    <x v="39"/>
    <s v="Proyecto operacional"/>
    <s v="Publicado"/>
    <s v="22.01.001.001"/>
    <x v="40"/>
    <s v="Servicio de alimentación CDR Kumelen para usuarios que participan en talleres de lunes a viernes. Proceso licitatorio año 2025 finaliza 31/12/2025. Iniciar con Servicio 01/01/2026."/>
    <x v="1"/>
    <x v="31"/>
    <n v="4"/>
    <n v="1"/>
    <x v="36"/>
    <x v="66"/>
    <x v="11"/>
    <x v="18"/>
    <x v="16"/>
    <x v="19"/>
    <s v="64-2567366-"/>
    <s v="luis.floresme@redsalud.gob.cl"/>
    <x v="7"/>
    <d v="2025-08-20T00:00:00"/>
    <n v="0"/>
    <m/>
    <n v="1"/>
    <n v="6666666"/>
    <d v="2026-06-01T00:00:00"/>
    <x v="0"/>
  </r>
  <r>
    <s v="SERVICIO DE SALUD OSORNO"/>
    <x v="0"/>
    <x v="39"/>
    <s v="Proyecto operacional"/>
    <s v="Publicado"/>
    <s v="22.01.001.001"/>
    <x v="40"/>
    <s v="Servicio de alimentación CDR Kumelen para usuarios que participan en talleres de lunes a viernes. Proceso licitatorio año 2025 finaliza 31/12/2025. Iniciar con Servicio 01/01/2026."/>
    <x v="1"/>
    <x v="31"/>
    <n v="4"/>
    <n v="1"/>
    <x v="36"/>
    <x v="66"/>
    <x v="11"/>
    <x v="18"/>
    <x v="16"/>
    <x v="19"/>
    <s v="64-2567366-"/>
    <s v="luis.floresme@redsalud.gob.cl"/>
    <x v="7"/>
    <d v="2025-08-20T00:00:00"/>
    <n v="0"/>
    <m/>
    <n v="1"/>
    <n v="6666666"/>
    <d v="2026-08-01T00:00:00"/>
    <x v="0"/>
  </r>
  <r>
    <s v="SERVICIO DE SALUD OSORNO"/>
    <x v="0"/>
    <x v="39"/>
    <s v="Proyecto operacional"/>
    <s v="Publicado"/>
    <s v="22.01.001.001"/>
    <x v="40"/>
    <s v="Servicio de alimentación CDR Kumelen para usuarios que participan en talleres de lunes a viernes. Proceso licitatorio año 2025 finaliza 31/12/2025. Iniciar con Servicio 01/01/2026."/>
    <x v="1"/>
    <x v="31"/>
    <n v="4"/>
    <n v="1"/>
    <x v="36"/>
    <x v="66"/>
    <x v="11"/>
    <x v="18"/>
    <x v="16"/>
    <x v="19"/>
    <s v="64-2567366-"/>
    <s v="luis.floresme@redsalud.gob.cl"/>
    <x v="7"/>
    <d v="2025-08-20T00:00:00"/>
    <n v="0"/>
    <m/>
    <n v="1"/>
    <n v="6666666"/>
    <d v="2026-07-01T00:00:00"/>
    <x v="0"/>
  </r>
  <r>
    <s v="SERVICIO DE SALUD OSORNO"/>
    <x v="0"/>
    <x v="39"/>
    <s v="Proyecto operacional"/>
    <s v="Publicado"/>
    <s v="22.01.001.001"/>
    <x v="40"/>
    <s v="Servicio de alimentación CDR Kumelen para usuarios que participan en talleres de lunes a viernes. Proceso licitatorio año 2025 finaliza 31/12/2025. Iniciar con Servicio 01/01/2026."/>
    <x v="1"/>
    <x v="31"/>
    <n v="4"/>
    <n v="1"/>
    <x v="36"/>
    <x v="66"/>
    <x v="11"/>
    <x v="18"/>
    <x v="16"/>
    <x v="19"/>
    <s v="64-2567366-"/>
    <s v="luis.floresme@redsalud.gob.cl"/>
    <x v="7"/>
    <d v="2025-08-20T00:00:00"/>
    <n v="0"/>
    <m/>
    <n v="1"/>
    <n v="6666666"/>
    <d v="2026-02-01T00:00:00"/>
    <x v="0"/>
  </r>
  <r>
    <s v="SERVICIO DE SALUD OSORNO"/>
    <x v="0"/>
    <x v="39"/>
    <s v="Proyecto operacional"/>
    <s v="Publicado"/>
    <s v="22.01.001.001"/>
    <x v="40"/>
    <s v="Servicio de alimentación CDR Kumelen para usuarios que participan en talleres de lunes a viernes. Proceso licitatorio año 2025 finaliza 31/12/2025. Iniciar con Servicio 01/01/2026."/>
    <x v="1"/>
    <x v="31"/>
    <n v="4"/>
    <n v="1"/>
    <x v="36"/>
    <x v="66"/>
    <x v="11"/>
    <x v="18"/>
    <x v="16"/>
    <x v="19"/>
    <s v="64-2567366-"/>
    <s v="luis.floresme@redsalud.gob.cl"/>
    <x v="7"/>
    <d v="2025-08-20T00:00:00"/>
    <n v="0"/>
    <m/>
    <n v="1"/>
    <n v="6666666"/>
    <d v="2026-05-01T00:00:00"/>
    <x v="0"/>
  </r>
  <r>
    <s v="SERVICIO DE SALUD OSORNO"/>
    <x v="0"/>
    <x v="39"/>
    <s v="Proyecto operacional"/>
    <s v="Publicado"/>
    <s v="22.01.001.001"/>
    <x v="40"/>
    <s v="Servicio de alimentación CDR Kumelen para usuarios que participan en talleres de lunes a viernes. Proceso licitatorio año 2025 finaliza 31/12/2025. Iniciar con Servicio 01/01/2026."/>
    <x v="1"/>
    <x v="31"/>
    <n v="4"/>
    <n v="1"/>
    <x v="36"/>
    <x v="66"/>
    <x v="11"/>
    <x v="18"/>
    <x v="16"/>
    <x v="19"/>
    <s v="64-2567366-"/>
    <s v="luis.floresme@redsalud.gob.cl"/>
    <x v="7"/>
    <d v="2025-08-20T00:00:00"/>
    <n v="0"/>
    <m/>
    <n v="1"/>
    <n v="6666666"/>
    <d v="2026-10-01T00:00:00"/>
    <x v="0"/>
  </r>
  <r>
    <s v="SERVICIO DE SALUD OSORNO"/>
    <x v="0"/>
    <x v="39"/>
    <s v="Proyecto operacional"/>
    <s v="Publicado"/>
    <s v="22.01.001.001"/>
    <x v="40"/>
    <s v="Servicio de alimentación CDR Kumelen para usuarios que participan en talleres de lunes a viernes. Proceso licitatorio año 2025 finaliza 31/12/2025. Iniciar con Servicio 01/01/2026."/>
    <x v="1"/>
    <x v="31"/>
    <n v="4"/>
    <n v="1"/>
    <x v="36"/>
    <x v="66"/>
    <x v="11"/>
    <x v="18"/>
    <x v="16"/>
    <x v="19"/>
    <s v="64-2567366-"/>
    <s v="luis.floresme@redsalud.gob.cl"/>
    <x v="7"/>
    <d v="2025-08-20T00:00:00"/>
    <n v="0"/>
    <m/>
    <n v="1"/>
    <n v="6666666"/>
    <d v="2026-11-01T00:00:00"/>
    <x v="0"/>
  </r>
  <r>
    <s v="SERVICIO DE SALUD OSORNO"/>
    <x v="0"/>
    <x v="39"/>
    <s v="Proyecto operacional"/>
    <s v="Publicado"/>
    <s v="22.01.001.001"/>
    <x v="40"/>
    <s v="Servicio de alimentación CDR Kumelen para usuarios que participan en talleres de lunes a viernes. Proceso licitatorio año 2025 finaliza 31/12/2025. Iniciar con Servicio 01/01/2026."/>
    <x v="1"/>
    <x v="31"/>
    <n v="4"/>
    <n v="1"/>
    <x v="36"/>
    <x v="66"/>
    <x v="11"/>
    <x v="18"/>
    <x v="16"/>
    <x v="19"/>
    <s v="64-2567366-"/>
    <s v="luis.floresme@redsalud.gob.cl"/>
    <x v="7"/>
    <d v="2025-08-20T00:00:00"/>
    <n v="0"/>
    <m/>
    <n v="1"/>
    <n v="6666666"/>
    <d v="2026-09-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5"/>
    <n v="4"/>
    <n v="65"/>
    <x v="44"/>
    <x v="67"/>
    <x v="11"/>
    <x v="20"/>
    <x v="19"/>
    <x v="22"/>
    <s v="64-2565492-"/>
    <s v="mariaines.asenjo@redsalud.gob.cl"/>
    <x v="7"/>
    <d v="2025-08-20T00:00:00"/>
    <n v="0"/>
    <m/>
    <n v="1"/>
    <n v="291958"/>
    <d v="2026-02-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5"/>
    <n v="4"/>
    <n v="65"/>
    <x v="44"/>
    <x v="67"/>
    <x v="11"/>
    <x v="20"/>
    <x v="19"/>
    <x v="22"/>
    <s v="64-2565492-"/>
    <s v="mariaines.asenjo@redsalud.gob.cl"/>
    <x v="7"/>
    <d v="2025-08-20T00:00:00"/>
    <n v="0"/>
    <m/>
    <n v="1"/>
    <n v="291958"/>
    <d v="2026-07-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5"/>
    <n v="4"/>
    <n v="65"/>
    <x v="44"/>
    <x v="67"/>
    <x v="11"/>
    <x v="20"/>
    <x v="19"/>
    <x v="22"/>
    <s v="64-2565492-"/>
    <s v="mariaines.asenjo@redsalud.gob.cl"/>
    <x v="7"/>
    <d v="2025-08-20T00:00:00"/>
    <n v="0"/>
    <m/>
    <n v="1"/>
    <n v="291958"/>
    <d v="2026-01-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5"/>
    <n v="4"/>
    <n v="65"/>
    <x v="44"/>
    <x v="68"/>
    <x v="11"/>
    <x v="20"/>
    <x v="19"/>
    <x v="22"/>
    <s v="64-2565492-"/>
    <s v="mariaines.asenjo@redsalud.gob.cl"/>
    <x v="7"/>
    <d v="2025-08-20T00:00:00"/>
    <n v="0"/>
    <m/>
    <n v="1"/>
    <n v="291962"/>
    <d v="2026-12-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5"/>
    <n v="4"/>
    <n v="65"/>
    <x v="44"/>
    <x v="67"/>
    <x v="11"/>
    <x v="20"/>
    <x v="19"/>
    <x v="22"/>
    <s v="64-2565492-"/>
    <s v="mariaines.asenjo@redsalud.gob.cl"/>
    <x v="7"/>
    <d v="2025-08-20T00:00:00"/>
    <n v="0"/>
    <m/>
    <n v="1"/>
    <n v="291958"/>
    <d v="2026-04-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5"/>
    <n v="4"/>
    <n v="65"/>
    <x v="44"/>
    <x v="67"/>
    <x v="11"/>
    <x v="20"/>
    <x v="19"/>
    <x v="22"/>
    <s v="64-2565492-"/>
    <s v="mariaines.asenjo@redsalud.gob.cl"/>
    <x v="7"/>
    <d v="2025-08-20T00:00:00"/>
    <n v="0"/>
    <m/>
    <n v="1"/>
    <n v="291958"/>
    <d v="2026-06-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5"/>
    <n v="4"/>
    <n v="65"/>
    <x v="44"/>
    <x v="67"/>
    <x v="11"/>
    <x v="20"/>
    <x v="19"/>
    <x v="22"/>
    <s v="64-2565492-"/>
    <s v="mariaines.asenjo@redsalud.gob.cl"/>
    <x v="7"/>
    <d v="2025-08-20T00:00:00"/>
    <n v="0"/>
    <m/>
    <n v="1"/>
    <n v="291958"/>
    <d v="2026-05-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5"/>
    <n v="4"/>
    <n v="65"/>
    <x v="44"/>
    <x v="67"/>
    <x v="11"/>
    <x v="20"/>
    <x v="19"/>
    <x v="22"/>
    <s v="64-2565492-"/>
    <s v="mariaines.asenjo@redsalud.gob.cl"/>
    <x v="7"/>
    <d v="2025-08-20T00:00:00"/>
    <n v="0"/>
    <m/>
    <n v="1"/>
    <n v="291958"/>
    <d v="2026-03-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5"/>
    <n v="4"/>
    <n v="65"/>
    <x v="44"/>
    <x v="67"/>
    <x v="11"/>
    <x v="20"/>
    <x v="19"/>
    <x v="22"/>
    <s v="64-2565492-"/>
    <s v="mariaines.asenjo@redsalud.gob.cl"/>
    <x v="7"/>
    <d v="2025-08-20T00:00:00"/>
    <n v="0"/>
    <m/>
    <n v="1"/>
    <n v="291958"/>
    <d v="2026-10-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5"/>
    <n v="4"/>
    <n v="65"/>
    <x v="44"/>
    <x v="67"/>
    <x v="11"/>
    <x v="20"/>
    <x v="19"/>
    <x v="22"/>
    <s v="64-2565492-"/>
    <s v="mariaines.asenjo@redsalud.gob.cl"/>
    <x v="7"/>
    <d v="2025-08-20T00:00:00"/>
    <n v="0"/>
    <m/>
    <n v="1"/>
    <n v="291958"/>
    <d v="2026-09-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5"/>
    <n v="4"/>
    <n v="65"/>
    <x v="44"/>
    <x v="67"/>
    <x v="11"/>
    <x v="20"/>
    <x v="19"/>
    <x v="22"/>
    <s v="64-2565492-"/>
    <s v="mariaines.asenjo@redsalud.gob.cl"/>
    <x v="7"/>
    <d v="2025-08-20T00:00:00"/>
    <n v="0"/>
    <m/>
    <n v="1"/>
    <n v="291958"/>
    <d v="2026-08-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5"/>
    <n v="4"/>
    <n v="65"/>
    <x v="44"/>
    <x v="67"/>
    <x v="11"/>
    <x v="20"/>
    <x v="19"/>
    <x v="22"/>
    <s v="64-2565492-"/>
    <s v="mariaines.asenjo@redsalud.gob.cl"/>
    <x v="7"/>
    <d v="2025-08-20T00:00:00"/>
    <n v="0"/>
    <m/>
    <n v="1"/>
    <n v="291958"/>
    <d v="2026-11-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6"/>
    <n v="4"/>
    <n v="50"/>
    <x v="45"/>
    <x v="69"/>
    <x v="11"/>
    <x v="20"/>
    <x v="19"/>
    <x v="22"/>
    <s v="64-2565492-"/>
    <s v="mariaines.asenjo@redsalud.gob.cl"/>
    <x v="7"/>
    <d v="2025-08-20T00:00:00"/>
    <n v="0"/>
    <m/>
    <n v="1"/>
    <n v="242833"/>
    <d v="2026-01-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6"/>
    <n v="4"/>
    <n v="50"/>
    <x v="45"/>
    <x v="69"/>
    <x v="11"/>
    <x v="20"/>
    <x v="19"/>
    <x v="22"/>
    <s v="64-2565492-"/>
    <s v="mariaines.asenjo@redsalud.gob.cl"/>
    <x v="7"/>
    <d v="2025-08-20T00:00:00"/>
    <n v="0"/>
    <m/>
    <n v="1"/>
    <n v="242833"/>
    <d v="2026-07-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6"/>
    <n v="4"/>
    <n v="50"/>
    <x v="45"/>
    <x v="69"/>
    <x v="11"/>
    <x v="20"/>
    <x v="19"/>
    <x v="22"/>
    <s v="64-2565492-"/>
    <s v="mariaines.asenjo@redsalud.gob.cl"/>
    <x v="7"/>
    <d v="2025-08-20T00:00:00"/>
    <n v="0"/>
    <m/>
    <n v="1"/>
    <n v="242833"/>
    <d v="2026-05-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6"/>
    <n v="4"/>
    <n v="50"/>
    <x v="45"/>
    <x v="69"/>
    <x v="11"/>
    <x v="20"/>
    <x v="19"/>
    <x v="22"/>
    <s v="64-2565492-"/>
    <s v="mariaines.asenjo@redsalud.gob.cl"/>
    <x v="7"/>
    <d v="2025-08-20T00:00:00"/>
    <n v="0"/>
    <m/>
    <n v="1"/>
    <n v="242833"/>
    <d v="2026-06-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6"/>
    <n v="4"/>
    <n v="50"/>
    <x v="45"/>
    <x v="69"/>
    <x v="11"/>
    <x v="20"/>
    <x v="19"/>
    <x v="22"/>
    <s v="64-2565492-"/>
    <s v="mariaines.asenjo@redsalud.gob.cl"/>
    <x v="7"/>
    <d v="2025-08-20T00:00:00"/>
    <n v="0"/>
    <m/>
    <n v="1"/>
    <n v="242833"/>
    <d v="2026-11-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6"/>
    <n v="4"/>
    <n v="50"/>
    <x v="45"/>
    <x v="70"/>
    <x v="11"/>
    <x v="20"/>
    <x v="19"/>
    <x v="22"/>
    <s v="64-2565492-"/>
    <s v="mariaines.asenjo@redsalud.gob.cl"/>
    <x v="7"/>
    <d v="2025-08-20T00:00:00"/>
    <n v="0"/>
    <m/>
    <n v="1"/>
    <n v="242837"/>
    <d v="2026-12-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6"/>
    <n v="4"/>
    <n v="50"/>
    <x v="45"/>
    <x v="69"/>
    <x v="11"/>
    <x v="20"/>
    <x v="19"/>
    <x v="22"/>
    <s v="64-2565492-"/>
    <s v="mariaines.asenjo@redsalud.gob.cl"/>
    <x v="7"/>
    <d v="2025-08-20T00:00:00"/>
    <n v="0"/>
    <m/>
    <n v="1"/>
    <n v="242833"/>
    <d v="2026-08-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6"/>
    <n v="4"/>
    <n v="50"/>
    <x v="45"/>
    <x v="69"/>
    <x v="11"/>
    <x v="20"/>
    <x v="19"/>
    <x v="22"/>
    <s v="64-2565492-"/>
    <s v="mariaines.asenjo@redsalud.gob.cl"/>
    <x v="7"/>
    <d v="2025-08-20T00:00:00"/>
    <n v="0"/>
    <m/>
    <n v="1"/>
    <n v="242833"/>
    <d v="2026-02-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6"/>
    <n v="4"/>
    <n v="50"/>
    <x v="45"/>
    <x v="69"/>
    <x v="11"/>
    <x v="20"/>
    <x v="19"/>
    <x v="22"/>
    <s v="64-2565492-"/>
    <s v="mariaines.asenjo@redsalud.gob.cl"/>
    <x v="7"/>
    <d v="2025-08-20T00:00:00"/>
    <n v="0"/>
    <m/>
    <n v="1"/>
    <n v="242833"/>
    <d v="2026-04-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6"/>
    <n v="4"/>
    <n v="50"/>
    <x v="45"/>
    <x v="69"/>
    <x v="11"/>
    <x v="20"/>
    <x v="19"/>
    <x v="22"/>
    <s v="64-2565492-"/>
    <s v="mariaines.asenjo@redsalud.gob.cl"/>
    <x v="7"/>
    <d v="2025-08-20T00:00:00"/>
    <n v="0"/>
    <m/>
    <n v="1"/>
    <n v="242833"/>
    <d v="2026-09-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6"/>
    <n v="4"/>
    <n v="50"/>
    <x v="45"/>
    <x v="69"/>
    <x v="11"/>
    <x v="20"/>
    <x v="19"/>
    <x v="22"/>
    <s v="64-2565492-"/>
    <s v="mariaines.asenjo@redsalud.gob.cl"/>
    <x v="7"/>
    <d v="2025-08-20T00:00:00"/>
    <n v="0"/>
    <m/>
    <n v="1"/>
    <n v="242833"/>
    <d v="2026-10-01T00:00:00"/>
    <x v="0"/>
  </r>
  <r>
    <s v="SERVICIO DE SALUD OSORNO"/>
    <x v="0"/>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x v="0"/>
    <x v="36"/>
    <n v="4"/>
    <n v="50"/>
    <x v="45"/>
    <x v="69"/>
    <x v="11"/>
    <x v="20"/>
    <x v="19"/>
    <x v="22"/>
    <s v="64-2565492-"/>
    <s v="mariaines.asenjo@redsalud.gob.cl"/>
    <x v="7"/>
    <d v="2025-08-20T00:00:00"/>
    <n v="0"/>
    <m/>
    <n v="1"/>
    <n v="242833"/>
    <d v="2026-03-01T00:00:00"/>
    <x v="0"/>
  </r>
  <r>
    <s v="SERVICIO DE SALUD OSORNO"/>
    <x v="0"/>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x v="1"/>
    <x v="37"/>
    <n v="4"/>
    <n v="1"/>
    <x v="46"/>
    <x v="71"/>
    <x v="3"/>
    <x v="21"/>
    <x v="0"/>
    <x v="29"/>
    <s v="64-2565840-"/>
    <s v="bruno.ojeda@redsalud.gob.cl"/>
    <x v="7"/>
    <d v="2025-08-20T00:00:00"/>
    <n v="0"/>
    <m/>
    <n v="1"/>
    <n v="7456500"/>
    <d v="2026-04-01T00:00:00"/>
    <x v="0"/>
  </r>
  <r>
    <s v="SERVICIO DE SALUD OSORNO"/>
    <x v="0"/>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x v="1"/>
    <x v="37"/>
    <n v="4"/>
    <n v="1"/>
    <x v="46"/>
    <x v="71"/>
    <x v="3"/>
    <x v="21"/>
    <x v="0"/>
    <x v="29"/>
    <s v="64-2565840-"/>
    <s v="bruno.ojeda@redsalud.gob.cl"/>
    <x v="7"/>
    <d v="2025-08-20T00:00:00"/>
    <n v="0"/>
    <m/>
    <n v="1"/>
    <n v="7456500"/>
    <d v="2026-06-01T00:00:00"/>
    <x v="0"/>
  </r>
  <r>
    <s v="SERVICIO DE SALUD OSORNO"/>
    <x v="0"/>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x v="1"/>
    <x v="37"/>
    <n v="4"/>
    <n v="1"/>
    <x v="46"/>
    <x v="71"/>
    <x v="3"/>
    <x v="21"/>
    <x v="0"/>
    <x v="29"/>
    <s v="64-2565840-"/>
    <s v="bruno.ojeda@redsalud.gob.cl"/>
    <x v="7"/>
    <d v="2025-08-20T00:00:00"/>
    <n v="0"/>
    <m/>
    <n v="1"/>
    <n v="7456500"/>
    <d v="2026-10-01T00:00:00"/>
    <x v="0"/>
  </r>
  <r>
    <s v="SERVICIO DE SALUD OSORNO"/>
    <x v="0"/>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x v="1"/>
    <x v="37"/>
    <n v="4"/>
    <n v="1"/>
    <x v="46"/>
    <x v="71"/>
    <x v="3"/>
    <x v="21"/>
    <x v="0"/>
    <x v="29"/>
    <s v="64-2565840-"/>
    <s v="bruno.ojeda@redsalud.gob.cl"/>
    <x v="7"/>
    <d v="2025-08-20T00:00:00"/>
    <n v="0"/>
    <m/>
    <n v="1"/>
    <n v="7456500"/>
    <d v="2026-11-01T00:00:00"/>
    <x v="0"/>
  </r>
  <r>
    <s v="SERVICIO DE SALUD OSORNO"/>
    <x v="0"/>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x v="1"/>
    <x v="37"/>
    <n v="4"/>
    <n v="1"/>
    <x v="46"/>
    <x v="71"/>
    <x v="3"/>
    <x v="21"/>
    <x v="0"/>
    <x v="29"/>
    <s v="64-2565840-"/>
    <s v="bruno.ojeda@redsalud.gob.cl"/>
    <x v="7"/>
    <d v="2025-08-20T00:00:00"/>
    <n v="0"/>
    <m/>
    <n v="1"/>
    <n v="7456500"/>
    <d v="2026-02-01T00:00:00"/>
    <x v="0"/>
  </r>
  <r>
    <s v="SERVICIO DE SALUD OSORNO"/>
    <x v="0"/>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x v="1"/>
    <x v="37"/>
    <n v="4"/>
    <n v="1"/>
    <x v="46"/>
    <x v="71"/>
    <x v="3"/>
    <x v="21"/>
    <x v="0"/>
    <x v="29"/>
    <s v="64-2565840-"/>
    <s v="bruno.ojeda@redsalud.gob.cl"/>
    <x v="7"/>
    <d v="2025-08-20T00:00:00"/>
    <n v="0"/>
    <m/>
    <n v="1"/>
    <n v="7456500"/>
    <d v="2026-05-01T00:00:00"/>
    <x v="0"/>
  </r>
  <r>
    <s v="SERVICIO DE SALUD OSORNO"/>
    <x v="0"/>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x v="1"/>
    <x v="37"/>
    <n v="4"/>
    <n v="1"/>
    <x v="46"/>
    <x v="71"/>
    <x v="3"/>
    <x v="21"/>
    <x v="0"/>
    <x v="29"/>
    <s v="64-2565840-"/>
    <s v="bruno.ojeda@redsalud.gob.cl"/>
    <x v="7"/>
    <d v="2025-08-20T00:00:00"/>
    <n v="0"/>
    <m/>
    <n v="1"/>
    <n v="7456500"/>
    <d v="2026-01-01T00:00:00"/>
    <x v="0"/>
  </r>
  <r>
    <s v="SERVICIO DE SALUD OSORNO"/>
    <x v="0"/>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x v="1"/>
    <x v="37"/>
    <n v="4"/>
    <n v="1"/>
    <x v="46"/>
    <x v="71"/>
    <x v="3"/>
    <x v="21"/>
    <x v="0"/>
    <x v="29"/>
    <s v="64-2565840-"/>
    <s v="bruno.ojeda@redsalud.gob.cl"/>
    <x v="7"/>
    <d v="2025-08-20T00:00:00"/>
    <n v="0"/>
    <m/>
    <n v="1"/>
    <n v="7456500"/>
    <d v="2026-08-01T00:00:00"/>
    <x v="0"/>
  </r>
  <r>
    <s v="SERVICIO DE SALUD OSORNO"/>
    <x v="0"/>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x v="1"/>
    <x v="37"/>
    <n v="4"/>
    <n v="1"/>
    <x v="46"/>
    <x v="71"/>
    <x v="3"/>
    <x v="21"/>
    <x v="0"/>
    <x v="29"/>
    <s v="64-2565840-"/>
    <s v="bruno.ojeda@redsalud.gob.cl"/>
    <x v="7"/>
    <d v="2025-08-20T00:00:00"/>
    <n v="0"/>
    <m/>
    <n v="1"/>
    <n v="7456500"/>
    <d v="2026-03-01T00:00:00"/>
    <x v="0"/>
  </r>
  <r>
    <s v="SERVICIO DE SALUD OSORNO"/>
    <x v="0"/>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x v="1"/>
    <x v="37"/>
    <n v="4"/>
    <n v="1"/>
    <x v="46"/>
    <x v="71"/>
    <x v="3"/>
    <x v="21"/>
    <x v="0"/>
    <x v="29"/>
    <s v="64-2565840-"/>
    <s v="bruno.ojeda@redsalud.gob.cl"/>
    <x v="7"/>
    <d v="2025-08-20T00:00:00"/>
    <n v="0"/>
    <m/>
    <n v="1"/>
    <n v="7456500"/>
    <d v="2026-12-01T00:00:00"/>
    <x v="0"/>
  </r>
  <r>
    <s v="SERVICIO DE SALUD OSORNO"/>
    <x v="0"/>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x v="1"/>
    <x v="37"/>
    <n v="4"/>
    <n v="1"/>
    <x v="46"/>
    <x v="71"/>
    <x v="3"/>
    <x v="21"/>
    <x v="0"/>
    <x v="29"/>
    <s v="64-2565840-"/>
    <s v="bruno.ojeda@redsalud.gob.cl"/>
    <x v="7"/>
    <d v="2025-08-20T00:00:00"/>
    <n v="0"/>
    <m/>
    <n v="1"/>
    <n v="7456500"/>
    <d v="2026-07-01T00:00:00"/>
    <x v="0"/>
  </r>
  <r>
    <s v="SERVICIO DE SALUD OSORNO"/>
    <x v="0"/>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x v="1"/>
    <x v="37"/>
    <n v="4"/>
    <n v="1"/>
    <x v="46"/>
    <x v="71"/>
    <x v="3"/>
    <x v="21"/>
    <x v="0"/>
    <x v="29"/>
    <s v="64-2565840-"/>
    <s v="bruno.ojeda@redsalud.gob.cl"/>
    <x v="7"/>
    <d v="2025-08-20T00:00:00"/>
    <n v="0"/>
    <m/>
    <n v="1"/>
    <n v="7456500"/>
    <d v="2026-09-01T00:00:00"/>
    <x v="0"/>
  </r>
  <r>
    <s v="SERVICIO DE SALUD OSORNO"/>
    <x v="0"/>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x v="1"/>
    <x v="38"/>
    <n v="4"/>
    <n v="1"/>
    <x v="47"/>
    <x v="72"/>
    <x v="11"/>
    <x v="18"/>
    <x v="27"/>
    <x v="30"/>
    <s v="64-2567096-"/>
    <s v="claudia.munozga@redsalud.gob.cl"/>
    <x v="7"/>
    <d v="2025-08-20T00:00:00"/>
    <n v="0"/>
    <m/>
    <n v="1"/>
    <n v="17266666"/>
    <d v="2026-04-01T00:00:00"/>
    <x v="0"/>
  </r>
  <r>
    <s v="SERVICIO DE SALUD OSORNO"/>
    <x v="0"/>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x v="1"/>
    <x v="38"/>
    <n v="4"/>
    <n v="1"/>
    <x v="47"/>
    <x v="72"/>
    <x v="11"/>
    <x v="18"/>
    <x v="27"/>
    <x v="30"/>
    <s v="64-2567096-"/>
    <s v="claudia.munozga@redsalud.gob.cl"/>
    <x v="7"/>
    <d v="2025-08-20T00:00:00"/>
    <n v="0"/>
    <m/>
    <n v="1"/>
    <n v="17266666"/>
    <d v="2026-05-01T00:00:00"/>
    <x v="0"/>
  </r>
  <r>
    <s v="SERVICIO DE SALUD OSORNO"/>
    <x v="0"/>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x v="1"/>
    <x v="38"/>
    <n v="4"/>
    <n v="1"/>
    <x v="47"/>
    <x v="72"/>
    <x v="11"/>
    <x v="18"/>
    <x v="27"/>
    <x v="30"/>
    <s v="64-2567096-"/>
    <s v="claudia.munozga@redsalud.gob.cl"/>
    <x v="7"/>
    <d v="2025-08-20T00:00:00"/>
    <n v="0"/>
    <m/>
    <n v="1"/>
    <n v="17266666"/>
    <d v="2026-02-01T00:00:00"/>
    <x v="0"/>
  </r>
  <r>
    <s v="SERVICIO DE SALUD OSORNO"/>
    <x v="0"/>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x v="1"/>
    <x v="38"/>
    <n v="4"/>
    <n v="1"/>
    <x v="47"/>
    <x v="72"/>
    <x v="11"/>
    <x v="18"/>
    <x v="27"/>
    <x v="30"/>
    <s v="64-2567096-"/>
    <s v="claudia.munozga@redsalud.gob.cl"/>
    <x v="7"/>
    <d v="2025-08-20T00:00:00"/>
    <n v="0"/>
    <m/>
    <n v="1"/>
    <n v="17266666"/>
    <d v="2026-08-01T00:00:00"/>
    <x v="0"/>
  </r>
  <r>
    <s v="SERVICIO DE SALUD OSORNO"/>
    <x v="0"/>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x v="1"/>
    <x v="38"/>
    <n v="4"/>
    <n v="1"/>
    <x v="47"/>
    <x v="72"/>
    <x v="11"/>
    <x v="18"/>
    <x v="27"/>
    <x v="30"/>
    <s v="64-2567096-"/>
    <s v="claudia.munozga@redsalud.gob.cl"/>
    <x v="7"/>
    <d v="2025-08-20T00:00:00"/>
    <n v="0"/>
    <m/>
    <n v="1"/>
    <n v="17266666"/>
    <d v="2026-11-01T00:00:00"/>
    <x v="0"/>
  </r>
  <r>
    <s v="SERVICIO DE SALUD OSORNO"/>
    <x v="0"/>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x v="1"/>
    <x v="38"/>
    <n v="4"/>
    <n v="1"/>
    <x v="47"/>
    <x v="72"/>
    <x v="11"/>
    <x v="18"/>
    <x v="27"/>
    <x v="30"/>
    <s v="64-2567096-"/>
    <s v="claudia.munozga@redsalud.gob.cl"/>
    <x v="7"/>
    <d v="2025-08-20T00:00:00"/>
    <n v="0"/>
    <m/>
    <n v="1"/>
    <n v="17266666"/>
    <d v="2026-06-01T00:00:00"/>
    <x v="0"/>
  </r>
  <r>
    <s v="SERVICIO DE SALUD OSORNO"/>
    <x v="0"/>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x v="1"/>
    <x v="38"/>
    <n v="4"/>
    <n v="1"/>
    <x v="47"/>
    <x v="72"/>
    <x v="11"/>
    <x v="18"/>
    <x v="27"/>
    <x v="30"/>
    <s v="64-2567096-"/>
    <s v="claudia.munozga@redsalud.gob.cl"/>
    <x v="7"/>
    <d v="2025-08-20T00:00:00"/>
    <n v="0"/>
    <m/>
    <n v="1"/>
    <n v="17266666"/>
    <d v="2026-03-01T00:00:00"/>
    <x v="0"/>
  </r>
  <r>
    <s v="SERVICIO DE SALUD OSORNO"/>
    <x v="0"/>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x v="1"/>
    <x v="38"/>
    <n v="4"/>
    <n v="1"/>
    <x v="47"/>
    <x v="72"/>
    <x v="11"/>
    <x v="18"/>
    <x v="27"/>
    <x v="30"/>
    <s v="64-2567096-"/>
    <s v="claudia.munozga@redsalud.gob.cl"/>
    <x v="7"/>
    <d v="2025-08-20T00:00:00"/>
    <n v="0"/>
    <m/>
    <n v="1"/>
    <n v="17266666"/>
    <d v="2026-07-01T00:00:00"/>
    <x v="0"/>
  </r>
  <r>
    <s v="SERVICIO DE SALUD OSORNO"/>
    <x v="0"/>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x v="1"/>
    <x v="38"/>
    <n v="4"/>
    <n v="1"/>
    <x v="47"/>
    <x v="72"/>
    <x v="11"/>
    <x v="18"/>
    <x v="27"/>
    <x v="30"/>
    <s v="64-2567096-"/>
    <s v="claudia.munozga@redsalud.gob.cl"/>
    <x v="7"/>
    <d v="2025-08-20T00:00:00"/>
    <n v="0"/>
    <m/>
    <n v="1"/>
    <n v="17266666"/>
    <d v="2026-10-01T00:00:00"/>
    <x v="0"/>
  </r>
  <r>
    <s v="SERVICIO DE SALUD OSORNO"/>
    <x v="0"/>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x v="1"/>
    <x v="38"/>
    <n v="4"/>
    <n v="1"/>
    <x v="47"/>
    <x v="72"/>
    <x v="11"/>
    <x v="18"/>
    <x v="27"/>
    <x v="30"/>
    <s v="64-2567096-"/>
    <s v="claudia.munozga@redsalud.gob.cl"/>
    <x v="7"/>
    <d v="2025-08-20T00:00:00"/>
    <n v="0"/>
    <m/>
    <n v="1"/>
    <n v="17266666"/>
    <d v="2026-09-01T00:00:00"/>
    <x v="0"/>
  </r>
  <r>
    <s v="SERVICIO DE SALUD OSORNO"/>
    <x v="0"/>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x v="1"/>
    <x v="38"/>
    <n v="4"/>
    <n v="1"/>
    <x v="47"/>
    <x v="72"/>
    <x v="11"/>
    <x v="18"/>
    <x v="27"/>
    <x v="30"/>
    <s v="64-2567096-"/>
    <s v="claudia.munozga@redsalud.gob.cl"/>
    <x v="7"/>
    <d v="2025-08-20T00:00:00"/>
    <n v="0"/>
    <m/>
    <n v="1"/>
    <n v="17266666"/>
    <d v="2026-12-01T00:00:00"/>
    <x v="0"/>
  </r>
  <r>
    <s v="SERVICIO DE SALUD OSORNO"/>
    <x v="0"/>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x v="1"/>
    <x v="39"/>
    <n v="4"/>
    <n v="11040"/>
    <x v="48"/>
    <x v="73"/>
    <x v="11"/>
    <x v="20"/>
    <x v="28"/>
    <x v="31"/>
    <s v="64-2565813-"/>
    <s v="antonia.caifil@redsalud.gob.cl"/>
    <x v="6"/>
    <d v="2025-08-20T00:00:00"/>
    <n v="0"/>
    <m/>
    <n v="1"/>
    <n v="20529800"/>
    <d v="2026-11-01T00:00:00"/>
    <x v="0"/>
  </r>
  <r>
    <s v="SERVICIO DE SALUD OSORNO"/>
    <x v="0"/>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x v="1"/>
    <x v="39"/>
    <n v="4"/>
    <n v="11040"/>
    <x v="48"/>
    <x v="73"/>
    <x v="11"/>
    <x v="20"/>
    <x v="28"/>
    <x v="31"/>
    <s v="64-2565813-"/>
    <s v="antonia.caifil@redsalud.gob.cl"/>
    <x v="6"/>
    <d v="2025-08-20T00:00:00"/>
    <n v="0"/>
    <m/>
    <n v="1"/>
    <n v="20529800"/>
    <d v="2026-05-01T00:00:00"/>
    <x v="0"/>
  </r>
  <r>
    <s v="SERVICIO DE SALUD OSORNO"/>
    <x v="0"/>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x v="1"/>
    <x v="39"/>
    <n v="4"/>
    <n v="11040"/>
    <x v="48"/>
    <x v="73"/>
    <x v="11"/>
    <x v="20"/>
    <x v="28"/>
    <x v="31"/>
    <s v="64-2565813-"/>
    <s v="antonia.caifil@redsalud.gob.cl"/>
    <x v="6"/>
    <d v="2025-08-20T00:00:00"/>
    <n v="0"/>
    <m/>
    <n v="1"/>
    <n v="20529800"/>
    <d v="2026-02-01T00:00:00"/>
    <x v="0"/>
  </r>
  <r>
    <s v="SERVICIO DE SALUD OSORNO"/>
    <x v="0"/>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x v="1"/>
    <x v="39"/>
    <n v="4"/>
    <n v="11040"/>
    <x v="48"/>
    <x v="73"/>
    <x v="11"/>
    <x v="20"/>
    <x v="28"/>
    <x v="31"/>
    <s v="64-2565813-"/>
    <s v="antonia.caifil@redsalud.gob.cl"/>
    <x v="6"/>
    <d v="2025-08-20T00:00:00"/>
    <n v="0"/>
    <m/>
    <n v="1"/>
    <n v="20529800"/>
    <d v="2026-04-01T00:00:00"/>
    <x v="0"/>
  </r>
  <r>
    <s v="SERVICIO DE SALUD OSORNO"/>
    <x v="0"/>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x v="1"/>
    <x v="39"/>
    <n v="4"/>
    <n v="11040"/>
    <x v="48"/>
    <x v="73"/>
    <x v="11"/>
    <x v="20"/>
    <x v="28"/>
    <x v="31"/>
    <s v="64-2565813-"/>
    <s v="antonia.caifil@redsalud.gob.cl"/>
    <x v="6"/>
    <d v="2025-08-20T00:00:00"/>
    <n v="0"/>
    <m/>
    <n v="1"/>
    <n v="20529800"/>
    <d v="2026-08-01T00:00:00"/>
    <x v="0"/>
  </r>
  <r>
    <s v="SERVICIO DE SALUD OSORNO"/>
    <x v="0"/>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x v="1"/>
    <x v="39"/>
    <n v="4"/>
    <n v="11040"/>
    <x v="48"/>
    <x v="73"/>
    <x v="11"/>
    <x v="20"/>
    <x v="28"/>
    <x v="31"/>
    <s v="64-2565813-"/>
    <s v="antonia.caifil@redsalud.gob.cl"/>
    <x v="6"/>
    <d v="2025-08-20T00:00:00"/>
    <n v="0"/>
    <m/>
    <n v="1"/>
    <n v="20529800"/>
    <d v="2026-06-01T00:00:00"/>
    <x v="0"/>
  </r>
  <r>
    <s v="SERVICIO DE SALUD OSORNO"/>
    <x v="0"/>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x v="1"/>
    <x v="39"/>
    <n v="4"/>
    <n v="11040"/>
    <x v="48"/>
    <x v="73"/>
    <x v="11"/>
    <x v="20"/>
    <x v="28"/>
    <x v="31"/>
    <s v="64-2565813-"/>
    <s v="antonia.caifil@redsalud.gob.cl"/>
    <x v="6"/>
    <d v="2025-08-20T00:00:00"/>
    <n v="0"/>
    <m/>
    <n v="1"/>
    <n v="20529800"/>
    <d v="2026-12-01T00:00:00"/>
    <x v="0"/>
  </r>
  <r>
    <s v="SERVICIO DE SALUD OSORNO"/>
    <x v="0"/>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x v="1"/>
    <x v="39"/>
    <n v="4"/>
    <n v="11040"/>
    <x v="48"/>
    <x v="73"/>
    <x v="11"/>
    <x v="20"/>
    <x v="28"/>
    <x v="31"/>
    <s v="64-2565813-"/>
    <s v="antonia.caifil@redsalud.gob.cl"/>
    <x v="6"/>
    <d v="2025-08-20T00:00:00"/>
    <n v="0"/>
    <m/>
    <n v="1"/>
    <n v="20529800"/>
    <d v="2026-07-01T00:00:00"/>
    <x v="0"/>
  </r>
  <r>
    <s v="SERVICIO DE SALUD OSORNO"/>
    <x v="0"/>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x v="1"/>
    <x v="39"/>
    <n v="4"/>
    <n v="11040"/>
    <x v="48"/>
    <x v="73"/>
    <x v="11"/>
    <x v="20"/>
    <x v="28"/>
    <x v="31"/>
    <s v="64-2565813-"/>
    <s v="antonia.caifil@redsalud.gob.cl"/>
    <x v="6"/>
    <d v="2025-08-20T00:00:00"/>
    <n v="0"/>
    <m/>
    <n v="1"/>
    <n v="20529800"/>
    <d v="2026-10-01T00:00:00"/>
    <x v="0"/>
  </r>
  <r>
    <s v="SERVICIO DE SALUD OSORNO"/>
    <x v="0"/>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x v="1"/>
    <x v="39"/>
    <n v="4"/>
    <n v="11040"/>
    <x v="48"/>
    <x v="73"/>
    <x v="11"/>
    <x v="20"/>
    <x v="28"/>
    <x v="31"/>
    <s v="64-2565813-"/>
    <s v="antonia.caifil@redsalud.gob.cl"/>
    <x v="6"/>
    <d v="2025-08-20T00:00:00"/>
    <n v="0"/>
    <m/>
    <n v="1"/>
    <n v="20529800"/>
    <d v="2026-01-01T00:00:00"/>
    <x v="0"/>
  </r>
  <r>
    <s v="SERVICIO DE SALUD OSORNO"/>
    <x v="0"/>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x v="1"/>
    <x v="39"/>
    <n v="4"/>
    <n v="11040"/>
    <x v="48"/>
    <x v="73"/>
    <x v="11"/>
    <x v="20"/>
    <x v="28"/>
    <x v="31"/>
    <s v="64-2565813-"/>
    <s v="antonia.caifil@redsalud.gob.cl"/>
    <x v="6"/>
    <d v="2025-08-20T00:00:00"/>
    <n v="0"/>
    <m/>
    <n v="1"/>
    <n v="20529800"/>
    <d v="2026-09-01T00:00:00"/>
    <x v="0"/>
  </r>
  <r>
    <s v="SERVICIO DE SALUD OSORNO"/>
    <x v="0"/>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x v="1"/>
    <x v="39"/>
    <n v="4"/>
    <n v="11040"/>
    <x v="48"/>
    <x v="73"/>
    <x v="11"/>
    <x v="20"/>
    <x v="28"/>
    <x v="31"/>
    <s v="64-2565813-"/>
    <s v="antonia.caifil@redsalud.gob.cl"/>
    <x v="6"/>
    <d v="2025-08-20T00:00:00"/>
    <n v="0"/>
    <m/>
    <n v="1"/>
    <n v="20529800"/>
    <d v="2026-03-01T00:00:00"/>
    <x v="0"/>
  </r>
  <r>
    <s v="SERVICIO DE SALUD OSORNO"/>
    <x v="1"/>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x v="1"/>
    <x v="40"/>
    <n v="4"/>
    <n v="4692"/>
    <x v="49"/>
    <x v="74"/>
    <x v="11"/>
    <x v="20"/>
    <x v="29"/>
    <x v="32"/>
    <s v="64-2565818-"/>
    <s v="camila.alvarez@redsalud.gob.cl"/>
    <x v="7"/>
    <d v="2025-08-20T00:00:00"/>
    <n v="0"/>
    <m/>
    <n v="1"/>
    <n v="32863550"/>
    <d v="2026-08-01T00:00:00"/>
    <x v="0"/>
  </r>
  <r>
    <s v="SERVICIO DE SALUD OSORNO"/>
    <x v="1"/>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x v="1"/>
    <x v="40"/>
    <n v="4"/>
    <n v="4692"/>
    <x v="49"/>
    <x v="74"/>
    <x v="11"/>
    <x v="20"/>
    <x v="29"/>
    <x v="32"/>
    <s v="64-2565818-"/>
    <s v="camila.alvarez@redsalud.gob.cl"/>
    <x v="7"/>
    <d v="2025-08-20T00:00:00"/>
    <n v="0"/>
    <m/>
    <n v="1"/>
    <n v="32863550"/>
    <d v="2026-01-01T00:00:00"/>
    <x v="0"/>
  </r>
  <r>
    <s v="SERVICIO DE SALUD OSORNO"/>
    <x v="1"/>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x v="1"/>
    <x v="40"/>
    <n v="4"/>
    <n v="4692"/>
    <x v="49"/>
    <x v="74"/>
    <x v="11"/>
    <x v="20"/>
    <x v="29"/>
    <x v="32"/>
    <s v="64-2565818-"/>
    <s v="camila.alvarez@redsalud.gob.cl"/>
    <x v="7"/>
    <d v="2025-08-20T00:00:00"/>
    <n v="0"/>
    <m/>
    <n v="1"/>
    <n v="32863550"/>
    <d v="2026-06-01T00:00:00"/>
    <x v="0"/>
  </r>
  <r>
    <s v="SERVICIO DE SALUD OSORNO"/>
    <x v="1"/>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x v="1"/>
    <x v="40"/>
    <n v="4"/>
    <n v="4692"/>
    <x v="49"/>
    <x v="74"/>
    <x v="11"/>
    <x v="20"/>
    <x v="29"/>
    <x v="32"/>
    <s v="64-2565818-"/>
    <s v="camila.alvarez@redsalud.gob.cl"/>
    <x v="7"/>
    <d v="2025-08-20T00:00:00"/>
    <n v="0"/>
    <m/>
    <n v="1"/>
    <n v="32863550"/>
    <d v="2026-02-01T00:00:00"/>
    <x v="0"/>
  </r>
  <r>
    <s v="SERVICIO DE SALUD OSORNO"/>
    <x v="1"/>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x v="1"/>
    <x v="40"/>
    <n v="4"/>
    <n v="4692"/>
    <x v="49"/>
    <x v="74"/>
    <x v="11"/>
    <x v="20"/>
    <x v="29"/>
    <x v="32"/>
    <s v="64-2565818-"/>
    <s v="camila.alvarez@redsalud.gob.cl"/>
    <x v="7"/>
    <d v="2025-08-20T00:00:00"/>
    <n v="0"/>
    <m/>
    <n v="1"/>
    <n v="32863550"/>
    <d v="2026-07-01T00:00:00"/>
    <x v="0"/>
  </r>
  <r>
    <s v="SERVICIO DE SALUD OSORNO"/>
    <x v="1"/>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x v="1"/>
    <x v="40"/>
    <n v="4"/>
    <n v="4692"/>
    <x v="49"/>
    <x v="74"/>
    <x v="11"/>
    <x v="20"/>
    <x v="29"/>
    <x v="32"/>
    <s v="64-2565818-"/>
    <s v="camila.alvarez@redsalud.gob.cl"/>
    <x v="7"/>
    <d v="2025-08-20T00:00:00"/>
    <n v="0"/>
    <m/>
    <n v="1"/>
    <n v="32863550"/>
    <d v="2026-11-01T00:00:00"/>
    <x v="0"/>
  </r>
  <r>
    <s v="SERVICIO DE SALUD OSORNO"/>
    <x v="1"/>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x v="1"/>
    <x v="40"/>
    <n v="4"/>
    <n v="4692"/>
    <x v="49"/>
    <x v="74"/>
    <x v="11"/>
    <x v="20"/>
    <x v="29"/>
    <x v="32"/>
    <s v="64-2565818-"/>
    <s v="camila.alvarez@redsalud.gob.cl"/>
    <x v="7"/>
    <d v="2025-08-20T00:00:00"/>
    <n v="0"/>
    <m/>
    <n v="1"/>
    <n v="32863550"/>
    <d v="2026-04-01T00:00:00"/>
    <x v="0"/>
  </r>
  <r>
    <s v="SERVICIO DE SALUD OSORNO"/>
    <x v="1"/>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x v="1"/>
    <x v="40"/>
    <n v="4"/>
    <n v="4692"/>
    <x v="49"/>
    <x v="74"/>
    <x v="11"/>
    <x v="20"/>
    <x v="29"/>
    <x v="32"/>
    <s v="64-2565818-"/>
    <s v="camila.alvarez@redsalud.gob.cl"/>
    <x v="7"/>
    <d v="2025-08-20T00:00:00"/>
    <n v="0"/>
    <m/>
    <n v="1"/>
    <n v="32863550"/>
    <d v="2026-12-01T00:00:00"/>
    <x v="0"/>
  </r>
  <r>
    <s v="SERVICIO DE SALUD OSORNO"/>
    <x v="1"/>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x v="1"/>
    <x v="40"/>
    <n v="4"/>
    <n v="4692"/>
    <x v="49"/>
    <x v="74"/>
    <x v="11"/>
    <x v="20"/>
    <x v="29"/>
    <x v="32"/>
    <s v="64-2565818-"/>
    <s v="camila.alvarez@redsalud.gob.cl"/>
    <x v="7"/>
    <d v="2025-08-20T00:00:00"/>
    <n v="0"/>
    <m/>
    <n v="1"/>
    <n v="32863550"/>
    <d v="2026-05-01T00:00:00"/>
    <x v="0"/>
  </r>
  <r>
    <s v="SERVICIO DE SALUD OSORNO"/>
    <x v="1"/>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x v="1"/>
    <x v="40"/>
    <n v="4"/>
    <n v="4692"/>
    <x v="49"/>
    <x v="74"/>
    <x v="11"/>
    <x v="20"/>
    <x v="29"/>
    <x v="32"/>
    <s v="64-2565818-"/>
    <s v="camila.alvarez@redsalud.gob.cl"/>
    <x v="7"/>
    <d v="2025-08-20T00:00:00"/>
    <n v="0"/>
    <m/>
    <n v="1"/>
    <n v="32863550"/>
    <d v="2026-03-01T00:00:00"/>
    <x v="0"/>
  </r>
  <r>
    <s v="SERVICIO DE SALUD OSORNO"/>
    <x v="1"/>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x v="1"/>
    <x v="40"/>
    <n v="4"/>
    <n v="4692"/>
    <x v="49"/>
    <x v="74"/>
    <x v="11"/>
    <x v="20"/>
    <x v="29"/>
    <x v="32"/>
    <s v="64-2565818-"/>
    <s v="camila.alvarez@redsalud.gob.cl"/>
    <x v="7"/>
    <d v="2025-08-20T00:00:00"/>
    <n v="0"/>
    <m/>
    <n v="1"/>
    <n v="32863550"/>
    <d v="2026-09-01T00:00:00"/>
    <x v="0"/>
  </r>
  <r>
    <s v="SERVICIO DE SALUD OSORNO"/>
    <x v="1"/>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x v="1"/>
    <x v="40"/>
    <n v="4"/>
    <n v="4692"/>
    <x v="49"/>
    <x v="74"/>
    <x v="11"/>
    <x v="20"/>
    <x v="29"/>
    <x v="32"/>
    <s v="64-2565818-"/>
    <s v="camila.alvarez@redsalud.gob.cl"/>
    <x v="7"/>
    <d v="2025-08-20T00:00:00"/>
    <n v="0"/>
    <m/>
    <n v="1"/>
    <n v="32863550"/>
    <d v="2026-10-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1"/>
    <n v="4"/>
    <n v="7"/>
    <x v="50"/>
    <x v="75"/>
    <x v="11"/>
    <x v="20"/>
    <x v="12"/>
    <x v="33"/>
    <s v="64-2565813-"/>
    <s v="angelo.palma@redsalud.gob.cl"/>
    <x v="13"/>
    <d v="2025-08-20T00:00:00"/>
    <n v="0"/>
    <m/>
    <n v="1"/>
    <n v="7558541"/>
    <d v="2026-02-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1"/>
    <n v="4"/>
    <n v="7"/>
    <x v="50"/>
    <x v="75"/>
    <x v="11"/>
    <x v="20"/>
    <x v="12"/>
    <x v="33"/>
    <s v="64-2565813-"/>
    <s v="angelo.palma@redsalud.gob.cl"/>
    <x v="13"/>
    <d v="2025-08-20T00:00:00"/>
    <n v="0"/>
    <m/>
    <n v="1"/>
    <n v="7558541"/>
    <d v="2026-06-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1"/>
    <n v="4"/>
    <n v="7"/>
    <x v="50"/>
    <x v="75"/>
    <x v="11"/>
    <x v="20"/>
    <x v="12"/>
    <x v="33"/>
    <s v="64-2565813-"/>
    <s v="angelo.palma@redsalud.gob.cl"/>
    <x v="13"/>
    <d v="2025-08-20T00:00:00"/>
    <n v="0"/>
    <m/>
    <n v="1"/>
    <n v="7558541"/>
    <d v="2026-07-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1"/>
    <n v="4"/>
    <n v="7"/>
    <x v="50"/>
    <x v="75"/>
    <x v="11"/>
    <x v="20"/>
    <x v="12"/>
    <x v="33"/>
    <s v="64-2565813-"/>
    <s v="angelo.palma@redsalud.gob.cl"/>
    <x v="13"/>
    <d v="2025-08-20T00:00:00"/>
    <n v="0"/>
    <m/>
    <n v="1"/>
    <n v="7558541"/>
    <d v="2026-05-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1"/>
    <n v="4"/>
    <n v="7"/>
    <x v="50"/>
    <x v="75"/>
    <x v="11"/>
    <x v="20"/>
    <x v="12"/>
    <x v="33"/>
    <s v="64-2565813-"/>
    <s v="angelo.palma@redsalud.gob.cl"/>
    <x v="13"/>
    <d v="2025-08-20T00:00:00"/>
    <n v="0"/>
    <m/>
    <n v="1"/>
    <n v="7558541"/>
    <d v="2026-04-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1"/>
    <n v="4"/>
    <n v="7"/>
    <x v="50"/>
    <x v="75"/>
    <x v="11"/>
    <x v="20"/>
    <x v="12"/>
    <x v="33"/>
    <s v="64-2565813-"/>
    <s v="angelo.palma@redsalud.gob.cl"/>
    <x v="13"/>
    <d v="2025-08-20T00:00:00"/>
    <n v="0"/>
    <m/>
    <n v="1"/>
    <n v="7558541"/>
    <d v="2026-01-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1"/>
    <n v="4"/>
    <n v="7"/>
    <x v="50"/>
    <x v="75"/>
    <x v="11"/>
    <x v="20"/>
    <x v="12"/>
    <x v="33"/>
    <s v="64-2565813-"/>
    <s v="angelo.palma@redsalud.gob.cl"/>
    <x v="13"/>
    <d v="2025-08-20T00:00:00"/>
    <n v="0"/>
    <m/>
    <n v="1"/>
    <n v="7558541"/>
    <d v="2026-03-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1"/>
    <n v="4"/>
    <n v="7"/>
    <x v="50"/>
    <x v="75"/>
    <x v="11"/>
    <x v="20"/>
    <x v="12"/>
    <x v="33"/>
    <s v="64-2565813-"/>
    <s v="angelo.palma@redsalud.gob.cl"/>
    <x v="13"/>
    <d v="2025-08-20T00:00:00"/>
    <n v="0"/>
    <m/>
    <n v="1"/>
    <n v="7558541"/>
    <d v="2026-11-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1"/>
    <n v="4"/>
    <n v="7"/>
    <x v="50"/>
    <x v="75"/>
    <x v="11"/>
    <x v="20"/>
    <x v="12"/>
    <x v="33"/>
    <s v="64-2565813-"/>
    <s v="angelo.palma@redsalud.gob.cl"/>
    <x v="13"/>
    <d v="2025-08-20T00:00:00"/>
    <n v="0"/>
    <m/>
    <n v="1"/>
    <n v="7558541"/>
    <d v="2026-10-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1"/>
    <n v="4"/>
    <n v="7"/>
    <x v="50"/>
    <x v="75"/>
    <x v="11"/>
    <x v="20"/>
    <x v="12"/>
    <x v="33"/>
    <s v="64-2565813-"/>
    <s v="angelo.palma@redsalud.gob.cl"/>
    <x v="13"/>
    <d v="2025-08-20T00:00:00"/>
    <n v="0"/>
    <m/>
    <n v="1"/>
    <n v="7558541"/>
    <d v="2026-08-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1"/>
    <n v="4"/>
    <n v="7"/>
    <x v="50"/>
    <x v="75"/>
    <x v="11"/>
    <x v="20"/>
    <x v="12"/>
    <x v="33"/>
    <s v="64-2565813-"/>
    <s v="angelo.palma@redsalud.gob.cl"/>
    <x v="13"/>
    <d v="2025-08-20T00:00:00"/>
    <n v="0"/>
    <m/>
    <n v="1"/>
    <n v="7558541"/>
    <d v="2026-09-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1"/>
    <n v="4"/>
    <n v="7"/>
    <x v="50"/>
    <x v="76"/>
    <x v="11"/>
    <x v="20"/>
    <x v="12"/>
    <x v="33"/>
    <s v="64-2565813-"/>
    <s v="angelo.palma@redsalud.gob.cl"/>
    <x v="13"/>
    <d v="2025-08-20T00:00:00"/>
    <n v="0"/>
    <m/>
    <n v="1"/>
    <n v="7558549"/>
    <d v="2026-12-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2"/>
    <n v="4"/>
    <n v="1"/>
    <x v="51"/>
    <x v="77"/>
    <x v="11"/>
    <x v="20"/>
    <x v="12"/>
    <x v="33"/>
    <s v="64-2565813-"/>
    <s v="angelo.palma@redsalud.gob.cl"/>
    <x v="7"/>
    <d v="2025-08-20T00:00:00"/>
    <n v="0"/>
    <m/>
    <n v="1"/>
    <n v="1993690"/>
    <d v="2026-01-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2"/>
    <n v="4"/>
    <n v="1"/>
    <x v="51"/>
    <x v="77"/>
    <x v="11"/>
    <x v="20"/>
    <x v="12"/>
    <x v="33"/>
    <s v="64-2565813-"/>
    <s v="angelo.palma@redsalud.gob.cl"/>
    <x v="7"/>
    <d v="2025-08-20T00:00:00"/>
    <n v="0"/>
    <m/>
    <n v="1"/>
    <n v="1993690"/>
    <d v="2026-02-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2"/>
    <n v="4"/>
    <n v="1"/>
    <x v="51"/>
    <x v="77"/>
    <x v="11"/>
    <x v="20"/>
    <x v="12"/>
    <x v="33"/>
    <s v="64-2565813-"/>
    <s v="angelo.palma@redsalud.gob.cl"/>
    <x v="7"/>
    <d v="2025-08-20T00:00:00"/>
    <n v="0"/>
    <m/>
    <n v="1"/>
    <n v="1993690"/>
    <d v="2026-03-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2"/>
    <n v="4"/>
    <n v="1"/>
    <x v="51"/>
    <x v="77"/>
    <x v="11"/>
    <x v="20"/>
    <x v="12"/>
    <x v="33"/>
    <s v="64-2565813-"/>
    <s v="angelo.palma@redsalud.gob.cl"/>
    <x v="7"/>
    <d v="2025-08-20T00:00:00"/>
    <n v="0"/>
    <m/>
    <n v="1"/>
    <n v="1993690"/>
    <d v="2026-05-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2"/>
    <n v="4"/>
    <n v="1"/>
    <x v="51"/>
    <x v="78"/>
    <x v="11"/>
    <x v="20"/>
    <x v="12"/>
    <x v="33"/>
    <s v="64-2565813-"/>
    <s v="angelo.palma@redsalud.gob.cl"/>
    <x v="7"/>
    <d v="2025-08-20T00:00:00"/>
    <n v="0"/>
    <m/>
    <n v="1"/>
    <n v="1993700"/>
    <d v="2026-12-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2"/>
    <n v="4"/>
    <n v="1"/>
    <x v="51"/>
    <x v="77"/>
    <x v="11"/>
    <x v="20"/>
    <x v="12"/>
    <x v="33"/>
    <s v="64-2565813-"/>
    <s v="angelo.palma@redsalud.gob.cl"/>
    <x v="7"/>
    <d v="2025-08-20T00:00:00"/>
    <n v="0"/>
    <m/>
    <n v="1"/>
    <n v="1993690"/>
    <d v="2026-07-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2"/>
    <n v="4"/>
    <n v="1"/>
    <x v="51"/>
    <x v="77"/>
    <x v="11"/>
    <x v="20"/>
    <x v="12"/>
    <x v="33"/>
    <s v="64-2565813-"/>
    <s v="angelo.palma@redsalud.gob.cl"/>
    <x v="7"/>
    <d v="2025-08-20T00:00:00"/>
    <n v="0"/>
    <m/>
    <n v="1"/>
    <n v="1993690"/>
    <d v="2026-06-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2"/>
    <n v="4"/>
    <n v="1"/>
    <x v="51"/>
    <x v="77"/>
    <x v="11"/>
    <x v="20"/>
    <x v="12"/>
    <x v="33"/>
    <s v="64-2565813-"/>
    <s v="angelo.palma@redsalud.gob.cl"/>
    <x v="7"/>
    <d v="2025-08-20T00:00:00"/>
    <n v="0"/>
    <m/>
    <n v="1"/>
    <n v="1993690"/>
    <d v="2026-08-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2"/>
    <n v="4"/>
    <n v="1"/>
    <x v="51"/>
    <x v="77"/>
    <x v="11"/>
    <x v="20"/>
    <x v="12"/>
    <x v="33"/>
    <s v="64-2565813-"/>
    <s v="angelo.palma@redsalud.gob.cl"/>
    <x v="7"/>
    <d v="2025-08-20T00:00:00"/>
    <n v="0"/>
    <m/>
    <n v="1"/>
    <n v="1993690"/>
    <d v="2026-11-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2"/>
    <n v="4"/>
    <n v="1"/>
    <x v="51"/>
    <x v="77"/>
    <x v="11"/>
    <x v="20"/>
    <x v="12"/>
    <x v="33"/>
    <s v="64-2565813-"/>
    <s v="angelo.palma@redsalud.gob.cl"/>
    <x v="7"/>
    <d v="2025-08-20T00:00:00"/>
    <n v="0"/>
    <m/>
    <n v="1"/>
    <n v="1993690"/>
    <d v="2026-09-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2"/>
    <n v="4"/>
    <n v="1"/>
    <x v="51"/>
    <x v="77"/>
    <x v="11"/>
    <x v="20"/>
    <x v="12"/>
    <x v="33"/>
    <s v="64-2565813-"/>
    <s v="angelo.palma@redsalud.gob.cl"/>
    <x v="7"/>
    <d v="2025-08-20T00:00:00"/>
    <n v="0"/>
    <m/>
    <n v="1"/>
    <n v="1993690"/>
    <d v="2026-04-01T00:00:00"/>
    <x v="0"/>
  </r>
  <r>
    <s v="SERVICIO DE SALUD OSORNO"/>
    <x v="0"/>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x v="0"/>
    <x v="42"/>
    <n v="4"/>
    <n v="1"/>
    <x v="51"/>
    <x v="77"/>
    <x v="11"/>
    <x v="20"/>
    <x v="12"/>
    <x v="33"/>
    <s v="64-2565813-"/>
    <s v="angelo.palma@redsalud.gob.cl"/>
    <x v="7"/>
    <d v="2025-08-20T00:00:00"/>
    <n v="0"/>
    <m/>
    <n v="1"/>
    <n v="1993690"/>
    <d v="2026-10-01T00:00:00"/>
    <x v="0"/>
  </r>
  <r>
    <s v="SERVICIO DE SALUD OSORNO"/>
    <x v="0"/>
    <x v="46"/>
    <s v="Proyecto operacional"/>
    <s v="Publicado"/>
    <s v="22.04.001"/>
    <x v="47"/>
    <s v="Articulos de Libreria para entrega a Deptos, Unidades, etc, del Servicio de Salud Osorno, por un periodo de 12 meses."/>
    <x v="1"/>
    <x v="43"/>
    <n v="4"/>
    <n v="100"/>
    <x v="52"/>
    <x v="79"/>
    <x v="11"/>
    <x v="17"/>
    <x v="30"/>
    <x v="34"/>
    <s v="64-2565716-"/>
    <s v="cecilia.garay@redsalud.gob.cl"/>
    <x v="7"/>
    <d v="2025-08-20T00:00:00"/>
    <n v="2"/>
    <s v="1057532-5287-AG25"/>
    <n v="1"/>
    <n v="2402500"/>
    <d v="2026-07-01T00:00:00"/>
    <x v="0"/>
  </r>
  <r>
    <s v="SERVICIO DE SALUD OSORNO"/>
    <x v="0"/>
    <x v="46"/>
    <s v="Proyecto operacional"/>
    <s v="Publicado"/>
    <s v="22.04.001"/>
    <x v="47"/>
    <s v="Articulos de Libreria para entrega a Deptos, Unidades, etc, del Servicio de Salud Osorno, por un periodo de 12 meses."/>
    <x v="1"/>
    <x v="43"/>
    <n v="4"/>
    <n v="100"/>
    <x v="52"/>
    <x v="79"/>
    <x v="11"/>
    <x v="17"/>
    <x v="30"/>
    <x v="34"/>
    <s v="64-2565716-"/>
    <s v="cecilia.garay@redsalud.gob.cl"/>
    <x v="7"/>
    <d v="2025-08-20T00:00:00"/>
    <n v="2"/>
    <s v="1057532-5287-AG25"/>
    <n v="1"/>
    <n v="2402500"/>
    <d v="2026-05-01T00:00:00"/>
    <x v="0"/>
  </r>
  <r>
    <s v="SERVICIO DE SALUD OSORNO"/>
    <x v="0"/>
    <x v="46"/>
    <s v="Proyecto operacional"/>
    <s v="Publicado"/>
    <s v="22.04.001"/>
    <x v="47"/>
    <s v="Articulos de Libreria para entrega a Deptos, Unidades, etc, del Servicio de Salud Osorno, por un periodo de 12 meses."/>
    <x v="1"/>
    <x v="43"/>
    <n v="4"/>
    <n v="100"/>
    <x v="52"/>
    <x v="79"/>
    <x v="11"/>
    <x v="17"/>
    <x v="30"/>
    <x v="34"/>
    <s v="64-2565716-"/>
    <s v="cecilia.garay@redsalud.gob.cl"/>
    <x v="7"/>
    <d v="2025-08-20T00:00:00"/>
    <n v="2"/>
    <s v="1057532-5446-CM25"/>
    <n v="1"/>
    <n v="2402500"/>
    <d v="2026-06-01T00:00:00"/>
    <x v="0"/>
  </r>
  <r>
    <s v="SERVICIO DE SALUD OSORNO"/>
    <x v="0"/>
    <x v="46"/>
    <s v="Proyecto operacional"/>
    <s v="Publicado"/>
    <s v="22.04.001"/>
    <x v="47"/>
    <s v="Articulos de Libreria para entrega a Deptos, Unidades, etc, del Servicio de Salud Osorno, por un periodo de 12 meses."/>
    <x v="1"/>
    <x v="43"/>
    <n v="4"/>
    <n v="100"/>
    <x v="52"/>
    <x v="79"/>
    <x v="11"/>
    <x v="17"/>
    <x v="30"/>
    <x v="34"/>
    <s v="64-2565716-"/>
    <s v="cecilia.garay@redsalud.gob.cl"/>
    <x v="7"/>
    <d v="2025-08-20T00:00:00"/>
    <n v="2"/>
    <s v="1057532-5446-CM25"/>
    <n v="1"/>
    <n v="2402500"/>
    <d v="2026-01-01T00:00:00"/>
    <x v="0"/>
  </r>
  <r>
    <s v="SERVICIO DE SALUD OSORNO"/>
    <x v="0"/>
    <x v="46"/>
    <s v="Proyecto operacional"/>
    <s v="Publicado"/>
    <s v="22.04.001"/>
    <x v="47"/>
    <s v="Articulos de Libreria para entrega a Deptos, Unidades, etc, del Servicio de Salud Osorno, por un periodo de 12 meses."/>
    <x v="1"/>
    <x v="43"/>
    <n v="4"/>
    <n v="100"/>
    <x v="52"/>
    <x v="79"/>
    <x v="11"/>
    <x v="17"/>
    <x v="30"/>
    <x v="34"/>
    <s v="64-2565716-"/>
    <s v="cecilia.garay@redsalud.gob.cl"/>
    <x v="7"/>
    <d v="2025-08-20T00:00:00"/>
    <n v="2"/>
    <s v="1057532-5287-AG25"/>
    <n v="1"/>
    <n v="2402500"/>
    <d v="2026-06-01T00:00:00"/>
    <x v="0"/>
  </r>
  <r>
    <s v="SERVICIO DE SALUD OSORNO"/>
    <x v="0"/>
    <x v="46"/>
    <s v="Proyecto operacional"/>
    <s v="Publicado"/>
    <s v="22.04.001"/>
    <x v="47"/>
    <s v="Articulos de Libreria para entrega a Deptos, Unidades, etc, del Servicio de Salud Osorno, por un periodo de 12 meses."/>
    <x v="1"/>
    <x v="43"/>
    <n v="4"/>
    <n v="100"/>
    <x v="52"/>
    <x v="79"/>
    <x v="11"/>
    <x v="17"/>
    <x v="30"/>
    <x v="34"/>
    <s v="64-2565716-"/>
    <s v="cecilia.garay@redsalud.gob.cl"/>
    <x v="7"/>
    <d v="2025-08-20T00:00:00"/>
    <n v="2"/>
    <s v="1057532-5287-AG25"/>
    <n v="1"/>
    <n v="2402500"/>
    <d v="2026-01-01T00:00:00"/>
    <x v="0"/>
  </r>
  <r>
    <s v="SERVICIO DE SALUD OSORNO"/>
    <x v="0"/>
    <x v="46"/>
    <s v="Proyecto operacional"/>
    <s v="Publicado"/>
    <s v="22.04.001"/>
    <x v="47"/>
    <s v="Articulos de Libreria para entrega a Deptos, Unidades, etc, del Servicio de Salud Osorno, por un periodo de 12 meses."/>
    <x v="1"/>
    <x v="43"/>
    <n v="4"/>
    <n v="100"/>
    <x v="52"/>
    <x v="79"/>
    <x v="11"/>
    <x v="17"/>
    <x v="30"/>
    <x v="34"/>
    <s v="64-2565716-"/>
    <s v="cecilia.garay@redsalud.gob.cl"/>
    <x v="7"/>
    <d v="2025-08-20T00:00:00"/>
    <n v="2"/>
    <s v="1057532-5446-CM25"/>
    <n v="1"/>
    <n v="2402500"/>
    <d v="2026-07-01T00:00:00"/>
    <x v="0"/>
  </r>
  <r>
    <s v="SERVICIO DE SALUD OSORNO"/>
    <x v="0"/>
    <x v="47"/>
    <s v="Proyecto operacional"/>
    <s v="Publicado"/>
    <s v="22.03.003"/>
    <x v="48"/>
    <s v="Producto solicitado: Se requiere m3 de chip Duración del Convenio: 24 meses Fecha Inicio convenio: 01-01-2026 Fecha Término de Convenio: 31-12-2027 Vigencia: 24 meses"/>
    <x v="1"/>
    <x v="44"/>
    <n v="4"/>
    <n v="1"/>
    <x v="53"/>
    <x v="80"/>
    <x v="1"/>
    <x v="14"/>
    <x v="31"/>
    <x v="17"/>
    <s v="64-2567381-"/>
    <s v="daniela.jarac@redsalud.gob.cl"/>
    <x v="7"/>
    <d v="2025-08-20T00:00:00"/>
    <n v="0"/>
    <m/>
    <n v="1"/>
    <n v="6083333"/>
    <d v="2026-02-01T00:00:00"/>
    <x v="0"/>
  </r>
  <r>
    <s v="SERVICIO DE SALUD OSORNO"/>
    <x v="0"/>
    <x v="47"/>
    <s v="Proyecto operacional"/>
    <s v="Publicado"/>
    <s v="22.03.003"/>
    <x v="48"/>
    <s v="Producto solicitado: Se requiere m3 de chip Duración del Convenio: 24 meses Fecha Inicio convenio: 01-01-2026 Fecha Término de Convenio: 31-12-2027 Vigencia: 24 meses"/>
    <x v="1"/>
    <x v="44"/>
    <n v="4"/>
    <n v="1"/>
    <x v="53"/>
    <x v="80"/>
    <x v="1"/>
    <x v="14"/>
    <x v="31"/>
    <x v="17"/>
    <s v="64-2567381-"/>
    <s v="daniela.jarac@redsalud.gob.cl"/>
    <x v="7"/>
    <d v="2025-08-20T00:00:00"/>
    <n v="0"/>
    <m/>
    <n v="1"/>
    <n v="6083333"/>
    <d v="2026-06-01T00:00:00"/>
    <x v="0"/>
  </r>
  <r>
    <s v="SERVICIO DE SALUD OSORNO"/>
    <x v="0"/>
    <x v="47"/>
    <s v="Proyecto operacional"/>
    <s v="Publicado"/>
    <s v="22.03.003"/>
    <x v="48"/>
    <s v="Producto solicitado: Se requiere m3 de chip Duración del Convenio: 24 meses Fecha Inicio convenio: 01-01-2026 Fecha Término de Convenio: 31-12-2027 Vigencia: 24 meses"/>
    <x v="1"/>
    <x v="44"/>
    <n v="4"/>
    <n v="1"/>
    <x v="53"/>
    <x v="80"/>
    <x v="1"/>
    <x v="14"/>
    <x v="31"/>
    <x v="17"/>
    <s v="64-2567381-"/>
    <s v="daniela.jarac@redsalud.gob.cl"/>
    <x v="7"/>
    <d v="2025-08-20T00:00:00"/>
    <n v="0"/>
    <m/>
    <n v="1"/>
    <n v="6083333"/>
    <d v="2026-01-01T00:00:00"/>
    <x v="0"/>
  </r>
  <r>
    <s v="SERVICIO DE SALUD OSORNO"/>
    <x v="0"/>
    <x v="47"/>
    <s v="Proyecto operacional"/>
    <s v="Publicado"/>
    <s v="22.03.003"/>
    <x v="48"/>
    <s v="Producto solicitado: Se requiere m3 de chip Duración del Convenio: 24 meses Fecha Inicio convenio: 01-01-2026 Fecha Término de Convenio: 31-12-2027 Vigencia: 24 meses"/>
    <x v="1"/>
    <x v="44"/>
    <n v="4"/>
    <n v="1"/>
    <x v="53"/>
    <x v="80"/>
    <x v="1"/>
    <x v="14"/>
    <x v="31"/>
    <x v="17"/>
    <s v="64-2567381-"/>
    <s v="daniela.jarac@redsalud.gob.cl"/>
    <x v="7"/>
    <d v="2025-08-20T00:00:00"/>
    <n v="0"/>
    <m/>
    <n v="1"/>
    <n v="6083333"/>
    <d v="2026-12-01T00:00:00"/>
    <x v="0"/>
  </r>
  <r>
    <s v="SERVICIO DE SALUD OSORNO"/>
    <x v="0"/>
    <x v="47"/>
    <s v="Proyecto operacional"/>
    <s v="Publicado"/>
    <s v="22.03.003"/>
    <x v="48"/>
    <s v="Producto solicitado: Se requiere m3 de chip Duración del Convenio: 24 meses Fecha Inicio convenio: 01-01-2026 Fecha Término de Convenio: 31-12-2027 Vigencia: 24 meses"/>
    <x v="1"/>
    <x v="44"/>
    <n v="4"/>
    <n v="1"/>
    <x v="53"/>
    <x v="80"/>
    <x v="1"/>
    <x v="14"/>
    <x v="31"/>
    <x v="17"/>
    <s v="64-2567381-"/>
    <s v="daniela.jarac@redsalud.gob.cl"/>
    <x v="7"/>
    <d v="2025-08-20T00:00:00"/>
    <n v="0"/>
    <m/>
    <n v="1"/>
    <n v="6083333"/>
    <d v="2026-04-01T00:00:00"/>
    <x v="0"/>
  </r>
  <r>
    <s v="SERVICIO DE SALUD OSORNO"/>
    <x v="0"/>
    <x v="47"/>
    <s v="Proyecto operacional"/>
    <s v="Publicado"/>
    <s v="22.03.003"/>
    <x v="48"/>
    <s v="Producto solicitado: Se requiere m3 de chip Duración del Convenio: 24 meses Fecha Inicio convenio: 01-01-2026 Fecha Término de Convenio: 31-12-2027 Vigencia: 24 meses"/>
    <x v="1"/>
    <x v="44"/>
    <n v="4"/>
    <n v="1"/>
    <x v="53"/>
    <x v="80"/>
    <x v="1"/>
    <x v="14"/>
    <x v="31"/>
    <x v="17"/>
    <s v="64-2567381-"/>
    <s v="daniela.jarac@redsalud.gob.cl"/>
    <x v="7"/>
    <d v="2025-08-20T00:00:00"/>
    <n v="0"/>
    <m/>
    <n v="1"/>
    <n v="6083333"/>
    <d v="2026-07-01T00:00:00"/>
    <x v="0"/>
  </r>
  <r>
    <s v="SERVICIO DE SALUD OSORNO"/>
    <x v="0"/>
    <x v="47"/>
    <s v="Proyecto operacional"/>
    <s v="Publicado"/>
    <s v="22.03.003"/>
    <x v="48"/>
    <s v="Producto solicitado: Se requiere m3 de chip Duración del Convenio: 24 meses Fecha Inicio convenio: 01-01-2026 Fecha Término de Convenio: 31-12-2027 Vigencia: 24 meses"/>
    <x v="1"/>
    <x v="44"/>
    <n v="4"/>
    <n v="1"/>
    <x v="53"/>
    <x v="80"/>
    <x v="1"/>
    <x v="14"/>
    <x v="31"/>
    <x v="17"/>
    <s v="64-2567381-"/>
    <s v="daniela.jarac@redsalud.gob.cl"/>
    <x v="7"/>
    <d v="2025-08-20T00:00:00"/>
    <n v="0"/>
    <m/>
    <n v="1"/>
    <n v="6083333"/>
    <d v="2026-08-01T00:00:00"/>
    <x v="0"/>
  </r>
  <r>
    <s v="SERVICIO DE SALUD OSORNO"/>
    <x v="0"/>
    <x v="47"/>
    <s v="Proyecto operacional"/>
    <s v="Publicado"/>
    <s v="22.03.003"/>
    <x v="48"/>
    <s v="Producto solicitado: Se requiere m3 de chip Duración del Convenio: 24 meses Fecha Inicio convenio: 01-01-2026 Fecha Término de Convenio: 31-12-2027 Vigencia: 24 meses"/>
    <x v="1"/>
    <x v="44"/>
    <n v="4"/>
    <n v="1"/>
    <x v="53"/>
    <x v="80"/>
    <x v="1"/>
    <x v="14"/>
    <x v="31"/>
    <x v="17"/>
    <s v="64-2567381-"/>
    <s v="daniela.jarac@redsalud.gob.cl"/>
    <x v="7"/>
    <d v="2025-08-20T00:00:00"/>
    <n v="0"/>
    <m/>
    <n v="1"/>
    <n v="6083333"/>
    <d v="2026-03-01T00:00:00"/>
    <x v="0"/>
  </r>
  <r>
    <s v="SERVICIO DE SALUD OSORNO"/>
    <x v="0"/>
    <x v="47"/>
    <s v="Proyecto operacional"/>
    <s v="Publicado"/>
    <s v="22.03.003"/>
    <x v="48"/>
    <s v="Producto solicitado: Se requiere m3 de chip Duración del Convenio: 24 meses Fecha Inicio convenio: 01-01-2026 Fecha Término de Convenio: 31-12-2027 Vigencia: 24 meses"/>
    <x v="1"/>
    <x v="44"/>
    <n v="4"/>
    <n v="1"/>
    <x v="53"/>
    <x v="80"/>
    <x v="1"/>
    <x v="14"/>
    <x v="31"/>
    <x v="17"/>
    <s v="64-2567381-"/>
    <s v="daniela.jarac@redsalud.gob.cl"/>
    <x v="7"/>
    <d v="2025-08-20T00:00:00"/>
    <n v="0"/>
    <m/>
    <n v="1"/>
    <n v="6083333"/>
    <d v="2026-10-01T00:00:00"/>
    <x v="0"/>
  </r>
  <r>
    <s v="SERVICIO DE SALUD OSORNO"/>
    <x v="0"/>
    <x v="47"/>
    <s v="Proyecto operacional"/>
    <s v="Publicado"/>
    <s v="22.03.003"/>
    <x v="48"/>
    <s v="Producto solicitado: Se requiere m3 de chip Duración del Convenio: 24 meses Fecha Inicio convenio: 01-01-2026 Fecha Término de Convenio: 31-12-2027 Vigencia: 24 meses"/>
    <x v="1"/>
    <x v="44"/>
    <n v="4"/>
    <n v="1"/>
    <x v="53"/>
    <x v="80"/>
    <x v="1"/>
    <x v="14"/>
    <x v="31"/>
    <x v="17"/>
    <s v="64-2567381-"/>
    <s v="daniela.jarac@redsalud.gob.cl"/>
    <x v="7"/>
    <d v="2025-08-20T00:00:00"/>
    <n v="0"/>
    <m/>
    <n v="1"/>
    <n v="6083333"/>
    <d v="2026-09-01T00:00:00"/>
    <x v="0"/>
  </r>
  <r>
    <s v="SERVICIO DE SALUD OSORNO"/>
    <x v="0"/>
    <x v="47"/>
    <s v="Proyecto operacional"/>
    <s v="Publicado"/>
    <s v="22.03.003"/>
    <x v="48"/>
    <s v="Producto solicitado: Se requiere m3 de chip Duración del Convenio: 24 meses Fecha Inicio convenio: 01-01-2026 Fecha Término de Convenio: 31-12-2027 Vigencia: 24 meses"/>
    <x v="1"/>
    <x v="44"/>
    <n v="4"/>
    <n v="1"/>
    <x v="53"/>
    <x v="80"/>
    <x v="1"/>
    <x v="14"/>
    <x v="31"/>
    <x v="17"/>
    <s v="64-2567381-"/>
    <s v="daniela.jarac@redsalud.gob.cl"/>
    <x v="7"/>
    <d v="2025-08-20T00:00:00"/>
    <n v="0"/>
    <m/>
    <n v="1"/>
    <n v="6083333"/>
    <d v="2026-05-01T00:00:00"/>
    <x v="0"/>
  </r>
  <r>
    <s v="SERVICIO DE SALUD OSORNO"/>
    <x v="0"/>
    <x v="47"/>
    <s v="Proyecto operacional"/>
    <s v="Publicado"/>
    <s v="22.03.003"/>
    <x v="48"/>
    <s v="Producto solicitado: Se requiere m3 de chip Duración del Convenio: 24 meses Fecha Inicio convenio: 01-01-2026 Fecha Término de Convenio: 31-12-2027 Vigencia: 24 meses"/>
    <x v="1"/>
    <x v="44"/>
    <n v="4"/>
    <n v="1"/>
    <x v="53"/>
    <x v="80"/>
    <x v="1"/>
    <x v="14"/>
    <x v="31"/>
    <x v="17"/>
    <s v="64-2567381-"/>
    <s v="daniela.jarac@redsalud.gob.cl"/>
    <x v="7"/>
    <d v="2025-08-20T00:00:00"/>
    <n v="0"/>
    <m/>
    <n v="1"/>
    <n v="6083333"/>
    <d v="2026-11-01T00:00:00"/>
    <x v="0"/>
  </r>
  <r>
    <s v="SERVICIO DE SALUD OSORNO"/>
    <x v="0"/>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x v="1"/>
    <x v="45"/>
    <n v="4"/>
    <n v="16"/>
    <x v="54"/>
    <x v="81"/>
    <x v="12"/>
    <x v="22"/>
    <x v="32"/>
    <x v="35"/>
    <s v="64-2567353-"/>
    <s v="raul.nunezv@redsalud.gob.cl"/>
    <x v="7"/>
    <d v="2025-08-20T00:00:00"/>
    <n v="0"/>
    <m/>
    <n v="1"/>
    <n v="4687500"/>
    <d v="2026-02-01T00:00:00"/>
    <x v="0"/>
  </r>
  <r>
    <s v="SERVICIO DE SALUD OSORNO"/>
    <x v="0"/>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x v="1"/>
    <x v="45"/>
    <n v="4"/>
    <n v="16"/>
    <x v="54"/>
    <x v="81"/>
    <x v="12"/>
    <x v="22"/>
    <x v="32"/>
    <x v="35"/>
    <s v="64-2567353-"/>
    <s v="raul.nunezv@redsalud.gob.cl"/>
    <x v="7"/>
    <d v="2025-08-20T00:00:00"/>
    <n v="0"/>
    <m/>
    <n v="1"/>
    <n v="4687500"/>
    <d v="2026-11-01T00:00:00"/>
    <x v="0"/>
  </r>
  <r>
    <s v="SERVICIO DE SALUD OSORNO"/>
    <x v="0"/>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x v="1"/>
    <x v="45"/>
    <n v="4"/>
    <n v="16"/>
    <x v="54"/>
    <x v="81"/>
    <x v="12"/>
    <x v="22"/>
    <x v="32"/>
    <x v="35"/>
    <s v="64-2567353-"/>
    <s v="raul.nunezv@redsalud.gob.cl"/>
    <x v="7"/>
    <d v="2025-08-20T00:00:00"/>
    <n v="0"/>
    <m/>
    <n v="1"/>
    <n v="4687500"/>
    <d v="2026-03-01T00:00:00"/>
    <x v="0"/>
  </r>
  <r>
    <s v="SERVICIO DE SALUD OSORNO"/>
    <x v="0"/>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x v="1"/>
    <x v="45"/>
    <n v="4"/>
    <n v="16"/>
    <x v="54"/>
    <x v="81"/>
    <x v="12"/>
    <x v="22"/>
    <x v="32"/>
    <x v="35"/>
    <s v="64-2567353-"/>
    <s v="raul.nunezv@redsalud.gob.cl"/>
    <x v="7"/>
    <d v="2025-08-20T00:00:00"/>
    <n v="0"/>
    <m/>
    <n v="1"/>
    <n v="4687500"/>
    <d v="2026-01-01T00:00:00"/>
    <x v="0"/>
  </r>
  <r>
    <s v="SERVICIO DE SALUD OSORNO"/>
    <x v="0"/>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x v="1"/>
    <x v="45"/>
    <n v="4"/>
    <n v="16"/>
    <x v="54"/>
    <x v="81"/>
    <x v="12"/>
    <x v="22"/>
    <x v="32"/>
    <x v="35"/>
    <s v="64-2567353-"/>
    <s v="raul.nunezv@redsalud.gob.cl"/>
    <x v="7"/>
    <d v="2025-08-20T00:00:00"/>
    <n v="0"/>
    <m/>
    <n v="1"/>
    <n v="4687500"/>
    <d v="2026-06-01T00:00:00"/>
    <x v="0"/>
  </r>
  <r>
    <s v="SERVICIO DE SALUD OSORNO"/>
    <x v="0"/>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x v="1"/>
    <x v="45"/>
    <n v="4"/>
    <n v="16"/>
    <x v="54"/>
    <x v="81"/>
    <x v="12"/>
    <x v="22"/>
    <x v="32"/>
    <x v="35"/>
    <s v="64-2567353-"/>
    <s v="raul.nunezv@redsalud.gob.cl"/>
    <x v="7"/>
    <d v="2025-08-20T00:00:00"/>
    <n v="0"/>
    <m/>
    <n v="1"/>
    <n v="4687500"/>
    <d v="2026-04-01T00:00:00"/>
    <x v="0"/>
  </r>
  <r>
    <s v="SERVICIO DE SALUD OSORNO"/>
    <x v="0"/>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x v="1"/>
    <x v="45"/>
    <n v="4"/>
    <n v="16"/>
    <x v="54"/>
    <x v="81"/>
    <x v="12"/>
    <x v="22"/>
    <x v="32"/>
    <x v="35"/>
    <s v="64-2567353-"/>
    <s v="raul.nunezv@redsalud.gob.cl"/>
    <x v="7"/>
    <d v="2025-08-20T00:00:00"/>
    <n v="0"/>
    <m/>
    <n v="1"/>
    <n v="4687500"/>
    <d v="2026-07-01T00:00:00"/>
    <x v="0"/>
  </r>
  <r>
    <s v="SERVICIO DE SALUD OSORNO"/>
    <x v="0"/>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x v="1"/>
    <x v="45"/>
    <n v="4"/>
    <n v="16"/>
    <x v="54"/>
    <x v="81"/>
    <x v="12"/>
    <x v="22"/>
    <x v="32"/>
    <x v="35"/>
    <s v="64-2567353-"/>
    <s v="raul.nunezv@redsalud.gob.cl"/>
    <x v="7"/>
    <d v="2025-08-20T00:00:00"/>
    <n v="0"/>
    <m/>
    <n v="1"/>
    <n v="4687500"/>
    <d v="2026-05-01T00:00:00"/>
    <x v="0"/>
  </r>
  <r>
    <s v="SERVICIO DE SALUD OSORNO"/>
    <x v="0"/>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x v="1"/>
    <x v="45"/>
    <n v="4"/>
    <n v="16"/>
    <x v="54"/>
    <x v="81"/>
    <x v="12"/>
    <x v="22"/>
    <x v="32"/>
    <x v="35"/>
    <s v="64-2567353-"/>
    <s v="raul.nunezv@redsalud.gob.cl"/>
    <x v="7"/>
    <d v="2025-08-20T00:00:00"/>
    <n v="0"/>
    <m/>
    <n v="1"/>
    <n v="4687500"/>
    <d v="2026-12-01T00:00:00"/>
    <x v="0"/>
  </r>
  <r>
    <s v="SERVICIO DE SALUD OSORNO"/>
    <x v="0"/>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x v="1"/>
    <x v="45"/>
    <n v="4"/>
    <n v="16"/>
    <x v="54"/>
    <x v="81"/>
    <x v="12"/>
    <x v="22"/>
    <x v="32"/>
    <x v="35"/>
    <s v="64-2567353-"/>
    <s v="raul.nunezv@redsalud.gob.cl"/>
    <x v="7"/>
    <d v="2025-08-20T00:00:00"/>
    <n v="0"/>
    <m/>
    <n v="1"/>
    <n v="4687500"/>
    <d v="2026-10-01T00:00:00"/>
    <x v="0"/>
  </r>
  <r>
    <s v="SERVICIO DE SALUD OSORNO"/>
    <x v="0"/>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x v="1"/>
    <x v="45"/>
    <n v="4"/>
    <n v="16"/>
    <x v="54"/>
    <x v="81"/>
    <x v="12"/>
    <x v="22"/>
    <x v="32"/>
    <x v="35"/>
    <s v="64-2567353-"/>
    <s v="raul.nunezv@redsalud.gob.cl"/>
    <x v="7"/>
    <d v="2025-08-20T00:00:00"/>
    <n v="0"/>
    <m/>
    <n v="1"/>
    <n v="4687500"/>
    <d v="2026-09-01T00:00:00"/>
    <x v="0"/>
  </r>
  <r>
    <s v="SERVICIO DE SALUD OSORNO"/>
    <x v="0"/>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x v="1"/>
    <x v="45"/>
    <n v="4"/>
    <n v="16"/>
    <x v="54"/>
    <x v="81"/>
    <x v="12"/>
    <x v="22"/>
    <x v="32"/>
    <x v="35"/>
    <s v="64-2567353-"/>
    <s v="raul.nunezv@redsalud.gob.cl"/>
    <x v="7"/>
    <d v="2025-08-20T00:00:00"/>
    <n v="0"/>
    <m/>
    <n v="1"/>
    <n v="4687500"/>
    <d v="2026-08-01T00:00:00"/>
    <x v="0"/>
  </r>
  <r>
    <s v="SERVICIO DE SALUD OSORNO"/>
    <x v="0"/>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x v="1"/>
    <x v="46"/>
    <n v="4"/>
    <n v="1"/>
    <x v="55"/>
    <x v="82"/>
    <x v="11"/>
    <x v="20"/>
    <x v="33"/>
    <x v="36"/>
    <s v="64-2565596-"/>
    <s v="GARIBE.GALLARDO@REDSALUD.GOB.CL"/>
    <x v="7"/>
    <d v="2025-08-20T00:00:00"/>
    <n v="0"/>
    <m/>
    <n v="1"/>
    <n v="6966194"/>
    <d v="2026-10-01T00:00:00"/>
    <x v="0"/>
  </r>
  <r>
    <s v="SERVICIO DE SALUD OSORNO"/>
    <x v="0"/>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x v="1"/>
    <x v="46"/>
    <n v="4"/>
    <n v="1"/>
    <x v="55"/>
    <x v="82"/>
    <x v="11"/>
    <x v="20"/>
    <x v="33"/>
    <x v="36"/>
    <s v="64-2565596-"/>
    <s v="GARIBE.GALLARDO@REDSALUD.GOB.CL"/>
    <x v="7"/>
    <d v="2025-08-20T00:00:00"/>
    <n v="0"/>
    <m/>
    <n v="1"/>
    <n v="6966194"/>
    <d v="2026-07-01T00:00:00"/>
    <x v="0"/>
  </r>
  <r>
    <s v="SERVICIO DE SALUD OSORNO"/>
    <x v="0"/>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x v="1"/>
    <x v="46"/>
    <n v="4"/>
    <n v="1"/>
    <x v="55"/>
    <x v="82"/>
    <x v="11"/>
    <x v="20"/>
    <x v="33"/>
    <x v="36"/>
    <s v="64-2565596-"/>
    <s v="GARIBE.GALLARDO@REDSALUD.GOB.CL"/>
    <x v="7"/>
    <d v="2025-08-20T00:00:00"/>
    <n v="0"/>
    <m/>
    <n v="1"/>
    <n v="6966194"/>
    <d v="2026-01-01T00:00:00"/>
    <x v="0"/>
  </r>
  <r>
    <s v="SERVICIO DE SALUD OSORNO"/>
    <x v="0"/>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x v="1"/>
    <x v="46"/>
    <n v="4"/>
    <n v="1"/>
    <x v="55"/>
    <x v="82"/>
    <x v="11"/>
    <x v="20"/>
    <x v="33"/>
    <x v="36"/>
    <s v="64-2565596-"/>
    <s v="GARIBE.GALLARDO@REDSALUD.GOB.CL"/>
    <x v="7"/>
    <d v="2025-08-20T00:00:00"/>
    <n v="0"/>
    <m/>
    <n v="1"/>
    <n v="6966194"/>
    <d v="2026-05-01T00:00:00"/>
    <x v="0"/>
  </r>
  <r>
    <s v="SERVICIO DE SALUD OSORNO"/>
    <x v="0"/>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x v="1"/>
    <x v="46"/>
    <n v="4"/>
    <n v="1"/>
    <x v="55"/>
    <x v="82"/>
    <x v="11"/>
    <x v="20"/>
    <x v="33"/>
    <x v="36"/>
    <s v="64-2565596-"/>
    <s v="GARIBE.GALLARDO@REDSALUD.GOB.CL"/>
    <x v="7"/>
    <d v="2025-08-20T00:00:00"/>
    <n v="0"/>
    <m/>
    <n v="1"/>
    <n v="6966194"/>
    <d v="2026-06-01T00:00:00"/>
    <x v="0"/>
  </r>
  <r>
    <s v="SERVICIO DE SALUD OSORNO"/>
    <x v="0"/>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x v="1"/>
    <x v="46"/>
    <n v="4"/>
    <n v="1"/>
    <x v="55"/>
    <x v="82"/>
    <x v="11"/>
    <x v="20"/>
    <x v="33"/>
    <x v="36"/>
    <s v="64-2565596-"/>
    <s v="GARIBE.GALLARDO@REDSALUD.GOB.CL"/>
    <x v="7"/>
    <d v="2025-08-20T00:00:00"/>
    <n v="0"/>
    <m/>
    <n v="1"/>
    <n v="6966194"/>
    <d v="2026-04-01T00:00:00"/>
    <x v="0"/>
  </r>
  <r>
    <s v="SERVICIO DE SALUD OSORNO"/>
    <x v="0"/>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x v="1"/>
    <x v="46"/>
    <n v="4"/>
    <n v="1"/>
    <x v="55"/>
    <x v="82"/>
    <x v="11"/>
    <x v="20"/>
    <x v="33"/>
    <x v="36"/>
    <s v="64-2565596-"/>
    <s v="GARIBE.GALLARDO@REDSALUD.GOB.CL"/>
    <x v="7"/>
    <d v="2025-08-20T00:00:00"/>
    <n v="0"/>
    <m/>
    <n v="1"/>
    <n v="6966194"/>
    <d v="2026-03-01T00:00:00"/>
    <x v="0"/>
  </r>
  <r>
    <s v="SERVICIO DE SALUD OSORNO"/>
    <x v="0"/>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x v="1"/>
    <x v="46"/>
    <n v="4"/>
    <n v="1"/>
    <x v="55"/>
    <x v="82"/>
    <x v="11"/>
    <x v="20"/>
    <x v="33"/>
    <x v="36"/>
    <s v="64-2565596-"/>
    <s v="GARIBE.GALLARDO@REDSALUD.GOB.CL"/>
    <x v="7"/>
    <d v="2025-08-20T00:00:00"/>
    <n v="0"/>
    <m/>
    <n v="1"/>
    <n v="6966194"/>
    <d v="2026-11-01T00:00:00"/>
    <x v="0"/>
  </r>
  <r>
    <s v="SERVICIO DE SALUD OSORNO"/>
    <x v="0"/>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x v="1"/>
    <x v="46"/>
    <n v="4"/>
    <n v="1"/>
    <x v="55"/>
    <x v="83"/>
    <x v="11"/>
    <x v="20"/>
    <x v="33"/>
    <x v="36"/>
    <s v="64-2565596-"/>
    <s v="GARIBE.GALLARDO@REDSALUD.GOB.CL"/>
    <x v="7"/>
    <d v="2025-08-20T00:00:00"/>
    <n v="0"/>
    <m/>
    <n v="1"/>
    <n v="6966203"/>
    <d v="2026-12-01T00:00:00"/>
    <x v="0"/>
  </r>
  <r>
    <s v="SERVICIO DE SALUD OSORNO"/>
    <x v="0"/>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x v="1"/>
    <x v="46"/>
    <n v="4"/>
    <n v="1"/>
    <x v="55"/>
    <x v="82"/>
    <x v="11"/>
    <x v="20"/>
    <x v="33"/>
    <x v="36"/>
    <s v="64-2565596-"/>
    <s v="GARIBE.GALLARDO@REDSALUD.GOB.CL"/>
    <x v="7"/>
    <d v="2025-08-20T00:00:00"/>
    <n v="0"/>
    <m/>
    <n v="1"/>
    <n v="6966194"/>
    <d v="2026-08-01T00:00:00"/>
    <x v="0"/>
  </r>
  <r>
    <s v="SERVICIO DE SALUD OSORNO"/>
    <x v="0"/>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x v="1"/>
    <x v="46"/>
    <n v="4"/>
    <n v="1"/>
    <x v="55"/>
    <x v="82"/>
    <x v="11"/>
    <x v="20"/>
    <x v="33"/>
    <x v="36"/>
    <s v="64-2565596-"/>
    <s v="GARIBE.GALLARDO@REDSALUD.GOB.CL"/>
    <x v="7"/>
    <d v="2025-08-20T00:00:00"/>
    <n v="0"/>
    <m/>
    <n v="1"/>
    <n v="6966194"/>
    <d v="2026-02-01T00:00:00"/>
    <x v="0"/>
  </r>
  <r>
    <s v="SERVICIO DE SALUD OSORNO"/>
    <x v="0"/>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x v="1"/>
    <x v="46"/>
    <n v="4"/>
    <n v="1"/>
    <x v="55"/>
    <x v="82"/>
    <x v="11"/>
    <x v="20"/>
    <x v="33"/>
    <x v="36"/>
    <s v="64-2565596-"/>
    <s v="GARIBE.GALLARDO@REDSALUD.GOB.CL"/>
    <x v="7"/>
    <d v="2025-08-20T00:00:00"/>
    <n v="0"/>
    <m/>
    <n v="1"/>
    <n v="6966194"/>
    <d v="2026-09-01T00:00:00"/>
    <x v="0"/>
  </r>
  <r>
    <s v="SERVICIO DE SALUD OSORNO"/>
    <x v="0"/>
    <x v="50"/>
    <s v="Proyecto operacional"/>
    <s v="Publicado"/>
    <s v="22.04.003.001"/>
    <x v="51"/>
    <s v="Servicio de oxigenoterapia domiciliaria para personas beneficiarias de ley 21.375 ingresadas al Programa CPU APS. Convenio a ejecutar por 15 meses, a partir del 23 de octubre 2025 al 31 diciembre 2026."/>
    <x v="1"/>
    <x v="47"/>
    <n v="4"/>
    <n v="1"/>
    <x v="56"/>
    <x v="84"/>
    <x v="13"/>
    <x v="23"/>
    <x v="34"/>
    <x v="37"/>
    <s v="64-2565809-"/>
    <s v="maria.jaramillov@redsalud.gob.cl"/>
    <x v="7"/>
    <d v="2025-08-20T00:00:00"/>
    <n v="1"/>
    <s v="1057532-5742-SE25"/>
    <n v="1"/>
    <n v="849333"/>
    <d v="2026-05-01T00:00:00"/>
    <x v="0"/>
  </r>
  <r>
    <s v="SERVICIO DE SALUD OSORNO"/>
    <x v="0"/>
    <x v="50"/>
    <s v="Proyecto operacional"/>
    <s v="Publicado"/>
    <s v="22.04.003.001"/>
    <x v="51"/>
    <s v="Servicio de oxigenoterapia domiciliaria para personas beneficiarias de ley 21.375 ingresadas al Programa CPU APS. Convenio a ejecutar por 15 meses, a partir del 23 de octubre 2025 al 31 diciembre 2026."/>
    <x v="1"/>
    <x v="47"/>
    <n v="4"/>
    <n v="1"/>
    <x v="56"/>
    <x v="84"/>
    <x v="13"/>
    <x v="23"/>
    <x v="34"/>
    <x v="37"/>
    <s v="64-2565809-"/>
    <s v="maria.jaramillov@redsalud.gob.cl"/>
    <x v="7"/>
    <d v="2025-08-20T00:00:00"/>
    <n v="1"/>
    <s v="1057532-5742-SE25"/>
    <n v="1"/>
    <n v="849333"/>
    <d v="2026-04-01T00:00:00"/>
    <x v="0"/>
  </r>
  <r>
    <s v="SERVICIO DE SALUD OSORNO"/>
    <x v="0"/>
    <x v="50"/>
    <s v="Proyecto operacional"/>
    <s v="Publicado"/>
    <s v="22.04.003.001"/>
    <x v="51"/>
    <s v="Servicio de oxigenoterapia domiciliaria para personas beneficiarias de ley 21.375 ingresadas al Programa CPU APS. Convenio a ejecutar por 15 meses, a partir del 23 de octubre 2025 al 31 diciembre 2026."/>
    <x v="1"/>
    <x v="47"/>
    <n v="4"/>
    <n v="1"/>
    <x v="56"/>
    <x v="84"/>
    <x v="13"/>
    <x v="23"/>
    <x v="34"/>
    <x v="37"/>
    <s v="64-2565809-"/>
    <s v="maria.jaramillov@redsalud.gob.cl"/>
    <x v="7"/>
    <d v="2025-08-20T00:00:00"/>
    <n v="1"/>
    <s v="1057532-5742-SE25"/>
    <n v="1"/>
    <n v="849333"/>
    <d v="2026-03-01T00:00:00"/>
    <x v="0"/>
  </r>
  <r>
    <s v="SERVICIO DE SALUD OSORNO"/>
    <x v="0"/>
    <x v="50"/>
    <s v="Proyecto operacional"/>
    <s v="Publicado"/>
    <s v="22.04.003.001"/>
    <x v="51"/>
    <s v="Servicio de oxigenoterapia domiciliaria para personas beneficiarias de ley 21.375 ingresadas al Programa CPU APS. Convenio a ejecutar por 15 meses, a partir del 23 de octubre 2025 al 31 diciembre 2026."/>
    <x v="1"/>
    <x v="47"/>
    <n v="4"/>
    <n v="1"/>
    <x v="56"/>
    <x v="84"/>
    <x v="13"/>
    <x v="23"/>
    <x v="34"/>
    <x v="37"/>
    <s v="64-2565809-"/>
    <s v="maria.jaramillov@redsalud.gob.cl"/>
    <x v="7"/>
    <d v="2025-08-20T00:00:00"/>
    <n v="1"/>
    <s v="1057532-5742-SE25"/>
    <n v="1"/>
    <n v="849333"/>
    <d v="2026-02-01T00:00:00"/>
    <x v="0"/>
  </r>
  <r>
    <s v="SERVICIO DE SALUD OSORNO"/>
    <x v="0"/>
    <x v="50"/>
    <s v="Proyecto operacional"/>
    <s v="Publicado"/>
    <s v="22.04.003.001"/>
    <x v="51"/>
    <s v="Servicio de oxigenoterapia domiciliaria para personas beneficiarias de ley 21.375 ingresadas al Programa CPU APS. Convenio a ejecutar por 15 meses, a partir del 23 de octubre 2025 al 31 diciembre 2026."/>
    <x v="1"/>
    <x v="47"/>
    <n v="4"/>
    <n v="1"/>
    <x v="56"/>
    <x v="84"/>
    <x v="13"/>
    <x v="23"/>
    <x v="34"/>
    <x v="37"/>
    <s v="64-2565809-"/>
    <s v="maria.jaramillov@redsalud.gob.cl"/>
    <x v="7"/>
    <d v="2025-08-20T00:00:00"/>
    <n v="1"/>
    <s v="1057532-5742-SE25"/>
    <n v="1"/>
    <n v="849333"/>
    <d v="2026-06-01T00:00:00"/>
    <x v="0"/>
  </r>
  <r>
    <s v="SERVICIO DE SALUD OSORNO"/>
    <x v="0"/>
    <x v="50"/>
    <s v="Proyecto operacional"/>
    <s v="Publicado"/>
    <s v="22.04.003.001"/>
    <x v="51"/>
    <s v="Servicio de oxigenoterapia domiciliaria para personas beneficiarias de ley 21.375 ingresadas al Programa CPU APS. Convenio a ejecutar por 15 meses, a partir del 23 de octubre 2025 al 31 diciembre 2026."/>
    <x v="1"/>
    <x v="47"/>
    <n v="4"/>
    <n v="1"/>
    <x v="56"/>
    <x v="84"/>
    <x v="13"/>
    <x v="23"/>
    <x v="34"/>
    <x v="37"/>
    <s v="64-2565809-"/>
    <s v="maria.jaramillov@redsalud.gob.cl"/>
    <x v="7"/>
    <d v="2025-08-20T00:00:00"/>
    <n v="1"/>
    <s v="1057532-5742-SE25"/>
    <n v="1"/>
    <n v="849333"/>
    <d v="2026-08-01T00:00:00"/>
    <x v="0"/>
  </r>
  <r>
    <s v="SERVICIO DE SALUD OSORNO"/>
    <x v="0"/>
    <x v="50"/>
    <s v="Proyecto operacional"/>
    <s v="Publicado"/>
    <s v="22.04.003.001"/>
    <x v="51"/>
    <s v="Servicio de oxigenoterapia domiciliaria para personas beneficiarias de ley 21.375 ingresadas al Programa CPU APS. Convenio a ejecutar por 15 meses, a partir del 23 de octubre 2025 al 31 diciembre 2026."/>
    <x v="1"/>
    <x v="47"/>
    <n v="4"/>
    <n v="1"/>
    <x v="56"/>
    <x v="84"/>
    <x v="13"/>
    <x v="23"/>
    <x v="34"/>
    <x v="37"/>
    <s v="64-2565809-"/>
    <s v="maria.jaramillov@redsalud.gob.cl"/>
    <x v="7"/>
    <d v="2025-08-20T00:00:00"/>
    <n v="1"/>
    <s v="1057532-5742-SE25"/>
    <n v="1"/>
    <n v="849333"/>
    <d v="2026-07-01T00:00:00"/>
    <x v="0"/>
  </r>
  <r>
    <s v="SERVICIO DE SALUD OSORNO"/>
    <x v="0"/>
    <x v="50"/>
    <s v="Proyecto operacional"/>
    <s v="Publicado"/>
    <s v="22.04.003.001"/>
    <x v="51"/>
    <s v="Servicio de oxigenoterapia domiciliaria para personas beneficiarias de ley 21.375 ingresadas al Programa CPU APS. Convenio a ejecutar por 15 meses, a partir del 23 de octubre 2025 al 31 diciembre 2026."/>
    <x v="1"/>
    <x v="47"/>
    <n v="4"/>
    <n v="1"/>
    <x v="56"/>
    <x v="84"/>
    <x v="13"/>
    <x v="23"/>
    <x v="34"/>
    <x v="37"/>
    <s v="64-2565809-"/>
    <s v="maria.jaramillov@redsalud.gob.cl"/>
    <x v="7"/>
    <d v="2025-08-20T00:00:00"/>
    <n v="1"/>
    <s v="1057532-5742-SE25"/>
    <n v="1"/>
    <n v="849333"/>
    <d v="2026-10-01T00:00:00"/>
    <x v="0"/>
  </r>
  <r>
    <s v="SERVICIO DE SALUD OSORNO"/>
    <x v="0"/>
    <x v="50"/>
    <s v="Proyecto operacional"/>
    <s v="Publicado"/>
    <s v="22.04.003.001"/>
    <x v="51"/>
    <s v="Servicio de oxigenoterapia domiciliaria para personas beneficiarias de ley 21.375 ingresadas al Programa CPU APS. Convenio a ejecutar por 15 meses, a partir del 23 de octubre 2025 al 31 diciembre 2026."/>
    <x v="1"/>
    <x v="47"/>
    <n v="4"/>
    <n v="1"/>
    <x v="56"/>
    <x v="84"/>
    <x v="13"/>
    <x v="23"/>
    <x v="34"/>
    <x v="37"/>
    <s v="64-2565809-"/>
    <s v="maria.jaramillov@redsalud.gob.cl"/>
    <x v="7"/>
    <d v="2025-08-20T00:00:00"/>
    <n v="1"/>
    <s v="1057532-5742-SE25"/>
    <n v="1"/>
    <n v="849333"/>
    <d v="2026-09-01T00:00:00"/>
    <x v="0"/>
  </r>
  <r>
    <s v="SERVICIO DE SALUD OSORNO"/>
    <x v="0"/>
    <x v="50"/>
    <s v="Proyecto operacional"/>
    <s v="Publicado"/>
    <s v="22.04.003.001"/>
    <x v="51"/>
    <s v="Servicio de oxigenoterapia domiciliaria para personas beneficiarias de ley 21.375 ingresadas al Programa CPU APS. Convenio a ejecutar por 15 meses, a partir del 23 de octubre 2025 al 31 diciembre 2026."/>
    <x v="1"/>
    <x v="47"/>
    <n v="4"/>
    <n v="1"/>
    <x v="56"/>
    <x v="84"/>
    <x v="13"/>
    <x v="23"/>
    <x v="34"/>
    <x v="37"/>
    <s v="64-2565809-"/>
    <s v="maria.jaramillov@redsalud.gob.cl"/>
    <x v="7"/>
    <d v="2025-08-20T00:00:00"/>
    <n v="1"/>
    <s v="1057532-5742-SE25"/>
    <n v="1"/>
    <n v="849333"/>
    <d v="2026-01-01T00:00:00"/>
    <x v="0"/>
  </r>
  <r>
    <s v="SERVICIO DE SALUD OSORNO"/>
    <x v="0"/>
    <x v="50"/>
    <s v="Proyecto operacional"/>
    <s v="Publicado"/>
    <s v="22.04.003.001"/>
    <x v="51"/>
    <s v="Servicio de oxigenoterapia domiciliaria para personas beneficiarias de ley 21.375 ingresadas al Programa CPU APS. Convenio a ejecutar por 15 meses, a partir del 23 de octubre 2025 al 31 diciembre 2026."/>
    <x v="1"/>
    <x v="47"/>
    <n v="4"/>
    <n v="1"/>
    <x v="56"/>
    <x v="84"/>
    <x v="13"/>
    <x v="23"/>
    <x v="34"/>
    <x v="37"/>
    <s v="64-2565809-"/>
    <s v="maria.jaramillov@redsalud.gob.cl"/>
    <x v="7"/>
    <d v="2025-08-20T00:00:00"/>
    <n v="1"/>
    <s v="1057532-5742-SE25"/>
    <n v="1"/>
    <n v="849333"/>
    <d v="2026-11-01T00:00:00"/>
    <x v="0"/>
  </r>
  <r>
    <s v="SERVICIO DE SALUD OSORNO"/>
    <x v="0"/>
    <x v="50"/>
    <s v="Proyecto operacional"/>
    <s v="Publicado"/>
    <s v="22.04.003.001"/>
    <x v="51"/>
    <s v="Servicio de oxigenoterapia domiciliaria para personas beneficiarias de ley 21.375 ingresadas al Programa CPU APS. Convenio a ejecutar por 15 meses, a partir del 23 de octubre 2025 al 31 diciembre 2026."/>
    <x v="1"/>
    <x v="47"/>
    <n v="4"/>
    <n v="1"/>
    <x v="56"/>
    <x v="85"/>
    <x v="13"/>
    <x v="23"/>
    <x v="34"/>
    <x v="37"/>
    <s v="64-2565809-"/>
    <s v="maria.jaramillov@redsalud.gob.cl"/>
    <x v="7"/>
    <d v="2025-08-20T00:00:00"/>
    <n v="1"/>
    <s v="1057532-5742-SE25"/>
    <n v="1"/>
    <n v="849338"/>
    <d v="2026-12-01T00:00:00"/>
    <x v="0"/>
  </r>
  <r>
    <s v="SERVICIO DE SALUD OSORNO"/>
    <x v="0"/>
    <x v="51"/>
    <s v="Proyecto operacional"/>
    <s v="Publicado"/>
    <s v="22.03.003"/>
    <x v="52"/>
    <s v="Adquisición Combustible calefacción para dispositivos del Servicio de Salud Osorno , desde mes Enero a Diciembre año 2026"/>
    <x v="1"/>
    <x v="48"/>
    <n v="4"/>
    <n v="1"/>
    <x v="57"/>
    <x v="86"/>
    <x v="11"/>
    <x v="20"/>
    <x v="35"/>
    <x v="38"/>
    <s v="64-2565660-"/>
    <s v="pablo.oyarzo@redsalud.gob.cl"/>
    <x v="7"/>
    <d v="2025-08-20T00:00:00"/>
    <n v="0"/>
    <m/>
    <n v="1"/>
    <n v="3333333"/>
    <d v="2026-02-01T00:00:00"/>
    <x v="0"/>
  </r>
  <r>
    <s v="SERVICIO DE SALUD OSORNO"/>
    <x v="0"/>
    <x v="51"/>
    <s v="Proyecto operacional"/>
    <s v="Publicado"/>
    <s v="22.03.003"/>
    <x v="52"/>
    <s v="Adquisición Combustible calefacción para dispositivos del Servicio de Salud Osorno , desde mes Enero a Diciembre año 2026"/>
    <x v="1"/>
    <x v="48"/>
    <n v="4"/>
    <n v="1"/>
    <x v="57"/>
    <x v="87"/>
    <x v="11"/>
    <x v="20"/>
    <x v="35"/>
    <x v="38"/>
    <s v="64-2565660-"/>
    <s v="pablo.oyarzo@redsalud.gob.cl"/>
    <x v="7"/>
    <d v="2025-08-20T00:00:00"/>
    <n v="0"/>
    <m/>
    <n v="1"/>
    <n v="3333337"/>
    <d v="2026-12-01T00:00:00"/>
    <x v="0"/>
  </r>
  <r>
    <s v="SERVICIO DE SALUD OSORNO"/>
    <x v="0"/>
    <x v="51"/>
    <s v="Proyecto operacional"/>
    <s v="Publicado"/>
    <s v="22.03.003"/>
    <x v="52"/>
    <s v="Adquisición Combustible calefacción para dispositivos del Servicio de Salud Osorno , desde mes Enero a Diciembre año 2026"/>
    <x v="1"/>
    <x v="48"/>
    <n v="4"/>
    <n v="1"/>
    <x v="57"/>
    <x v="86"/>
    <x v="11"/>
    <x v="20"/>
    <x v="35"/>
    <x v="38"/>
    <s v="64-2565660-"/>
    <s v="pablo.oyarzo@redsalud.gob.cl"/>
    <x v="7"/>
    <d v="2025-08-20T00:00:00"/>
    <n v="0"/>
    <m/>
    <n v="1"/>
    <n v="3333333"/>
    <d v="2026-05-01T00:00:00"/>
    <x v="0"/>
  </r>
  <r>
    <s v="SERVICIO DE SALUD OSORNO"/>
    <x v="0"/>
    <x v="51"/>
    <s v="Proyecto operacional"/>
    <s v="Publicado"/>
    <s v="22.03.003"/>
    <x v="52"/>
    <s v="Adquisición Combustible calefacción para dispositivos del Servicio de Salud Osorno , desde mes Enero a Diciembre año 2026"/>
    <x v="1"/>
    <x v="48"/>
    <n v="4"/>
    <n v="1"/>
    <x v="57"/>
    <x v="86"/>
    <x v="11"/>
    <x v="20"/>
    <x v="35"/>
    <x v="38"/>
    <s v="64-2565660-"/>
    <s v="pablo.oyarzo@redsalud.gob.cl"/>
    <x v="7"/>
    <d v="2025-08-20T00:00:00"/>
    <n v="0"/>
    <m/>
    <n v="1"/>
    <n v="3333333"/>
    <d v="2026-04-01T00:00:00"/>
    <x v="0"/>
  </r>
  <r>
    <s v="SERVICIO DE SALUD OSORNO"/>
    <x v="0"/>
    <x v="51"/>
    <s v="Proyecto operacional"/>
    <s v="Publicado"/>
    <s v="22.03.003"/>
    <x v="52"/>
    <s v="Adquisición Combustible calefacción para dispositivos del Servicio de Salud Osorno , desde mes Enero a Diciembre año 2026"/>
    <x v="1"/>
    <x v="48"/>
    <n v="4"/>
    <n v="1"/>
    <x v="57"/>
    <x v="86"/>
    <x v="11"/>
    <x v="20"/>
    <x v="35"/>
    <x v="38"/>
    <s v="64-2565660-"/>
    <s v="pablo.oyarzo@redsalud.gob.cl"/>
    <x v="7"/>
    <d v="2025-08-20T00:00:00"/>
    <n v="0"/>
    <m/>
    <n v="1"/>
    <n v="3333333"/>
    <d v="2026-11-01T00:00:00"/>
    <x v="0"/>
  </r>
  <r>
    <s v="SERVICIO DE SALUD OSORNO"/>
    <x v="0"/>
    <x v="51"/>
    <s v="Proyecto operacional"/>
    <s v="Publicado"/>
    <s v="22.03.003"/>
    <x v="52"/>
    <s v="Adquisición Combustible calefacción para dispositivos del Servicio de Salud Osorno , desde mes Enero a Diciembre año 2026"/>
    <x v="1"/>
    <x v="48"/>
    <n v="4"/>
    <n v="1"/>
    <x v="57"/>
    <x v="86"/>
    <x v="11"/>
    <x v="20"/>
    <x v="35"/>
    <x v="38"/>
    <s v="64-2565660-"/>
    <s v="pablo.oyarzo@redsalud.gob.cl"/>
    <x v="7"/>
    <d v="2025-08-20T00:00:00"/>
    <n v="0"/>
    <m/>
    <n v="1"/>
    <n v="3333333"/>
    <d v="2026-01-01T00:00:00"/>
    <x v="0"/>
  </r>
  <r>
    <s v="SERVICIO DE SALUD OSORNO"/>
    <x v="0"/>
    <x v="51"/>
    <s v="Proyecto operacional"/>
    <s v="Publicado"/>
    <s v="22.03.003"/>
    <x v="52"/>
    <s v="Adquisición Combustible calefacción para dispositivos del Servicio de Salud Osorno , desde mes Enero a Diciembre año 2026"/>
    <x v="1"/>
    <x v="48"/>
    <n v="4"/>
    <n v="1"/>
    <x v="57"/>
    <x v="86"/>
    <x v="11"/>
    <x v="20"/>
    <x v="35"/>
    <x v="38"/>
    <s v="64-2565660-"/>
    <s v="pablo.oyarzo@redsalud.gob.cl"/>
    <x v="7"/>
    <d v="2025-08-20T00:00:00"/>
    <n v="0"/>
    <m/>
    <n v="1"/>
    <n v="3333333"/>
    <d v="2026-07-01T00:00:00"/>
    <x v="0"/>
  </r>
  <r>
    <s v="SERVICIO DE SALUD OSORNO"/>
    <x v="0"/>
    <x v="51"/>
    <s v="Proyecto operacional"/>
    <s v="Publicado"/>
    <s v="22.03.003"/>
    <x v="52"/>
    <s v="Adquisición Combustible calefacción para dispositivos del Servicio de Salud Osorno , desde mes Enero a Diciembre año 2026"/>
    <x v="1"/>
    <x v="48"/>
    <n v="4"/>
    <n v="1"/>
    <x v="57"/>
    <x v="86"/>
    <x v="11"/>
    <x v="20"/>
    <x v="35"/>
    <x v="38"/>
    <s v="64-2565660-"/>
    <s v="pablo.oyarzo@redsalud.gob.cl"/>
    <x v="7"/>
    <d v="2025-08-20T00:00:00"/>
    <n v="0"/>
    <m/>
    <n v="1"/>
    <n v="3333333"/>
    <d v="2026-06-01T00:00:00"/>
    <x v="0"/>
  </r>
  <r>
    <s v="SERVICIO DE SALUD OSORNO"/>
    <x v="0"/>
    <x v="51"/>
    <s v="Proyecto operacional"/>
    <s v="Publicado"/>
    <s v="22.03.003"/>
    <x v="52"/>
    <s v="Adquisición Combustible calefacción para dispositivos del Servicio de Salud Osorno , desde mes Enero a Diciembre año 2026"/>
    <x v="1"/>
    <x v="48"/>
    <n v="4"/>
    <n v="1"/>
    <x v="57"/>
    <x v="86"/>
    <x v="11"/>
    <x v="20"/>
    <x v="35"/>
    <x v="38"/>
    <s v="64-2565660-"/>
    <s v="pablo.oyarzo@redsalud.gob.cl"/>
    <x v="7"/>
    <d v="2025-08-20T00:00:00"/>
    <n v="0"/>
    <m/>
    <n v="1"/>
    <n v="3333333"/>
    <d v="2026-08-01T00:00:00"/>
    <x v="0"/>
  </r>
  <r>
    <s v="SERVICIO DE SALUD OSORNO"/>
    <x v="0"/>
    <x v="51"/>
    <s v="Proyecto operacional"/>
    <s v="Publicado"/>
    <s v="22.03.003"/>
    <x v="52"/>
    <s v="Adquisición Combustible calefacción para dispositivos del Servicio de Salud Osorno , desde mes Enero a Diciembre año 2026"/>
    <x v="1"/>
    <x v="48"/>
    <n v="4"/>
    <n v="1"/>
    <x v="57"/>
    <x v="86"/>
    <x v="11"/>
    <x v="20"/>
    <x v="35"/>
    <x v="38"/>
    <s v="64-2565660-"/>
    <s v="pablo.oyarzo@redsalud.gob.cl"/>
    <x v="7"/>
    <d v="2025-08-20T00:00:00"/>
    <n v="0"/>
    <m/>
    <n v="1"/>
    <n v="3333333"/>
    <d v="2026-03-01T00:00:00"/>
    <x v="0"/>
  </r>
  <r>
    <s v="SERVICIO DE SALUD OSORNO"/>
    <x v="0"/>
    <x v="51"/>
    <s v="Proyecto operacional"/>
    <s v="Publicado"/>
    <s v="22.03.003"/>
    <x v="52"/>
    <s v="Adquisición Combustible calefacción para dispositivos del Servicio de Salud Osorno , desde mes Enero a Diciembre año 2026"/>
    <x v="1"/>
    <x v="48"/>
    <n v="4"/>
    <n v="1"/>
    <x v="57"/>
    <x v="86"/>
    <x v="11"/>
    <x v="20"/>
    <x v="35"/>
    <x v="38"/>
    <s v="64-2565660-"/>
    <s v="pablo.oyarzo@redsalud.gob.cl"/>
    <x v="7"/>
    <d v="2025-08-20T00:00:00"/>
    <n v="0"/>
    <m/>
    <n v="1"/>
    <n v="3333333"/>
    <d v="2026-09-01T00:00:00"/>
    <x v="0"/>
  </r>
  <r>
    <s v="SERVICIO DE SALUD OSORNO"/>
    <x v="0"/>
    <x v="51"/>
    <s v="Proyecto operacional"/>
    <s v="Publicado"/>
    <s v="22.03.003"/>
    <x v="52"/>
    <s v="Adquisición Combustible calefacción para dispositivos del Servicio de Salud Osorno , desde mes Enero a Diciembre año 2026"/>
    <x v="1"/>
    <x v="48"/>
    <n v="4"/>
    <n v="1"/>
    <x v="57"/>
    <x v="86"/>
    <x v="11"/>
    <x v="20"/>
    <x v="35"/>
    <x v="38"/>
    <s v="64-2565660-"/>
    <s v="pablo.oyarzo@redsalud.gob.cl"/>
    <x v="7"/>
    <d v="2025-08-20T00:00:00"/>
    <n v="0"/>
    <m/>
    <n v="1"/>
    <n v="3333333"/>
    <d v="2026-10-01T00:00:00"/>
    <x v="0"/>
  </r>
  <r>
    <s v="SERVICIO DE SALUD OSORNO"/>
    <x v="0"/>
    <x v="52"/>
    <s v="Proyecto operacional"/>
    <s v="Publicado"/>
    <s v="22.04.007.002"/>
    <x v="53"/>
    <s v="CONVENIO DE ENERO A DICIEMBRE DEL AÑO 2026 ( Formulario enviado)"/>
    <x v="1"/>
    <x v="44"/>
    <n v="4"/>
    <n v="1"/>
    <x v="36"/>
    <x v="66"/>
    <x v="11"/>
    <x v="20"/>
    <x v="35"/>
    <x v="38"/>
    <s v="64-2565660-"/>
    <s v="pablo.oyarzo@redsalud.gob.cl"/>
    <x v="7"/>
    <d v="2025-08-20T00:00:00"/>
    <n v="0"/>
    <m/>
    <n v="1"/>
    <n v="6666666"/>
    <d v="2026-01-01T00:00:00"/>
    <x v="0"/>
  </r>
  <r>
    <s v="SERVICIO DE SALUD OSORNO"/>
    <x v="0"/>
    <x v="52"/>
    <s v="Proyecto operacional"/>
    <s v="Publicado"/>
    <s v="22.04.007.002"/>
    <x v="53"/>
    <s v="CONVENIO DE ENERO A DICIEMBRE DEL AÑO 2026 ( Formulario enviado)"/>
    <x v="1"/>
    <x v="44"/>
    <n v="4"/>
    <n v="1"/>
    <x v="36"/>
    <x v="88"/>
    <x v="11"/>
    <x v="20"/>
    <x v="35"/>
    <x v="38"/>
    <s v="64-2565660-"/>
    <s v="pablo.oyarzo@redsalud.gob.cl"/>
    <x v="7"/>
    <d v="2025-08-20T00:00:00"/>
    <n v="0"/>
    <m/>
    <n v="1"/>
    <n v="6666674"/>
    <d v="2026-12-01T00:00:00"/>
    <x v="0"/>
  </r>
  <r>
    <s v="SERVICIO DE SALUD OSORNO"/>
    <x v="0"/>
    <x v="52"/>
    <s v="Proyecto operacional"/>
    <s v="Publicado"/>
    <s v="22.04.007.002"/>
    <x v="53"/>
    <s v="CONVENIO DE ENERO A DICIEMBRE DEL AÑO 2026 ( Formulario enviado)"/>
    <x v="1"/>
    <x v="44"/>
    <n v="4"/>
    <n v="1"/>
    <x v="36"/>
    <x v="66"/>
    <x v="11"/>
    <x v="20"/>
    <x v="35"/>
    <x v="38"/>
    <s v="64-2565660-"/>
    <s v="pablo.oyarzo@redsalud.gob.cl"/>
    <x v="7"/>
    <d v="2025-08-20T00:00:00"/>
    <n v="0"/>
    <m/>
    <n v="1"/>
    <n v="6666666"/>
    <d v="2026-05-01T00:00:00"/>
    <x v="0"/>
  </r>
  <r>
    <s v="SERVICIO DE SALUD OSORNO"/>
    <x v="0"/>
    <x v="52"/>
    <s v="Proyecto operacional"/>
    <s v="Publicado"/>
    <s v="22.04.007.002"/>
    <x v="53"/>
    <s v="CONVENIO DE ENERO A DICIEMBRE DEL AÑO 2026 ( Formulario enviado)"/>
    <x v="1"/>
    <x v="44"/>
    <n v="4"/>
    <n v="1"/>
    <x v="36"/>
    <x v="66"/>
    <x v="11"/>
    <x v="20"/>
    <x v="35"/>
    <x v="38"/>
    <s v="64-2565660-"/>
    <s v="pablo.oyarzo@redsalud.gob.cl"/>
    <x v="7"/>
    <d v="2025-08-20T00:00:00"/>
    <n v="0"/>
    <m/>
    <n v="1"/>
    <n v="6666666"/>
    <d v="2026-03-01T00:00:00"/>
    <x v="0"/>
  </r>
  <r>
    <s v="SERVICIO DE SALUD OSORNO"/>
    <x v="0"/>
    <x v="52"/>
    <s v="Proyecto operacional"/>
    <s v="Publicado"/>
    <s v="22.04.007.002"/>
    <x v="53"/>
    <s v="CONVENIO DE ENERO A DICIEMBRE DEL AÑO 2026 ( Formulario enviado)"/>
    <x v="1"/>
    <x v="44"/>
    <n v="4"/>
    <n v="1"/>
    <x v="36"/>
    <x v="66"/>
    <x v="11"/>
    <x v="20"/>
    <x v="35"/>
    <x v="38"/>
    <s v="64-2565660-"/>
    <s v="pablo.oyarzo@redsalud.gob.cl"/>
    <x v="7"/>
    <d v="2025-08-20T00:00:00"/>
    <n v="0"/>
    <m/>
    <n v="1"/>
    <n v="6666666"/>
    <d v="2026-08-01T00:00:00"/>
    <x v="0"/>
  </r>
  <r>
    <s v="SERVICIO DE SALUD OSORNO"/>
    <x v="0"/>
    <x v="52"/>
    <s v="Proyecto operacional"/>
    <s v="Publicado"/>
    <s v="22.04.007.002"/>
    <x v="53"/>
    <s v="CONVENIO DE ENERO A DICIEMBRE DEL AÑO 2026 ( Formulario enviado)"/>
    <x v="1"/>
    <x v="44"/>
    <n v="4"/>
    <n v="1"/>
    <x v="36"/>
    <x v="66"/>
    <x v="11"/>
    <x v="20"/>
    <x v="35"/>
    <x v="38"/>
    <s v="64-2565660-"/>
    <s v="pablo.oyarzo@redsalud.gob.cl"/>
    <x v="7"/>
    <d v="2025-08-20T00:00:00"/>
    <n v="0"/>
    <m/>
    <n v="1"/>
    <n v="6666666"/>
    <d v="2026-02-01T00:00:00"/>
    <x v="0"/>
  </r>
  <r>
    <s v="SERVICIO DE SALUD OSORNO"/>
    <x v="0"/>
    <x v="52"/>
    <s v="Proyecto operacional"/>
    <s v="Publicado"/>
    <s v="22.04.007.002"/>
    <x v="53"/>
    <s v="CONVENIO DE ENERO A DICIEMBRE DEL AÑO 2026 ( Formulario enviado)"/>
    <x v="1"/>
    <x v="44"/>
    <n v="4"/>
    <n v="1"/>
    <x v="36"/>
    <x v="66"/>
    <x v="11"/>
    <x v="20"/>
    <x v="35"/>
    <x v="38"/>
    <s v="64-2565660-"/>
    <s v="pablo.oyarzo@redsalud.gob.cl"/>
    <x v="7"/>
    <d v="2025-08-20T00:00:00"/>
    <n v="0"/>
    <m/>
    <n v="1"/>
    <n v="6666666"/>
    <d v="2026-11-01T00:00:00"/>
    <x v="0"/>
  </r>
  <r>
    <s v="SERVICIO DE SALUD OSORNO"/>
    <x v="0"/>
    <x v="52"/>
    <s v="Proyecto operacional"/>
    <s v="Publicado"/>
    <s v="22.04.007.002"/>
    <x v="53"/>
    <s v="CONVENIO DE ENERO A DICIEMBRE DEL AÑO 2026 ( Formulario enviado)"/>
    <x v="1"/>
    <x v="44"/>
    <n v="4"/>
    <n v="1"/>
    <x v="36"/>
    <x v="66"/>
    <x v="11"/>
    <x v="20"/>
    <x v="35"/>
    <x v="38"/>
    <s v="64-2565660-"/>
    <s v="pablo.oyarzo@redsalud.gob.cl"/>
    <x v="7"/>
    <d v="2025-08-20T00:00:00"/>
    <n v="0"/>
    <m/>
    <n v="1"/>
    <n v="6666666"/>
    <d v="2026-06-01T00:00:00"/>
    <x v="0"/>
  </r>
  <r>
    <s v="SERVICIO DE SALUD OSORNO"/>
    <x v="0"/>
    <x v="52"/>
    <s v="Proyecto operacional"/>
    <s v="Publicado"/>
    <s v="22.04.007.002"/>
    <x v="53"/>
    <s v="CONVENIO DE ENERO A DICIEMBRE DEL AÑO 2026 ( Formulario enviado)"/>
    <x v="1"/>
    <x v="44"/>
    <n v="4"/>
    <n v="1"/>
    <x v="36"/>
    <x v="66"/>
    <x v="11"/>
    <x v="20"/>
    <x v="35"/>
    <x v="38"/>
    <s v="64-2565660-"/>
    <s v="pablo.oyarzo@redsalud.gob.cl"/>
    <x v="7"/>
    <d v="2025-08-20T00:00:00"/>
    <n v="0"/>
    <m/>
    <n v="1"/>
    <n v="6666666"/>
    <d v="2026-04-01T00:00:00"/>
    <x v="0"/>
  </r>
  <r>
    <s v="SERVICIO DE SALUD OSORNO"/>
    <x v="0"/>
    <x v="52"/>
    <s v="Proyecto operacional"/>
    <s v="Publicado"/>
    <s v="22.04.007.002"/>
    <x v="53"/>
    <s v="CONVENIO DE ENERO A DICIEMBRE DEL AÑO 2026 ( Formulario enviado)"/>
    <x v="1"/>
    <x v="44"/>
    <n v="4"/>
    <n v="1"/>
    <x v="36"/>
    <x v="66"/>
    <x v="11"/>
    <x v="20"/>
    <x v="35"/>
    <x v="38"/>
    <s v="64-2565660-"/>
    <s v="pablo.oyarzo@redsalud.gob.cl"/>
    <x v="7"/>
    <d v="2025-08-20T00:00:00"/>
    <n v="0"/>
    <m/>
    <n v="1"/>
    <n v="6666666"/>
    <d v="2026-07-01T00:00:00"/>
    <x v="0"/>
  </r>
  <r>
    <s v="SERVICIO DE SALUD OSORNO"/>
    <x v="0"/>
    <x v="52"/>
    <s v="Proyecto operacional"/>
    <s v="Publicado"/>
    <s v="22.04.007.002"/>
    <x v="53"/>
    <s v="CONVENIO DE ENERO A DICIEMBRE DEL AÑO 2026 ( Formulario enviado)"/>
    <x v="1"/>
    <x v="44"/>
    <n v="4"/>
    <n v="1"/>
    <x v="36"/>
    <x v="66"/>
    <x v="11"/>
    <x v="20"/>
    <x v="35"/>
    <x v="38"/>
    <s v="64-2565660-"/>
    <s v="pablo.oyarzo@redsalud.gob.cl"/>
    <x v="7"/>
    <d v="2025-08-20T00:00:00"/>
    <n v="0"/>
    <m/>
    <n v="1"/>
    <n v="6666666"/>
    <d v="2026-10-01T00:00:00"/>
    <x v="0"/>
  </r>
  <r>
    <s v="SERVICIO DE SALUD OSORNO"/>
    <x v="0"/>
    <x v="52"/>
    <s v="Proyecto operacional"/>
    <s v="Publicado"/>
    <s v="22.04.007.002"/>
    <x v="53"/>
    <s v="CONVENIO DE ENERO A DICIEMBRE DEL AÑO 2026 ( Formulario enviado)"/>
    <x v="1"/>
    <x v="44"/>
    <n v="4"/>
    <n v="1"/>
    <x v="36"/>
    <x v="66"/>
    <x v="11"/>
    <x v="20"/>
    <x v="35"/>
    <x v="38"/>
    <s v="64-2565660-"/>
    <s v="pablo.oyarzo@redsalud.gob.cl"/>
    <x v="7"/>
    <d v="2025-08-20T00:00:00"/>
    <n v="0"/>
    <m/>
    <n v="1"/>
    <n v="6666666"/>
    <d v="2026-09-01T00:00:00"/>
    <x v="0"/>
  </r>
  <r>
    <s v="SERVICIO DE SALUD OSORNO"/>
    <x v="0"/>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x v="1"/>
    <x v="49"/>
    <n v="4"/>
    <n v="40"/>
    <x v="58"/>
    <x v="86"/>
    <x v="1"/>
    <x v="14"/>
    <x v="1"/>
    <x v="39"/>
    <s v="64-2565654-"/>
    <s v="felipe.salvob@redsalud.gob.cl"/>
    <x v="7"/>
    <d v="2025-08-20T00:00:00"/>
    <n v="0"/>
    <m/>
    <n v="1"/>
    <n v="3333333"/>
    <d v="2026-03-01T00:00:00"/>
    <x v="0"/>
  </r>
  <r>
    <s v="SERVICIO DE SALUD OSORNO"/>
    <x v="0"/>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x v="1"/>
    <x v="49"/>
    <n v="4"/>
    <n v="40"/>
    <x v="58"/>
    <x v="86"/>
    <x v="1"/>
    <x v="14"/>
    <x v="1"/>
    <x v="39"/>
    <s v="64-2565654-"/>
    <s v="felipe.salvob@redsalud.gob.cl"/>
    <x v="7"/>
    <d v="2025-08-20T00:00:00"/>
    <n v="0"/>
    <m/>
    <n v="1"/>
    <n v="3333333"/>
    <d v="2026-01-01T00:00:00"/>
    <x v="0"/>
  </r>
  <r>
    <s v="SERVICIO DE SALUD OSORNO"/>
    <x v="0"/>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x v="1"/>
    <x v="49"/>
    <n v="4"/>
    <n v="40"/>
    <x v="58"/>
    <x v="86"/>
    <x v="1"/>
    <x v="14"/>
    <x v="1"/>
    <x v="39"/>
    <s v="64-2565654-"/>
    <s v="felipe.salvob@redsalud.gob.cl"/>
    <x v="7"/>
    <d v="2025-08-20T00:00:00"/>
    <n v="0"/>
    <m/>
    <n v="1"/>
    <n v="3333333"/>
    <d v="2026-06-01T00:00:00"/>
    <x v="0"/>
  </r>
  <r>
    <s v="SERVICIO DE SALUD OSORNO"/>
    <x v="0"/>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x v="1"/>
    <x v="49"/>
    <n v="4"/>
    <n v="40"/>
    <x v="58"/>
    <x v="86"/>
    <x v="1"/>
    <x v="14"/>
    <x v="1"/>
    <x v="39"/>
    <s v="64-2565654-"/>
    <s v="felipe.salvob@redsalud.gob.cl"/>
    <x v="7"/>
    <d v="2025-08-20T00:00:00"/>
    <n v="0"/>
    <m/>
    <n v="1"/>
    <n v="3333333"/>
    <d v="2026-05-01T00:00:00"/>
    <x v="0"/>
  </r>
  <r>
    <s v="SERVICIO DE SALUD OSORNO"/>
    <x v="0"/>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x v="1"/>
    <x v="49"/>
    <n v="4"/>
    <n v="40"/>
    <x v="58"/>
    <x v="86"/>
    <x v="1"/>
    <x v="14"/>
    <x v="1"/>
    <x v="39"/>
    <s v="64-2565654-"/>
    <s v="felipe.salvob@redsalud.gob.cl"/>
    <x v="7"/>
    <d v="2025-08-20T00:00:00"/>
    <n v="0"/>
    <m/>
    <n v="1"/>
    <n v="3333333"/>
    <d v="2026-12-01T00:00:00"/>
    <x v="0"/>
  </r>
  <r>
    <s v="SERVICIO DE SALUD OSORNO"/>
    <x v="0"/>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x v="1"/>
    <x v="49"/>
    <n v="4"/>
    <n v="40"/>
    <x v="58"/>
    <x v="86"/>
    <x v="1"/>
    <x v="14"/>
    <x v="1"/>
    <x v="39"/>
    <s v="64-2565654-"/>
    <s v="felipe.salvob@redsalud.gob.cl"/>
    <x v="7"/>
    <d v="2025-08-20T00:00:00"/>
    <n v="0"/>
    <m/>
    <n v="1"/>
    <n v="3333333"/>
    <d v="2026-02-01T00:00:00"/>
    <x v="0"/>
  </r>
  <r>
    <s v="SERVICIO DE SALUD OSORNO"/>
    <x v="0"/>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x v="1"/>
    <x v="49"/>
    <n v="4"/>
    <n v="40"/>
    <x v="58"/>
    <x v="86"/>
    <x v="1"/>
    <x v="14"/>
    <x v="1"/>
    <x v="39"/>
    <s v="64-2565654-"/>
    <s v="felipe.salvob@redsalud.gob.cl"/>
    <x v="7"/>
    <d v="2025-08-20T00:00:00"/>
    <n v="0"/>
    <m/>
    <n v="1"/>
    <n v="3333333"/>
    <d v="2026-07-01T00:00:00"/>
    <x v="0"/>
  </r>
  <r>
    <s v="SERVICIO DE SALUD OSORNO"/>
    <x v="0"/>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x v="1"/>
    <x v="49"/>
    <n v="4"/>
    <n v="40"/>
    <x v="58"/>
    <x v="86"/>
    <x v="1"/>
    <x v="14"/>
    <x v="1"/>
    <x v="39"/>
    <s v="64-2565654-"/>
    <s v="felipe.salvob@redsalud.gob.cl"/>
    <x v="7"/>
    <d v="2025-08-20T00:00:00"/>
    <n v="0"/>
    <m/>
    <n v="1"/>
    <n v="3333333"/>
    <d v="2026-11-01T00:00:00"/>
    <x v="0"/>
  </r>
  <r>
    <s v="SERVICIO DE SALUD OSORNO"/>
    <x v="0"/>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x v="1"/>
    <x v="49"/>
    <n v="4"/>
    <n v="40"/>
    <x v="58"/>
    <x v="86"/>
    <x v="1"/>
    <x v="14"/>
    <x v="1"/>
    <x v="39"/>
    <s v="64-2565654-"/>
    <s v="felipe.salvob@redsalud.gob.cl"/>
    <x v="7"/>
    <d v="2025-08-20T00:00:00"/>
    <n v="0"/>
    <m/>
    <n v="1"/>
    <n v="3333333"/>
    <d v="2026-04-01T00:00:00"/>
    <x v="0"/>
  </r>
  <r>
    <s v="SERVICIO DE SALUD OSORNO"/>
    <x v="0"/>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x v="1"/>
    <x v="49"/>
    <n v="4"/>
    <n v="40"/>
    <x v="58"/>
    <x v="86"/>
    <x v="1"/>
    <x v="14"/>
    <x v="1"/>
    <x v="39"/>
    <s v="64-2565654-"/>
    <s v="felipe.salvob@redsalud.gob.cl"/>
    <x v="7"/>
    <d v="2025-08-20T00:00:00"/>
    <n v="0"/>
    <m/>
    <n v="1"/>
    <n v="3333333"/>
    <d v="2026-08-01T00:00:00"/>
    <x v="0"/>
  </r>
  <r>
    <s v="SERVICIO DE SALUD OSORNO"/>
    <x v="0"/>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x v="1"/>
    <x v="49"/>
    <n v="4"/>
    <n v="40"/>
    <x v="58"/>
    <x v="86"/>
    <x v="1"/>
    <x v="14"/>
    <x v="1"/>
    <x v="39"/>
    <s v="64-2565654-"/>
    <s v="felipe.salvob@redsalud.gob.cl"/>
    <x v="7"/>
    <d v="2025-08-20T00:00:00"/>
    <n v="0"/>
    <m/>
    <n v="1"/>
    <n v="3333333"/>
    <d v="2026-09-01T00:00:00"/>
    <x v="0"/>
  </r>
  <r>
    <s v="SERVICIO DE SALUD OSORNO"/>
    <x v="0"/>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x v="1"/>
    <x v="49"/>
    <n v="4"/>
    <n v="40"/>
    <x v="58"/>
    <x v="86"/>
    <x v="1"/>
    <x v="14"/>
    <x v="1"/>
    <x v="39"/>
    <s v="64-2565654-"/>
    <s v="felipe.salvob@redsalud.gob.cl"/>
    <x v="7"/>
    <d v="2025-08-20T00:00:00"/>
    <n v="0"/>
    <m/>
    <n v="1"/>
    <n v="3333333"/>
    <d v="2026-10-01T00:00:00"/>
    <x v="0"/>
  </r>
  <r>
    <s v="SERVICIO DE SALUD OSORNO"/>
    <x v="1"/>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x v="1"/>
    <x v="44"/>
    <n v="4"/>
    <n v="1"/>
    <x v="59"/>
    <x v="89"/>
    <x v="11"/>
    <x v="18"/>
    <x v="24"/>
    <x v="26"/>
    <s v="64-2565810-"/>
    <s v="consuelo.cordova@redsalud.gob.cl"/>
    <x v="7"/>
    <d v="2025-08-20T00:00:00"/>
    <n v="0"/>
    <m/>
    <n v="1"/>
    <n v="2800000"/>
    <d v="2026-07-01T00:00:00"/>
    <x v="0"/>
  </r>
  <r>
    <s v="SERVICIO DE SALUD OSORNO"/>
    <x v="1"/>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x v="1"/>
    <x v="44"/>
    <n v="4"/>
    <n v="1"/>
    <x v="59"/>
    <x v="89"/>
    <x v="11"/>
    <x v="18"/>
    <x v="24"/>
    <x v="26"/>
    <s v="64-2565810-"/>
    <s v="consuelo.cordova@redsalud.gob.cl"/>
    <x v="7"/>
    <d v="2025-08-20T00:00:00"/>
    <n v="0"/>
    <m/>
    <n v="1"/>
    <n v="2800000"/>
    <d v="2026-04-01T00:00:00"/>
    <x v="0"/>
  </r>
  <r>
    <s v="SERVICIO DE SALUD OSORNO"/>
    <x v="1"/>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x v="1"/>
    <x v="44"/>
    <n v="4"/>
    <n v="1"/>
    <x v="59"/>
    <x v="89"/>
    <x v="11"/>
    <x v="18"/>
    <x v="24"/>
    <x v="26"/>
    <s v="64-2565810-"/>
    <s v="consuelo.cordova@redsalud.gob.cl"/>
    <x v="7"/>
    <d v="2025-08-20T00:00:00"/>
    <n v="0"/>
    <m/>
    <n v="1"/>
    <n v="2800000"/>
    <d v="2026-02-01T00:00:00"/>
    <x v="0"/>
  </r>
  <r>
    <s v="SERVICIO DE SALUD OSORNO"/>
    <x v="1"/>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x v="1"/>
    <x v="44"/>
    <n v="4"/>
    <n v="1"/>
    <x v="59"/>
    <x v="89"/>
    <x v="11"/>
    <x v="18"/>
    <x v="24"/>
    <x v="26"/>
    <s v="64-2565810-"/>
    <s v="consuelo.cordova@redsalud.gob.cl"/>
    <x v="7"/>
    <d v="2025-08-20T00:00:00"/>
    <n v="0"/>
    <m/>
    <n v="1"/>
    <n v="2800000"/>
    <d v="2026-10-01T00:00:00"/>
    <x v="0"/>
  </r>
  <r>
    <s v="SERVICIO DE SALUD OSORNO"/>
    <x v="1"/>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x v="1"/>
    <x v="44"/>
    <n v="4"/>
    <n v="1"/>
    <x v="59"/>
    <x v="89"/>
    <x v="11"/>
    <x v="18"/>
    <x v="24"/>
    <x v="26"/>
    <s v="64-2565810-"/>
    <s v="consuelo.cordova@redsalud.gob.cl"/>
    <x v="7"/>
    <d v="2025-08-20T00:00:00"/>
    <n v="0"/>
    <m/>
    <n v="1"/>
    <n v="2800000"/>
    <d v="2026-03-01T00:00:00"/>
    <x v="0"/>
  </r>
  <r>
    <s v="SERVICIO DE SALUD OSORNO"/>
    <x v="1"/>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x v="1"/>
    <x v="44"/>
    <n v="4"/>
    <n v="1"/>
    <x v="59"/>
    <x v="89"/>
    <x v="11"/>
    <x v="18"/>
    <x v="24"/>
    <x v="26"/>
    <s v="64-2565810-"/>
    <s v="consuelo.cordova@redsalud.gob.cl"/>
    <x v="7"/>
    <d v="2025-08-20T00:00:00"/>
    <n v="0"/>
    <m/>
    <n v="1"/>
    <n v="2800000"/>
    <d v="2026-11-01T00:00:00"/>
    <x v="0"/>
  </r>
  <r>
    <s v="SERVICIO DE SALUD OSORNO"/>
    <x v="1"/>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x v="1"/>
    <x v="44"/>
    <n v="4"/>
    <n v="1"/>
    <x v="59"/>
    <x v="89"/>
    <x v="11"/>
    <x v="18"/>
    <x v="24"/>
    <x v="26"/>
    <s v="64-2565810-"/>
    <s v="consuelo.cordova@redsalud.gob.cl"/>
    <x v="7"/>
    <d v="2025-08-20T00:00:00"/>
    <n v="0"/>
    <m/>
    <n v="1"/>
    <n v="2800000"/>
    <d v="2026-12-01T00:00:00"/>
    <x v="0"/>
  </r>
  <r>
    <s v="SERVICIO DE SALUD OSORNO"/>
    <x v="1"/>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x v="1"/>
    <x v="44"/>
    <n v="4"/>
    <n v="1"/>
    <x v="59"/>
    <x v="89"/>
    <x v="11"/>
    <x v="18"/>
    <x v="24"/>
    <x v="26"/>
    <s v="64-2565810-"/>
    <s v="consuelo.cordova@redsalud.gob.cl"/>
    <x v="7"/>
    <d v="2025-08-20T00:00:00"/>
    <n v="0"/>
    <m/>
    <n v="1"/>
    <n v="2800000"/>
    <d v="2026-08-01T00:00:00"/>
    <x v="0"/>
  </r>
  <r>
    <s v="SERVICIO DE SALUD OSORNO"/>
    <x v="1"/>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x v="1"/>
    <x v="44"/>
    <n v="4"/>
    <n v="1"/>
    <x v="59"/>
    <x v="89"/>
    <x v="11"/>
    <x v="18"/>
    <x v="24"/>
    <x v="26"/>
    <s v="64-2565810-"/>
    <s v="consuelo.cordova@redsalud.gob.cl"/>
    <x v="7"/>
    <d v="2025-08-20T00:00:00"/>
    <n v="0"/>
    <m/>
    <n v="1"/>
    <n v="2800000"/>
    <d v="2026-06-01T00:00:00"/>
    <x v="0"/>
  </r>
  <r>
    <s v="SERVICIO DE SALUD OSORNO"/>
    <x v="1"/>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x v="1"/>
    <x v="44"/>
    <n v="4"/>
    <n v="1"/>
    <x v="59"/>
    <x v="89"/>
    <x v="11"/>
    <x v="18"/>
    <x v="24"/>
    <x v="26"/>
    <s v="64-2565810-"/>
    <s v="consuelo.cordova@redsalud.gob.cl"/>
    <x v="7"/>
    <d v="2025-08-20T00:00:00"/>
    <n v="0"/>
    <m/>
    <n v="1"/>
    <n v="2800000"/>
    <d v="2026-09-01T00:00:00"/>
    <x v="0"/>
  </r>
  <r>
    <s v="SERVICIO DE SALUD OSORNO"/>
    <x v="1"/>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x v="1"/>
    <x v="44"/>
    <n v="4"/>
    <n v="1"/>
    <x v="59"/>
    <x v="89"/>
    <x v="11"/>
    <x v="18"/>
    <x v="24"/>
    <x v="26"/>
    <s v="64-2565810-"/>
    <s v="consuelo.cordova@redsalud.gob.cl"/>
    <x v="7"/>
    <d v="2025-08-20T00:00:00"/>
    <n v="0"/>
    <m/>
    <n v="1"/>
    <n v="2800000"/>
    <d v="2026-05-01T00:00:00"/>
    <x v="0"/>
  </r>
  <r>
    <s v="SERVICIO DE SALUD OSORNO"/>
    <x v="0"/>
    <x v="55"/>
    <s v="Proyecto operacional"/>
    <s v="Publicado"/>
    <s v="22.06.002"/>
    <x v="56"/>
    <s v="Realizar mantenciones preventivas a todos los sistemas de las conversiones de las Ambulancias y vehículos con equipos especiales, como también realizar mantenciones correctivas y/o reparativas, según sea requerido."/>
    <x v="1"/>
    <x v="44"/>
    <n v="4"/>
    <n v="1"/>
    <x v="60"/>
    <x v="90"/>
    <x v="11"/>
    <x v="20"/>
    <x v="1"/>
    <x v="39"/>
    <s v="64-2565654-"/>
    <s v="felipe.salvob@redsalud.gob.cl"/>
    <x v="7"/>
    <d v="2025-08-20T00:00:00"/>
    <n v="0"/>
    <m/>
    <n v="1"/>
    <n v="8008333"/>
    <d v="2026-02-01T00:00:00"/>
    <x v="0"/>
  </r>
  <r>
    <s v="SERVICIO DE SALUD OSORNO"/>
    <x v="0"/>
    <x v="55"/>
    <s v="Proyecto operacional"/>
    <s v="Publicado"/>
    <s v="22.06.002"/>
    <x v="56"/>
    <s v="Realizar mantenciones preventivas a todos los sistemas de las conversiones de las Ambulancias y vehículos con equipos especiales, como también realizar mantenciones correctivas y/o reparativas, según sea requerido."/>
    <x v="1"/>
    <x v="44"/>
    <n v="4"/>
    <n v="1"/>
    <x v="60"/>
    <x v="90"/>
    <x v="11"/>
    <x v="20"/>
    <x v="1"/>
    <x v="39"/>
    <s v="64-2565654-"/>
    <s v="felipe.salvob@redsalud.gob.cl"/>
    <x v="7"/>
    <d v="2025-08-20T00:00:00"/>
    <n v="0"/>
    <m/>
    <n v="1"/>
    <n v="8008333"/>
    <d v="2026-06-01T00:00:00"/>
    <x v="0"/>
  </r>
  <r>
    <s v="SERVICIO DE SALUD OSORNO"/>
    <x v="0"/>
    <x v="55"/>
    <s v="Proyecto operacional"/>
    <s v="Publicado"/>
    <s v="22.06.002"/>
    <x v="56"/>
    <s v="Realizar mantenciones preventivas a todos los sistemas de las conversiones de las Ambulancias y vehículos con equipos especiales, como también realizar mantenciones correctivas y/o reparativas, según sea requerido."/>
    <x v="1"/>
    <x v="44"/>
    <n v="4"/>
    <n v="1"/>
    <x v="60"/>
    <x v="91"/>
    <x v="11"/>
    <x v="20"/>
    <x v="1"/>
    <x v="39"/>
    <s v="64-2565654-"/>
    <s v="felipe.salvob@redsalud.gob.cl"/>
    <x v="7"/>
    <d v="2025-08-20T00:00:00"/>
    <n v="0"/>
    <m/>
    <n v="1"/>
    <n v="8008337"/>
    <d v="2026-12-01T00:00:00"/>
    <x v="0"/>
  </r>
  <r>
    <s v="SERVICIO DE SALUD OSORNO"/>
    <x v="0"/>
    <x v="55"/>
    <s v="Proyecto operacional"/>
    <s v="Publicado"/>
    <s v="22.06.002"/>
    <x v="56"/>
    <s v="Realizar mantenciones preventivas a todos los sistemas de las conversiones de las Ambulancias y vehículos con equipos especiales, como también realizar mantenciones correctivas y/o reparativas, según sea requerido."/>
    <x v="1"/>
    <x v="44"/>
    <n v="4"/>
    <n v="1"/>
    <x v="60"/>
    <x v="90"/>
    <x v="11"/>
    <x v="20"/>
    <x v="1"/>
    <x v="39"/>
    <s v="64-2565654-"/>
    <s v="felipe.salvob@redsalud.gob.cl"/>
    <x v="7"/>
    <d v="2025-08-20T00:00:00"/>
    <n v="0"/>
    <m/>
    <n v="1"/>
    <n v="8008333"/>
    <d v="2026-03-01T00:00:00"/>
    <x v="0"/>
  </r>
  <r>
    <s v="SERVICIO DE SALUD OSORNO"/>
    <x v="0"/>
    <x v="55"/>
    <s v="Proyecto operacional"/>
    <s v="Publicado"/>
    <s v="22.06.002"/>
    <x v="56"/>
    <s v="Realizar mantenciones preventivas a todos los sistemas de las conversiones de las Ambulancias y vehículos con equipos especiales, como también realizar mantenciones correctivas y/o reparativas, según sea requerido."/>
    <x v="1"/>
    <x v="44"/>
    <n v="4"/>
    <n v="1"/>
    <x v="60"/>
    <x v="90"/>
    <x v="11"/>
    <x v="20"/>
    <x v="1"/>
    <x v="39"/>
    <s v="64-2565654-"/>
    <s v="felipe.salvob@redsalud.gob.cl"/>
    <x v="7"/>
    <d v="2025-08-20T00:00:00"/>
    <n v="0"/>
    <m/>
    <n v="1"/>
    <n v="8008333"/>
    <d v="2026-05-01T00:00:00"/>
    <x v="0"/>
  </r>
  <r>
    <s v="SERVICIO DE SALUD OSORNO"/>
    <x v="0"/>
    <x v="55"/>
    <s v="Proyecto operacional"/>
    <s v="Publicado"/>
    <s v="22.06.002"/>
    <x v="56"/>
    <s v="Realizar mantenciones preventivas a todos los sistemas de las conversiones de las Ambulancias y vehículos con equipos especiales, como también realizar mantenciones correctivas y/o reparativas, según sea requerido."/>
    <x v="1"/>
    <x v="44"/>
    <n v="4"/>
    <n v="1"/>
    <x v="60"/>
    <x v="90"/>
    <x v="11"/>
    <x v="20"/>
    <x v="1"/>
    <x v="39"/>
    <s v="64-2565654-"/>
    <s v="felipe.salvob@redsalud.gob.cl"/>
    <x v="7"/>
    <d v="2025-08-20T00:00:00"/>
    <n v="0"/>
    <m/>
    <n v="1"/>
    <n v="8008333"/>
    <d v="2026-07-01T00:00:00"/>
    <x v="0"/>
  </r>
  <r>
    <s v="SERVICIO DE SALUD OSORNO"/>
    <x v="0"/>
    <x v="55"/>
    <s v="Proyecto operacional"/>
    <s v="Publicado"/>
    <s v="22.06.002"/>
    <x v="56"/>
    <s v="Realizar mantenciones preventivas a todos los sistemas de las conversiones de las Ambulancias y vehículos con equipos especiales, como también realizar mantenciones correctivas y/o reparativas, según sea requerido."/>
    <x v="1"/>
    <x v="44"/>
    <n v="4"/>
    <n v="1"/>
    <x v="60"/>
    <x v="90"/>
    <x v="11"/>
    <x v="20"/>
    <x v="1"/>
    <x v="39"/>
    <s v="64-2565654-"/>
    <s v="felipe.salvob@redsalud.gob.cl"/>
    <x v="7"/>
    <d v="2025-08-20T00:00:00"/>
    <n v="0"/>
    <m/>
    <n v="1"/>
    <n v="8008333"/>
    <d v="2026-01-01T00:00:00"/>
    <x v="0"/>
  </r>
  <r>
    <s v="SERVICIO DE SALUD OSORNO"/>
    <x v="0"/>
    <x v="55"/>
    <s v="Proyecto operacional"/>
    <s v="Publicado"/>
    <s v="22.06.002"/>
    <x v="56"/>
    <s v="Realizar mantenciones preventivas a todos los sistemas de las conversiones de las Ambulancias y vehículos con equipos especiales, como también realizar mantenciones correctivas y/o reparativas, según sea requerido."/>
    <x v="1"/>
    <x v="44"/>
    <n v="4"/>
    <n v="1"/>
    <x v="60"/>
    <x v="90"/>
    <x v="11"/>
    <x v="20"/>
    <x v="1"/>
    <x v="39"/>
    <s v="64-2565654-"/>
    <s v="felipe.salvob@redsalud.gob.cl"/>
    <x v="7"/>
    <d v="2025-08-20T00:00:00"/>
    <n v="0"/>
    <m/>
    <n v="1"/>
    <n v="8008333"/>
    <d v="2026-08-01T00:00:00"/>
    <x v="0"/>
  </r>
  <r>
    <s v="SERVICIO DE SALUD OSORNO"/>
    <x v="0"/>
    <x v="55"/>
    <s v="Proyecto operacional"/>
    <s v="Publicado"/>
    <s v="22.06.002"/>
    <x v="56"/>
    <s v="Realizar mantenciones preventivas a todos los sistemas de las conversiones de las Ambulancias y vehículos con equipos especiales, como también realizar mantenciones correctivas y/o reparativas, según sea requerido."/>
    <x v="1"/>
    <x v="44"/>
    <n v="4"/>
    <n v="1"/>
    <x v="60"/>
    <x v="90"/>
    <x v="11"/>
    <x v="20"/>
    <x v="1"/>
    <x v="39"/>
    <s v="64-2565654-"/>
    <s v="felipe.salvob@redsalud.gob.cl"/>
    <x v="7"/>
    <d v="2025-08-20T00:00:00"/>
    <n v="0"/>
    <m/>
    <n v="1"/>
    <n v="8008333"/>
    <d v="2026-04-01T00:00:00"/>
    <x v="0"/>
  </r>
  <r>
    <s v="SERVICIO DE SALUD OSORNO"/>
    <x v="0"/>
    <x v="55"/>
    <s v="Proyecto operacional"/>
    <s v="Publicado"/>
    <s v="22.06.002"/>
    <x v="56"/>
    <s v="Realizar mantenciones preventivas a todos los sistemas de las conversiones de las Ambulancias y vehículos con equipos especiales, como también realizar mantenciones correctivas y/o reparativas, según sea requerido."/>
    <x v="1"/>
    <x v="44"/>
    <n v="4"/>
    <n v="1"/>
    <x v="60"/>
    <x v="90"/>
    <x v="11"/>
    <x v="20"/>
    <x v="1"/>
    <x v="39"/>
    <s v="64-2565654-"/>
    <s v="felipe.salvob@redsalud.gob.cl"/>
    <x v="7"/>
    <d v="2025-08-20T00:00:00"/>
    <n v="0"/>
    <m/>
    <n v="1"/>
    <n v="8008333"/>
    <d v="2026-10-01T00:00:00"/>
    <x v="0"/>
  </r>
  <r>
    <s v="SERVICIO DE SALUD OSORNO"/>
    <x v="0"/>
    <x v="55"/>
    <s v="Proyecto operacional"/>
    <s v="Publicado"/>
    <s v="22.06.002"/>
    <x v="56"/>
    <s v="Realizar mantenciones preventivas a todos los sistemas de las conversiones de las Ambulancias y vehículos con equipos especiales, como también realizar mantenciones correctivas y/o reparativas, según sea requerido."/>
    <x v="1"/>
    <x v="44"/>
    <n v="4"/>
    <n v="1"/>
    <x v="60"/>
    <x v="90"/>
    <x v="11"/>
    <x v="20"/>
    <x v="1"/>
    <x v="39"/>
    <s v="64-2565654-"/>
    <s v="felipe.salvob@redsalud.gob.cl"/>
    <x v="7"/>
    <d v="2025-08-20T00:00:00"/>
    <n v="0"/>
    <m/>
    <n v="1"/>
    <n v="8008333"/>
    <d v="2026-09-01T00:00:00"/>
    <x v="0"/>
  </r>
  <r>
    <s v="SERVICIO DE SALUD OSORNO"/>
    <x v="0"/>
    <x v="55"/>
    <s v="Proyecto operacional"/>
    <s v="Publicado"/>
    <s v="22.06.002"/>
    <x v="56"/>
    <s v="Realizar mantenciones preventivas a todos los sistemas de las conversiones de las Ambulancias y vehículos con equipos especiales, como también realizar mantenciones correctivas y/o reparativas, según sea requerido."/>
    <x v="1"/>
    <x v="44"/>
    <n v="4"/>
    <n v="1"/>
    <x v="60"/>
    <x v="90"/>
    <x v="11"/>
    <x v="20"/>
    <x v="1"/>
    <x v="39"/>
    <s v="64-2565654-"/>
    <s v="felipe.salvob@redsalud.gob.cl"/>
    <x v="7"/>
    <d v="2025-08-20T00:00:00"/>
    <n v="0"/>
    <m/>
    <n v="1"/>
    <n v="8008333"/>
    <d v="2026-11-01T00:00:00"/>
    <x v="0"/>
  </r>
  <r>
    <s v="SERVICIO DE SALUD OSORNO"/>
    <x v="0"/>
    <x v="56"/>
    <s v="Proyecto operacional"/>
    <s v="Publicado"/>
    <s v="22.06.002"/>
    <x v="57"/>
    <s v="Mantenciones 2026 Preventivas, correctivas y/o reparativas para vehículos motorizados mutimarcas de la Red Asistencial del Servicio de Salud Osorno. Enero2026 - Diciembre2026"/>
    <x v="1"/>
    <x v="46"/>
    <n v="4"/>
    <n v="1"/>
    <x v="61"/>
    <x v="92"/>
    <x v="1"/>
    <x v="14"/>
    <x v="5"/>
    <x v="40"/>
    <s v="64-2565654-"/>
    <s v="felipe.salvob@redsalud.gob.cl"/>
    <x v="7"/>
    <d v="2025-08-20T00:00:00"/>
    <n v="1"/>
    <s v="1057532-5558-SE25"/>
    <n v="1"/>
    <n v="8350000"/>
    <d v="2026-08-01T00:00:00"/>
    <x v="0"/>
  </r>
  <r>
    <s v="SERVICIO DE SALUD OSORNO"/>
    <x v="0"/>
    <x v="56"/>
    <s v="Proyecto operacional"/>
    <s v="Publicado"/>
    <s v="22.06.002"/>
    <x v="57"/>
    <s v="Mantenciones 2026 Preventivas, correctivas y/o reparativas para vehículos motorizados mutimarcas de la Red Asistencial del Servicio de Salud Osorno. Enero2026 - Diciembre2026"/>
    <x v="1"/>
    <x v="46"/>
    <n v="4"/>
    <n v="1"/>
    <x v="61"/>
    <x v="92"/>
    <x v="1"/>
    <x v="14"/>
    <x v="5"/>
    <x v="40"/>
    <s v="64-2565654-"/>
    <s v="felipe.salvob@redsalud.gob.cl"/>
    <x v="7"/>
    <d v="2025-08-20T00:00:00"/>
    <n v="1"/>
    <s v="1057532-5558-SE25"/>
    <n v="1"/>
    <n v="8350000"/>
    <d v="2026-06-01T00:00:00"/>
    <x v="0"/>
  </r>
  <r>
    <s v="SERVICIO DE SALUD OSORNO"/>
    <x v="0"/>
    <x v="56"/>
    <s v="Proyecto operacional"/>
    <s v="Publicado"/>
    <s v="22.06.002"/>
    <x v="57"/>
    <s v="Mantenciones 2026 Preventivas, correctivas y/o reparativas para vehículos motorizados mutimarcas de la Red Asistencial del Servicio de Salud Osorno. Enero2026 - Diciembre2026"/>
    <x v="1"/>
    <x v="46"/>
    <n v="4"/>
    <n v="1"/>
    <x v="61"/>
    <x v="92"/>
    <x v="1"/>
    <x v="14"/>
    <x v="5"/>
    <x v="40"/>
    <s v="64-2565654-"/>
    <s v="felipe.salvob@redsalud.gob.cl"/>
    <x v="7"/>
    <d v="2025-08-20T00:00:00"/>
    <n v="1"/>
    <s v="1057532-5558-SE25"/>
    <n v="1"/>
    <n v="8350000"/>
    <d v="2026-04-01T00:00:00"/>
    <x v="0"/>
  </r>
  <r>
    <s v="SERVICIO DE SALUD OSORNO"/>
    <x v="0"/>
    <x v="56"/>
    <s v="Proyecto operacional"/>
    <s v="Publicado"/>
    <s v="22.06.002"/>
    <x v="57"/>
    <s v="Mantenciones 2026 Preventivas, correctivas y/o reparativas para vehículos motorizados mutimarcas de la Red Asistencial del Servicio de Salud Osorno. Enero2026 - Diciembre2026"/>
    <x v="1"/>
    <x v="46"/>
    <n v="4"/>
    <n v="1"/>
    <x v="61"/>
    <x v="92"/>
    <x v="1"/>
    <x v="14"/>
    <x v="5"/>
    <x v="40"/>
    <s v="64-2565654-"/>
    <s v="felipe.salvob@redsalud.gob.cl"/>
    <x v="7"/>
    <d v="2025-08-20T00:00:00"/>
    <n v="1"/>
    <s v="1057532-5558-SE25"/>
    <n v="1"/>
    <n v="8350000"/>
    <d v="2026-01-01T00:00:00"/>
    <x v="0"/>
  </r>
  <r>
    <s v="SERVICIO DE SALUD OSORNO"/>
    <x v="0"/>
    <x v="56"/>
    <s v="Proyecto operacional"/>
    <s v="Publicado"/>
    <s v="22.06.002"/>
    <x v="57"/>
    <s v="Mantenciones 2026 Preventivas, correctivas y/o reparativas para vehículos motorizados mutimarcas de la Red Asistencial del Servicio de Salud Osorno. Enero2026 - Diciembre2026"/>
    <x v="1"/>
    <x v="46"/>
    <n v="4"/>
    <n v="1"/>
    <x v="61"/>
    <x v="92"/>
    <x v="1"/>
    <x v="14"/>
    <x v="5"/>
    <x v="40"/>
    <s v="64-2565654-"/>
    <s v="felipe.salvob@redsalud.gob.cl"/>
    <x v="7"/>
    <d v="2025-08-20T00:00:00"/>
    <n v="1"/>
    <s v="1057532-5558-SE25"/>
    <n v="1"/>
    <n v="8350000"/>
    <d v="2026-05-01T00:00:00"/>
    <x v="0"/>
  </r>
  <r>
    <s v="SERVICIO DE SALUD OSORNO"/>
    <x v="0"/>
    <x v="56"/>
    <s v="Proyecto operacional"/>
    <s v="Publicado"/>
    <s v="22.06.002"/>
    <x v="57"/>
    <s v="Mantenciones 2026 Preventivas, correctivas y/o reparativas para vehículos motorizados mutimarcas de la Red Asistencial del Servicio de Salud Osorno. Enero2026 - Diciembre2026"/>
    <x v="1"/>
    <x v="46"/>
    <n v="4"/>
    <n v="1"/>
    <x v="61"/>
    <x v="92"/>
    <x v="1"/>
    <x v="14"/>
    <x v="5"/>
    <x v="40"/>
    <s v="64-2565654-"/>
    <s v="felipe.salvob@redsalud.gob.cl"/>
    <x v="7"/>
    <d v="2025-08-20T00:00:00"/>
    <n v="1"/>
    <s v="1057532-5558-SE25"/>
    <n v="1"/>
    <n v="8350000"/>
    <d v="2026-10-01T00:00:00"/>
    <x v="0"/>
  </r>
  <r>
    <s v="SERVICIO DE SALUD OSORNO"/>
    <x v="0"/>
    <x v="56"/>
    <s v="Proyecto operacional"/>
    <s v="Publicado"/>
    <s v="22.06.002"/>
    <x v="57"/>
    <s v="Mantenciones 2026 Preventivas, correctivas y/o reparativas para vehículos motorizados mutimarcas de la Red Asistencial del Servicio de Salud Osorno. Enero2026 - Diciembre2026"/>
    <x v="1"/>
    <x v="46"/>
    <n v="4"/>
    <n v="1"/>
    <x v="61"/>
    <x v="92"/>
    <x v="1"/>
    <x v="14"/>
    <x v="5"/>
    <x v="40"/>
    <s v="64-2565654-"/>
    <s v="felipe.salvob@redsalud.gob.cl"/>
    <x v="7"/>
    <d v="2025-08-20T00:00:00"/>
    <n v="1"/>
    <s v="1057532-5558-SE25"/>
    <n v="1"/>
    <n v="8350000"/>
    <d v="2026-12-01T00:00:00"/>
    <x v="0"/>
  </r>
  <r>
    <s v="SERVICIO DE SALUD OSORNO"/>
    <x v="0"/>
    <x v="56"/>
    <s v="Proyecto operacional"/>
    <s v="Publicado"/>
    <s v="22.06.002"/>
    <x v="57"/>
    <s v="Mantenciones 2026 Preventivas, correctivas y/o reparativas para vehículos motorizados mutimarcas de la Red Asistencial del Servicio de Salud Osorno. Enero2026 - Diciembre2026"/>
    <x v="1"/>
    <x v="46"/>
    <n v="4"/>
    <n v="1"/>
    <x v="61"/>
    <x v="92"/>
    <x v="1"/>
    <x v="14"/>
    <x v="5"/>
    <x v="40"/>
    <s v="64-2565654-"/>
    <s v="felipe.salvob@redsalud.gob.cl"/>
    <x v="7"/>
    <d v="2025-08-20T00:00:00"/>
    <n v="1"/>
    <s v="1057532-5558-SE25"/>
    <n v="1"/>
    <n v="8350000"/>
    <d v="2026-07-01T00:00:00"/>
    <x v="0"/>
  </r>
  <r>
    <s v="SERVICIO DE SALUD OSORNO"/>
    <x v="0"/>
    <x v="56"/>
    <s v="Proyecto operacional"/>
    <s v="Publicado"/>
    <s v="22.06.002"/>
    <x v="57"/>
    <s v="Mantenciones 2026 Preventivas, correctivas y/o reparativas para vehículos motorizados mutimarcas de la Red Asistencial del Servicio de Salud Osorno. Enero2026 - Diciembre2026"/>
    <x v="1"/>
    <x v="46"/>
    <n v="4"/>
    <n v="1"/>
    <x v="61"/>
    <x v="92"/>
    <x v="1"/>
    <x v="14"/>
    <x v="5"/>
    <x v="40"/>
    <s v="64-2565654-"/>
    <s v="felipe.salvob@redsalud.gob.cl"/>
    <x v="7"/>
    <d v="2025-08-20T00:00:00"/>
    <n v="1"/>
    <s v="1057532-5558-SE25"/>
    <n v="1"/>
    <n v="8350000"/>
    <d v="2026-02-01T00:00:00"/>
    <x v="0"/>
  </r>
  <r>
    <s v="SERVICIO DE SALUD OSORNO"/>
    <x v="0"/>
    <x v="56"/>
    <s v="Proyecto operacional"/>
    <s v="Publicado"/>
    <s v="22.06.002"/>
    <x v="57"/>
    <s v="Mantenciones 2026 Preventivas, correctivas y/o reparativas para vehículos motorizados mutimarcas de la Red Asistencial del Servicio de Salud Osorno. Enero2026 - Diciembre2026"/>
    <x v="1"/>
    <x v="46"/>
    <n v="4"/>
    <n v="1"/>
    <x v="61"/>
    <x v="92"/>
    <x v="1"/>
    <x v="14"/>
    <x v="5"/>
    <x v="40"/>
    <s v="64-2565654-"/>
    <s v="felipe.salvob@redsalud.gob.cl"/>
    <x v="7"/>
    <d v="2025-08-20T00:00:00"/>
    <n v="1"/>
    <s v="1057532-5558-SE25"/>
    <n v="1"/>
    <n v="8350000"/>
    <d v="2026-03-01T00:00:00"/>
    <x v="0"/>
  </r>
  <r>
    <s v="SERVICIO DE SALUD OSORNO"/>
    <x v="0"/>
    <x v="56"/>
    <s v="Proyecto operacional"/>
    <s v="Publicado"/>
    <s v="22.06.002"/>
    <x v="57"/>
    <s v="Mantenciones 2026 Preventivas, correctivas y/o reparativas para vehículos motorizados mutimarcas de la Red Asistencial del Servicio de Salud Osorno. Enero2026 - Diciembre2026"/>
    <x v="1"/>
    <x v="46"/>
    <n v="4"/>
    <n v="1"/>
    <x v="61"/>
    <x v="92"/>
    <x v="1"/>
    <x v="14"/>
    <x v="5"/>
    <x v="40"/>
    <s v="64-2565654-"/>
    <s v="felipe.salvob@redsalud.gob.cl"/>
    <x v="7"/>
    <d v="2025-08-20T00:00:00"/>
    <n v="1"/>
    <s v="1057532-5558-SE25"/>
    <n v="1"/>
    <n v="8350000"/>
    <d v="2026-11-01T00:00:00"/>
    <x v="0"/>
  </r>
  <r>
    <s v="SERVICIO DE SALUD OSORNO"/>
    <x v="0"/>
    <x v="56"/>
    <s v="Proyecto operacional"/>
    <s v="Publicado"/>
    <s v="22.06.002"/>
    <x v="57"/>
    <s v="Mantenciones 2026 Preventivas, correctivas y/o reparativas para vehículos motorizados mutimarcas de la Red Asistencial del Servicio de Salud Osorno. Enero2026 - Diciembre2026"/>
    <x v="1"/>
    <x v="46"/>
    <n v="4"/>
    <n v="1"/>
    <x v="61"/>
    <x v="92"/>
    <x v="1"/>
    <x v="14"/>
    <x v="5"/>
    <x v="40"/>
    <s v="64-2565654-"/>
    <s v="felipe.salvob@redsalud.gob.cl"/>
    <x v="7"/>
    <d v="2025-08-20T00:00:00"/>
    <n v="1"/>
    <s v="1057532-5558-SE25"/>
    <n v="1"/>
    <n v="8350000"/>
    <d v="2026-09-01T00:00:00"/>
    <x v="0"/>
  </r>
  <r>
    <s v="SERVICIO DE SALUD OSORNO"/>
    <x v="0"/>
    <x v="57"/>
    <s v="Proyecto operacional"/>
    <s v="Publicado"/>
    <s v="22.06.002"/>
    <x v="58"/>
    <s v="Convenio 2026 -Mantenciones Preventivas, correctivas y/o reparativas de vehículos motorizados de la marca Mitsubishi - Fuso de la Red Asistencial del Servicio de Salud Osorno. Enero 26 - Diciembre 26"/>
    <x v="1"/>
    <x v="44"/>
    <n v="4"/>
    <n v="1"/>
    <x v="62"/>
    <x v="0"/>
    <x v="11"/>
    <x v="20"/>
    <x v="5"/>
    <x v="40"/>
    <s v="64-2565654-"/>
    <s v="felipe.salvob@redsalud.gob.cl"/>
    <x v="7"/>
    <d v="2025-08-20T00:00:00"/>
    <n v="0"/>
    <m/>
    <n v="1"/>
    <n v="2500000"/>
    <d v="2026-06-01T00:00:00"/>
    <x v="0"/>
  </r>
  <r>
    <s v="SERVICIO DE SALUD OSORNO"/>
    <x v="0"/>
    <x v="57"/>
    <s v="Proyecto operacional"/>
    <s v="Publicado"/>
    <s v="22.06.002"/>
    <x v="58"/>
    <s v="Convenio 2026 -Mantenciones Preventivas, correctivas y/o reparativas de vehículos motorizados de la marca Mitsubishi - Fuso de la Red Asistencial del Servicio de Salud Osorno. Enero 26 - Diciembre 26"/>
    <x v="1"/>
    <x v="44"/>
    <n v="4"/>
    <n v="1"/>
    <x v="62"/>
    <x v="0"/>
    <x v="11"/>
    <x v="20"/>
    <x v="5"/>
    <x v="40"/>
    <s v="64-2565654-"/>
    <s v="felipe.salvob@redsalud.gob.cl"/>
    <x v="7"/>
    <d v="2025-08-20T00:00:00"/>
    <n v="0"/>
    <m/>
    <n v="1"/>
    <n v="2500000"/>
    <d v="2026-01-01T00:00:00"/>
    <x v="0"/>
  </r>
  <r>
    <s v="SERVICIO DE SALUD OSORNO"/>
    <x v="0"/>
    <x v="57"/>
    <s v="Proyecto operacional"/>
    <s v="Publicado"/>
    <s v="22.06.002"/>
    <x v="58"/>
    <s v="Convenio 2026 -Mantenciones Preventivas, correctivas y/o reparativas de vehículos motorizados de la marca Mitsubishi - Fuso de la Red Asistencial del Servicio de Salud Osorno. Enero 26 - Diciembre 26"/>
    <x v="1"/>
    <x v="44"/>
    <n v="4"/>
    <n v="1"/>
    <x v="62"/>
    <x v="0"/>
    <x v="11"/>
    <x v="20"/>
    <x v="5"/>
    <x v="40"/>
    <s v="64-2565654-"/>
    <s v="felipe.salvob@redsalud.gob.cl"/>
    <x v="7"/>
    <d v="2025-08-20T00:00:00"/>
    <n v="0"/>
    <m/>
    <n v="1"/>
    <n v="2500000"/>
    <d v="2026-07-01T00:00:00"/>
    <x v="0"/>
  </r>
  <r>
    <s v="SERVICIO DE SALUD OSORNO"/>
    <x v="0"/>
    <x v="57"/>
    <s v="Proyecto operacional"/>
    <s v="Publicado"/>
    <s v="22.06.002"/>
    <x v="58"/>
    <s v="Convenio 2026 -Mantenciones Preventivas, correctivas y/o reparativas de vehículos motorizados de la marca Mitsubishi - Fuso de la Red Asistencial del Servicio de Salud Osorno. Enero 26 - Diciembre 26"/>
    <x v="1"/>
    <x v="44"/>
    <n v="4"/>
    <n v="1"/>
    <x v="62"/>
    <x v="0"/>
    <x v="11"/>
    <x v="20"/>
    <x v="5"/>
    <x v="40"/>
    <s v="64-2565654-"/>
    <s v="felipe.salvob@redsalud.gob.cl"/>
    <x v="7"/>
    <d v="2025-08-20T00:00:00"/>
    <n v="0"/>
    <m/>
    <n v="1"/>
    <n v="2500000"/>
    <d v="2026-02-01T00:00:00"/>
    <x v="0"/>
  </r>
  <r>
    <s v="SERVICIO DE SALUD OSORNO"/>
    <x v="0"/>
    <x v="57"/>
    <s v="Proyecto operacional"/>
    <s v="Publicado"/>
    <s v="22.06.002"/>
    <x v="58"/>
    <s v="Convenio 2026 -Mantenciones Preventivas, correctivas y/o reparativas de vehículos motorizados de la marca Mitsubishi - Fuso de la Red Asistencial del Servicio de Salud Osorno. Enero 26 - Diciembre 26"/>
    <x v="1"/>
    <x v="44"/>
    <n v="4"/>
    <n v="1"/>
    <x v="62"/>
    <x v="0"/>
    <x v="11"/>
    <x v="20"/>
    <x v="5"/>
    <x v="40"/>
    <s v="64-2565654-"/>
    <s v="felipe.salvob@redsalud.gob.cl"/>
    <x v="7"/>
    <d v="2025-08-20T00:00:00"/>
    <n v="0"/>
    <m/>
    <n v="1"/>
    <n v="2500000"/>
    <d v="2026-05-01T00:00:00"/>
    <x v="0"/>
  </r>
  <r>
    <s v="SERVICIO DE SALUD OSORNO"/>
    <x v="0"/>
    <x v="57"/>
    <s v="Proyecto operacional"/>
    <s v="Publicado"/>
    <s v="22.06.002"/>
    <x v="58"/>
    <s v="Convenio 2026 -Mantenciones Preventivas, correctivas y/o reparativas de vehículos motorizados de la marca Mitsubishi - Fuso de la Red Asistencial del Servicio de Salud Osorno. Enero 26 - Diciembre 26"/>
    <x v="1"/>
    <x v="44"/>
    <n v="4"/>
    <n v="1"/>
    <x v="62"/>
    <x v="0"/>
    <x v="11"/>
    <x v="20"/>
    <x v="5"/>
    <x v="40"/>
    <s v="64-2565654-"/>
    <s v="felipe.salvob@redsalud.gob.cl"/>
    <x v="7"/>
    <d v="2025-08-20T00:00:00"/>
    <n v="0"/>
    <m/>
    <n v="1"/>
    <n v="2500000"/>
    <d v="2026-03-01T00:00:00"/>
    <x v="0"/>
  </r>
  <r>
    <s v="SERVICIO DE SALUD OSORNO"/>
    <x v="0"/>
    <x v="57"/>
    <s v="Proyecto operacional"/>
    <s v="Publicado"/>
    <s v="22.06.002"/>
    <x v="58"/>
    <s v="Convenio 2026 -Mantenciones Preventivas, correctivas y/o reparativas de vehículos motorizados de la marca Mitsubishi - Fuso de la Red Asistencial del Servicio de Salud Osorno. Enero 26 - Diciembre 26"/>
    <x v="1"/>
    <x v="44"/>
    <n v="4"/>
    <n v="1"/>
    <x v="62"/>
    <x v="0"/>
    <x v="11"/>
    <x v="20"/>
    <x v="5"/>
    <x v="40"/>
    <s v="64-2565654-"/>
    <s v="felipe.salvob@redsalud.gob.cl"/>
    <x v="7"/>
    <d v="2025-08-20T00:00:00"/>
    <n v="0"/>
    <m/>
    <n v="1"/>
    <n v="2500000"/>
    <d v="2026-08-01T00:00:00"/>
    <x v="0"/>
  </r>
  <r>
    <s v="SERVICIO DE SALUD OSORNO"/>
    <x v="0"/>
    <x v="57"/>
    <s v="Proyecto operacional"/>
    <s v="Publicado"/>
    <s v="22.06.002"/>
    <x v="58"/>
    <s v="Convenio 2026 -Mantenciones Preventivas, correctivas y/o reparativas de vehículos motorizados de la marca Mitsubishi - Fuso de la Red Asistencial del Servicio de Salud Osorno. Enero 26 - Diciembre 26"/>
    <x v="1"/>
    <x v="44"/>
    <n v="4"/>
    <n v="1"/>
    <x v="62"/>
    <x v="0"/>
    <x v="11"/>
    <x v="20"/>
    <x v="5"/>
    <x v="40"/>
    <s v="64-2565654-"/>
    <s v="felipe.salvob@redsalud.gob.cl"/>
    <x v="7"/>
    <d v="2025-08-20T00:00:00"/>
    <n v="0"/>
    <m/>
    <n v="1"/>
    <n v="2500000"/>
    <d v="2026-04-01T00:00:00"/>
    <x v="0"/>
  </r>
  <r>
    <s v="SERVICIO DE SALUD OSORNO"/>
    <x v="0"/>
    <x v="57"/>
    <s v="Proyecto operacional"/>
    <s v="Publicado"/>
    <s v="22.06.002"/>
    <x v="58"/>
    <s v="Convenio 2026 -Mantenciones Preventivas, correctivas y/o reparativas de vehículos motorizados de la marca Mitsubishi - Fuso de la Red Asistencial del Servicio de Salud Osorno. Enero 26 - Diciembre 26"/>
    <x v="1"/>
    <x v="44"/>
    <n v="4"/>
    <n v="1"/>
    <x v="62"/>
    <x v="0"/>
    <x v="11"/>
    <x v="20"/>
    <x v="5"/>
    <x v="40"/>
    <s v="64-2565654-"/>
    <s v="felipe.salvob@redsalud.gob.cl"/>
    <x v="7"/>
    <d v="2025-08-20T00:00:00"/>
    <n v="0"/>
    <m/>
    <n v="1"/>
    <n v="2500000"/>
    <d v="2026-09-01T00:00:00"/>
    <x v="0"/>
  </r>
  <r>
    <s v="SERVICIO DE SALUD OSORNO"/>
    <x v="0"/>
    <x v="57"/>
    <s v="Proyecto operacional"/>
    <s v="Publicado"/>
    <s v="22.06.002"/>
    <x v="58"/>
    <s v="Convenio 2026 -Mantenciones Preventivas, correctivas y/o reparativas de vehículos motorizados de la marca Mitsubishi - Fuso de la Red Asistencial del Servicio de Salud Osorno. Enero 26 - Diciembre 26"/>
    <x v="1"/>
    <x v="44"/>
    <n v="4"/>
    <n v="1"/>
    <x v="62"/>
    <x v="0"/>
    <x v="11"/>
    <x v="20"/>
    <x v="5"/>
    <x v="40"/>
    <s v="64-2565654-"/>
    <s v="felipe.salvob@redsalud.gob.cl"/>
    <x v="7"/>
    <d v="2025-08-20T00:00:00"/>
    <n v="0"/>
    <m/>
    <n v="1"/>
    <n v="2500000"/>
    <d v="2026-10-01T00:00:00"/>
    <x v="0"/>
  </r>
  <r>
    <s v="SERVICIO DE SALUD OSORNO"/>
    <x v="0"/>
    <x v="57"/>
    <s v="Proyecto operacional"/>
    <s v="Publicado"/>
    <s v="22.06.002"/>
    <x v="58"/>
    <s v="Convenio 2026 -Mantenciones Preventivas, correctivas y/o reparativas de vehículos motorizados de la marca Mitsubishi - Fuso de la Red Asistencial del Servicio de Salud Osorno. Enero 26 - Diciembre 26"/>
    <x v="1"/>
    <x v="44"/>
    <n v="4"/>
    <n v="1"/>
    <x v="62"/>
    <x v="0"/>
    <x v="11"/>
    <x v="20"/>
    <x v="5"/>
    <x v="40"/>
    <s v="64-2565654-"/>
    <s v="felipe.salvob@redsalud.gob.cl"/>
    <x v="7"/>
    <d v="2025-08-20T00:00:00"/>
    <n v="0"/>
    <m/>
    <n v="1"/>
    <n v="2500000"/>
    <d v="2026-11-01T00:00:00"/>
    <x v="0"/>
  </r>
  <r>
    <s v="SERVICIO DE SALUD OSORNO"/>
    <x v="0"/>
    <x v="57"/>
    <s v="Proyecto operacional"/>
    <s v="Publicado"/>
    <s v="22.06.002"/>
    <x v="58"/>
    <s v="Convenio 2026 -Mantenciones Preventivas, correctivas y/o reparativas de vehículos motorizados de la marca Mitsubishi - Fuso de la Red Asistencial del Servicio de Salud Osorno. Enero 26 - Diciembre 26"/>
    <x v="1"/>
    <x v="44"/>
    <n v="4"/>
    <n v="1"/>
    <x v="62"/>
    <x v="0"/>
    <x v="11"/>
    <x v="20"/>
    <x v="5"/>
    <x v="40"/>
    <s v="64-2565654-"/>
    <s v="felipe.salvob@redsalud.gob.cl"/>
    <x v="7"/>
    <d v="2025-08-20T00:00:00"/>
    <n v="0"/>
    <m/>
    <n v="1"/>
    <n v="2500000"/>
    <d v="2026-12-01T00:00:00"/>
    <x v="0"/>
  </r>
  <r>
    <s v="SERVICIO DE SALUD OSORNO"/>
    <x v="0"/>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x v="1"/>
    <x v="50"/>
    <n v="4"/>
    <n v="36"/>
    <x v="63"/>
    <x v="93"/>
    <x v="3"/>
    <x v="4"/>
    <x v="8"/>
    <x v="3"/>
    <s v="64-2337728-"/>
    <s v="CATALINA.VERAC@REDSALUD.GOB.CL"/>
    <x v="6"/>
    <d v="2025-08-20T00:00:00"/>
    <n v="0"/>
    <m/>
    <n v="1"/>
    <n v="5777778"/>
    <d v="2026-02-01T00:00:00"/>
    <x v="0"/>
  </r>
  <r>
    <s v="SERVICIO DE SALUD OSORNO"/>
    <x v="0"/>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x v="1"/>
    <x v="50"/>
    <n v="4"/>
    <n v="36"/>
    <x v="63"/>
    <x v="93"/>
    <x v="3"/>
    <x v="4"/>
    <x v="8"/>
    <x v="3"/>
    <s v="64-2337728-"/>
    <s v="CATALINA.VERAC@REDSALUD.GOB.CL"/>
    <x v="6"/>
    <d v="2025-08-20T00:00:00"/>
    <n v="0"/>
    <m/>
    <n v="1"/>
    <n v="5777778"/>
    <d v="2026-09-01T00:00:00"/>
    <x v="0"/>
  </r>
  <r>
    <s v="SERVICIO DE SALUD OSORNO"/>
    <x v="0"/>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x v="1"/>
    <x v="50"/>
    <n v="4"/>
    <n v="36"/>
    <x v="63"/>
    <x v="93"/>
    <x v="3"/>
    <x v="4"/>
    <x v="8"/>
    <x v="3"/>
    <s v="64-2337728-"/>
    <s v="CATALINA.VERAC@REDSALUD.GOB.CL"/>
    <x v="6"/>
    <d v="2025-08-20T00:00:00"/>
    <n v="0"/>
    <m/>
    <n v="1"/>
    <n v="5777778"/>
    <d v="2026-01-01T00:00:00"/>
    <x v="0"/>
  </r>
  <r>
    <s v="SERVICIO DE SALUD OSORNO"/>
    <x v="0"/>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x v="1"/>
    <x v="50"/>
    <n v="4"/>
    <n v="36"/>
    <x v="63"/>
    <x v="93"/>
    <x v="3"/>
    <x v="4"/>
    <x v="8"/>
    <x v="3"/>
    <s v="64-2337728-"/>
    <s v="CATALINA.VERAC@REDSALUD.GOB.CL"/>
    <x v="6"/>
    <d v="2025-08-20T00:00:00"/>
    <n v="0"/>
    <m/>
    <n v="1"/>
    <n v="5777778"/>
    <d v="2026-07-01T00:00:00"/>
    <x v="0"/>
  </r>
  <r>
    <s v="SERVICIO DE SALUD OSORNO"/>
    <x v="0"/>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x v="1"/>
    <x v="50"/>
    <n v="4"/>
    <n v="36"/>
    <x v="63"/>
    <x v="93"/>
    <x v="3"/>
    <x v="4"/>
    <x v="8"/>
    <x v="3"/>
    <s v="64-2337728-"/>
    <s v="CATALINA.VERAC@REDSALUD.GOB.CL"/>
    <x v="6"/>
    <d v="2025-08-20T00:00:00"/>
    <n v="0"/>
    <m/>
    <n v="1"/>
    <n v="5777778"/>
    <d v="2026-10-01T00:00:00"/>
    <x v="0"/>
  </r>
  <r>
    <s v="SERVICIO DE SALUD OSORNO"/>
    <x v="0"/>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x v="1"/>
    <x v="50"/>
    <n v="4"/>
    <n v="36"/>
    <x v="63"/>
    <x v="93"/>
    <x v="3"/>
    <x v="4"/>
    <x v="8"/>
    <x v="3"/>
    <s v="64-2337728-"/>
    <s v="CATALINA.VERAC@REDSALUD.GOB.CL"/>
    <x v="6"/>
    <d v="2025-08-20T00:00:00"/>
    <n v="0"/>
    <m/>
    <n v="1"/>
    <n v="5777778"/>
    <d v="2026-04-01T00:00:00"/>
    <x v="0"/>
  </r>
  <r>
    <s v="SERVICIO DE SALUD OSORNO"/>
    <x v="0"/>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x v="1"/>
    <x v="50"/>
    <n v="4"/>
    <n v="36"/>
    <x v="63"/>
    <x v="93"/>
    <x v="3"/>
    <x v="4"/>
    <x v="8"/>
    <x v="3"/>
    <s v="64-2337728-"/>
    <s v="CATALINA.VERAC@REDSALUD.GOB.CL"/>
    <x v="6"/>
    <d v="2025-08-20T00:00:00"/>
    <n v="0"/>
    <m/>
    <n v="1"/>
    <n v="5777778"/>
    <d v="2026-11-01T00:00:00"/>
    <x v="0"/>
  </r>
  <r>
    <s v="SERVICIO DE SALUD OSORNO"/>
    <x v="0"/>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x v="1"/>
    <x v="50"/>
    <n v="4"/>
    <n v="36"/>
    <x v="63"/>
    <x v="93"/>
    <x v="3"/>
    <x v="4"/>
    <x v="8"/>
    <x v="3"/>
    <s v="64-2337728-"/>
    <s v="CATALINA.VERAC@REDSALUD.GOB.CL"/>
    <x v="6"/>
    <d v="2025-08-20T00:00:00"/>
    <n v="0"/>
    <m/>
    <n v="1"/>
    <n v="5777778"/>
    <d v="2026-06-01T00:00:00"/>
    <x v="0"/>
  </r>
  <r>
    <s v="SERVICIO DE SALUD OSORNO"/>
    <x v="0"/>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x v="1"/>
    <x v="50"/>
    <n v="4"/>
    <n v="36"/>
    <x v="63"/>
    <x v="93"/>
    <x v="3"/>
    <x v="4"/>
    <x v="8"/>
    <x v="3"/>
    <s v="64-2337728-"/>
    <s v="CATALINA.VERAC@REDSALUD.GOB.CL"/>
    <x v="6"/>
    <d v="2025-08-20T00:00:00"/>
    <n v="0"/>
    <m/>
    <n v="1"/>
    <n v="5777778"/>
    <d v="2026-08-01T00:00:00"/>
    <x v="0"/>
  </r>
  <r>
    <s v="SERVICIO DE SALUD OSORNO"/>
    <x v="0"/>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x v="1"/>
    <x v="50"/>
    <n v="4"/>
    <n v="36"/>
    <x v="63"/>
    <x v="93"/>
    <x v="3"/>
    <x v="4"/>
    <x v="8"/>
    <x v="3"/>
    <s v="64-2337728-"/>
    <s v="CATALINA.VERAC@REDSALUD.GOB.CL"/>
    <x v="6"/>
    <d v="2025-08-20T00:00:00"/>
    <n v="0"/>
    <m/>
    <n v="1"/>
    <n v="5777778"/>
    <d v="2026-03-01T00:00:00"/>
    <x v="0"/>
  </r>
  <r>
    <s v="SERVICIO DE SALUD OSORNO"/>
    <x v="0"/>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x v="1"/>
    <x v="50"/>
    <n v="4"/>
    <n v="36"/>
    <x v="63"/>
    <x v="93"/>
    <x v="3"/>
    <x v="4"/>
    <x v="8"/>
    <x v="3"/>
    <s v="64-2337728-"/>
    <s v="CATALINA.VERAC@REDSALUD.GOB.CL"/>
    <x v="6"/>
    <d v="2025-08-20T00:00:00"/>
    <n v="0"/>
    <m/>
    <n v="1"/>
    <n v="5777778"/>
    <d v="2026-12-01T00:00:00"/>
    <x v="0"/>
  </r>
  <r>
    <s v="SERVICIO DE SALUD OSORNO"/>
    <x v="0"/>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x v="1"/>
    <x v="50"/>
    <n v="4"/>
    <n v="36"/>
    <x v="63"/>
    <x v="93"/>
    <x v="3"/>
    <x v="4"/>
    <x v="8"/>
    <x v="3"/>
    <s v="64-2337728-"/>
    <s v="CATALINA.VERAC@REDSALUD.GOB.CL"/>
    <x v="6"/>
    <d v="2025-08-20T00:00:00"/>
    <n v="0"/>
    <m/>
    <n v="1"/>
    <n v="5777778"/>
    <d v="2026-05-01T00:00:00"/>
    <x v="0"/>
  </r>
  <r>
    <s v="SERVICIO DE SALUD OSORNO"/>
    <x v="2"/>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x v="3"/>
    <x v="51"/>
    <n v="4"/>
    <n v="1"/>
    <x v="57"/>
    <x v="94"/>
    <x v="4"/>
    <x v="24"/>
    <x v="36"/>
    <x v="41"/>
    <s v="64-2336164-"/>
    <s v="claudia.centeno@redsalud.gob.cl"/>
    <x v="14"/>
    <m/>
    <n v="0"/>
    <m/>
    <n v="0"/>
    <n v="0"/>
    <m/>
    <x v="1"/>
  </r>
  <r>
    <s v="SERVICIO DE SALUD OSORNO"/>
    <x v="2"/>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x v="3"/>
    <x v="52"/>
    <n v="4"/>
    <n v="1"/>
    <x v="64"/>
    <x v="95"/>
    <x v="4"/>
    <x v="25"/>
    <x v="36"/>
    <x v="41"/>
    <s v="64-2336164-"/>
    <s v="claudia.centeno@redsalud.gob.cl"/>
    <x v="15"/>
    <m/>
    <n v="0"/>
    <m/>
    <n v="0"/>
    <n v="0"/>
    <m/>
    <x v="1"/>
  </r>
  <r>
    <s v="SERVICIO DE SALUD OSORNO"/>
    <x v="2"/>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x v="3"/>
    <x v="53"/>
    <n v="4"/>
    <n v="1"/>
    <x v="58"/>
    <x v="96"/>
    <x v="4"/>
    <x v="25"/>
    <x v="36"/>
    <x v="41"/>
    <s v="64-2336164-"/>
    <s v="claudia.centeno@redsalud.gob.cl"/>
    <x v="15"/>
    <m/>
    <n v="0"/>
    <m/>
    <n v="0"/>
    <n v="0"/>
    <m/>
    <x v="1"/>
  </r>
  <r>
    <s v="SERVICIO DE SALUD OSORNO"/>
    <x v="2"/>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x v="3"/>
    <x v="54"/>
    <n v="4"/>
    <n v="1"/>
    <x v="65"/>
    <x v="97"/>
    <x v="4"/>
    <x v="26"/>
    <x v="36"/>
    <x v="41"/>
    <s v="64-2336164-"/>
    <s v="claudia.centeno@redsalud.gob.cl"/>
    <x v="16"/>
    <m/>
    <n v="0"/>
    <m/>
    <n v="0"/>
    <n v="0"/>
    <m/>
    <x v="1"/>
  </r>
  <r>
    <s v="SERVICIO DE SALUD OSORNO"/>
    <x v="2"/>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x v="3"/>
    <x v="55"/>
    <n v="4"/>
    <n v="1"/>
    <x v="66"/>
    <x v="98"/>
    <x v="4"/>
    <x v="27"/>
    <x v="36"/>
    <x v="41"/>
    <s v="64-2336164-"/>
    <s v="claudia.centeno@redsalud.gob.cl"/>
    <x v="17"/>
    <m/>
    <n v="0"/>
    <m/>
    <n v="0"/>
    <n v="0"/>
    <m/>
    <x v="1"/>
  </r>
  <r>
    <s v="SERVICIO DE SALUD OSORNO"/>
    <x v="2"/>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x v="3"/>
    <x v="56"/>
    <n v="4"/>
    <n v="1"/>
    <x v="67"/>
    <x v="99"/>
    <x v="4"/>
    <x v="28"/>
    <x v="36"/>
    <x v="41"/>
    <s v="64-2336164-"/>
    <s v="claudia.centeno@redsalud.gob.cl"/>
    <x v="18"/>
    <m/>
    <n v="0"/>
    <m/>
    <n v="0"/>
    <n v="0"/>
    <m/>
    <x v="1"/>
  </r>
  <r>
    <s v="SERVICIO DE SALUD OSORNO"/>
    <x v="2"/>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x v="3"/>
    <x v="57"/>
    <n v="4"/>
    <n v="1"/>
    <x v="10"/>
    <x v="100"/>
    <x v="4"/>
    <x v="29"/>
    <x v="36"/>
    <x v="41"/>
    <s v="64-2336164-"/>
    <s v="claudia.centeno@redsalud.gob.cl"/>
    <x v="18"/>
    <m/>
    <n v="0"/>
    <m/>
    <n v="0"/>
    <n v="0"/>
    <m/>
    <x v="1"/>
  </r>
  <r>
    <s v="SERVICIO DE SALUD OSORNO"/>
    <x v="2"/>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x v="3"/>
    <x v="58"/>
    <n v="4"/>
    <n v="1"/>
    <x v="39"/>
    <x v="101"/>
    <x v="4"/>
    <x v="29"/>
    <x v="36"/>
    <x v="41"/>
    <s v="64-2336164-"/>
    <s v="claudia.centeno@redsalud.gob.cl"/>
    <x v="18"/>
    <m/>
    <n v="0"/>
    <m/>
    <n v="0"/>
    <n v="0"/>
    <m/>
    <x v="1"/>
  </r>
  <r>
    <s v="SERVICIO DE SALUD OSORNO"/>
    <x v="1"/>
    <x v="60"/>
    <s v="Proyecto operacional"/>
    <s v="Enviado"/>
    <s v="22.12.999.02"/>
    <x v="61"/>
    <s v="Se requiere la ADQUISICIÓN DE PRESTACIONES DE REHABILITACIÓN INTEGRAL PARA EVALUACIÓN DIAGNÓSTICA Y TRATAMIENTO EN NIÑOS, NIÑAS Y ADOLESCENTES CON TRASTORNO DEL ESPECTRO AUTISTA (TEA). Se entregarán prestaciones a usuarios de la provincia de Osorno. Se realizará pago por prestaciones realizadas de acuerdo a arancel de modalidad de libre elección nivel 3, para cada una de ellas. Debido a que cada usuario tiene un Plan de tratamiento distinto, la cantidad de prestaciones no se puede definir, al igual que el numero de NNA."/>
    <x v="1"/>
    <x v="59"/>
    <n v="4"/>
    <n v="200"/>
    <x v="68"/>
    <x v="102"/>
    <x v="14"/>
    <x v="30"/>
    <x v="37"/>
    <x v="42"/>
    <s v="64-2335807-"/>
    <s v="karin.avila@redsalud.gob.cl"/>
    <x v="19"/>
    <m/>
    <n v="0"/>
    <m/>
    <n v="0"/>
    <n v="0"/>
    <m/>
    <x v="1"/>
  </r>
  <r>
    <s v="SERVICIO DE SALUD OSORNO"/>
    <x v="3"/>
    <x v="61"/>
    <s v="Proyecto estratégico"/>
    <s v="Enviado"/>
    <s v="29.05.002"/>
    <x v="62"/>
    <s v="Compra de Insumos y equipamiento para el desarrollo del Programa (GORE) ?Apoyo de Rehabilitación Integral e Inclusión Social para niños, niñas y adolescentes con Trastorno del Espectro Autista, para su ejecución enero-diciembre 2025. Programa que será ejecutido con la implementación de una sala de rehabilitación y un equipo de profesionales T. Ocupacional, Fonoaudiologo y Psicologo, para las 7 comunas de la provincia de Osorno. En algunas de ellas se considera el arriendo de un espacio y en otras la implementación en espacios publicos municipal"/>
    <x v="4"/>
    <x v="60"/>
    <n v="4"/>
    <n v="1"/>
    <x v="69"/>
    <x v="103"/>
    <x v="4"/>
    <x v="31"/>
    <x v="37"/>
    <x v="42"/>
    <s v="64-2335807-"/>
    <s v="karin.avila@redsalud.gob.cl"/>
    <x v="20"/>
    <m/>
    <n v="0"/>
    <m/>
    <n v="0"/>
    <n v="0"/>
    <m/>
    <x v="1"/>
  </r>
  <r>
    <s v="SERVICIO DE SALUD OSORNO"/>
    <x v="3"/>
    <x v="61"/>
    <s v="Proyecto estratégico"/>
    <s v="Enviado"/>
    <s v="29.05.002"/>
    <x v="62"/>
    <s v="Compra de Insumos y equipamiento para el desarrollo del Programa (GORE) ?Apoyo de Rehabilitación Integral e Inclusión Social para niños, niñas y adolescentes con Trastorno del Espectro Autista, para su ejecución enero-diciembre 2025. Programa que será ejecutido con la implementación de una sala de rehabilitación y un equipo de profesionales T. Ocupacional, Fonoaudiologo y Psicologo, para las 7 comunas de la provincia de Osorno. En algunas de ellas se considera el arriendo de un espacio y en otras la implementación en espacios publicos municipal"/>
    <x v="4"/>
    <x v="61"/>
    <n v="4"/>
    <n v="4"/>
    <x v="70"/>
    <x v="104"/>
    <x v="4"/>
    <x v="31"/>
    <x v="37"/>
    <x v="42"/>
    <s v="64-2335807-"/>
    <s v="karin.avila@redsalud.gob.cl"/>
    <x v="20"/>
    <m/>
    <n v="0"/>
    <m/>
    <n v="0"/>
    <n v="0"/>
    <m/>
    <x v="1"/>
  </r>
  <r>
    <s v="SERVICIO DE SALUD OSORNO"/>
    <x v="3"/>
    <x v="61"/>
    <s v="Proyecto estratégico"/>
    <s v="Enviado"/>
    <s v="29.05.002"/>
    <x v="62"/>
    <s v="Compra de Insumos y equipamiento para el desarrollo del Programa (GORE) ?Apoyo de Rehabilitación Integral e Inclusión Social para niños, niñas y adolescentes con Trastorno del Espectro Autista, para su ejecución enero-diciembre 2025. Programa que será ejecutido con la implementación de una sala de rehabilitación y un equipo de profesionales T. Ocupacional, Fonoaudiologo y Psicologo, para las 7 comunas de la provincia de Osorno. En algunas de ellas se considera el arriendo de un espacio y en otras la implementación en espacios publicos municipal"/>
    <x v="4"/>
    <x v="62"/>
    <n v="4"/>
    <n v="7"/>
    <x v="71"/>
    <x v="105"/>
    <x v="4"/>
    <x v="32"/>
    <x v="37"/>
    <x v="42"/>
    <s v="64-2335807-"/>
    <s v="karin.avila@redsalud.gob.cl"/>
    <x v="21"/>
    <m/>
    <n v="0"/>
    <m/>
    <n v="0"/>
    <n v="0"/>
    <m/>
    <x v="1"/>
  </r>
  <r>
    <s v="SERVICIO DE SALUD OSORNO"/>
    <x v="3"/>
    <x v="61"/>
    <s v="Proyecto estratégico"/>
    <s v="Enviado"/>
    <s v="29.05.002"/>
    <x v="62"/>
    <s v="Compra de Insumos y equipamiento para el desarrollo del Programa (GORE) ?Apoyo de Rehabilitación Integral e Inclusión Social para niños, niñas y adolescentes con Trastorno del Espectro Autista, para su ejecución enero-diciembre 2025. Programa que será ejecutido con la implementación de una sala de rehabilitación y un equipo de profesionales T. Ocupacional, Fonoaudiologo y Psicologo, para las 7 comunas de la provincia de Osorno. En algunas de ellas se considera el arriendo de un espacio y en otras la implementación en espacios publicos municipal"/>
    <x v="4"/>
    <x v="63"/>
    <n v="4"/>
    <n v="7"/>
    <x v="72"/>
    <x v="106"/>
    <x v="4"/>
    <x v="26"/>
    <x v="37"/>
    <x v="42"/>
    <s v="64-2335807-"/>
    <s v="karin.avila@redsalud.gob.cl"/>
    <x v="16"/>
    <m/>
    <n v="0"/>
    <m/>
    <n v="0"/>
    <n v="0"/>
    <m/>
    <x v="1"/>
  </r>
  <r>
    <s v="SERVICIO DE SALUD OSORNO"/>
    <x v="3"/>
    <x v="61"/>
    <s v="Proyecto estratégico"/>
    <s v="Enviado"/>
    <s v="29.05.002"/>
    <x v="62"/>
    <s v="Compra de Insumos y equipamiento para el desarrollo del Programa (GORE) ?Apoyo de Rehabilitación Integral e Inclusión Social para niños, niñas y adolescentes con Trastorno del Espectro Autista, para su ejecución enero-diciembre 2025. Programa que será ejecutido con la implementación de una sala de rehabilitación y un equipo de profesionales T. Ocupacional, Fonoaudiologo y Psicologo, para las 7 comunas de la provincia de Osorno. En algunas de ellas se considera el arriendo de un espacio y en otras la implementación en espacios publicos municipal"/>
    <x v="4"/>
    <x v="64"/>
    <n v="4"/>
    <n v="7"/>
    <x v="73"/>
    <x v="107"/>
    <x v="4"/>
    <x v="31"/>
    <x v="37"/>
    <x v="42"/>
    <s v="64-2335807-"/>
    <s v="karin.avila@redsalud.gob.cl"/>
    <x v="20"/>
    <m/>
    <n v="0"/>
    <m/>
    <n v="0"/>
    <n v="0"/>
    <m/>
    <x v="1"/>
  </r>
  <r>
    <s v="SERVICIO DE SALUD OSORNO"/>
    <x v="3"/>
    <x v="61"/>
    <s v="Proyecto estratégico"/>
    <s v="Enviado"/>
    <s v="29.05.002"/>
    <x v="62"/>
    <s v="Compra de Insumos y equipamiento para el desarrollo del Programa (GORE) ?Apoyo de Rehabilitación Integral e Inclusión Social para niños, niñas y adolescentes con Trastorno del Espectro Autista, para su ejecución enero-diciembre 2025. Programa que será ejecutido con la implementación de una sala de rehabilitación y un equipo de profesionales T. Ocupacional, Fonoaudiologo y Psicologo, para las 7 comunas de la provincia de Osorno. En algunas de ellas se considera el arriendo de un espacio y en otras la implementación en espacios publicos municipal"/>
    <x v="4"/>
    <x v="65"/>
    <n v="4"/>
    <n v="7"/>
    <x v="74"/>
    <x v="108"/>
    <x v="4"/>
    <x v="31"/>
    <x v="37"/>
    <x v="42"/>
    <s v="64-2335807-"/>
    <s v="karin.avila@redsalud.gob.cl"/>
    <x v="20"/>
    <m/>
    <n v="0"/>
    <m/>
    <n v="0"/>
    <n v="0"/>
    <m/>
    <x v="1"/>
  </r>
  <r>
    <s v="SERVICIO DE SALUD OSORNO"/>
    <x v="1"/>
    <x v="62"/>
    <s v="Proyecto operacional"/>
    <s v="Enviado"/>
    <s v="22.04.005"/>
    <x v="63"/>
    <s v="Medicamentos e insumos para dar apoyo a la red cuando se requiera asociado al programa Fondo de Farmacia para enfermedades crónicas no transmisibles en establecimientos de APS (FOFAR) periodo 2026."/>
    <x v="0"/>
    <x v="25"/>
    <n v="4"/>
    <n v="1"/>
    <x v="62"/>
    <x v="109"/>
    <x v="4"/>
    <x v="24"/>
    <x v="38"/>
    <x v="43"/>
    <s v="64-2335833-"/>
    <s v="chessarina.tuchief@redsalud.gob.cl"/>
    <x v="14"/>
    <m/>
    <n v="0"/>
    <m/>
    <n v="0"/>
    <n v="0"/>
    <m/>
    <x v="1"/>
  </r>
  <r>
    <s v="SERVICIO DE SALUD OSORNO"/>
    <x v="1"/>
    <x v="62"/>
    <s v="Proyecto operacional"/>
    <s v="Enviado"/>
    <s v="22.04.005"/>
    <x v="63"/>
    <s v="Medicamentos e insumos para dar apoyo a la red cuando se requiera asociado al programa Fondo de Farmacia para enfermedades crónicas no transmisibles en establecimientos de APS (FOFAR) periodo 2026."/>
    <x v="0"/>
    <x v="66"/>
    <n v="4"/>
    <n v="1"/>
    <x v="62"/>
    <x v="109"/>
    <x v="4"/>
    <x v="31"/>
    <x v="38"/>
    <x v="43"/>
    <s v="64-2335833-"/>
    <s v="chessarina.tuchief@redsalud.gob.cl"/>
    <x v="20"/>
    <m/>
    <n v="0"/>
    <m/>
    <n v="0"/>
    <n v="0"/>
    <m/>
    <x v="1"/>
  </r>
  <r>
    <s v="SERVICIO DE SALUD OSORNO"/>
    <x v="1"/>
    <x v="63"/>
    <s v="Proyecto operacional"/>
    <s v="Enviado"/>
    <s v="22.04"/>
    <x v="64"/>
    <s v="Compra de elementos de higiene para el funiconamiento del Equipo Rural de Rehabilitación"/>
    <x v="1"/>
    <x v="67"/>
    <n v="4"/>
    <n v="10"/>
    <x v="75"/>
    <x v="110"/>
    <x v="4"/>
    <x v="32"/>
    <x v="37"/>
    <x v="42"/>
    <s v="64-2335807-"/>
    <s v="karin.avila@redsalud.gob.cl"/>
    <x v="21"/>
    <m/>
    <n v="0"/>
    <m/>
    <n v="0"/>
    <n v="0"/>
    <m/>
    <x v="1"/>
  </r>
  <r>
    <s v="SERVICIO DE SALUD OSORNO"/>
    <x v="0"/>
    <x v="64"/>
    <s v="Proyecto operacional"/>
    <s v="Enviado"/>
    <s v="22.06.007"/>
    <x v="65"/>
    <s v="Mantención anual preventiva, limpieza, cambio de cabezales y revisión de componentes."/>
    <x v="1"/>
    <x v="68"/>
    <n v="4"/>
    <n v="1"/>
    <x v="76"/>
    <x v="111"/>
    <x v="4"/>
    <x v="26"/>
    <x v="39"/>
    <x v="44"/>
    <s v="64-2335843-"/>
    <s v="mario.barrientos@redsalud.gob.cl"/>
    <x v="16"/>
    <m/>
    <n v="0"/>
    <m/>
    <n v="0"/>
    <n v="0"/>
    <m/>
    <x v="1"/>
  </r>
  <r>
    <s v="SERVICIO DE SALUD OSORNO"/>
    <x v="0"/>
    <x v="65"/>
    <s v="Proyecto operacional"/>
    <s v="Enviado"/>
    <s v="22.04.001"/>
    <x v="66"/>
    <s v="Adquisición de rollos de 50 mts de papel bond 80 grs, para la impresión de expedientes técnicos de la cartera de Inversión del SSO."/>
    <x v="1"/>
    <x v="69"/>
    <n v="4"/>
    <n v="15"/>
    <x v="77"/>
    <x v="112"/>
    <x v="4"/>
    <x v="25"/>
    <x v="39"/>
    <x v="44"/>
    <s v="64-2335843-"/>
    <s v="mario.barrientos@redsalud.gob.cl"/>
    <x v="15"/>
    <m/>
    <n v="0"/>
    <m/>
    <n v="0"/>
    <n v="0"/>
    <m/>
    <x v="1"/>
  </r>
  <r>
    <s v="SERVICIO DE SALUD OSORNO"/>
    <x v="0"/>
    <x v="66"/>
    <s v="Proyecto operacional"/>
    <s v="Enviado"/>
    <s v="22.04.009"/>
    <x v="67"/>
    <s v="Compra de 2 set completos (6 tintas cada set) de tinta originales para Plotter Canon IPF 770."/>
    <x v="1"/>
    <x v="70"/>
    <n v="4"/>
    <n v="2"/>
    <x v="78"/>
    <x v="113"/>
    <x v="4"/>
    <x v="33"/>
    <x v="39"/>
    <x v="44"/>
    <s v="64-2335843-"/>
    <s v="mario.barrientos@redsalud.gob.cl"/>
    <x v="22"/>
    <m/>
    <n v="0"/>
    <m/>
    <n v="0"/>
    <n v="0"/>
    <m/>
    <x v="1"/>
  </r>
  <r>
    <s v="SERVICIO DE SALUD OSORNO"/>
    <x v="0"/>
    <x v="67"/>
    <s v="Proyecto operacional"/>
    <s v="Enviado"/>
    <s v="22.04.001"/>
    <x v="68"/>
    <s v="Adquisicición Hojas Prehospitalarias"/>
    <x v="1"/>
    <x v="71"/>
    <n v="4"/>
    <n v="260"/>
    <x v="79"/>
    <x v="114"/>
    <x v="4"/>
    <x v="32"/>
    <x v="40"/>
    <x v="45"/>
    <s v="64-2335844-"/>
    <s v="silvia.delgado@redsalud.gob.cl"/>
    <x v="21"/>
    <m/>
    <n v="0"/>
    <m/>
    <n v="0"/>
    <n v="0"/>
    <m/>
    <x v="1"/>
  </r>
  <r>
    <s v="SERVICIO DE SALUD OSORNO"/>
    <x v="0"/>
    <x v="68"/>
    <s v="Proyecto operacional"/>
    <s v="Enviado"/>
    <s v="22.04.999"/>
    <x v="69"/>
    <s v="Permitirá estandarizar la evaluación, clasificación y priorización de pacientes según su gravedad clínica, asegurando una atención oportuna y eficiente. Su ejecución sera entre enero a marzo 2026."/>
    <x v="1"/>
    <x v="72"/>
    <n v="4"/>
    <n v="15"/>
    <x v="80"/>
    <x v="115"/>
    <x v="4"/>
    <x v="32"/>
    <x v="40"/>
    <x v="45"/>
    <s v="64-2335844-"/>
    <s v="silvia.delgado@redsalud.gob.cl"/>
    <x v="21"/>
    <m/>
    <n v="0"/>
    <m/>
    <n v="0"/>
    <n v="0"/>
    <m/>
    <x v="1"/>
  </r>
  <r>
    <s v="SERVICIO DE SALUD OSORNO"/>
    <x v="0"/>
    <x v="69"/>
    <s v="Proyecto operacional"/>
    <s v="Enviado"/>
    <s v="22.04.001"/>
    <x v="70"/>
    <s v="Proyecto de Capacitación ?Curso de Atención Inicial en Urgencias y Entorno Prehospitalario para el Paciente Crítico?. Busca abordar brechas críticas identificadas en la evaluación y manejo inicial de pacientes en situación de urgencia vital, en el ámbito prehospitalario como en servicios de urgencia, mediante un enfoque estandarizado y protocolizado que fortalezca las competencias del equipo clínico. Se requiere servicio de cafeteria y para generar certificación a los asistentes, a ejecutar en marzo 2026, previo a campaña de invierno."/>
    <x v="0"/>
    <x v="73"/>
    <n v="4"/>
    <n v="50"/>
    <x v="81"/>
    <x v="116"/>
    <x v="4"/>
    <x v="32"/>
    <x v="40"/>
    <x v="45"/>
    <s v="64-2335844-"/>
    <s v="silvia.delgado@redsalud.gob.cl"/>
    <x v="21"/>
    <m/>
    <n v="0"/>
    <m/>
    <n v="0"/>
    <n v="0"/>
    <m/>
    <x v="1"/>
  </r>
  <r>
    <s v="SERVICIO DE SALUD OSORNO"/>
    <x v="0"/>
    <x v="69"/>
    <s v="Proyecto operacional"/>
    <s v="Enviado"/>
    <s v="22.04.001"/>
    <x v="70"/>
    <s v="Proyecto de Capacitación ?Curso de Atención Inicial en Urgencias y Entorno Prehospitalario para el Paciente Crítico?. Busca abordar brechas críticas identificadas en la evaluación y manejo inicial de pacientes en situación de urgencia vital, en el ámbito prehospitalario como en servicios de urgencia, mediante un enfoque estandarizado y protocolizado que fortalezca las competencias del equipo clínico. Se requiere servicio de cafeteria y para generar certificación a los asistentes, a ejecutar en marzo 2026, previo a campaña de invierno."/>
    <x v="0"/>
    <x v="32"/>
    <n v="4"/>
    <n v="1"/>
    <x v="82"/>
    <x v="117"/>
    <x v="4"/>
    <x v="32"/>
    <x v="40"/>
    <x v="45"/>
    <s v="64-2335844-"/>
    <s v="silvia.delgado@redsalud.gob.cl"/>
    <x v="21"/>
    <m/>
    <n v="0"/>
    <m/>
    <n v="0"/>
    <n v="0"/>
    <m/>
    <x v="1"/>
  </r>
  <r>
    <s v="SERVICIO DE SALUD OSORNO"/>
    <x v="0"/>
    <x v="70"/>
    <s v="Proyecto operacional"/>
    <s v="Enviado"/>
    <s v="22.01.001"/>
    <x v="71"/>
    <s v="Entregar un coffe break para jornada ?Diálogo participativo 2026&quot; a realizarse en el mes de noviembre 2026. En este espacio significativo se busca capturar información relevante, conocer puntos de vista de las /os participantes, identificando y comprendiendo las problemáticas en salud mental de nuestro territorio a cargo, siendo de importancia para nuestra labor en salud publica generar espacios de integración y trabajo en red , que contribuyan a la salud mental de nuestros usuarios /as. Con cargo a fondo extrapresupuestario SENDA-PAI"/>
    <x v="1"/>
    <x v="32"/>
    <n v="4"/>
    <n v="120"/>
    <x v="28"/>
    <x v="118"/>
    <x v="4"/>
    <x v="28"/>
    <x v="41"/>
    <x v="46"/>
    <s v="64-2335608-"/>
    <s v="camilo.martinez@redsalud.gob.cl"/>
    <x v="18"/>
    <m/>
    <n v="0"/>
    <m/>
    <n v="0"/>
    <n v="0"/>
    <m/>
    <x v="1"/>
  </r>
  <r>
    <s v="SERVICIO DE SALUD OSORNO"/>
    <x v="0"/>
    <x v="71"/>
    <s v="Proyecto operacional"/>
    <s v="Enviado"/>
    <s v="22.01.001"/>
    <x v="72"/>
    <s v="4 servicios de cafetería, mas colación saludable para 20 personas en los meses de abril ?julio ?septiembre y diciembre del 2026. Con cargo a fondo extrapresupuestario SENDA-PAI"/>
    <x v="4"/>
    <x v="32"/>
    <n v="4"/>
    <n v="30"/>
    <x v="28"/>
    <x v="119"/>
    <x v="4"/>
    <x v="24"/>
    <x v="41"/>
    <x v="46"/>
    <s v="64-2335608-"/>
    <s v="camilo.martinez@redsalud.gob.cl"/>
    <x v="14"/>
    <m/>
    <n v="0"/>
    <m/>
    <n v="0"/>
    <n v="0"/>
    <m/>
    <x v="1"/>
  </r>
  <r>
    <s v="SERVICIO DE SALUD OSORNO"/>
    <x v="0"/>
    <x v="71"/>
    <s v="Proyecto operacional"/>
    <s v="Enviado"/>
    <s v="22.01.001"/>
    <x v="72"/>
    <s v="4 servicios de cafetería, mas colación saludable para 20 personas en los meses de abril ?julio ?septiembre y diciembre del 2026. Con cargo a fondo extrapresupuestario SENDA-PAI"/>
    <x v="4"/>
    <x v="32"/>
    <n v="4"/>
    <n v="90"/>
    <x v="28"/>
    <x v="120"/>
    <x v="15"/>
    <x v="34"/>
    <x v="41"/>
    <x v="46"/>
    <s v="64-2335608-"/>
    <s v="camilo.martinez@redsalud.gob.cl"/>
    <x v="22"/>
    <m/>
    <n v="0"/>
    <m/>
    <n v="0"/>
    <n v="0"/>
    <m/>
    <x v="1"/>
  </r>
  <r>
    <s v="SERVICIO DE SALUD OSORNO"/>
    <x v="0"/>
    <x v="71"/>
    <s v="Proyecto operacional"/>
    <s v="Enviado"/>
    <s v="22.01.001"/>
    <x v="72"/>
    <s v="4 servicios de cafetería, mas colación saludable para 20 personas en los meses de abril ?julio ?septiembre y diciembre del 2026. Con cargo a fondo extrapresupuestario SENDA-PAI"/>
    <x v="4"/>
    <x v="31"/>
    <n v="4"/>
    <n v="30"/>
    <x v="28"/>
    <x v="119"/>
    <x v="4"/>
    <x v="24"/>
    <x v="41"/>
    <x v="46"/>
    <s v="64-2335608-"/>
    <s v="camilo.martinez@redsalud.gob.cl"/>
    <x v="14"/>
    <m/>
    <n v="0"/>
    <m/>
    <n v="0"/>
    <n v="0"/>
    <m/>
    <x v="1"/>
  </r>
  <r>
    <s v="SERVICIO DE SALUD OSORNO"/>
    <x v="0"/>
    <x v="71"/>
    <s v="Proyecto operacional"/>
    <s v="Enviado"/>
    <s v="22.01.001"/>
    <x v="72"/>
    <s v="4 servicios de cafetería, mas colación saludable para 20 personas en los meses de abril ?julio ?septiembre y diciembre del 2026. Con cargo a fondo extrapresupuestario SENDA-PAI"/>
    <x v="4"/>
    <x v="31"/>
    <n v="4"/>
    <n v="30"/>
    <x v="28"/>
    <x v="119"/>
    <x v="4"/>
    <x v="33"/>
    <x v="41"/>
    <x v="46"/>
    <s v="64-2335608-"/>
    <s v="camilo.martinez@redsalud.gob.cl"/>
    <x v="22"/>
    <m/>
    <n v="0"/>
    <m/>
    <n v="0"/>
    <n v="0"/>
    <m/>
    <x v="1"/>
  </r>
  <r>
    <s v="SERVICIO DE SALUD OSORNO"/>
    <x v="0"/>
    <x v="71"/>
    <s v="Proyecto operacional"/>
    <s v="Enviado"/>
    <s v="22.01.001"/>
    <x v="72"/>
    <s v="4 servicios de cafetería, mas colación saludable para 20 personas en los meses de abril ?julio ?septiembre y diciembre del 2026. Con cargo a fondo extrapresupuestario SENDA-PAI"/>
    <x v="4"/>
    <x v="31"/>
    <n v="4"/>
    <n v="30"/>
    <x v="28"/>
    <x v="119"/>
    <x v="4"/>
    <x v="26"/>
    <x v="41"/>
    <x v="46"/>
    <s v="64-2335608-"/>
    <s v="camilo.martinez@redsalud.gob.cl"/>
    <x v="16"/>
    <m/>
    <n v="0"/>
    <m/>
    <n v="0"/>
    <n v="0"/>
    <m/>
    <x v="1"/>
  </r>
  <r>
    <s v="SERVICIO DE SALUD OSORNO"/>
    <x v="0"/>
    <x v="71"/>
    <s v="Proyecto operacional"/>
    <s v="Enviado"/>
    <s v="22.01.001"/>
    <x v="72"/>
    <s v="4 servicios de cafetería, mas colación saludable para 20 personas en los meses de abril ?julio ?septiembre y diciembre del 2026. Con cargo a fondo extrapresupuestario SENDA-PAI"/>
    <x v="4"/>
    <x v="31"/>
    <n v="4"/>
    <n v="30"/>
    <x v="28"/>
    <x v="119"/>
    <x v="4"/>
    <x v="29"/>
    <x v="41"/>
    <x v="46"/>
    <s v="64-2335608-"/>
    <s v="camilo.martinez@redsalud.gob.cl"/>
    <x v="23"/>
    <m/>
    <n v="0"/>
    <m/>
    <n v="0"/>
    <n v="0"/>
    <m/>
    <x v="1"/>
  </r>
  <r>
    <s v="SERVICIO DE SALUD OSORNO"/>
    <x v="0"/>
    <x v="72"/>
    <s v="Proyecto operacional"/>
    <s v="Enviado"/>
    <s v="22.04.015"/>
    <x v="73"/>
    <s v="5 Kits Torre PRO48, Sistema Aero/Hidropónico vertical con macetero de 40 lts con ruedas para mover con mayor facilidad en superficies planas. Capacidad de hasta 48 plantas. Incluye fertilizantes y plantas seleccionadas a elección. Se requiere para el mes de marzo 2026. Con cargo a presupuesto de SSO."/>
    <x v="1"/>
    <x v="74"/>
    <n v="4"/>
    <n v="6"/>
    <x v="83"/>
    <x v="60"/>
    <x v="4"/>
    <x v="32"/>
    <x v="41"/>
    <x v="46"/>
    <s v="64-2335608-"/>
    <s v="camilo.martinez@redsalud.gob.cl"/>
    <x v="21"/>
    <m/>
    <n v="0"/>
    <m/>
    <n v="0"/>
    <n v="0"/>
    <m/>
    <x v="1"/>
  </r>
  <r>
    <s v="SERVICIO DE SALUD OSORNO"/>
    <x v="0"/>
    <x v="73"/>
    <s v="Proyecto operacional"/>
    <s v="Enviado"/>
    <s v="22.04.001"/>
    <x v="74"/>
    <s v="Garantizar disponibilidad de medicamentos para el tratamiento de los usuarios. Realizar correctamente la dispensación de medicamentos a los usuarios, con la correspondiente etiqueta y comprobante de entrega de fármacos. INSUMOS SE REQUIEREN PARA EL MES DE ENERO 2026"/>
    <x v="1"/>
    <x v="75"/>
    <n v="4"/>
    <n v="10"/>
    <x v="84"/>
    <x v="117"/>
    <x v="4"/>
    <x v="35"/>
    <x v="41"/>
    <x v="46"/>
    <s v="64-2335608-"/>
    <s v="camilo.martinez@redsalud.gob.cl"/>
    <x v="13"/>
    <m/>
    <n v="0"/>
    <m/>
    <n v="0"/>
    <n v="0"/>
    <m/>
    <x v="1"/>
  </r>
  <r>
    <s v="SERVICIO DE SALUD OSORNO"/>
    <x v="0"/>
    <x v="74"/>
    <s v="Proyecto operacional"/>
    <s v="Enviado"/>
    <s v="22.01.001"/>
    <x v="75"/>
    <s v="Se requiere servicio de cafetería con pertinencia cultural, para jornadas de Capacitación a dotación de COSAM Rahue y Comunidad Mapuche Huilliche, en el contexto de cambio a nuevas instalaciones, la incorporación de Facilitador Intercultural, el aumento de dotación de funcionarios de COSAM Rahue. Lo anterior trae desafíos para la implementación de Salud Mental Intercultural que se espera abordad a través de capacitación continua como una de las estrategias. Se programan 1 jornada en el mes de mayo y otra en noviembre. Con cargo a SENDA-PAI"/>
    <x v="0"/>
    <x v="32"/>
    <n v="4"/>
    <n v="100"/>
    <x v="28"/>
    <x v="121"/>
    <x v="4"/>
    <x v="31"/>
    <x v="41"/>
    <x v="46"/>
    <s v="64-2335608-"/>
    <s v="camilo.martinez@redsalud.gob.cl"/>
    <x v="20"/>
    <m/>
    <n v="0"/>
    <m/>
    <n v="0"/>
    <n v="0"/>
    <m/>
    <x v="1"/>
  </r>
  <r>
    <s v="SERVICIO DE SALUD OSORNO"/>
    <x v="0"/>
    <x v="74"/>
    <s v="Proyecto operacional"/>
    <s v="Enviado"/>
    <s v="22.01.001"/>
    <x v="75"/>
    <s v="Se requiere servicio de cafetería con pertinencia cultural, para jornadas de Capacitación a dotación de COSAM Rahue y Comunidad Mapuche Huilliche, en el contexto de cambio a nuevas instalaciones, la incorporación de Facilitador Intercultural, el aumento de dotación de funcionarios de COSAM Rahue. Lo anterior trae desafíos para la implementación de Salud Mental Intercultural que se espera abordad a través de capacitación continua como una de las estrategias. Se programan 1 jornada en el mes de mayo y otra en noviembre. Con cargo a SENDA-PAI"/>
    <x v="0"/>
    <x v="32"/>
    <n v="4"/>
    <n v="100"/>
    <x v="28"/>
    <x v="121"/>
    <x v="4"/>
    <x v="31"/>
    <x v="41"/>
    <x v="46"/>
    <s v="64-2335608-"/>
    <s v="camilo.martinez@redsalud.gob.cl"/>
    <x v="18"/>
    <m/>
    <n v="0"/>
    <m/>
    <n v="0"/>
    <n v="0"/>
    <m/>
    <x v="1"/>
  </r>
  <r>
    <s v="SERVICIO DE SALUD OSORNO"/>
    <x v="0"/>
    <x v="75"/>
    <s v="Proyecto operacional"/>
    <s v="Enviado"/>
    <s v="22.01.001"/>
    <x v="76"/>
    <s v="Se requiere contratación de servicio de cafetería con pertinencia cultural, a fin de llevar a cabo Celebración de We Tripantu, ceremonia que marca el nuevo ciclo para la comunidad Mapuche Huilliche. Está programada para el viernes 19 de junio de 2026, con la participación de 140 personas entre usuarios y participantes de la comunidad del territorio de COSAM Rahue. Con cargo a fondo extrapresupuestario SENDA-PAI"/>
    <x v="1"/>
    <x v="32"/>
    <n v="4"/>
    <n v="140"/>
    <x v="28"/>
    <x v="122"/>
    <x v="4"/>
    <x v="25"/>
    <x v="41"/>
    <x v="46"/>
    <s v="64-2335608-"/>
    <s v="camilo.martinez@redsalud.gob.cl"/>
    <x v="15"/>
    <m/>
    <n v="0"/>
    <m/>
    <n v="0"/>
    <n v="0"/>
    <m/>
    <x v="1"/>
  </r>
  <r>
    <s v="SERVICIO DE SALUD OSORNO"/>
    <x v="0"/>
    <x v="76"/>
    <s v="Proyecto operacional"/>
    <s v="Enviado"/>
    <s v="22.01.001"/>
    <x v="77"/>
    <s v="Servicio de cafetería para jornada Autocuidado programa PAI COSAM Rahue, para 30 personas, en el mes de septiembre 2026. Con cargo a fondo extrapresupuestario SENDA-PAI"/>
    <x v="1"/>
    <x v="32"/>
    <n v="4"/>
    <n v="30"/>
    <x v="28"/>
    <x v="119"/>
    <x v="4"/>
    <x v="36"/>
    <x v="41"/>
    <x v="46"/>
    <s v="64-2335608-"/>
    <s v="camilo.martinez@redsalud.gob.cl"/>
    <x v="24"/>
    <m/>
    <n v="0"/>
    <m/>
    <n v="0"/>
    <n v="0"/>
    <m/>
    <x v="1"/>
  </r>
  <r>
    <s v="SERVICIO DE SALUD OSORNO"/>
    <x v="1"/>
    <x v="77"/>
    <s v="Proyecto operacional"/>
    <s v="Enviado"/>
    <s v="22.01.001"/>
    <x v="78"/>
    <s v="1 servicio de cafetería para 50 personas para ceremonia alta de Programa SENDA-PAI COSAM Rahue, en el mes de agosto de 2026."/>
    <x v="1"/>
    <x v="32"/>
    <n v="4"/>
    <n v="50"/>
    <x v="28"/>
    <x v="45"/>
    <x v="4"/>
    <x v="36"/>
    <x v="41"/>
    <x v="46"/>
    <s v="64-2335608-"/>
    <s v="camilo.martinez@redsalud.gob.cl"/>
    <x v="24"/>
    <m/>
    <n v="0"/>
    <m/>
    <n v="0"/>
    <n v="0"/>
    <m/>
    <x v="1"/>
  </r>
  <r>
    <s v="SERVICIO DE SALUD OSORNO"/>
    <x v="0"/>
    <x v="78"/>
    <s v="Proyecto operacional"/>
    <s v="Enviado"/>
    <s v="22.12.999"/>
    <x v="79"/>
    <s v="Se requiere la contratación del servicio denominado Hogar Protegido Mujeres (beneficiarios 8 usuarios) para usuarios/as por un periodo de 12 meses. Vigencia desde el 22 de marzo de 2026 al 23 de marzo de 2027. Incluye: $ 35.500 valor prestación Día Hogar Protegido (6 usuarios). $ 54.145 valor prestación categoría 2 (1 usuario) $ 65.546 valor prestación categoría 3 (1 usuario)"/>
    <x v="5"/>
    <x v="76"/>
    <n v="4"/>
    <n v="6"/>
    <x v="50"/>
    <x v="123"/>
    <x v="11"/>
    <x v="37"/>
    <x v="12"/>
    <x v="33"/>
    <s v="64-2335813-"/>
    <s v="angelo.palma@redsalud.gob.cl"/>
    <x v="21"/>
    <m/>
    <n v="0"/>
    <m/>
    <n v="0"/>
    <n v="0"/>
    <m/>
    <x v="1"/>
  </r>
  <r>
    <s v="SERVICIO DE SALUD OSORNO"/>
    <x v="0"/>
    <x v="78"/>
    <s v="Proyecto operacional"/>
    <s v="Enviado"/>
    <s v="22.12.999"/>
    <x v="79"/>
    <s v="Se requiere la contratación del servicio denominado Hogar Protegido Mujeres (beneficiarios 8 usuarios) para usuarios/as por un periodo de 12 meses. Vigencia desde el 22 de marzo de 2026 al 23 de marzo de 2027. Incluye: $ 35.500 valor prestación Día Hogar Protegido (6 usuarios). $ 54.145 valor prestación categoría 2 (1 usuario) $ 65.546 valor prestación categoría 3 (1 usuario)"/>
    <x v="5"/>
    <x v="77"/>
    <n v="4"/>
    <n v="1"/>
    <x v="85"/>
    <x v="124"/>
    <x v="11"/>
    <x v="37"/>
    <x v="12"/>
    <x v="33"/>
    <s v="64-2335813-"/>
    <s v="angelo.palma@redsalud.gob.cl"/>
    <x v="21"/>
    <m/>
    <n v="0"/>
    <m/>
    <n v="0"/>
    <n v="0"/>
    <m/>
    <x v="1"/>
  </r>
  <r>
    <s v="SERVICIO DE SALUD OSORNO"/>
    <x v="0"/>
    <x v="78"/>
    <s v="Proyecto operacional"/>
    <s v="Enviado"/>
    <s v="22.12.999"/>
    <x v="79"/>
    <s v="Se requiere la contratación del servicio denominado Hogar Protegido Mujeres (beneficiarios 8 usuarios) para usuarios/as por un periodo de 12 meses. Vigencia desde el 22 de marzo de 2026 al 23 de marzo de 2027. Incluye: $ 35.500 valor prestación Día Hogar Protegido (6 usuarios). $ 54.145 valor prestación categoría 2 (1 usuario) $ 65.546 valor prestación categoría 3 (1 usuario)"/>
    <x v="5"/>
    <x v="77"/>
    <n v="4"/>
    <n v="1"/>
    <x v="51"/>
    <x v="125"/>
    <x v="11"/>
    <x v="37"/>
    <x v="12"/>
    <x v="33"/>
    <s v="64-2335813-"/>
    <s v="angelo.palma@redsalud.gob.cl"/>
    <x v="21"/>
    <m/>
    <n v="0"/>
    <m/>
    <n v="0"/>
    <n v="0"/>
    <m/>
    <x v="1"/>
  </r>
  <r>
    <s v="SERVICIO DE SALUD OSORNO"/>
    <x v="1"/>
    <x v="79"/>
    <s v="Proyecto operacional"/>
    <s v="Enviado"/>
    <s v="22.04.001"/>
    <x v="80"/>
    <s v="Se requiere adquirir anilladora e insumos para la elaboración de material de trabajo y difusión para el mes de febrero. Lo anterior con cargo a fondo extrapresupuestario SENDA PAI."/>
    <x v="1"/>
    <x v="43"/>
    <n v="4"/>
    <n v="20"/>
    <x v="86"/>
    <x v="126"/>
    <x v="4"/>
    <x v="38"/>
    <x v="41"/>
    <x v="46"/>
    <s v="64-2335608-"/>
    <s v="camilo.martinez@redsalud.gob.cl"/>
    <x v="19"/>
    <m/>
    <n v="0"/>
    <m/>
    <n v="0"/>
    <n v="0"/>
    <m/>
    <x v="1"/>
  </r>
  <r>
    <s v="SERVICIO DE SALUD OSORNO"/>
    <x v="0"/>
    <x v="80"/>
    <s v="Proyecto operacional"/>
    <s v="Enviado"/>
    <s v="22.01.001"/>
    <x v="81"/>
    <s v="Se requiere servicio de cafetería para 150 personas para el mes de mayo 2026. Se espera: ? La participación de Directivos del Servicio de Salud Osorno, funcionarios de COSAM Rahue, usuarios y comunidad."/>
    <x v="1"/>
    <x v="32"/>
    <n v="4"/>
    <n v="150"/>
    <x v="28"/>
    <x v="127"/>
    <x v="4"/>
    <x v="31"/>
    <x v="41"/>
    <x v="46"/>
    <s v="64-2335608-"/>
    <s v="camilo.martinez@redsalud.gob.cl"/>
    <x v="20"/>
    <m/>
    <n v="0"/>
    <m/>
    <n v="0"/>
    <n v="0"/>
    <m/>
    <x v="1"/>
  </r>
  <r>
    <s v="SERVICIO DE SALUD OSORNO"/>
    <x v="1"/>
    <x v="81"/>
    <s v="Proyecto operacional"/>
    <s v="Enviado"/>
    <s v="22.01.001"/>
    <x v="82"/>
    <s v="Se requiere la contratación de 2 servicios de cafetería para jornadas de autocuidado de la comunidad funcionaria para 100 personas cada uno: mes de junio y mes de diciembre. La contratación de este servicio será cargada a fondos extrapresupuestarios SENDA-PAI"/>
    <x v="0"/>
    <x v="32"/>
    <n v="4"/>
    <n v="100"/>
    <x v="28"/>
    <x v="121"/>
    <x v="4"/>
    <x v="25"/>
    <x v="41"/>
    <x v="46"/>
    <s v="64-2335608-"/>
    <s v="camilo.martinez@redsalud.gob.cl"/>
    <x v="15"/>
    <m/>
    <n v="0"/>
    <m/>
    <n v="0"/>
    <n v="0"/>
    <m/>
    <x v="1"/>
  </r>
  <r>
    <s v="SERVICIO DE SALUD OSORNO"/>
    <x v="1"/>
    <x v="81"/>
    <s v="Proyecto operacional"/>
    <s v="Enviado"/>
    <s v="22.01.001"/>
    <x v="82"/>
    <s v="Se requiere la contratación de 2 servicios de cafetería para jornadas de autocuidado de la comunidad funcionaria para 100 personas cada uno: mes de junio y mes de diciembre. La contratación de este servicio será cargada a fondos extrapresupuestarios SENDA-PAI"/>
    <x v="0"/>
    <x v="32"/>
    <n v="4"/>
    <n v="100"/>
    <x v="28"/>
    <x v="121"/>
    <x v="4"/>
    <x v="29"/>
    <x v="41"/>
    <x v="46"/>
    <s v="64-2335608-"/>
    <s v="camilo.martinez@redsalud.gob.cl"/>
    <x v="23"/>
    <m/>
    <n v="0"/>
    <m/>
    <n v="0"/>
    <n v="0"/>
    <m/>
    <x v="1"/>
  </r>
  <r>
    <s v="SERVICIO DE SALUD OSORNO"/>
    <x v="1"/>
    <x v="82"/>
    <s v="Proyecto operacional"/>
    <s v="Enviado"/>
    <s v="22.01.001"/>
    <x v="83"/>
    <s v="Se requiere la compra de insumos de alimentación para actividad de celebración de fiestas patrias con usuarios y cuidadores de Programa de Atención Domiciliaria, Programa Calle, Programa SENDA PAI, Consejo Consultivo Adulto e Infanto-adolescente y usuarios de talleres, para el 04/09/2026. Con cargo a fondo extrapresupuestario SENDA-PAI"/>
    <x v="1"/>
    <x v="78"/>
    <n v="4"/>
    <n v="100"/>
    <x v="87"/>
    <x v="128"/>
    <x v="4"/>
    <x v="26"/>
    <x v="41"/>
    <x v="46"/>
    <s v="64-2335608-"/>
    <s v="camilo.martinez@redsalud.gob.cl"/>
    <x v="16"/>
    <m/>
    <n v="0"/>
    <m/>
    <n v="0"/>
    <n v="0"/>
    <m/>
    <x v="1"/>
  </r>
  <r>
    <s v="SERVICIO DE SALUD OSORNO"/>
    <x v="0"/>
    <x v="83"/>
    <s v="Proyecto operacional"/>
    <s v="Enviado"/>
    <s v="22.04.001"/>
    <x v="84"/>
    <s v="Compra de articulos de libreria para el funiconamiento del Equipo Rural de Rehabilitación (marzo 2026)"/>
    <x v="1"/>
    <x v="43"/>
    <n v="4"/>
    <n v="100"/>
    <x v="88"/>
    <x v="129"/>
    <x v="4"/>
    <x v="32"/>
    <x v="37"/>
    <x v="42"/>
    <s v="64-2335807-"/>
    <s v="karin.avila@redsalud.gob.cl"/>
    <x v="21"/>
    <m/>
    <n v="0"/>
    <m/>
    <n v="0"/>
    <n v="0"/>
    <m/>
    <x v="1"/>
  </r>
  <r>
    <s v="SERVICIO DE SALUD OSORNO"/>
    <x v="1"/>
    <x v="84"/>
    <s v="Proyecto operacional"/>
    <s v="Enviado"/>
    <s v="22.04.001"/>
    <x v="85"/>
    <s v="Compra de material de ergoterapia para el funiconamiento del Equipo Rural de Rehabilitación"/>
    <x v="1"/>
    <x v="79"/>
    <n v="4"/>
    <n v="5"/>
    <x v="89"/>
    <x v="130"/>
    <x v="4"/>
    <x v="32"/>
    <x v="37"/>
    <x v="42"/>
    <s v="64-2335807-"/>
    <s v="karin.avila@redsalud.gob.cl"/>
    <x v="21"/>
    <m/>
    <n v="0"/>
    <m/>
    <n v="0"/>
    <n v="0"/>
    <m/>
    <x v="1"/>
  </r>
  <r>
    <s v="SERVICIO DE SALUD OSORNO"/>
    <x v="0"/>
    <x v="85"/>
    <s v="Proyecto operacional"/>
    <s v="Enviado"/>
    <s v="22.12.999"/>
    <x v="86"/>
    <s v="Se requiere la contratación del servicio denominado Residencia Protegida (beneficiarios 3 usuarios) para usuarios/as por un periodo de 24 meses. Vigencia desde el 31 de marzo de 2026 al 1 de abril de 2028. $ 54.154 valor prestación Día residencia Protegida (3 usuarios). Estos usuarias cuentan actualmente con domicilio en la comuna de Hualqui, derivados bajo la responsabilidad de nuestro Servicio de Salud."/>
    <x v="1"/>
    <x v="80"/>
    <n v="4"/>
    <n v="3"/>
    <x v="90"/>
    <x v="131"/>
    <x v="1"/>
    <x v="39"/>
    <x v="12"/>
    <x v="33"/>
    <s v="64-2335813-"/>
    <s v="angelo.palma@redsalud.gob.cl"/>
    <x v="21"/>
    <m/>
    <n v="0"/>
    <m/>
    <n v="0"/>
    <n v="0"/>
    <m/>
    <x v="1"/>
  </r>
  <r>
    <s v="SERVICIO DE SALUD OSORNO"/>
    <x v="0"/>
    <x v="86"/>
    <s v="Proyecto operacional"/>
    <s v="Enviado"/>
    <s v="22.04.001"/>
    <x v="87"/>
    <s v="Se requiere la compra de 50 Rollos Etiquetas para impresora ZEBRA ZD 888T y 50 rollos de cinta para impresora SOME para el mes de enero 2026."/>
    <x v="1"/>
    <x v="69"/>
    <n v="4"/>
    <n v="70"/>
    <x v="91"/>
    <x v="132"/>
    <x v="4"/>
    <x v="35"/>
    <x v="41"/>
    <x v="46"/>
    <s v="64-2335608-"/>
    <s v="camilo.martinez@redsalud.gob.cl"/>
    <x v="13"/>
    <m/>
    <n v="0"/>
    <m/>
    <n v="0"/>
    <n v="0"/>
    <m/>
    <x v="1"/>
  </r>
  <r>
    <s v="SERVICIO DE SALUD OSORNO"/>
    <x v="0"/>
    <x v="87"/>
    <s v="Proyecto operacional"/>
    <s v="Enviado"/>
    <s v="22.12.999"/>
    <x v="88"/>
    <s v="Se requiere la contratación del servicio denominado Residencia Protegida alta complejidad (beneficiarios 10 usuarios) para usuarios/as por un periodo de 12 meses. Vigencia desde el 15 de marzo de 2026 al 16 de marzo de 2027. $ 81.432 valor prestación Día residencia Protegida alta complejidad (10 usuarios)."/>
    <x v="1"/>
    <x v="80"/>
    <n v="4"/>
    <n v="10"/>
    <x v="92"/>
    <x v="133"/>
    <x v="11"/>
    <x v="37"/>
    <x v="12"/>
    <x v="33"/>
    <s v="64-2335813-"/>
    <s v="angelo.palma@redsalud.gob.cl"/>
    <x v="21"/>
    <m/>
    <n v="0"/>
    <m/>
    <n v="0"/>
    <n v="0"/>
    <m/>
    <x v="1"/>
  </r>
  <r>
    <s v="SERVICIO DE SALUD OSORNO"/>
    <x v="0"/>
    <x v="88"/>
    <s v="Proyecto operacional"/>
    <s v="Enviado"/>
    <s v="22.04.007"/>
    <x v="89"/>
    <s v="Contar con insumos de aseo para el buen funcionamiento del dispositivo, no disponibles en maestro de abastecimiento. Insumos se requieren para el mes de marzo 2026."/>
    <x v="1"/>
    <x v="81"/>
    <n v="4"/>
    <n v="338"/>
    <x v="93"/>
    <x v="134"/>
    <x v="4"/>
    <x v="32"/>
    <x v="41"/>
    <x v="46"/>
    <s v="64-2335608-"/>
    <s v="camilo.martinez@redsalud.gob.cl"/>
    <x v="21"/>
    <m/>
    <n v="0"/>
    <m/>
    <n v="0"/>
    <n v="0"/>
    <m/>
    <x v="1"/>
  </r>
  <r>
    <s v="SERVICIO DE SALUD OSORNO"/>
    <x v="0"/>
    <x v="89"/>
    <s v="Proyecto operacional"/>
    <s v="Enviado"/>
    <s v="22.12.999.015"/>
    <x v="90"/>
    <s v="Compra Insumos de cafetería para reuniones mensuales Salud Pueblos Originarios, se proyectan 18 reuniones ordinarias (marzo a diciembre) con un aproximado de 365 personas."/>
    <x v="1"/>
    <x v="31"/>
    <n v="4"/>
    <n v="2107"/>
    <x v="94"/>
    <x v="135"/>
    <x v="4"/>
    <x v="32"/>
    <x v="42"/>
    <x v="47"/>
    <s v="64-2335814-"/>
    <s v="pedro.huito@redsalud.gob.cl"/>
    <x v="21"/>
    <m/>
    <n v="0"/>
    <m/>
    <n v="0"/>
    <n v="0"/>
    <m/>
    <x v="1"/>
  </r>
  <r>
    <s v="SERVICIO DE SALUD OSORNO"/>
    <x v="1"/>
    <x v="90"/>
    <s v="Proyecto operacional"/>
    <s v="Enviado"/>
    <s v="22.01.001"/>
    <x v="91"/>
    <s v="Insumos de cafetería para la ejecución de talleres, actividades grupales y psicoeducativas que se desarrollan con usuarios/as de Cosam Rahue y la comunidad para el año 2026, con cargo a fondo extrapresupuestario SENDA PAI. Se requiere compra para enero 2026."/>
    <x v="0"/>
    <x v="82"/>
    <n v="4"/>
    <n v="1200"/>
    <x v="95"/>
    <x v="136"/>
    <x v="4"/>
    <x v="35"/>
    <x v="41"/>
    <x v="46"/>
    <s v="64-2335608-"/>
    <s v="camilo.martinez@redsalud.gob.cl"/>
    <x v="13"/>
    <m/>
    <n v="0"/>
    <m/>
    <n v="0"/>
    <n v="0"/>
    <m/>
    <x v="1"/>
  </r>
  <r>
    <s v="SERVICIO DE SALUD OSORNO"/>
    <x v="1"/>
    <x v="90"/>
    <s v="Proyecto operacional"/>
    <s v="Enviado"/>
    <s v="22.01.001"/>
    <x v="91"/>
    <s v="Insumos de cafetería para la ejecución de talleres, actividades grupales y psicoeducativas que se desarrollan con usuarios/as de Cosam Rahue y la comunidad para el año 2026, con cargo a fondo extrapresupuestario SENDA PAI. Se requiere compra para enero 2026."/>
    <x v="0"/>
    <x v="11"/>
    <n v="4"/>
    <n v="94"/>
    <x v="96"/>
    <x v="137"/>
    <x v="4"/>
    <x v="35"/>
    <x v="41"/>
    <x v="46"/>
    <s v="64-2335608-"/>
    <s v="camilo.martinez@redsalud.gob.cl"/>
    <x v="13"/>
    <m/>
    <n v="0"/>
    <m/>
    <n v="0"/>
    <n v="0"/>
    <m/>
    <x v="1"/>
  </r>
  <r>
    <s v="SERVICIO DE SALUD OSORNO"/>
    <x v="1"/>
    <x v="91"/>
    <s v="Proyecto operacional"/>
    <s v="Enviado"/>
    <s v="22.04.001"/>
    <x v="92"/>
    <s v="Insumos de escritorio que no se encuentran en el maestro de Depto de Abastecimiento o que son insuficientes para el correcto funcionamiento del dispositivo. Se requieren para el mes de marzo 2026. con cargo a fondo extrapresupuestario SENDA-PAI"/>
    <x v="1"/>
    <x v="43"/>
    <n v="4"/>
    <n v="311"/>
    <x v="97"/>
    <x v="138"/>
    <x v="4"/>
    <x v="32"/>
    <x v="41"/>
    <x v="46"/>
    <s v="64-2335608-"/>
    <s v="camilo.martinez@redsalud.gob.cl"/>
    <x v="21"/>
    <m/>
    <n v="0"/>
    <m/>
    <n v="0"/>
    <n v="0"/>
    <m/>
    <x v="1"/>
  </r>
  <r>
    <s v="SERVICIO DE SALUD OSORNO"/>
    <x v="0"/>
    <x v="92"/>
    <s v="Proyecto operacional"/>
    <s v="Actualizado"/>
    <s v="22.04.999"/>
    <x v="93"/>
    <s v="En el contexto de atención clínica comunitaria, el equipo técnico-profesional de Cosam Rahue realiza acciones en la comunidad, tales como talleres, visitas domiciliarias y actividades al aire libre, por lo que se requiere protector solar para enero 2026."/>
    <x v="1"/>
    <x v="83"/>
    <n v="4"/>
    <n v="20"/>
    <x v="98"/>
    <x v="112"/>
    <x v="4"/>
    <x v="35"/>
    <x v="41"/>
    <x v="46"/>
    <s v="64-2335608-"/>
    <s v="camilo.martinez@redsalud.gob.cl"/>
    <x v="13"/>
    <m/>
    <n v="0"/>
    <m/>
    <n v="0"/>
    <n v="0"/>
    <m/>
    <x v="1"/>
  </r>
  <r>
    <s v="SERVICIO DE SALUD OSORNO"/>
    <x v="1"/>
    <x v="93"/>
    <s v="Proyecto operacional"/>
    <s v="Actualizado"/>
    <s v="22.04.009"/>
    <x v="94"/>
    <s v="Se requiere la compra de tinta de repuesto para la operatividad de impresoras que se utilizan para la elaboración de material a color para las diversas actividades de promoción y prevención, para el mes de abril 2026, con a SENDA-PAI."/>
    <x v="1"/>
    <x v="84"/>
    <n v="4"/>
    <n v="5"/>
    <x v="99"/>
    <x v="139"/>
    <x v="4"/>
    <x v="24"/>
    <x v="41"/>
    <x v="46"/>
    <s v="64-2335608-"/>
    <s v="camilo.martinez@redsalud.gob.cl"/>
    <x v="14"/>
    <m/>
    <n v="0"/>
    <m/>
    <n v="0"/>
    <n v="0"/>
    <m/>
    <x v="1"/>
  </r>
  <r>
    <s v="SERVICIO DE SALUD OSORNO"/>
    <x v="1"/>
    <x v="94"/>
    <s v="Proyecto operacional"/>
    <s v="Enviado"/>
    <s v="22.01.001"/>
    <x v="95"/>
    <s v="Se requiere adquirir insumos alimenticios para usuarios pertenecientes al Programa para personas en situación de calle con consumo de alcohol y otras drogas. Lo anterior con cargo a fondo extrapresupuestario SENDA PAI"/>
    <x v="1"/>
    <x v="31"/>
    <n v="4"/>
    <n v="290"/>
    <x v="100"/>
    <x v="140"/>
    <x v="4"/>
    <x v="32"/>
    <x v="41"/>
    <x v="46"/>
    <s v="64-2335608-"/>
    <s v="camilo.martinez@redsalud.gob.cl"/>
    <x v="21"/>
    <m/>
    <n v="0"/>
    <m/>
    <n v="0"/>
    <n v="0"/>
    <m/>
    <x v="1"/>
  </r>
  <r>
    <s v="SERVICIO DE SALUD OSORNO"/>
    <x v="0"/>
    <x v="95"/>
    <s v="Proyecto operacional"/>
    <s v="Actualizado"/>
    <s v="22.04.003"/>
    <x v="96"/>
    <s v="Se requiere la adquisición de test de detección de drogas con capacidad para reconocer nueve o más tipos de sustancias, destinados a procesos de evaluación y control del programa. Los test deberán venir en envases individuales sellados, garantizando higiene y seguridad. Su diseño debe evitar el contacto directo con la orina, mediante sistema de activación tipo llave o mecanismo interno, asegurando fiabilidad, trazabilidad y resultados confiables. Ejecución: octubre 2026."/>
    <x v="1"/>
    <x v="85"/>
    <n v="4"/>
    <n v="100"/>
    <x v="101"/>
    <x v="141"/>
    <x v="4"/>
    <x v="27"/>
    <x v="43"/>
    <x v="48"/>
    <s v="64-2335492-"/>
    <s v="CAROLINA.SILVALL@REDSALUD.GOB.CL"/>
    <x v="17"/>
    <m/>
    <n v="0"/>
    <m/>
    <n v="0"/>
    <n v="0"/>
    <m/>
    <x v="1"/>
  </r>
  <r>
    <s v="SERVICIO DE SALUD OSORNO"/>
    <x v="1"/>
    <x v="96"/>
    <s v="Proyecto operacional"/>
    <s v="Enviado"/>
    <s v="22.01.001"/>
    <x v="97"/>
    <s v="Estos espacios buscan generar un ambiente de confianza, cercanía y participación activa de los usuarios, por lo que ofrecen un momento de compartir alimentos contribuye directamente a los objetivos terapéuticos. Otros materiales contribuyen en el manejo de ansiedad (como bolsas de papel Kraft, pelotas antiestrés, pañuelos desechables), y permite enseñar técnicas de manejo de síntomas ansiosos."/>
    <x v="6"/>
    <x v="31"/>
    <n v="4"/>
    <n v="69"/>
    <x v="102"/>
    <x v="142"/>
    <x v="4"/>
    <x v="32"/>
    <x v="44"/>
    <x v="24"/>
    <s v="64-2335610-"/>
    <s v="pedro.fritz@redsalud.gob.cl"/>
    <x v="21"/>
    <m/>
    <n v="0"/>
    <m/>
    <n v="0"/>
    <n v="0"/>
    <m/>
    <x v="1"/>
  </r>
  <r>
    <s v="SERVICIO DE SALUD OSORNO"/>
    <x v="1"/>
    <x v="96"/>
    <s v="Proyecto operacional"/>
    <s v="Enviado"/>
    <s v="22.01.001"/>
    <x v="97"/>
    <s v="Estos espacios buscan generar un ambiente de confianza, cercanía y participación activa de los usuarios, por lo que ofrecen un momento de compartir alimentos contribuye directamente a los objetivos terapéuticos. Otros materiales contribuyen en el manejo de ansiedad (como bolsas de papel Kraft, pelotas antiestrés, pañuelos desechables), y permite enseñar técnicas de manejo de síntomas ansiosos."/>
    <x v="6"/>
    <x v="11"/>
    <n v="4"/>
    <n v="9"/>
    <x v="103"/>
    <x v="143"/>
    <x v="4"/>
    <x v="32"/>
    <x v="44"/>
    <x v="24"/>
    <s v="64-2335610-"/>
    <s v="pedro.fritz@redsalud.gob.cl"/>
    <x v="21"/>
    <m/>
    <n v="0"/>
    <m/>
    <n v="0"/>
    <n v="0"/>
    <m/>
    <x v="1"/>
  </r>
  <r>
    <s v="SERVICIO DE SALUD OSORNO"/>
    <x v="1"/>
    <x v="96"/>
    <s v="Proyecto operacional"/>
    <s v="Enviado"/>
    <s v="22.01.001"/>
    <x v="97"/>
    <s v="Estos espacios buscan generar un ambiente de confianza, cercanía y participación activa de los usuarios, por lo que ofrecen un momento de compartir alimentos contribuye directamente a los objetivos terapéuticos. Otros materiales contribuyen en el manejo de ansiedad (como bolsas de papel Kraft, pelotas antiestrés, pañuelos desechables), y permite enseñar técnicas de manejo de síntomas ansiosos."/>
    <x v="6"/>
    <x v="86"/>
    <n v="4"/>
    <n v="3"/>
    <x v="104"/>
    <x v="144"/>
    <x v="4"/>
    <x v="32"/>
    <x v="44"/>
    <x v="24"/>
    <s v="64-2335610-"/>
    <s v="pedro.fritz@redsalud.gob.cl"/>
    <x v="21"/>
    <m/>
    <n v="0"/>
    <m/>
    <n v="0"/>
    <n v="0"/>
    <m/>
    <x v="1"/>
  </r>
  <r>
    <s v="SERVICIO DE SALUD OSORNO"/>
    <x v="1"/>
    <x v="96"/>
    <s v="Proyecto operacional"/>
    <s v="Enviado"/>
    <s v="22.01.001"/>
    <x v="97"/>
    <s v="Estos espacios buscan generar un ambiente de confianza, cercanía y participación activa de los usuarios, por lo que ofrecen un momento de compartir alimentos contribuye directamente a los objetivos terapéuticos. Otros materiales contribuyen en el manejo de ansiedad (como bolsas de papel Kraft, pelotas antiestrés, pañuelos desechables), y permite enseñar técnicas de manejo de síntomas ansiosos."/>
    <x v="6"/>
    <x v="87"/>
    <n v="4"/>
    <n v="2"/>
    <x v="105"/>
    <x v="145"/>
    <x v="4"/>
    <x v="32"/>
    <x v="44"/>
    <x v="24"/>
    <s v="64-2335610-"/>
    <s v="pedro.fritz@redsalud.gob.cl"/>
    <x v="21"/>
    <m/>
    <n v="0"/>
    <m/>
    <n v="0"/>
    <n v="0"/>
    <m/>
    <x v="1"/>
  </r>
  <r>
    <s v="SERVICIO DE SALUD OSORNO"/>
    <x v="0"/>
    <x v="97"/>
    <s v="Proyecto operacional"/>
    <s v="Enviado"/>
    <s v="22.04"/>
    <x v="98"/>
    <s v="Los insumos clínicos son elementos fundamentales para la prestación de cuidados de enfermería entregados en COSAM Oriente. Estos materiales permiten que el personal de enfermería pueda cumplir con las funciones de tomas de muestras y procedimientos, para garantizar una atención segura y de calidad a la población usuaria. Es importante que la adquisición sea entre los meses de febrero y marzo 2026, para evitar quiebre de stock de insumos clínicos."/>
    <x v="4"/>
    <x v="88"/>
    <n v="4"/>
    <n v="18"/>
    <x v="106"/>
    <x v="146"/>
    <x v="4"/>
    <x v="38"/>
    <x v="44"/>
    <x v="24"/>
    <s v="64-2335610-"/>
    <s v="pedro.fritz@redsalud.gob.cl"/>
    <x v="19"/>
    <m/>
    <n v="0"/>
    <m/>
    <n v="0"/>
    <n v="0"/>
    <m/>
    <x v="1"/>
  </r>
  <r>
    <s v="SERVICIO DE SALUD OSORNO"/>
    <x v="0"/>
    <x v="97"/>
    <s v="Proyecto operacional"/>
    <s v="Enviado"/>
    <s v="22.04"/>
    <x v="98"/>
    <s v="Los insumos clínicos son elementos fundamentales para la prestación de cuidados de enfermería entregados en COSAM Oriente. Estos materiales permiten que el personal de enfermería pueda cumplir con las funciones de tomas de muestras y procedimientos, para garantizar una atención segura y de calidad a la población usuaria. Es importante que la adquisición sea entre los meses de febrero y marzo 2026, para evitar quiebre de stock de insumos clínicos."/>
    <x v="4"/>
    <x v="89"/>
    <n v="4"/>
    <n v="39"/>
    <x v="107"/>
    <x v="147"/>
    <x v="4"/>
    <x v="38"/>
    <x v="44"/>
    <x v="24"/>
    <s v="64-2335610-"/>
    <s v="pedro.fritz@redsalud.gob.cl"/>
    <x v="19"/>
    <m/>
    <n v="0"/>
    <m/>
    <n v="0"/>
    <n v="0"/>
    <m/>
    <x v="1"/>
  </r>
  <r>
    <s v="SERVICIO DE SALUD OSORNO"/>
    <x v="0"/>
    <x v="97"/>
    <s v="Proyecto operacional"/>
    <s v="Enviado"/>
    <s v="22.04"/>
    <x v="98"/>
    <s v="Los insumos clínicos son elementos fundamentales para la prestación de cuidados de enfermería entregados en COSAM Oriente. Estos materiales permiten que el personal de enfermería pueda cumplir con las funciones de tomas de muestras y procedimientos, para garantizar una atención segura y de calidad a la población usuaria. Es importante que la adquisición sea entre los meses de febrero y marzo 2026, para evitar quiebre de stock de insumos clínicos."/>
    <x v="4"/>
    <x v="90"/>
    <n v="4"/>
    <n v="2"/>
    <x v="108"/>
    <x v="148"/>
    <x v="4"/>
    <x v="38"/>
    <x v="44"/>
    <x v="24"/>
    <s v="64-2335610-"/>
    <s v="pedro.fritz@redsalud.gob.cl"/>
    <x v="19"/>
    <m/>
    <n v="0"/>
    <m/>
    <n v="0"/>
    <n v="0"/>
    <m/>
    <x v="1"/>
  </r>
  <r>
    <s v="SERVICIO DE SALUD OSORNO"/>
    <x v="0"/>
    <x v="97"/>
    <s v="Proyecto operacional"/>
    <s v="Enviado"/>
    <s v="22.04"/>
    <x v="98"/>
    <s v="Los insumos clínicos son elementos fundamentales para la prestación de cuidados de enfermería entregados en COSAM Oriente. Estos materiales permiten que el personal de enfermería pueda cumplir con las funciones de tomas de muestras y procedimientos, para garantizar una atención segura y de calidad a la población usuaria. Es importante que la adquisición sea entre los meses de febrero y marzo 2026, para evitar quiebre de stock de insumos clínicos."/>
    <x v="4"/>
    <x v="91"/>
    <n v="4"/>
    <n v="50"/>
    <x v="109"/>
    <x v="149"/>
    <x v="4"/>
    <x v="38"/>
    <x v="44"/>
    <x v="24"/>
    <s v="64-2335610-"/>
    <s v="pedro.fritz@redsalud.gob.cl"/>
    <x v="19"/>
    <m/>
    <n v="0"/>
    <m/>
    <n v="0"/>
    <n v="0"/>
    <m/>
    <x v="1"/>
  </r>
  <r>
    <s v="SERVICIO DE SALUD OSORNO"/>
    <x v="0"/>
    <x v="97"/>
    <s v="Proyecto operacional"/>
    <s v="Enviado"/>
    <s v="22.04"/>
    <x v="98"/>
    <s v="Los insumos clínicos son elementos fundamentales para la prestación de cuidados de enfermería entregados en COSAM Oriente. Estos materiales permiten que el personal de enfermería pueda cumplir con las funciones de tomas de muestras y procedimientos, para garantizar una atención segura y de calidad a la población usuaria. Es importante que la adquisición sea entre los meses de febrero y marzo 2026, para evitar quiebre de stock de insumos clínicos."/>
    <x v="4"/>
    <x v="92"/>
    <n v="4"/>
    <n v="1"/>
    <x v="110"/>
    <x v="150"/>
    <x v="4"/>
    <x v="38"/>
    <x v="44"/>
    <x v="24"/>
    <s v="64-2335610-"/>
    <s v="pedro.fritz@redsalud.gob.cl"/>
    <x v="19"/>
    <m/>
    <n v="0"/>
    <m/>
    <n v="0"/>
    <n v="0"/>
    <m/>
    <x v="1"/>
  </r>
  <r>
    <s v="SERVICIO DE SALUD OSORNO"/>
    <x v="0"/>
    <x v="97"/>
    <s v="Proyecto operacional"/>
    <s v="Enviado"/>
    <s v="22.04"/>
    <x v="98"/>
    <s v="Los insumos clínicos son elementos fundamentales para la prestación de cuidados de enfermería entregados en COSAM Oriente. Estos materiales permiten que el personal de enfermería pueda cumplir con las funciones de tomas de muestras y procedimientos, para garantizar una atención segura y de calidad a la población usuaria. Es importante que la adquisición sea entre los meses de febrero y marzo 2026, para evitar quiebre de stock de insumos clínicos."/>
    <x v="4"/>
    <x v="93"/>
    <n v="4"/>
    <n v="1"/>
    <x v="101"/>
    <x v="151"/>
    <x v="4"/>
    <x v="38"/>
    <x v="44"/>
    <x v="24"/>
    <s v="64-2335610-"/>
    <s v="pedro.fritz@redsalud.gob.cl"/>
    <x v="19"/>
    <m/>
    <n v="0"/>
    <m/>
    <n v="0"/>
    <n v="0"/>
    <m/>
    <x v="1"/>
  </r>
  <r>
    <s v="SERVICIO DE SALUD OSORNO"/>
    <x v="1"/>
    <x v="98"/>
    <s v="Proyecto operacional"/>
    <s v="Enviado"/>
    <s v="22.01.002"/>
    <x v="99"/>
    <s v="Taller con duración de 8 sesiones se desarrolla durante todo el año. Solicitud de compra para el mes de enero 2026"/>
    <x v="0"/>
    <x v="31"/>
    <n v="4"/>
    <n v="86"/>
    <x v="111"/>
    <x v="152"/>
    <x v="4"/>
    <x v="35"/>
    <x v="44"/>
    <x v="24"/>
    <s v="64-2335610-"/>
    <s v="pedro.fritz@redsalud.gob.cl"/>
    <x v="13"/>
    <m/>
    <n v="0"/>
    <m/>
    <n v="0"/>
    <n v="0"/>
    <m/>
    <x v="1"/>
  </r>
  <r>
    <s v="SERVICIO DE SALUD OSORNO"/>
    <x v="1"/>
    <x v="98"/>
    <s v="Proyecto operacional"/>
    <s v="Enviado"/>
    <s v="22.01.002"/>
    <x v="99"/>
    <s v="Taller con duración de 8 sesiones se desarrolla durante todo el año. Solicitud de compra para el mes de enero 2026"/>
    <x v="0"/>
    <x v="94"/>
    <n v="4"/>
    <n v="2"/>
    <x v="112"/>
    <x v="153"/>
    <x v="4"/>
    <x v="35"/>
    <x v="44"/>
    <x v="24"/>
    <s v="64-2335610-"/>
    <s v="pedro.fritz@redsalud.gob.cl"/>
    <x v="13"/>
    <m/>
    <n v="0"/>
    <m/>
    <n v="0"/>
    <n v="0"/>
    <m/>
    <x v="1"/>
  </r>
  <r>
    <s v="SERVICIO DE SALUD OSORNO"/>
    <x v="0"/>
    <x v="99"/>
    <s v="Proyecto operacional"/>
    <s v="Enviado"/>
    <s v="22.01.001"/>
    <x v="100"/>
    <s v="Insumos de cafetería para reuniones mensuales Trato Usuario, se proyecta 12 reuniones, con un aprox. de 225 personas"/>
    <x v="0"/>
    <x v="31"/>
    <n v="4"/>
    <n v="821"/>
    <x v="113"/>
    <x v="154"/>
    <x v="4"/>
    <x v="32"/>
    <x v="45"/>
    <x v="49"/>
    <s v="64-2335775-"/>
    <s v="daniela.barriaa@redsalud.gob.cl"/>
    <x v="21"/>
    <m/>
    <n v="0"/>
    <m/>
    <n v="0"/>
    <n v="0"/>
    <m/>
    <x v="1"/>
  </r>
  <r>
    <s v="SERVICIO DE SALUD OSORNO"/>
    <x v="0"/>
    <x v="99"/>
    <s v="Proyecto operacional"/>
    <s v="Enviado"/>
    <s v="22.01.001"/>
    <x v="100"/>
    <s v="Insumos de cafetería para reuniones mensuales Trato Usuario, se proyecta 12 reuniones, con un aprox. de 225 personas"/>
    <x v="0"/>
    <x v="11"/>
    <n v="4"/>
    <n v="409"/>
    <x v="114"/>
    <x v="155"/>
    <x v="4"/>
    <x v="32"/>
    <x v="45"/>
    <x v="49"/>
    <s v="64-2335775-"/>
    <s v="daniela.barriaa@redsalud.gob.cl"/>
    <x v="21"/>
    <m/>
    <n v="0"/>
    <m/>
    <n v="0"/>
    <n v="0"/>
    <m/>
    <x v="1"/>
  </r>
  <r>
    <s v="SERVICIO DE SALUD OSORNO"/>
    <x v="1"/>
    <x v="100"/>
    <s v="Proyecto operacional"/>
    <s v="Enviado"/>
    <s v="22.04.015"/>
    <x v="101"/>
    <s v="Taller se realiza durante todo el año, sin suspensión, por lo que se solicita material a contar de enero en lo posible"/>
    <x v="5"/>
    <x v="95"/>
    <n v="4"/>
    <n v="106"/>
    <x v="115"/>
    <x v="156"/>
    <x v="4"/>
    <x v="35"/>
    <x v="44"/>
    <x v="24"/>
    <s v="64-2335610-"/>
    <s v="pedro.fritz@redsalud.gob.cl"/>
    <x v="13"/>
    <m/>
    <n v="0"/>
    <m/>
    <n v="0"/>
    <n v="0"/>
    <m/>
    <x v="1"/>
  </r>
  <r>
    <s v="SERVICIO DE SALUD OSORNO"/>
    <x v="1"/>
    <x v="100"/>
    <s v="Proyecto operacional"/>
    <s v="Enviado"/>
    <s v="22.04.015"/>
    <x v="101"/>
    <s v="Taller se realiza durante todo el año, sin suspensión, por lo que se solicita material a contar de enero en lo posible"/>
    <x v="5"/>
    <x v="82"/>
    <n v="4"/>
    <n v="10"/>
    <x v="116"/>
    <x v="157"/>
    <x v="4"/>
    <x v="35"/>
    <x v="44"/>
    <x v="24"/>
    <s v="64-2335610-"/>
    <s v="pedro.fritz@redsalud.gob.cl"/>
    <x v="13"/>
    <m/>
    <n v="0"/>
    <m/>
    <n v="0"/>
    <n v="0"/>
    <m/>
    <x v="1"/>
  </r>
  <r>
    <s v="SERVICIO DE SALUD OSORNO"/>
    <x v="1"/>
    <x v="100"/>
    <s v="Proyecto operacional"/>
    <s v="Enviado"/>
    <s v="22.04.015"/>
    <x v="101"/>
    <s v="Taller se realiza durante todo el año, sin suspensión, por lo que se solicita material a contar de enero en lo posible"/>
    <x v="5"/>
    <x v="96"/>
    <n v="4"/>
    <n v="200"/>
    <x v="117"/>
    <x v="158"/>
    <x v="4"/>
    <x v="35"/>
    <x v="44"/>
    <x v="24"/>
    <s v="64-2335610-"/>
    <s v="pedro.fritz@redsalud.gob.cl"/>
    <x v="13"/>
    <m/>
    <n v="0"/>
    <m/>
    <n v="0"/>
    <n v="0"/>
    <m/>
    <x v="1"/>
  </r>
  <r>
    <s v="SERVICIO DE SALUD OSORNO"/>
    <x v="1"/>
    <x v="101"/>
    <s v="Proyecto operacional"/>
    <s v="Enviado"/>
    <s v="22.04.002"/>
    <x v="102"/>
    <s v="La conmemoración del día de la mujer se realizará el día miércoles 11 de marzo del 2026, idealmente la compra debe estar un mes antes, ya que debemos preparar los recuerdos y las actividades para ese día. En esta actividad se invitará a mujeres que se encuentran atendiendo en Cosam Oriente, se realizará una sesión educativa y reflexiva y luego una actividad práctica y de autocuidado."/>
    <x v="0"/>
    <x v="94"/>
    <n v="4"/>
    <n v="42"/>
    <x v="118"/>
    <x v="159"/>
    <x v="4"/>
    <x v="38"/>
    <x v="44"/>
    <x v="24"/>
    <s v="64-2335610-"/>
    <s v="pedro.fritz@redsalud.gob.cl"/>
    <x v="19"/>
    <m/>
    <n v="0"/>
    <m/>
    <n v="0"/>
    <n v="0"/>
    <m/>
    <x v="1"/>
  </r>
  <r>
    <s v="SERVICIO DE SALUD OSORNO"/>
    <x v="1"/>
    <x v="101"/>
    <s v="Proyecto operacional"/>
    <s v="Enviado"/>
    <s v="22.04.002"/>
    <x v="102"/>
    <s v="La conmemoración del día de la mujer se realizará el día miércoles 11 de marzo del 2026, idealmente la compra debe estar un mes antes, ya que debemos preparar los recuerdos y las actividades para ese día. En esta actividad se invitará a mujeres que se encuentran atendiendo en Cosam Oriente, se realizará una sesión educativa y reflexiva y luego una actividad práctica y de autocuidado."/>
    <x v="0"/>
    <x v="31"/>
    <n v="4"/>
    <n v="1004"/>
    <x v="119"/>
    <x v="160"/>
    <x v="4"/>
    <x v="38"/>
    <x v="44"/>
    <x v="24"/>
    <s v="64-2335610-"/>
    <s v="pedro.fritz@redsalud.gob.cl"/>
    <x v="19"/>
    <m/>
    <n v="0"/>
    <m/>
    <n v="0"/>
    <n v="0"/>
    <m/>
    <x v="1"/>
  </r>
  <r>
    <s v="SERVICIO DE SALUD OSORNO"/>
    <x v="3"/>
    <x v="102"/>
    <s v="Proyecto operacional"/>
    <s v="Enviado"/>
    <s v="31.02.002"/>
    <x v="103"/>
    <s v="Desarrollar las adecuaciones a los proyectos de arquitectura y especialidades del diseño del la PSR tipo para el sector de Coligual, comuna de Purranque."/>
    <x v="1"/>
    <x v="97"/>
    <n v="4"/>
    <n v="1"/>
    <x v="120"/>
    <x v="161"/>
    <x v="4"/>
    <x v="26"/>
    <x v="39"/>
    <x v="44"/>
    <s v="64-2335843-"/>
    <s v="mario.barrientos@redsalud.gob.cl"/>
    <x v="16"/>
    <m/>
    <n v="0"/>
    <m/>
    <n v="0"/>
    <n v="0"/>
    <m/>
    <x v="1"/>
  </r>
  <r>
    <s v="SERVICIO DE SALUD OSORNO"/>
    <x v="3"/>
    <x v="103"/>
    <s v="Proyecto operacional"/>
    <s v="Enviado"/>
    <s v="31.02.002"/>
    <x v="104"/>
    <s v="Desarrollar las adecuaciones a los proyectos de arquitectura y especialidades del diseño del la PSR tipo para el sector de Caracol, comuna de San Pablo."/>
    <x v="1"/>
    <x v="97"/>
    <n v="4"/>
    <n v="1"/>
    <x v="120"/>
    <x v="161"/>
    <x v="4"/>
    <x v="27"/>
    <x v="39"/>
    <x v="44"/>
    <s v="64-2335843-"/>
    <s v="mario.barrientos@redsalud.gob.cl"/>
    <x v="17"/>
    <m/>
    <n v="0"/>
    <m/>
    <n v="0"/>
    <n v="0"/>
    <m/>
    <x v="1"/>
  </r>
  <r>
    <s v="SERVICIO DE SALUD OSORNO"/>
    <x v="0"/>
    <x v="104"/>
    <s v="Proyecto operacional"/>
    <s v="Enviado"/>
    <s v="22.07.002"/>
    <x v="105"/>
    <s v="Los talonarios deben contener 50 formularios en duplicado autocopiativo, se envía modelo con información en la parte inferior se debe señalar Formulario Original Establecimiento; Formulario Duplicado Usuario, según corresponda."/>
    <x v="1"/>
    <x v="98"/>
    <n v="4"/>
    <n v="100"/>
    <x v="121"/>
    <x v="162"/>
    <x v="4"/>
    <x v="32"/>
    <x v="45"/>
    <x v="49"/>
    <s v="64-2335775-"/>
    <s v="daniela.barriaa@redsalud.gob.cl"/>
    <x v="21"/>
    <m/>
    <n v="0"/>
    <m/>
    <n v="0"/>
    <n v="0"/>
    <m/>
    <x v="1"/>
  </r>
  <r>
    <s v="SERVICIO DE SALUD OSORNO"/>
    <x v="0"/>
    <x v="105"/>
    <s v="Proyecto operacional"/>
    <s v="Enviado"/>
    <s v="22.04.001"/>
    <x v="106"/>
    <s v="Compra de serie de productos para el buen funcionamiento de la Unidad de Farmacia durante el año 2026"/>
    <x v="7"/>
    <x v="99"/>
    <n v="4"/>
    <n v="415"/>
    <x v="122"/>
    <x v="163"/>
    <x v="4"/>
    <x v="24"/>
    <x v="44"/>
    <x v="24"/>
    <s v="64-2335610-"/>
    <s v="pedro.fritz@redsalud.gob.cl"/>
    <x v="14"/>
    <m/>
    <n v="0"/>
    <m/>
    <n v="0"/>
    <n v="0"/>
    <m/>
    <x v="1"/>
  </r>
  <r>
    <s v="SERVICIO DE SALUD OSORNO"/>
    <x v="0"/>
    <x v="105"/>
    <s v="Proyecto operacional"/>
    <s v="Enviado"/>
    <s v="22.04.001"/>
    <x v="106"/>
    <s v="Compra de serie de productos para el buen funcionamiento de la Unidad de Farmacia durante el año 2026"/>
    <x v="7"/>
    <x v="43"/>
    <n v="4"/>
    <n v="4"/>
    <x v="123"/>
    <x v="164"/>
    <x v="4"/>
    <x v="35"/>
    <x v="44"/>
    <x v="24"/>
    <s v="64-2335610-"/>
    <s v="pedro.fritz@redsalud.gob.cl"/>
    <x v="13"/>
    <m/>
    <n v="0"/>
    <m/>
    <n v="0"/>
    <n v="0"/>
    <m/>
    <x v="1"/>
  </r>
  <r>
    <s v="SERVICIO DE SALUD OSORNO"/>
    <x v="0"/>
    <x v="105"/>
    <s v="Proyecto operacional"/>
    <s v="Enviado"/>
    <s v="22.04.001"/>
    <x v="106"/>
    <s v="Compra de serie de productos para el buen funcionamiento de la Unidad de Farmacia durante el año 2026"/>
    <x v="7"/>
    <x v="100"/>
    <n v="4"/>
    <n v="2"/>
    <x v="124"/>
    <x v="60"/>
    <x v="4"/>
    <x v="35"/>
    <x v="44"/>
    <x v="24"/>
    <s v="64-2335610-"/>
    <s v="pedro.fritz@redsalud.gob.cl"/>
    <x v="13"/>
    <m/>
    <n v="0"/>
    <m/>
    <n v="0"/>
    <n v="0"/>
    <m/>
    <x v="1"/>
  </r>
  <r>
    <s v="SERVICIO DE SALUD OSORNO"/>
    <x v="0"/>
    <x v="105"/>
    <s v="Proyecto operacional"/>
    <s v="Enviado"/>
    <s v="22.04.001"/>
    <x v="106"/>
    <s v="Compra de serie de productos para el buen funcionamiento de la Unidad de Farmacia durante el año 2026"/>
    <x v="7"/>
    <x v="101"/>
    <n v="4"/>
    <n v="146"/>
    <x v="125"/>
    <x v="165"/>
    <x v="4"/>
    <x v="32"/>
    <x v="44"/>
    <x v="24"/>
    <s v="64-2335610-"/>
    <s v="pedro.fritz@redsalud.gob.cl"/>
    <x v="21"/>
    <m/>
    <n v="0"/>
    <m/>
    <n v="0"/>
    <n v="0"/>
    <m/>
    <x v="1"/>
  </r>
  <r>
    <s v="SERVICIO DE SALUD OSORNO"/>
    <x v="0"/>
    <x v="105"/>
    <s v="Proyecto operacional"/>
    <s v="Enviado"/>
    <s v="22.04.001"/>
    <x v="106"/>
    <s v="Compra de serie de productos para el buen funcionamiento de la Unidad de Farmacia durante el año 2026"/>
    <x v="7"/>
    <x v="101"/>
    <n v="4"/>
    <n v="6"/>
    <x v="126"/>
    <x v="166"/>
    <x v="4"/>
    <x v="35"/>
    <x v="44"/>
    <x v="24"/>
    <s v="64-2335610-"/>
    <s v="pedro.fritz@redsalud.gob.cl"/>
    <x v="13"/>
    <m/>
    <n v="0"/>
    <m/>
    <n v="0"/>
    <n v="0"/>
    <m/>
    <x v="1"/>
  </r>
  <r>
    <s v="SERVICIO DE SALUD OSORNO"/>
    <x v="1"/>
    <x v="106"/>
    <s v="Proyecto operacional"/>
    <s v="Enviado"/>
    <s v="22.01.001"/>
    <x v="107"/>
    <s v="Actividades en sesiones del taller, presentación de fiestas patrias y presentación en el día de la salud mental. Inicio de actividades en enero."/>
    <x v="5"/>
    <x v="31"/>
    <n v="4"/>
    <n v="15"/>
    <x v="127"/>
    <x v="167"/>
    <x v="4"/>
    <x v="35"/>
    <x v="44"/>
    <x v="24"/>
    <s v="64-2335610-"/>
    <s v="pedro.fritz@redsalud.gob.cl"/>
    <x v="13"/>
    <m/>
    <n v="0"/>
    <m/>
    <n v="0"/>
    <n v="0"/>
    <m/>
    <x v="1"/>
  </r>
  <r>
    <s v="SERVICIO DE SALUD OSORNO"/>
    <x v="1"/>
    <x v="106"/>
    <s v="Proyecto operacional"/>
    <s v="Enviado"/>
    <s v="22.01.001"/>
    <x v="107"/>
    <s v="Actividades en sesiones del taller, presentación de fiestas patrias y presentación en el día de la salud mental. Inicio de actividades en enero."/>
    <x v="5"/>
    <x v="102"/>
    <n v="4"/>
    <n v="16"/>
    <x v="128"/>
    <x v="129"/>
    <x v="4"/>
    <x v="35"/>
    <x v="44"/>
    <x v="24"/>
    <s v="64-2335610-"/>
    <s v="pedro.fritz@redsalud.gob.cl"/>
    <x v="13"/>
    <m/>
    <n v="0"/>
    <m/>
    <n v="0"/>
    <n v="0"/>
    <m/>
    <x v="1"/>
  </r>
  <r>
    <s v="SERVICIO DE SALUD OSORNO"/>
    <x v="1"/>
    <x v="106"/>
    <s v="Proyecto operacional"/>
    <s v="Enviado"/>
    <s v="22.01.001"/>
    <x v="107"/>
    <s v="Actividades en sesiones del taller, presentación de fiestas patrias y presentación en el día de la salud mental. Inicio de actividades en enero."/>
    <x v="5"/>
    <x v="103"/>
    <n v="4"/>
    <n v="23"/>
    <x v="129"/>
    <x v="168"/>
    <x v="4"/>
    <x v="35"/>
    <x v="44"/>
    <x v="24"/>
    <s v="64-2335610-"/>
    <s v="pedro.fritz@redsalud.gob.cl"/>
    <x v="13"/>
    <m/>
    <n v="0"/>
    <m/>
    <n v="0"/>
    <n v="0"/>
    <m/>
    <x v="1"/>
  </r>
  <r>
    <s v="SERVICIO DE SALUD OSORNO"/>
    <x v="0"/>
    <x v="107"/>
    <s v="Proyecto operacional"/>
    <s v="Enviado"/>
    <s v="22.04.999"/>
    <x v="108"/>
    <s v="Se requiere la adquisición de artículos promocionales para fortalecer la imagen corporativa de la Comunidad, incluyendo lienzos y pendones con información institucional y de contacto. También se contemplan trofeos, galardones, bolsas y suvenires personalizados con la identidad visual de la organización, con el fin de mantener coherencia en la comunicación institucional y reforzar el reconocimiento de la Comunidad en actividades, eventos y campañas de promoción."/>
    <x v="6"/>
    <x v="104"/>
    <n v="4"/>
    <n v="24"/>
    <x v="130"/>
    <x v="169"/>
    <x v="4"/>
    <x v="32"/>
    <x v="43"/>
    <x v="48"/>
    <s v="64-2335492-"/>
    <s v="CAROLINA.SILVALL@REDSALUD.GOB.CL"/>
    <x v="21"/>
    <m/>
    <n v="0"/>
    <m/>
    <n v="0"/>
    <n v="0"/>
    <m/>
    <x v="1"/>
  </r>
  <r>
    <s v="SERVICIO DE SALUD OSORNO"/>
    <x v="0"/>
    <x v="107"/>
    <s v="Proyecto operacional"/>
    <s v="Enviado"/>
    <s v="22.04.999"/>
    <x v="108"/>
    <s v="Se requiere la adquisición de artículos promocionales para fortalecer la imagen corporativa de la Comunidad, incluyendo lienzos y pendones con información institucional y de contacto. También se contemplan trofeos, galardones, bolsas y suvenires personalizados con la identidad visual de la organización, con el fin de mantener coherencia en la comunicación institucional y reforzar el reconocimiento de la Comunidad en actividades, eventos y campañas de promoción."/>
    <x v="6"/>
    <x v="105"/>
    <n v="4"/>
    <n v="500"/>
    <x v="131"/>
    <x v="112"/>
    <x v="4"/>
    <x v="32"/>
    <x v="43"/>
    <x v="48"/>
    <s v="64-2335492-"/>
    <s v="CAROLINA.SILVALL@REDSALUD.GOB.CL"/>
    <x v="21"/>
    <m/>
    <n v="0"/>
    <m/>
    <n v="0"/>
    <n v="0"/>
    <m/>
    <x v="1"/>
  </r>
  <r>
    <s v="SERVICIO DE SALUD OSORNO"/>
    <x v="0"/>
    <x v="107"/>
    <s v="Proyecto operacional"/>
    <s v="Enviado"/>
    <s v="22.04.999"/>
    <x v="108"/>
    <s v="Se requiere la adquisición de artículos promocionales para fortalecer la imagen corporativa de la Comunidad, incluyendo lienzos y pendones con información institucional y de contacto. También se contemplan trofeos, galardones, bolsas y suvenires personalizados con la identidad visual de la organización, con el fin de mantener coherencia en la comunicación institucional y reforzar el reconocimiento de la Comunidad en actividades, eventos y campañas de promoción."/>
    <x v="6"/>
    <x v="106"/>
    <n v="4"/>
    <n v="2"/>
    <x v="132"/>
    <x v="130"/>
    <x v="4"/>
    <x v="35"/>
    <x v="43"/>
    <x v="48"/>
    <s v="64-2335492-"/>
    <s v="CAROLINA.SILVALL@REDSALUD.GOB.CL"/>
    <x v="13"/>
    <m/>
    <n v="0"/>
    <m/>
    <n v="0"/>
    <n v="0"/>
    <m/>
    <x v="1"/>
  </r>
  <r>
    <s v="SERVICIO DE SALUD OSORNO"/>
    <x v="0"/>
    <x v="107"/>
    <s v="Proyecto operacional"/>
    <s v="Enviado"/>
    <s v="22.04.999"/>
    <x v="108"/>
    <s v="Se requiere la adquisición de artículos promocionales para fortalecer la imagen corporativa de la Comunidad, incluyendo lienzos y pendones con información institucional y de contacto. También se contemplan trofeos, galardones, bolsas y suvenires personalizados con la identidad visual de la organización, con el fin de mantener coherencia en la comunicación institucional y reforzar el reconocimiento de la Comunidad en actividades, eventos y campañas de promoción."/>
    <x v="6"/>
    <x v="107"/>
    <n v="4"/>
    <n v="1550"/>
    <x v="133"/>
    <x v="170"/>
    <x v="4"/>
    <x v="32"/>
    <x v="43"/>
    <x v="48"/>
    <s v="64-2335492-"/>
    <s v="CAROLINA.SILVALL@REDSALUD.GOB.CL"/>
    <x v="21"/>
    <m/>
    <n v="0"/>
    <m/>
    <n v="0"/>
    <n v="0"/>
    <m/>
    <x v="1"/>
  </r>
  <r>
    <s v="SERVICIO DE SALUD OSORNO"/>
    <x v="0"/>
    <x v="108"/>
    <s v="Proyecto operacional"/>
    <s v="Enviado"/>
    <s v="22.01.001"/>
    <x v="109"/>
    <s v="Compra de Servicio de Cafetería para asistentes a Jornada de Humanización del Trato Usuario, dirigido a 50 participantes, jornada AM - PM."/>
    <x v="1"/>
    <x v="32"/>
    <n v="4"/>
    <n v="100"/>
    <x v="121"/>
    <x v="162"/>
    <x v="4"/>
    <x v="33"/>
    <x v="45"/>
    <x v="49"/>
    <s v="64-2335775-"/>
    <s v="daniela.barriaa@redsalud.gob.cl"/>
    <x v="22"/>
    <m/>
    <n v="0"/>
    <m/>
    <n v="0"/>
    <n v="0"/>
    <m/>
    <x v="1"/>
  </r>
  <r>
    <s v="SERVICIO DE SALUD OSORNO"/>
    <x v="0"/>
    <x v="109"/>
    <s v="Proyecto operacional"/>
    <s v="Enviado"/>
    <s v="22.04.999"/>
    <x v="110"/>
    <s v="Se requiere en Enero la compra de una despensa con cierre para resguardo y protección de equipos Notebook y Celulares del Cosam"/>
    <x v="1"/>
    <x v="108"/>
    <n v="4"/>
    <n v="1"/>
    <x v="134"/>
    <x v="171"/>
    <x v="4"/>
    <x v="35"/>
    <x v="44"/>
    <x v="24"/>
    <s v="64-2335610-"/>
    <s v="pedro.fritz@redsalud.gob.cl"/>
    <x v="13"/>
    <m/>
    <n v="0"/>
    <m/>
    <n v="0"/>
    <n v="0"/>
    <m/>
    <x v="1"/>
  </r>
  <r>
    <s v="SERVICIO DE SALUD OSORNO"/>
    <x v="1"/>
    <x v="110"/>
    <s v="Proyecto operacional"/>
    <s v="Enviado"/>
    <s v="22.04.014"/>
    <x v="111"/>
    <s v="Se espera adquisición para el mes de enero del 2026 para dar inicio a intervenciones desde febrero a diciembre."/>
    <x v="0"/>
    <x v="109"/>
    <n v="4"/>
    <n v="20"/>
    <x v="135"/>
    <x v="172"/>
    <x v="4"/>
    <x v="35"/>
    <x v="44"/>
    <x v="24"/>
    <s v="64-2335610-"/>
    <s v="pedro.fritz@redsalud.gob.cl"/>
    <x v="13"/>
    <m/>
    <n v="0"/>
    <m/>
    <n v="0"/>
    <n v="0"/>
    <m/>
    <x v="1"/>
  </r>
  <r>
    <s v="SERVICIO DE SALUD OSORNO"/>
    <x v="1"/>
    <x v="110"/>
    <s v="Proyecto operacional"/>
    <s v="Enviado"/>
    <s v="22.04.014"/>
    <x v="111"/>
    <s v="Se espera adquisición para el mes de enero del 2026 para dar inicio a intervenciones desde febrero a diciembre."/>
    <x v="0"/>
    <x v="110"/>
    <n v="4"/>
    <n v="10"/>
    <x v="28"/>
    <x v="173"/>
    <x v="4"/>
    <x v="35"/>
    <x v="44"/>
    <x v="24"/>
    <s v="64-2335610-"/>
    <s v="pedro.fritz@redsalud.gob.cl"/>
    <x v="13"/>
    <m/>
    <n v="0"/>
    <m/>
    <n v="0"/>
    <n v="0"/>
    <m/>
    <x v="1"/>
  </r>
  <r>
    <s v="SERVICIO DE SALUD OSORNO"/>
    <x v="1"/>
    <x v="111"/>
    <s v="Proyecto operacional"/>
    <s v="Enviado"/>
    <s v="22.01.001"/>
    <x v="112"/>
    <s v="La actividad se realizará en el mes de agosto del 2026, por lo que las compras deberían estar un mes antes para preparar los recuerdos y material para ese día."/>
    <x v="0"/>
    <x v="31"/>
    <n v="4"/>
    <n v="32"/>
    <x v="136"/>
    <x v="174"/>
    <x v="4"/>
    <x v="33"/>
    <x v="44"/>
    <x v="24"/>
    <s v="64-2335610-"/>
    <s v="pedro.fritz@redsalud.gob.cl"/>
    <x v="22"/>
    <m/>
    <n v="0"/>
    <m/>
    <n v="0"/>
    <n v="0"/>
    <m/>
    <x v="1"/>
  </r>
  <r>
    <s v="SERVICIO DE SALUD OSORNO"/>
    <x v="1"/>
    <x v="111"/>
    <s v="Proyecto operacional"/>
    <s v="Enviado"/>
    <s v="22.01.001"/>
    <x v="112"/>
    <s v="La actividad se realizará en el mes de agosto del 2026, por lo que las compras deberían estar un mes antes para preparar los recuerdos y material para ese día."/>
    <x v="0"/>
    <x v="111"/>
    <n v="4"/>
    <n v="9"/>
    <x v="137"/>
    <x v="175"/>
    <x v="4"/>
    <x v="33"/>
    <x v="44"/>
    <x v="24"/>
    <s v="64-2335610-"/>
    <s v="pedro.fritz@redsalud.gob.cl"/>
    <x v="22"/>
    <m/>
    <n v="0"/>
    <m/>
    <n v="0"/>
    <n v="0"/>
    <m/>
    <x v="1"/>
  </r>
  <r>
    <s v="SERVICIO DE SALUD OSORNO"/>
    <x v="1"/>
    <x v="112"/>
    <s v="Proyecto operacional"/>
    <s v="Enviado"/>
    <s v="22.04.999"/>
    <x v="113"/>
    <s v="La actividad de fiestas patrias 2026 se desarrollará en el mes de septiembre, por lo que se recomienda realizar la compra un mes antes, en este ítem y para la ejecución de dicho evento se requiere insumos para decorar y alimentación para los usuarios y sus familias, quienes son el público objetivo."/>
    <x v="5"/>
    <x v="112"/>
    <n v="4"/>
    <n v="78"/>
    <x v="138"/>
    <x v="176"/>
    <x v="4"/>
    <x v="36"/>
    <x v="44"/>
    <x v="24"/>
    <s v="64-2335610-"/>
    <s v="pedro.fritz@redsalud.gob.cl"/>
    <x v="24"/>
    <m/>
    <n v="0"/>
    <m/>
    <n v="0"/>
    <n v="0"/>
    <m/>
    <x v="1"/>
  </r>
  <r>
    <s v="SERVICIO DE SALUD OSORNO"/>
    <x v="1"/>
    <x v="112"/>
    <s v="Proyecto operacional"/>
    <s v="Enviado"/>
    <s v="22.04.999"/>
    <x v="113"/>
    <s v="La actividad de fiestas patrias 2026 se desarrollará en el mes de septiembre, por lo que se recomienda realizar la compra un mes antes, en este ítem y para la ejecución de dicho evento se requiere insumos para decorar y alimentación para los usuarios y sus familias, quienes son el público objetivo."/>
    <x v="5"/>
    <x v="63"/>
    <n v="4"/>
    <n v="1"/>
    <x v="72"/>
    <x v="177"/>
    <x v="4"/>
    <x v="36"/>
    <x v="44"/>
    <x v="24"/>
    <s v="64-2335610-"/>
    <s v="pedro.fritz@redsalud.gob.cl"/>
    <x v="24"/>
    <m/>
    <n v="0"/>
    <m/>
    <n v="0"/>
    <n v="0"/>
    <m/>
    <x v="1"/>
  </r>
  <r>
    <s v="SERVICIO DE SALUD OSORNO"/>
    <x v="1"/>
    <x v="112"/>
    <s v="Proyecto operacional"/>
    <s v="Enviado"/>
    <s v="22.04.999"/>
    <x v="113"/>
    <s v="La actividad de fiestas patrias 2026 se desarrollará en el mes de septiembre, por lo que se recomienda realizar la compra un mes antes, en este ítem y para la ejecución de dicho evento se requiere insumos para decorar y alimentación para los usuarios y sus familias, quienes son el público objetivo."/>
    <x v="5"/>
    <x v="113"/>
    <n v="4"/>
    <n v="10"/>
    <x v="139"/>
    <x v="178"/>
    <x v="4"/>
    <x v="36"/>
    <x v="44"/>
    <x v="24"/>
    <s v="64-2335610-"/>
    <s v="pedro.fritz@redsalud.gob.cl"/>
    <x v="24"/>
    <m/>
    <n v="0"/>
    <m/>
    <n v="0"/>
    <n v="0"/>
    <m/>
    <x v="1"/>
  </r>
  <r>
    <s v="SERVICIO DE SALUD OSORNO"/>
    <x v="1"/>
    <x v="113"/>
    <s v="Proyecto operacional"/>
    <s v="Enviado"/>
    <s v="22.04.002"/>
    <x v="114"/>
    <s v="La Intervención psicosocial grupal se desarrollará desde abril del 2026, a cargo de profesional de cosam oriente, y está enmarcada en 2 ciclos anuales para diferentes personas, cada ciclo constan de 4 meses en total, y finaliza con una presentación."/>
    <x v="1"/>
    <x v="114"/>
    <n v="4"/>
    <n v="6"/>
    <x v="140"/>
    <x v="112"/>
    <x v="4"/>
    <x v="32"/>
    <x v="44"/>
    <x v="24"/>
    <s v="64-2335610-"/>
    <s v="pedro.fritz@redsalud.gob.cl"/>
    <x v="21"/>
    <m/>
    <n v="0"/>
    <m/>
    <n v="0"/>
    <n v="0"/>
    <m/>
    <x v="1"/>
  </r>
  <r>
    <s v="SERVICIO DE SALUD OSORNO"/>
    <x v="0"/>
    <x v="114"/>
    <s v="Proyecto operacional"/>
    <s v="Enviado"/>
    <s v="22.04.001"/>
    <x v="115"/>
    <s v="COMPRA DE MATERIALES DE OFICINA QUE NO SE ENCUENTRA DISPONIBLE EN BODEGA DE INSUMOS DE OFICINA, TALES COMO: PAQUETE DE MICAS TRANSPARENTES TAMAÑO CARTA PAQUETE DE MICAS TRANSPARENTES, TIJERAS GRANDES PARA CORTAR PLANOS TIJERAS DE OFICINA, CORCHETERAS, PORTA PLANOS, TERMOLAMINADORA, ENTRE OTROS."/>
    <x v="1"/>
    <x v="115"/>
    <n v="4"/>
    <n v="177"/>
    <x v="141"/>
    <x v="179"/>
    <x v="4"/>
    <x v="35"/>
    <x v="46"/>
    <x v="50"/>
    <s v="64-2335764-"/>
    <s v="yanet.gutierrez@redsalud.gob.cl"/>
    <x v="13"/>
    <m/>
    <n v="0"/>
    <m/>
    <n v="0"/>
    <n v="0"/>
    <m/>
    <x v="1"/>
  </r>
  <r>
    <s v="SERVICIO DE SALUD OSORNO"/>
    <x v="0"/>
    <x v="115"/>
    <s v="Proyecto operacional"/>
    <s v="Enviado"/>
    <s v="22.11.003"/>
    <x v="116"/>
    <s v="Desarrollar el estudio y modelación estructural del actual COSAM Oriente, de tal forma de evaluar una ampliación para la normalización del edificio al estándar MINSAL actual."/>
    <x v="1"/>
    <x v="97"/>
    <n v="4"/>
    <n v="1"/>
    <x v="142"/>
    <x v="180"/>
    <x v="4"/>
    <x v="31"/>
    <x v="39"/>
    <x v="44"/>
    <s v="64-2335843-"/>
    <s v="mario.barrientos@redsalud.gob.cl"/>
    <x v="20"/>
    <m/>
    <n v="0"/>
    <m/>
    <n v="0"/>
    <n v="0"/>
    <m/>
    <x v="1"/>
  </r>
  <r>
    <s v="SERVICIO DE SALUD OSORNO"/>
    <x v="0"/>
    <x v="116"/>
    <s v="Proyecto operacional"/>
    <s v="Enviado"/>
    <s v="22.04.002"/>
    <x v="117"/>
    <s v="Artículos para uso en los talleres de Terapia Ocupacional en unidades Residencial y Ambulatorio. Que tengan durabilidad, higiene, que cumplan funciones de estimulación, que sean seguros, que el tamaño vaya de acuerdo a la edad para la cual esté dirigido y que la forma facilite la manipulación, diseño adecuado para todos los beneficiarios, Sin olvidar la buena calidad. EJECUCIÓN: JULIO 2026"/>
    <x v="1"/>
    <x v="116"/>
    <n v="4"/>
    <n v="26"/>
    <x v="143"/>
    <x v="181"/>
    <x v="4"/>
    <x v="33"/>
    <x v="43"/>
    <x v="48"/>
    <s v="64-2335492-"/>
    <s v="CAROLINA.SILVALL@REDSALUD.GOB.CL"/>
    <x v="22"/>
    <m/>
    <n v="0"/>
    <m/>
    <n v="0"/>
    <n v="0"/>
    <m/>
    <x v="1"/>
  </r>
  <r>
    <s v="SERVICIO DE SALUD OSORNO"/>
    <x v="0"/>
    <x v="117"/>
    <s v="Proyecto operacional"/>
    <s v="Enviado"/>
    <s v="22.04.999"/>
    <x v="118"/>
    <s v="Se requiere la adquisición de una cubierta textil o lona de alta resistencia para su instalación en jardines y áreas abiertas del establecimiento. Su finalidad es brindar protección ante radiación solar y condiciones climáticas, favoreciendo el uso seguro y confortable de los espacios exteriores. El material deberá ser lona acrílica impermeable, transpirable y duradera, resistente al sol, viento y lluvia, con estructura estable y apta para espacios institucionales. EJECUCION MARZO 2026"/>
    <x v="1"/>
    <x v="117"/>
    <n v="4"/>
    <n v="4"/>
    <x v="144"/>
    <x v="182"/>
    <x v="4"/>
    <x v="32"/>
    <x v="43"/>
    <x v="48"/>
    <s v="64-2335492-"/>
    <s v="CAROLINA.SILVALL@REDSALUD.GOB.CL"/>
    <x v="21"/>
    <m/>
    <n v="0"/>
    <m/>
    <n v="0"/>
    <n v="0"/>
    <m/>
    <x v="1"/>
  </r>
  <r>
    <s v="SERVICIO DE SALUD OSORNO"/>
    <x v="0"/>
    <x v="118"/>
    <s v="Proyecto operacional"/>
    <s v="Enviado"/>
    <s v="22.04.012"/>
    <x v="119"/>
    <s v="Se requiere la adquisición de materiales para mantenciones y reparaciones en la unidad de salud con el fin de asegurar el correcto funcionamiento de las instalaciones, equipos e infraestructura, garantizando condiciones seguras y adecuadas para la atención de usuarios y el trabajo del personal. Estos insumos permiten realizar reparaciones oportunas, prevenir deterioros mayores, mantener la continuidad operativa y cumplir con las normas de seguridad y salud laboral establecidas."/>
    <x v="5"/>
    <x v="118"/>
    <n v="4"/>
    <n v="28"/>
    <x v="145"/>
    <x v="183"/>
    <x v="4"/>
    <x v="31"/>
    <x v="43"/>
    <x v="48"/>
    <s v="64-2335492-"/>
    <s v="CAROLINA.SILVALL@REDSALUD.GOB.CL"/>
    <x v="20"/>
    <m/>
    <n v="0"/>
    <m/>
    <n v="0"/>
    <n v="0"/>
    <m/>
    <x v="1"/>
  </r>
  <r>
    <s v="SERVICIO DE SALUD OSORNO"/>
    <x v="0"/>
    <x v="118"/>
    <s v="Proyecto operacional"/>
    <s v="Enviado"/>
    <s v="22.04.012"/>
    <x v="119"/>
    <s v="Se requiere la adquisición de materiales para mantenciones y reparaciones en la unidad de salud con el fin de asegurar el correcto funcionamiento de las instalaciones, equipos e infraestructura, garantizando condiciones seguras y adecuadas para la atención de usuarios y el trabajo del personal. Estos insumos permiten realizar reparaciones oportunas, prevenir deterioros mayores, mantener la continuidad operativa y cumplir con las normas de seguridad y salud laboral establecidas."/>
    <x v="5"/>
    <x v="119"/>
    <n v="4"/>
    <n v="60"/>
    <x v="146"/>
    <x v="184"/>
    <x v="4"/>
    <x v="31"/>
    <x v="43"/>
    <x v="48"/>
    <s v="64-2335492-"/>
    <s v="CAROLINA.SILVALL@REDSALUD.GOB.CL"/>
    <x v="20"/>
    <m/>
    <n v="0"/>
    <m/>
    <n v="0"/>
    <n v="0"/>
    <m/>
    <x v="1"/>
  </r>
  <r>
    <s v="SERVICIO DE SALUD OSORNO"/>
    <x v="0"/>
    <x v="118"/>
    <s v="Proyecto operacional"/>
    <s v="Enviado"/>
    <s v="22.04.012"/>
    <x v="119"/>
    <s v="Se requiere la adquisición de materiales para mantenciones y reparaciones en la unidad de salud con el fin de asegurar el correcto funcionamiento de las instalaciones, equipos e infraestructura, garantizando condiciones seguras y adecuadas para la atención de usuarios y el trabajo del personal. Estos insumos permiten realizar reparaciones oportunas, prevenir deterioros mayores, mantener la continuidad operativa y cumplir con las normas de seguridad y salud laboral establecidas."/>
    <x v="5"/>
    <x v="3"/>
    <n v="4"/>
    <n v="2"/>
    <x v="147"/>
    <x v="185"/>
    <x v="4"/>
    <x v="31"/>
    <x v="43"/>
    <x v="48"/>
    <s v="64-2335492-"/>
    <s v="CAROLINA.SILVALL@REDSALUD.GOB.CL"/>
    <x v="20"/>
    <m/>
    <n v="0"/>
    <m/>
    <n v="0"/>
    <n v="0"/>
    <m/>
    <x v="1"/>
  </r>
  <r>
    <s v="SERVICIO DE SALUD OSORNO"/>
    <x v="0"/>
    <x v="119"/>
    <s v="Proyecto operacional"/>
    <s v="Enviado"/>
    <s v="22.04.009"/>
    <x v="120"/>
    <s v="Se requiere la adquisición de repuestos e insumos computacionales para garantizar el correcto funcionamiento de los equipos tecnológicos de la unidad de salud, asegurando la continuidad de los servicios administrativos, clínicos y de registro de información. Estos insumos permiten reparar, mantener y optimizar el desempeño de computadores, impresoras y otros dispositivos electrónicos, reduciendo tiempos de inactividad, previniendo fallas mayores y asegurando eficiencia, seguridad y confiabilidad en los procesos del establecimiento."/>
    <x v="5"/>
    <x v="101"/>
    <n v="4"/>
    <n v="31"/>
    <x v="148"/>
    <x v="186"/>
    <x v="4"/>
    <x v="24"/>
    <x v="43"/>
    <x v="48"/>
    <s v="64-2335492-"/>
    <s v="CAROLINA.SILVALL@REDSALUD.GOB.CL"/>
    <x v="14"/>
    <m/>
    <n v="0"/>
    <m/>
    <n v="0"/>
    <n v="0"/>
    <m/>
    <x v="1"/>
  </r>
  <r>
    <s v="SERVICIO DE SALUD OSORNO"/>
    <x v="0"/>
    <x v="119"/>
    <s v="Proyecto operacional"/>
    <s v="Enviado"/>
    <s v="22.04.009"/>
    <x v="120"/>
    <s v="Se requiere la adquisición de repuestos e insumos computacionales para garantizar el correcto funcionamiento de los equipos tecnológicos de la unidad de salud, asegurando la continuidad de los servicios administrativos, clínicos y de registro de información. Estos insumos permiten reparar, mantener y optimizar el desempeño de computadores, impresoras y otros dispositivos electrónicos, reduciendo tiempos de inactividad, previniendo fallas mayores y asegurando eficiencia, seguridad y confiabilidad en los procesos del establecimiento."/>
    <x v="5"/>
    <x v="120"/>
    <n v="4"/>
    <n v="12"/>
    <x v="132"/>
    <x v="187"/>
    <x v="4"/>
    <x v="35"/>
    <x v="43"/>
    <x v="48"/>
    <s v="64-2335492-"/>
    <s v="CAROLINA.SILVALL@REDSALUD.GOB.CL"/>
    <x v="13"/>
    <m/>
    <n v="0"/>
    <m/>
    <n v="0"/>
    <n v="0"/>
    <m/>
    <x v="1"/>
  </r>
  <r>
    <s v="SERVICIO DE SALUD OSORNO"/>
    <x v="0"/>
    <x v="119"/>
    <s v="Proyecto operacional"/>
    <s v="Enviado"/>
    <s v="22.04.009"/>
    <x v="120"/>
    <s v="Se requiere la adquisición de repuestos e insumos computacionales para garantizar el correcto funcionamiento de los equipos tecnológicos de la unidad de salud, asegurando la continuidad de los servicios administrativos, clínicos y de registro de información. Estos insumos permiten reparar, mantener y optimizar el desempeño de computadores, impresoras y otros dispositivos electrónicos, reduciendo tiempos de inactividad, previniendo fallas mayores y asegurando eficiencia, seguridad y confiabilidad en los procesos del establecimiento."/>
    <x v="5"/>
    <x v="119"/>
    <n v="4"/>
    <n v="20"/>
    <x v="149"/>
    <x v="141"/>
    <x v="4"/>
    <x v="25"/>
    <x v="43"/>
    <x v="48"/>
    <s v="64-2335492-"/>
    <s v="CAROLINA.SILVALL@REDSALUD.GOB.CL"/>
    <x v="15"/>
    <m/>
    <n v="0"/>
    <m/>
    <n v="0"/>
    <n v="0"/>
    <m/>
    <x v="1"/>
  </r>
  <r>
    <s v="SERVICIO DE SALUD OSORNO"/>
    <x v="0"/>
    <x v="120"/>
    <s v="Proyecto estratégico"/>
    <s v="Enviado"/>
    <s v="22.04.003.002"/>
    <x v="121"/>
    <s v="INSUMOS PARA EXAMENES DE LABORATORIO TIPO POC, CON ARRIENDO DE EQUIPOS, PARA HOSPITAL PUERTO OCTAY, HOSPITAL RIO NEGRO, HOSPITAL PU MULEN QUILACAHUIN, HOSPITAL FUKA SRUKA LAWENCHE KUNKO MAPU MO Y SAR CHUYACA. MES DE EJECUCION DE LA COMPRA SE REQUIERE PARA JULIO DEL 2026, CON DURACION DE 12 MESES."/>
    <x v="1"/>
    <x v="121"/>
    <n v="4"/>
    <n v="1"/>
    <x v="150"/>
    <x v="188"/>
    <x v="11"/>
    <x v="40"/>
    <x v="15"/>
    <x v="51"/>
    <s v="64-2335827-"/>
    <s v="sofiav.reyes@redsalud.gob.cl"/>
    <x v="22"/>
    <m/>
    <n v="0"/>
    <m/>
    <n v="0"/>
    <n v="0"/>
    <m/>
    <x v="1"/>
  </r>
  <r>
    <s v="SERVICIO DE SALUD OSORNO"/>
    <x v="0"/>
    <x v="121"/>
    <s v="Proyecto operacional"/>
    <s v="Enviado"/>
    <s v="22.04.999"/>
    <x v="122"/>
    <s v="Con motivo de conmemorar el Día Mundial de la Actividad Física (6 de abril) y el Día Mundial de la Salud (7 de abril), la Unidad SAFU invita a participar a los funcionarios de los diferentes Servicios/Establecimientos/Dispositivos de la Red SSO para que envíen un video que muestre una pausa activa en su trabajo, ya sea una rutina simple de ejercicios o un baile entretenido en grupo. La pausa activa más creativa será premiada con un ?set de pausas activas?, que incluye herramientas para desarrollar pausas activas en su lugar de trabajo."/>
    <x v="1"/>
    <x v="122"/>
    <n v="4"/>
    <n v="50"/>
    <x v="121"/>
    <x v="185"/>
    <x v="4"/>
    <x v="32"/>
    <x v="47"/>
    <x v="52"/>
    <s v="64-2337097-"/>
    <s v="marcia.delarze@redsalud.gob.cl"/>
    <x v="21"/>
    <m/>
    <n v="0"/>
    <m/>
    <n v="0"/>
    <n v="0"/>
    <m/>
    <x v="1"/>
  </r>
  <r>
    <s v="SERVICIO DE SALUD OSORNO"/>
    <x v="0"/>
    <x v="122"/>
    <s v="Proyecto operacional"/>
    <s v="Enviado"/>
    <s v="22.01.001"/>
    <x v="123"/>
    <s v="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
    <x v="8"/>
    <x v="31"/>
    <n v="4"/>
    <n v="1"/>
    <x v="151"/>
    <x v="189"/>
    <x v="4"/>
    <x v="38"/>
    <x v="48"/>
    <x v="53"/>
    <s v="64-2335767-"/>
    <s v="jocelyne.prieto@redsalud.gob.cl"/>
    <x v="19"/>
    <m/>
    <n v="0"/>
    <m/>
    <n v="0"/>
    <n v="0"/>
    <m/>
    <x v="1"/>
  </r>
  <r>
    <s v="SERVICIO DE SALUD OSORNO"/>
    <x v="0"/>
    <x v="122"/>
    <s v="Proyecto operacional"/>
    <s v="Enviado"/>
    <s v="22.01.001"/>
    <x v="123"/>
    <s v="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
    <x v="8"/>
    <x v="63"/>
    <n v="4"/>
    <n v="3"/>
    <x v="152"/>
    <x v="190"/>
    <x v="4"/>
    <x v="31"/>
    <x v="48"/>
    <x v="53"/>
    <s v="64-2335767-"/>
    <s v="jocelyne.prieto@redsalud.gob.cl"/>
    <x v="20"/>
    <m/>
    <n v="0"/>
    <m/>
    <n v="0"/>
    <n v="0"/>
    <m/>
    <x v="1"/>
  </r>
  <r>
    <s v="SERVICIO DE SALUD OSORNO"/>
    <x v="0"/>
    <x v="122"/>
    <s v="Proyecto operacional"/>
    <s v="Enviado"/>
    <s v="22.01.001"/>
    <x v="123"/>
    <s v="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
    <x v="8"/>
    <x v="123"/>
    <n v="4"/>
    <n v="30"/>
    <x v="153"/>
    <x v="191"/>
    <x v="4"/>
    <x v="31"/>
    <x v="48"/>
    <x v="53"/>
    <s v="64-2335767-"/>
    <s v="jocelyne.prieto@redsalud.gob.cl"/>
    <x v="20"/>
    <m/>
    <n v="0"/>
    <m/>
    <n v="0"/>
    <n v="0"/>
    <m/>
    <x v="1"/>
  </r>
  <r>
    <s v="SERVICIO DE SALUD OSORNO"/>
    <x v="0"/>
    <x v="122"/>
    <s v="Proyecto operacional"/>
    <s v="Enviado"/>
    <s v="22.01.001"/>
    <x v="123"/>
    <s v="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
    <x v="8"/>
    <x v="124"/>
    <n v="4"/>
    <n v="25"/>
    <x v="154"/>
    <x v="150"/>
    <x v="4"/>
    <x v="31"/>
    <x v="48"/>
    <x v="53"/>
    <s v="64-2335767-"/>
    <s v="jocelyne.prieto@redsalud.gob.cl"/>
    <x v="20"/>
    <m/>
    <n v="0"/>
    <m/>
    <n v="0"/>
    <n v="0"/>
    <m/>
    <x v="1"/>
  </r>
  <r>
    <s v="SERVICIO DE SALUD OSORNO"/>
    <x v="0"/>
    <x v="122"/>
    <s v="Proyecto operacional"/>
    <s v="Enviado"/>
    <s v="22.01.001"/>
    <x v="123"/>
    <s v="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
    <x v="8"/>
    <x v="125"/>
    <n v="4"/>
    <n v="50"/>
    <x v="155"/>
    <x v="178"/>
    <x v="4"/>
    <x v="38"/>
    <x v="48"/>
    <x v="53"/>
    <s v="64-2335767-"/>
    <s v="jocelyne.prieto@redsalud.gob.cl"/>
    <x v="19"/>
    <m/>
    <n v="0"/>
    <m/>
    <n v="0"/>
    <n v="0"/>
    <m/>
    <x v="1"/>
  </r>
  <r>
    <s v="SERVICIO DE SALUD OSORNO"/>
    <x v="0"/>
    <x v="122"/>
    <s v="Proyecto operacional"/>
    <s v="Enviado"/>
    <s v="22.01.001"/>
    <x v="123"/>
    <s v="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
    <x v="8"/>
    <x v="126"/>
    <n v="4"/>
    <n v="2"/>
    <x v="156"/>
    <x v="192"/>
    <x v="4"/>
    <x v="28"/>
    <x v="48"/>
    <x v="53"/>
    <s v="64-2335767-"/>
    <s v="jocelyne.prieto@redsalud.gob.cl"/>
    <x v="18"/>
    <m/>
    <n v="0"/>
    <m/>
    <n v="0"/>
    <n v="0"/>
    <m/>
    <x v="1"/>
  </r>
  <r>
    <s v="SERVICIO DE SALUD OSORNO"/>
    <x v="0"/>
    <x v="122"/>
    <s v="Proyecto operacional"/>
    <s v="Enviado"/>
    <s v="22.01.001"/>
    <x v="123"/>
    <s v="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
    <x v="8"/>
    <x v="127"/>
    <n v="4"/>
    <n v="200"/>
    <x v="157"/>
    <x v="193"/>
    <x v="4"/>
    <x v="38"/>
    <x v="48"/>
    <x v="53"/>
    <s v="64-2335767-"/>
    <s v="jocelyne.prieto@redsalud.gob.cl"/>
    <x v="19"/>
    <m/>
    <n v="0"/>
    <m/>
    <n v="0"/>
    <n v="0"/>
    <m/>
    <x v="1"/>
  </r>
  <r>
    <s v="SERVICIO DE SALUD OSORNO"/>
    <x v="1"/>
    <x v="123"/>
    <s v="Proyecto operacional"/>
    <s v="Enviado"/>
    <s v="22.01.001"/>
    <x v="124"/>
    <s v="El Festival Navideño se realizará en el mes de diciembre, por lo que las compras deberían estar en noviembre, para poder organizar los recuerdos y actividades a realizar en este evento, además de la comida que se va a entregar a los invitados. Es una actividad de cierre de año y de reflexión en torno a lo realizado en las vidas de los usuarios y sus familiares"/>
    <x v="6"/>
    <x v="63"/>
    <n v="4"/>
    <n v="1"/>
    <x v="83"/>
    <x v="164"/>
    <x v="4"/>
    <x v="28"/>
    <x v="44"/>
    <x v="24"/>
    <s v="64-2335610-"/>
    <s v="pedro.fritz@redsalud.gob.cl"/>
    <x v="18"/>
    <m/>
    <n v="0"/>
    <m/>
    <n v="0"/>
    <n v="0"/>
    <m/>
    <x v="1"/>
  </r>
  <r>
    <s v="SERVICIO DE SALUD OSORNO"/>
    <x v="1"/>
    <x v="123"/>
    <s v="Proyecto operacional"/>
    <s v="Enviado"/>
    <s v="22.01.001"/>
    <x v="124"/>
    <s v="El Festival Navideño se realizará en el mes de diciembre, por lo que las compras deberían estar en noviembre, para poder organizar los recuerdos y actividades a realizar en este evento, además de la comida que se va a entregar a los invitados. Es una actividad de cierre de año y de reflexión en torno a lo realizado en las vidas de los usuarios y sus familiares"/>
    <x v="6"/>
    <x v="31"/>
    <n v="4"/>
    <n v="110"/>
    <x v="158"/>
    <x v="194"/>
    <x v="4"/>
    <x v="28"/>
    <x v="44"/>
    <x v="24"/>
    <s v="64-2335610-"/>
    <s v="pedro.fritz@redsalud.gob.cl"/>
    <x v="18"/>
    <m/>
    <n v="0"/>
    <m/>
    <n v="0"/>
    <n v="0"/>
    <m/>
    <x v="1"/>
  </r>
  <r>
    <s v="SERVICIO DE SALUD OSORNO"/>
    <x v="1"/>
    <x v="123"/>
    <s v="Proyecto operacional"/>
    <s v="Enviado"/>
    <s v="22.01.001"/>
    <x v="124"/>
    <s v="El Festival Navideño se realizará en el mes de diciembre, por lo que las compras deberían estar en noviembre, para poder organizar los recuerdos y actividades a realizar en este evento, además de la comida que se va a entregar a los invitados. Es una actividad de cierre de año y de reflexión en torno a lo realizado en las vidas de los usuarios y sus familiares"/>
    <x v="6"/>
    <x v="94"/>
    <n v="4"/>
    <n v="31"/>
    <x v="159"/>
    <x v="195"/>
    <x v="4"/>
    <x v="28"/>
    <x v="44"/>
    <x v="24"/>
    <s v="64-2335610-"/>
    <s v="pedro.fritz@redsalud.gob.cl"/>
    <x v="18"/>
    <m/>
    <n v="0"/>
    <m/>
    <n v="0"/>
    <n v="0"/>
    <m/>
    <x v="1"/>
  </r>
  <r>
    <s v="SERVICIO DE SALUD OSORNO"/>
    <x v="1"/>
    <x v="123"/>
    <s v="Proyecto operacional"/>
    <s v="Enviado"/>
    <s v="22.01.001"/>
    <x v="124"/>
    <s v="El Festival Navideño se realizará en el mes de diciembre, por lo que las compras deberían estar en noviembre, para poder organizar los recuerdos y actividades a realizar en este evento, además de la comida que se va a entregar a los invitados. Es una actividad de cierre de año y de reflexión en torno a lo realizado en las vidas de los usuarios y sus familiares"/>
    <x v="6"/>
    <x v="128"/>
    <n v="4"/>
    <n v="30"/>
    <x v="160"/>
    <x v="196"/>
    <x v="4"/>
    <x v="28"/>
    <x v="44"/>
    <x v="24"/>
    <s v="64-2335610-"/>
    <s v="pedro.fritz@redsalud.gob.cl"/>
    <x v="18"/>
    <m/>
    <n v="0"/>
    <m/>
    <n v="0"/>
    <n v="0"/>
    <m/>
    <x v="1"/>
  </r>
  <r>
    <s v="SERVICIO DE SALUD OSORNO"/>
    <x v="1"/>
    <x v="124"/>
    <s v="Proyecto operacional"/>
    <s v="Enviado"/>
    <s v="22.04.002"/>
    <x v="125"/>
    <s v="Idealmente en enero ya contar con los materiales."/>
    <x v="1"/>
    <x v="94"/>
    <n v="4"/>
    <n v="26"/>
    <x v="161"/>
    <x v="197"/>
    <x v="4"/>
    <x v="35"/>
    <x v="44"/>
    <x v="24"/>
    <s v="64-2335610-"/>
    <s v="pedro.fritz@redsalud.gob.cl"/>
    <x v="13"/>
    <m/>
    <n v="0"/>
    <m/>
    <n v="0"/>
    <n v="0"/>
    <m/>
    <x v="1"/>
  </r>
  <r>
    <s v="SERVICIO DE SALUD OSORNO"/>
    <x v="0"/>
    <x v="125"/>
    <s v="Proyecto operacional"/>
    <s v="Enviado"/>
    <s v="22.04.003"/>
    <x v="126"/>
    <s v="COMPRA DE KITS PARA DETECCION DE VIRUS Y BACTERIAS RESPIRATORIAS POR METODO MOLECULAR RAPIDO (POC MOLECULAR) QUE PERMITIRAN A HPO, HRN Y HPU OTORGAR PRESTACIONES DE LABORATORIO RELATIVAS A LA DETECCION DE INFECCIONES RESPIRATORIAS POR METODOS RAPIDOS Y ALTAMENTE ESPECIFICOS/SENSIBLES. SE REQUIERE QUE LA COMPRA SE REALICE EN MAYO DEL 2026, CON RECURSOS DE LA CAMPAÑA DE INVIERNO DEL AÑO 2026, CON DURACION DEL CONVENIO POR 12 MESES."/>
    <x v="1"/>
    <x v="121"/>
    <n v="4"/>
    <n v="1"/>
    <x v="66"/>
    <x v="198"/>
    <x v="11"/>
    <x v="41"/>
    <x v="49"/>
    <x v="51"/>
    <s v="64-2335827-"/>
    <s v="sofiav.reyes@redsalud.gob.cl"/>
    <x v="20"/>
    <m/>
    <n v="0"/>
    <m/>
    <n v="0"/>
    <n v="0"/>
    <m/>
    <x v="1"/>
  </r>
  <r>
    <s v="SERVICIO DE SALUD OSORNO"/>
    <x v="1"/>
    <x v="126"/>
    <s v="Proyecto operacional"/>
    <s v="Enviado"/>
    <s v="22.01.001.002"/>
    <x v="127"/>
    <s v="Se requiere contar con los insumos en los siguientes meses: Febrero, Marzo, Abril, Mayo, Junio, Julio, Agosto y Noviembre"/>
    <x v="5"/>
    <x v="63"/>
    <n v="4"/>
    <n v="2"/>
    <x v="162"/>
    <x v="199"/>
    <x v="4"/>
    <x v="38"/>
    <x v="44"/>
    <x v="24"/>
    <s v="64-2335610-"/>
    <s v="pedro.fritz@redsalud.gob.cl"/>
    <x v="19"/>
    <m/>
    <n v="0"/>
    <m/>
    <n v="0"/>
    <n v="0"/>
    <m/>
    <x v="1"/>
  </r>
  <r>
    <s v="SERVICIO DE SALUD OSORNO"/>
    <x v="1"/>
    <x v="126"/>
    <s v="Proyecto operacional"/>
    <s v="Enviado"/>
    <s v="22.01.001.002"/>
    <x v="127"/>
    <s v="Se requiere contar con los insumos en los siguientes meses: Febrero, Marzo, Abril, Mayo, Junio, Julio, Agosto y Noviembre"/>
    <x v="5"/>
    <x v="31"/>
    <n v="4"/>
    <n v="173"/>
    <x v="163"/>
    <x v="200"/>
    <x v="4"/>
    <x v="38"/>
    <x v="44"/>
    <x v="24"/>
    <s v="64-2335610-"/>
    <s v="pedro.fritz@redsalud.gob.cl"/>
    <x v="19"/>
    <m/>
    <n v="0"/>
    <m/>
    <n v="0"/>
    <n v="0"/>
    <m/>
    <x v="1"/>
  </r>
  <r>
    <s v="SERVICIO DE SALUD OSORNO"/>
    <x v="1"/>
    <x v="126"/>
    <s v="Proyecto operacional"/>
    <s v="Enviado"/>
    <s v="22.01.001.002"/>
    <x v="127"/>
    <s v="Se requiere contar con los insumos en los siguientes meses: Febrero, Marzo, Abril, Mayo, Junio, Julio, Agosto y Noviembre"/>
    <x v="5"/>
    <x v="113"/>
    <n v="4"/>
    <n v="400"/>
    <x v="164"/>
    <x v="201"/>
    <x v="4"/>
    <x v="38"/>
    <x v="44"/>
    <x v="24"/>
    <s v="64-2335610-"/>
    <s v="pedro.fritz@redsalud.gob.cl"/>
    <x v="19"/>
    <m/>
    <n v="0"/>
    <m/>
    <n v="0"/>
    <n v="0"/>
    <m/>
    <x v="1"/>
  </r>
  <r>
    <s v="SERVICIO DE SALUD OSORNO"/>
    <x v="0"/>
    <x v="127"/>
    <s v="Proyecto operacional"/>
    <s v="Enviado"/>
    <s v="22.04.999"/>
    <x v="128"/>
    <s v="Adquirir productos para realización de medicina integrativa en los/las funcionarios/as que se atiendas en SAFU, por lo cual, para dar continuidad a los tratamientos realizados, el mes de ejecución de la compra debe ser realizado en enero 2026 , el cual estará vigente hasta diciembre 2026."/>
    <x v="1"/>
    <x v="129"/>
    <n v="4"/>
    <n v="1328"/>
    <x v="165"/>
    <x v="202"/>
    <x v="4"/>
    <x v="35"/>
    <x v="50"/>
    <x v="54"/>
    <s v="64-2337034-"/>
    <s v="lhya.kortmann@redsalud.gob.cl"/>
    <x v="13"/>
    <m/>
    <n v="0"/>
    <m/>
    <n v="0"/>
    <n v="0"/>
    <m/>
    <x v="1"/>
  </r>
  <r>
    <s v="SERVICIO DE SALUD OSORNO"/>
    <x v="0"/>
    <x v="128"/>
    <s v="Proyecto operacional"/>
    <s v="Enviado"/>
    <s v="22.04.007"/>
    <x v="129"/>
    <s v="COMPRA DE INSUMOS PARA USUARIOS DEL PROGRAMA ATENCIÓN DOMICILIARIA PARA PERSONAS CON DEPENDENCIA SEVERA. LA COMPRA SE REALIZARÁ EN EL MES DE ABRIL, SEGÚN DISTRIBUCIÓN DE RECURSOS FINANCIEROS."/>
    <x v="5"/>
    <x v="130"/>
    <n v="4"/>
    <n v="750"/>
    <x v="166"/>
    <x v="203"/>
    <x v="4"/>
    <x v="24"/>
    <x v="51"/>
    <x v="55"/>
    <s v="64-2335818-"/>
    <s v="camila.alvarez@redsalud.gob.cl"/>
    <x v="14"/>
    <m/>
    <n v="0"/>
    <m/>
    <n v="0"/>
    <n v="0"/>
    <m/>
    <x v="1"/>
  </r>
  <r>
    <s v="SERVICIO DE SALUD OSORNO"/>
    <x v="0"/>
    <x v="128"/>
    <s v="Proyecto operacional"/>
    <s v="Enviado"/>
    <s v="22.04.007"/>
    <x v="129"/>
    <s v="COMPRA DE INSUMOS PARA USUARIOS DEL PROGRAMA ATENCIÓN DOMICILIARIA PARA PERSONAS CON DEPENDENCIA SEVERA. LA COMPRA SE REALIZARÁ EN EL MES DE ABRIL, SEGÚN DISTRIBUCIÓN DE RECURSOS FINANCIEROS."/>
    <x v="5"/>
    <x v="131"/>
    <n v="4"/>
    <n v="702"/>
    <x v="167"/>
    <x v="204"/>
    <x v="4"/>
    <x v="24"/>
    <x v="51"/>
    <x v="55"/>
    <s v="64-2335818-"/>
    <s v="camila.alvarez@redsalud.gob.cl"/>
    <x v="14"/>
    <m/>
    <n v="0"/>
    <m/>
    <n v="0"/>
    <n v="0"/>
    <m/>
    <x v="1"/>
  </r>
  <r>
    <s v="SERVICIO DE SALUD OSORNO"/>
    <x v="0"/>
    <x v="128"/>
    <s v="Proyecto operacional"/>
    <s v="Enviado"/>
    <s v="22.04.007"/>
    <x v="129"/>
    <s v="COMPRA DE INSUMOS PARA USUARIOS DEL PROGRAMA ATENCIÓN DOMICILIARIA PARA PERSONAS CON DEPENDENCIA SEVERA. LA COMPRA SE REALIZARÁ EN EL MES DE ABRIL, SEGÚN DISTRIBUCIÓN DE RECURSOS FINANCIEROS."/>
    <x v="5"/>
    <x v="132"/>
    <n v="4"/>
    <n v="200"/>
    <x v="168"/>
    <x v="205"/>
    <x v="4"/>
    <x v="24"/>
    <x v="51"/>
    <x v="55"/>
    <s v="64-2335818-"/>
    <s v="camila.alvarez@redsalud.gob.cl"/>
    <x v="14"/>
    <m/>
    <n v="0"/>
    <m/>
    <n v="0"/>
    <n v="0"/>
    <m/>
    <x v="1"/>
  </r>
  <r>
    <s v="SERVICIO DE SALUD OSORNO"/>
    <x v="0"/>
    <x v="129"/>
    <s v="Proyecto operacional"/>
    <s v="Enviado"/>
    <s v="22.04.001"/>
    <x v="130"/>
    <s v="Compra se ejecutará en Marzo 2026."/>
    <x v="0"/>
    <x v="43"/>
    <n v="4"/>
    <n v="3248"/>
    <x v="169"/>
    <x v="206"/>
    <x v="4"/>
    <x v="32"/>
    <x v="52"/>
    <x v="56"/>
    <s v="64-2335811-"/>
    <s v="eleuterio.roman@redsalud.gob.cl"/>
    <x v="21"/>
    <m/>
    <n v="0"/>
    <m/>
    <n v="0"/>
    <n v="0"/>
    <m/>
    <x v="1"/>
  </r>
  <r>
    <s v="SERVICIO DE SALUD OSORNO"/>
    <x v="0"/>
    <x v="129"/>
    <s v="Proyecto operacional"/>
    <s v="Enviado"/>
    <s v="22.04.001"/>
    <x v="130"/>
    <s v="Compra se ejecutará en Marzo 2026."/>
    <x v="0"/>
    <x v="133"/>
    <n v="4"/>
    <n v="4"/>
    <x v="170"/>
    <x v="207"/>
    <x v="4"/>
    <x v="32"/>
    <x v="52"/>
    <x v="56"/>
    <s v="64-2335811-"/>
    <s v="eleuterio.roman@redsalud.gob.cl"/>
    <x v="21"/>
    <m/>
    <n v="0"/>
    <m/>
    <n v="0"/>
    <n v="0"/>
    <m/>
    <x v="1"/>
  </r>
  <r>
    <s v="SERVICIO DE SALUD OSORNO"/>
    <x v="0"/>
    <x v="130"/>
    <s v="Proyecto operacional"/>
    <s v="Enviado"/>
    <s v="22.04.999"/>
    <x v="131"/>
    <s v="Ejecutar actividad de Zumba dirigida a funcionarios/as y comunidad en conmemoración al mes del corazón (Agosto 2026), además de entregar colaciones saludables y premios posterior a la realización de la actividad. Actividad inserta en Programa Apoyo a la Gestión en establecimiento dependientes - componente Salud Cardiovascular (Presupuesto 2026)."/>
    <x v="5"/>
    <x v="134"/>
    <n v="4"/>
    <n v="2"/>
    <x v="171"/>
    <x v="208"/>
    <x v="4"/>
    <x v="36"/>
    <x v="53"/>
    <x v="57"/>
    <s v="64-2337032-"/>
    <s v="daniela.cancino01@redsalud.gob.cl"/>
    <x v="24"/>
    <m/>
    <n v="0"/>
    <m/>
    <n v="0"/>
    <n v="0"/>
    <m/>
    <x v="1"/>
  </r>
  <r>
    <s v="SERVICIO DE SALUD OSORNO"/>
    <x v="0"/>
    <x v="130"/>
    <s v="Proyecto operacional"/>
    <s v="Enviado"/>
    <s v="22.04.999"/>
    <x v="131"/>
    <s v="Ejecutar actividad de Zumba dirigida a funcionarios/as y comunidad en conmemoración al mes del corazón (Agosto 2026), además de entregar colaciones saludables y premios posterior a la realización de la actividad. Actividad inserta en Programa Apoyo a la Gestión en establecimiento dependientes - componente Salud Cardiovascular (Presupuesto 2026)."/>
    <x v="5"/>
    <x v="31"/>
    <n v="4"/>
    <n v="240"/>
    <x v="172"/>
    <x v="209"/>
    <x v="4"/>
    <x v="36"/>
    <x v="53"/>
    <x v="57"/>
    <s v="64-2337032-"/>
    <s v="daniela.cancino01@redsalud.gob.cl"/>
    <x v="24"/>
    <m/>
    <n v="0"/>
    <m/>
    <n v="0"/>
    <n v="0"/>
    <m/>
    <x v="1"/>
  </r>
  <r>
    <s v="SERVICIO DE SALUD OSORNO"/>
    <x v="0"/>
    <x v="130"/>
    <s v="Proyecto operacional"/>
    <s v="Enviado"/>
    <s v="22.04.999"/>
    <x v="131"/>
    <s v="Ejecutar actividad de Zumba dirigida a funcionarios/as y comunidad en conmemoración al mes del corazón (Agosto 2026), además de entregar colaciones saludables y premios posterior a la realización de la actividad. Actividad inserta en Programa Apoyo a la Gestión en establecimiento dependientes - componente Salud Cardiovascular (Presupuesto 2026)."/>
    <x v="5"/>
    <x v="135"/>
    <n v="4"/>
    <n v="220"/>
    <x v="173"/>
    <x v="210"/>
    <x v="4"/>
    <x v="36"/>
    <x v="53"/>
    <x v="57"/>
    <s v="64-2337032-"/>
    <s v="daniela.cancino01@redsalud.gob.cl"/>
    <x v="24"/>
    <m/>
    <n v="0"/>
    <m/>
    <n v="0"/>
    <n v="0"/>
    <m/>
    <x v="1"/>
  </r>
  <r>
    <s v="SERVICIO DE SALUD OSORNO"/>
    <x v="0"/>
    <x v="131"/>
    <s v="Proyecto operacional"/>
    <s v="Enviado"/>
    <s v="22.06.001"/>
    <x v="132"/>
    <s v="Mes en el que se deberá gestionar FSC es febrero 2026. la mantención se considera 1 vez en el año."/>
    <x v="1"/>
    <x v="68"/>
    <n v="4"/>
    <n v="9"/>
    <x v="174"/>
    <x v="211"/>
    <x v="4"/>
    <x v="38"/>
    <x v="44"/>
    <x v="58"/>
    <s v="64-2335588-"/>
    <s v="roberto.nunez@redsalud.gob.cl"/>
    <x v="19"/>
    <m/>
    <n v="0"/>
    <m/>
    <n v="0"/>
    <n v="0"/>
    <m/>
    <x v="1"/>
  </r>
  <r>
    <s v="SERVICIO DE SALUD OSORNO"/>
    <x v="0"/>
    <x v="132"/>
    <s v="Proyecto operacional"/>
    <s v="Enviado"/>
    <s v="22.06.001"/>
    <x v="133"/>
    <s v="Febrero, marzo, abril año 2026. El trabajo se debe hacer en 3 meses son 12 estacionamientos, se debe realizar de a 4 por motivo de no congestionar espacios destinados a estacionamientos"/>
    <x v="1"/>
    <x v="68"/>
    <n v="4"/>
    <n v="12"/>
    <x v="175"/>
    <x v="212"/>
    <x v="4"/>
    <x v="38"/>
    <x v="44"/>
    <x v="58"/>
    <s v="64-2335588-"/>
    <s v="roberto.nunez@redsalud.gob.cl"/>
    <x v="19"/>
    <m/>
    <n v="0"/>
    <m/>
    <n v="0"/>
    <n v="0"/>
    <m/>
    <x v="1"/>
  </r>
  <r>
    <s v="SERVICIO DE SALUD OSORNO"/>
    <x v="0"/>
    <x v="133"/>
    <s v="Proyecto operacional"/>
    <s v="Enviado"/>
    <s v="22.06.001"/>
    <x v="134"/>
    <s v="marzo 2026, corresponde a 1 trabajo que se debe ejecutar"/>
    <x v="1"/>
    <x v="68"/>
    <n v="4"/>
    <n v="1"/>
    <x v="176"/>
    <x v="141"/>
    <x v="4"/>
    <x v="32"/>
    <x v="44"/>
    <x v="58"/>
    <s v="64-2335588-"/>
    <s v="roberto.nunez@redsalud.gob.cl"/>
    <x v="21"/>
    <m/>
    <n v="0"/>
    <m/>
    <n v="0"/>
    <n v="0"/>
    <m/>
    <x v="1"/>
  </r>
  <r>
    <s v="SERVICIO DE SALUD OSORNO"/>
    <x v="0"/>
    <x v="134"/>
    <s v="Proyecto operacional"/>
    <s v="Enviado"/>
    <s v="22.06.001"/>
    <x v="135"/>
    <s v="Se deberá ejecutar en marzo 2026, es un sólo trabajo"/>
    <x v="1"/>
    <x v="68"/>
    <n v="4"/>
    <n v="1"/>
    <x v="177"/>
    <x v="106"/>
    <x v="4"/>
    <x v="38"/>
    <x v="44"/>
    <x v="58"/>
    <s v="64-2335588-"/>
    <s v="roberto.nunez@redsalud.gob.cl"/>
    <x v="19"/>
    <m/>
    <n v="0"/>
    <m/>
    <n v="0"/>
    <n v="0"/>
    <m/>
    <x v="1"/>
  </r>
  <r>
    <s v="SERVICIO DE SALUD OSORNO"/>
    <x v="0"/>
    <x v="135"/>
    <s v="Proyecto operacional"/>
    <s v="Enviado"/>
    <s v="22.06.001"/>
    <x v="136"/>
    <s v="Se deberá ejecutar en marzo 2026, corresponde a 1 trabajo"/>
    <x v="1"/>
    <x v="68"/>
    <n v="4"/>
    <n v="1"/>
    <x v="58"/>
    <x v="96"/>
    <x v="4"/>
    <x v="32"/>
    <x v="44"/>
    <x v="58"/>
    <s v="64-2335588-"/>
    <s v="roberto.nunez@redsalud.gob.cl"/>
    <x v="21"/>
    <m/>
    <n v="0"/>
    <m/>
    <n v="0"/>
    <n v="0"/>
    <m/>
    <x v="1"/>
  </r>
  <r>
    <s v="SERVICIO DE SALUD OSORNO"/>
    <x v="0"/>
    <x v="136"/>
    <s v="Proyecto operacional"/>
    <s v="Enviado"/>
    <s v="22.06.001"/>
    <x v="137"/>
    <s v="Se deberá ejecutar en abril 2026, El trabajo se hace 1 vez"/>
    <x v="1"/>
    <x v="68"/>
    <n v="4"/>
    <n v="6"/>
    <x v="178"/>
    <x v="213"/>
    <x v="4"/>
    <x v="24"/>
    <x v="44"/>
    <x v="58"/>
    <s v="64-2335588-"/>
    <s v="roberto.nunez@redsalud.gob.cl"/>
    <x v="14"/>
    <m/>
    <n v="0"/>
    <m/>
    <n v="0"/>
    <n v="0"/>
    <m/>
    <x v="1"/>
  </r>
  <r>
    <s v="SERVICIO DE SALUD OSORNO"/>
    <x v="0"/>
    <x v="137"/>
    <s v="Proyecto operacional"/>
    <s v="Enviado"/>
    <s v="22.06.001"/>
    <x v="138"/>
    <s v="Se deberá ejecutar en Enero 2026. Corresponde a un trabajo"/>
    <x v="1"/>
    <x v="68"/>
    <n v="4"/>
    <n v="1"/>
    <x v="179"/>
    <x v="182"/>
    <x v="4"/>
    <x v="35"/>
    <x v="44"/>
    <x v="58"/>
    <s v="64-2335588-"/>
    <s v="roberto.nunez@redsalud.gob.cl"/>
    <x v="13"/>
    <m/>
    <n v="0"/>
    <m/>
    <n v="0"/>
    <n v="0"/>
    <m/>
    <x v="1"/>
  </r>
  <r>
    <s v="SERVICIO DE SALUD OSORNO"/>
    <x v="0"/>
    <x v="138"/>
    <s v="Proyecto operacional"/>
    <s v="Enviado"/>
    <s v="22.06.001"/>
    <x v="139"/>
    <s v="Se deberá ejecutar en julio 2026, corresponde a una obra de adecuación."/>
    <x v="1"/>
    <x v="68"/>
    <n v="4"/>
    <n v="1"/>
    <x v="180"/>
    <x v="214"/>
    <x v="4"/>
    <x v="33"/>
    <x v="44"/>
    <x v="58"/>
    <s v="64-2335588-"/>
    <s v="roberto.nunez@redsalud.gob.cl"/>
    <x v="22"/>
    <m/>
    <n v="0"/>
    <m/>
    <n v="0"/>
    <n v="0"/>
    <m/>
    <x v="1"/>
  </r>
  <r>
    <s v="SERVICIO DE SALUD OSORNO"/>
    <x v="0"/>
    <x v="139"/>
    <s v="Proyecto operacional"/>
    <s v="Enviado"/>
    <s v="22.06.001"/>
    <x v="140"/>
    <s v="Ejecución en marzo 2026. Corresponde a 1 trabajo."/>
    <x v="1"/>
    <x v="68"/>
    <n v="4"/>
    <n v="1"/>
    <x v="181"/>
    <x v="215"/>
    <x v="4"/>
    <x v="32"/>
    <x v="44"/>
    <x v="58"/>
    <s v="64-2335588-"/>
    <s v="roberto.nunez@redsalud.gob.cl"/>
    <x v="21"/>
    <m/>
    <n v="0"/>
    <m/>
    <n v="0"/>
    <n v="0"/>
    <m/>
    <x v="1"/>
  </r>
  <r>
    <s v="SERVICIO DE SALUD OSORNO"/>
    <x v="0"/>
    <x v="140"/>
    <s v="Proyecto operacional"/>
    <s v="Enviado"/>
    <s v="22.06.001"/>
    <x v="141"/>
    <s v="Ejecución en abril 2026, corresponde a 1 solo trabajo"/>
    <x v="1"/>
    <x v="68"/>
    <n v="4"/>
    <n v="1"/>
    <x v="142"/>
    <x v="180"/>
    <x v="4"/>
    <x v="24"/>
    <x v="44"/>
    <x v="58"/>
    <s v="64-2335588-"/>
    <s v="roberto.nunez@redsalud.gob.cl"/>
    <x v="14"/>
    <m/>
    <n v="0"/>
    <m/>
    <n v="0"/>
    <n v="0"/>
    <m/>
    <x v="1"/>
  </r>
  <r>
    <s v="SERVICIO DE SALUD OSORNO"/>
    <x v="0"/>
    <x v="141"/>
    <s v="Proyecto operacional"/>
    <s v="Enviado"/>
    <s v="22.04.001"/>
    <x v="142"/>
    <s v="El talonario para licencias médicas es un suministro de formularios de papel que los médicos pueden solicitar a través de la COMPIN. Si bien la emisión de licencias médicas electrónicas es obligatoria desde enero de 2021, existen excepciones que requieren el uso de papel, como cuando hay error en la lectura de la huella del prestador , intermitencia de la plataforma, etc..., por lo cual, se requiere adquirir estos talonarios de licencia médica a través de COMPIN , donde el mes de ejecución de la compra es enero 2026."/>
    <x v="1"/>
    <x v="43"/>
    <n v="4"/>
    <n v="4"/>
    <x v="98"/>
    <x v="216"/>
    <x v="4"/>
    <x v="35"/>
    <x v="50"/>
    <x v="54"/>
    <s v="64-2335663-"/>
    <s v="lhya.kortmann@redsalud.gob.cl"/>
    <x v="13"/>
    <m/>
    <n v="0"/>
    <m/>
    <n v="0"/>
    <n v="0"/>
    <m/>
    <x v="1"/>
  </r>
  <r>
    <s v="SERVICIO DE SALUD OSORNO"/>
    <x v="0"/>
    <x v="142"/>
    <s v="Proyecto operacional"/>
    <s v="Enviado"/>
    <s v="22.06.001"/>
    <x v="143"/>
    <s v="Junio 2026, corresponde a 1 trabajo"/>
    <x v="1"/>
    <x v="68"/>
    <n v="4"/>
    <n v="1"/>
    <x v="153"/>
    <x v="60"/>
    <x v="4"/>
    <x v="25"/>
    <x v="44"/>
    <x v="58"/>
    <s v="64-2335588-"/>
    <s v="roberto.nunez@redsalud.gob.cl"/>
    <x v="22"/>
    <m/>
    <n v="0"/>
    <m/>
    <n v="0"/>
    <n v="0"/>
    <m/>
    <x v="1"/>
  </r>
  <r>
    <s v="SERVICIO DE SALUD OSORNO"/>
    <x v="0"/>
    <x v="143"/>
    <s v="Proyecto operacional"/>
    <s v="Enviado"/>
    <s v="22.03.003"/>
    <x v="144"/>
    <s v="El insumo se deberá adquiquir de la siguiente forma: 600 bolsas de pellet 15kg en marzo, 500 bolsas de pellet 15kg en mayo, 600 bolsas de pellet 15kg en julio y 700 bolsas de pellet 15kg en septiembre"/>
    <x v="1"/>
    <x v="136"/>
    <n v="4"/>
    <n v="2500"/>
    <x v="182"/>
    <x v="217"/>
    <x v="7"/>
    <x v="42"/>
    <x v="44"/>
    <x v="58"/>
    <s v="64-2335588-"/>
    <s v="roberto.nunez@redsalud.gob.cl"/>
    <x v="21"/>
    <m/>
    <n v="0"/>
    <m/>
    <n v="0"/>
    <n v="0"/>
    <m/>
    <x v="1"/>
  </r>
  <r>
    <s v="SERVICIO DE SALUD OSORNO"/>
    <x v="0"/>
    <x v="144"/>
    <s v="Proyecto operacional"/>
    <s v="Enviado"/>
    <s v="22.03.999"/>
    <x v="145"/>
    <s v="Se deberá adquirir en mayo 2026, se comprará una sola vez."/>
    <x v="1"/>
    <x v="137"/>
    <n v="4"/>
    <n v="700"/>
    <x v="183"/>
    <x v="218"/>
    <x v="4"/>
    <x v="31"/>
    <x v="44"/>
    <x v="58"/>
    <s v="64-2335588-"/>
    <s v="roberto.nunez@redsalud.gob.cl"/>
    <x v="20"/>
    <m/>
    <n v="0"/>
    <m/>
    <n v="0"/>
    <n v="0"/>
    <m/>
    <x v="1"/>
  </r>
  <r>
    <s v="SERVICIO DE SALUD OSORNO"/>
    <x v="0"/>
    <x v="145"/>
    <s v="Proyecto operacional"/>
    <s v="Enviado"/>
    <s v="22.06.001"/>
    <x v="146"/>
    <s v="julio 2026. Corresponde a compra de insumos."/>
    <x v="1"/>
    <x v="68"/>
    <n v="4"/>
    <n v="60"/>
    <x v="77"/>
    <x v="219"/>
    <x v="4"/>
    <x v="32"/>
    <x v="44"/>
    <x v="58"/>
    <s v="64-2335588-"/>
    <s v="roberto.nunez@redsalud.gob.cl"/>
    <x v="21"/>
    <m/>
    <n v="0"/>
    <m/>
    <n v="0"/>
    <n v="0"/>
    <m/>
    <x v="1"/>
  </r>
  <r>
    <s v="SERVICIO DE SALUD OSORNO"/>
    <x v="0"/>
    <x v="146"/>
    <s v="Proyecto operacional"/>
    <s v="Enviado"/>
    <s v="22.06.001"/>
    <x v="147"/>
    <s v="Junio 2026. Corresponde a 1 trabajo."/>
    <x v="1"/>
    <x v="68"/>
    <n v="4"/>
    <n v="36"/>
    <x v="184"/>
    <x v="220"/>
    <x v="4"/>
    <x v="25"/>
    <x v="44"/>
    <x v="58"/>
    <s v="64-2335588-"/>
    <s v="roberto.nunez@redsalud.gob.cl"/>
    <x v="15"/>
    <m/>
    <n v="0"/>
    <m/>
    <n v="0"/>
    <n v="0"/>
    <m/>
    <x v="1"/>
  </r>
  <r>
    <s v="SERVICIO DE SALUD OSORNO"/>
    <x v="0"/>
    <x v="147"/>
    <s v="Proyecto operacional"/>
    <s v="Enviado"/>
    <s v="22.06.001"/>
    <x v="148"/>
    <s v="Dejar operativas puertas comunes, puertas de emergencia y puerta doble acceso a pasillo clínico)."/>
    <x v="1"/>
    <x v="6"/>
    <n v="4"/>
    <n v="25"/>
    <x v="147"/>
    <x v="0"/>
    <x v="4"/>
    <x v="36"/>
    <x v="44"/>
    <x v="58"/>
    <s v="64-2335588-"/>
    <s v="roberto.nunez@redsalud.gob.cl"/>
    <x v="24"/>
    <m/>
    <n v="0"/>
    <m/>
    <n v="0"/>
    <n v="0"/>
    <m/>
    <x v="1"/>
  </r>
  <r>
    <s v="SERVICIO DE SALUD OSORNO"/>
    <x v="0"/>
    <x v="148"/>
    <s v="Proyecto operacional"/>
    <s v="Enviado"/>
    <s v="22.06.001"/>
    <x v="149"/>
    <s v="Agosto 2026."/>
    <x v="1"/>
    <x v="68"/>
    <n v="4"/>
    <n v="160"/>
    <x v="185"/>
    <x v="0"/>
    <x v="4"/>
    <x v="36"/>
    <x v="44"/>
    <x v="58"/>
    <s v="64-2335588-"/>
    <s v="roberto.nunez@redsalud.gob.cl"/>
    <x v="24"/>
    <m/>
    <n v="0"/>
    <m/>
    <n v="0"/>
    <n v="0"/>
    <m/>
    <x v="1"/>
  </r>
  <r>
    <s v="SERVICIO DE SALUD OSORNO"/>
    <x v="0"/>
    <x v="149"/>
    <s v="Proyecto operacional"/>
    <s v="Enviado"/>
    <s v="22.08.007"/>
    <x v="150"/>
    <s v="SE REQUIERE EL SERVICIO DE MOVILIZACIÓN PARA COSAM ORIENTE A PARTIR DE ENERO A DICIEMBRE DEL 2027"/>
    <x v="1"/>
    <x v="138"/>
    <n v="4"/>
    <n v="1"/>
    <x v="186"/>
    <x v="221"/>
    <x v="11"/>
    <x v="43"/>
    <x v="44"/>
    <x v="24"/>
    <s v="64-2335610-"/>
    <s v="pedro.fritz@redsalud.gob.cl"/>
    <x v="18"/>
    <m/>
    <n v="0"/>
    <m/>
    <n v="0"/>
    <n v="0"/>
    <m/>
    <x v="1"/>
  </r>
  <r>
    <s v="SERVICIO DE SALUD OSORNO"/>
    <x v="1"/>
    <x v="150"/>
    <s v="Proyecto operacional"/>
    <s v="Enviado"/>
    <s v="29.05.001"/>
    <x v="151"/>
    <s v="QUE LOS FUNCIONARIOS/AS TENGANUN ENTORNO LABORAL ADECUADO PARA EL DESARROLLO DE SUS FUNCIONES. Inicio de ejecucion Marzo del 2026 hasta noviembre 2026"/>
    <x v="0"/>
    <x v="139"/>
    <n v="4"/>
    <n v="1"/>
    <x v="187"/>
    <x v="222"/>
    <x v="4"/>
    <x v="32"/>
    <x v="54"/>
    <x v="59"/>
    <s v="64-2336339-"/>
    <s v="kassandra.fernandez@redsalud.gob.cl"/>
    <x v="21"/>
    <m/>
    <n v="0"/>
    <m/>
    <n v="0"/>
    <n v="0"/>
    <m/>
    <x v="1"/>
  </r>
  <r>
    <s v="SERVICIO DE SALUD OSORNO"/>
    <x v="1"/>
    <x v="150"/>
    <s v="Proyecto operacional"/>
    <s v="Enviado"/>
    <s v="29.05.001"/>
    <x v="151"/>
    <s v="QUE LOS FUNCIONARIOS/AS TENGANUN ENTORNO LABORAL ADECUADO PARA EL DESARROLLO DE SUS FUNCIONES. Inicio de ejecucion Marzo del 2026 hasta noviembre 2026"/>
    <x v="0"/>
    <x v="31"/>
    <n v="4"/>
    <n v="1"/>
    <x v="188"/>
    <x v="223"/>
    <x v="4"/>
    <x v="32"/>
    <x v="54"/>
    <x v="59"/>
    <s v="64-2336339-"/>
    <s v="kassandra.fernandez@redsalud.gob.cl"/>
    <x v="21"/>
    <m/>
    <n v="0"/>
    <m/>
    <n v="0"/>
    <n v="0"/>
    <m/>
    <x v="1"/>
  </r>
  <r>
    <s v="SERVICIO DE SALUD OSORNO"/>
    <x v="0"/>
    <x v="151"/>
    <s v="Proyecto operacional"/>
    <s v="Enviado"/>
    <s v="22.04.001"/>
    <x v="152"/>
    <s v="Se requiere comprar en Marzo"/>
    <x v="1"/>
    <x v="43"/>
    <n v="4"/>
    <n v="134"/>
    <x v="189"/>
    <x v="224"/>
    <x v="4"/>
    <x v="32"/>
    <x v="44"/>
    <x v="24"/>
    <s v="64-2335610-"/>
    <s v="pedro.fritz@redsalud.gob.cl"/>
    <x v="21"/>
    <m/>
    <n v="0"/>
    <m/>
    <n v="0"/>
    <n v="0"/>
    <m/>
    <x v="1"/>
  </r>
  <r>
    <s v="SERVICIO DE SALUD OSORNO"/>
    <x v="0"/>
    <x v="152"/>
    <s v="Proyecto operacional"/>
    <s v="Enviado"/>
    <s v="22.03.001"/>
    <x v="153"/>
    <s v="Se requiere la compra de combustible para el funcionamiento de los móviles de la Dirección del Servicio de Salud Osorno y Ambulancias de la Base SAMU"/>
    <x v="1"/>
    <x v="137"/>
    <n v="4"/>
    <n v="1"/>
    <x v="190"/>
    <x v="225"/>
    <x v="11"/>
    <x v="20"/>
    <x v="35"/>
    <x v="38"/>
    <s v="64-2335660-"/>
    <s v="pablo.oyarzo@redsalud.gob.cl"/>
    <x v="13"/>
    <m/>
    <n v="0"/>
    <m/>
    <n v="0"/>
    <n v="0"/>
    <m/>
    <x v="1"/>
  </r>
  <r>
    <s v="SERVICIO DE SALUD OSORNO"/>
    <x v="0"/>
    <x v="153"/>
    <s v="Proyecto operacional"/>
    <s v="Enviado"/>
    <s v="23.03.003"/>
    <x v="154"/>
    <s v="Convenio Adquisición de 10.000 litros de combustible Diesel para equipos generadores dispositivos del SSO Cosam Rahue y Cosam Oriente año 2026"/>
    <x v="1"/>
    <x v="137"/>
    <n v="4"/>
    <n v="1"/>
    <x v="191"/>
    <x v="226"/>
    <x v="11"/>
    <x v="20"/>
    <x v="35"/>
    <x v="60"/>
    <s v="64-2335660-"/>
    <s v="pablo.oyarzo@redsalud.gob.cl"/>
    <x v="13"/>
    <m/>
    <n v="0"/>
    <m/>
    <n v="0"/>
    <n v="0"/>
    <m/>
    <x v="1"/>
  </r>
  <r>
    <s v="SERVICIO DE SALUD OSORNO"/>
    <x v="1"/>
    <x v="154"/>
    <s v="Proyecto operacional"/>
    <s v="Enviado"/>
    <s v="22.01.001"/>
    <x v="155"/>
    <s v="Se requieren las compras para el mes de marzo"/>
    <x v="0"/>
    <x v="31"/>
    <n v="4"/>
    <n v="68"/>
    <x v="192"/>
    <x v="227"/>
    <x v="4"/>
    <x v="32"/>
    <x v="44"/>
    <x v="24"/>
    <s v="64-2335610-"/>
    <s v="pedro.fritz@redsalud.gob.cl"/>
    <x v="21"/>
    <m/>
    <n v="0"/>
    <m/>
    <n v="0"/>
    <n v="0"/>
    <m/>
    <x v="1"/>
  </r>
  <r>
    <s v="SERVICIO DE SALUD OSORNO"/>
    <x v="1"/>
    <x v="154"/>
    <s v="Proyecto operacional"/>
    <s v="Enviado"/>
    <s v="22.01.001"/>
    <x v="155"/>
    <s v="Se requieren las compras para el mes de marzo"/>
    <x v="0"/>
    <x v="113"/>
    <n v="4"/>
    <n v="5"/>
    <x v="193"/>
    <x v="228"/>
    <x v="4"/>
    <x v="32"/>
    <x v="44"/>
    <x v="24"/>
    <s v="64-2335610-"/>
    <s v="pedro.fritz@redsalud.gob.cl"/>
    <x v="21"/>
    <m/>
    <n v="0"/>
    <m/>
    <n v="0"/>
    <n v="0"/>
    <m/>
    <x v="1"/>
  </r>
  <r>
    <s v="SERVICIO DE SALUD OSORNO"/>
    <x v="1"/>
    <x v="155"/>
    <s v="Proyecto operacional"/>
    <s v="Enviado"/>
    <s v="22.01.001"/>
    <x v="156"/>
    <s v="Se requieren los insumos para el mes de marzo"/>
    <x v="6"/>
    <x v="31"/>
    <n v="4"/>
    <n v="68"/>
    <x v="192"/>
    <x v="227"/>
    <x v="4"/>
    <x v="32"/>
    <x v="44"/>
    <x v="24"/>
    <s v="64-2335610-"/>
    <s v="pedro.fritz@redsalud.gob.cl"/>
    <x v="21"/>
    <m/>
    <n v="0"/>
    <m/>
    <n v="0"/>
    <n v="0"/>
    <m/>
    <x v="1"/>
  </r>
  <r>
    <s v="SERVICIO DE SALUD OSORNO"/>
    <x v="1"/>
    <x v="155"/>
    <s v="Proyecto operacional"/>
    <s v="Enviado"/>
    <s v="22.01.001"/>
    <x v="156"/>
    <s v="Se requieren los insumos para el mes de marzo"/>
    <x v="6"/>
    <x v="113"/>
    <n v="4"/>
    <n v="4"/>
    <x v="194"/>
    <x v="229"/>
    <x v="4"/>
    <x v="32"/>
    <x v="44"/>
    <x v="24"/>
    <s v="64-2335610-"/>
    <s v="pedro.fritz@redsalud.gob.cl"/>
    <x v="21"/>
    <m/>
    <n v="0"/>
    <m/>
    <n v="0"/>
    <n v="0"/>
    <m/>
    <x v="1"/>
  </r>
  <r>
    <s v="SERVICIO DE SALUD OSORNO"/>
    <x v="1"/>
    <x v="155"/>
    <s v="Proyecto operacional"/>
    <s v="Enviado"/>
    <s v="22.01.001"/>
    <x v="156"/>
    <s v="Se requieren los insumos para el mes de marzo"/>
    <x v="6"/>
    <x v="43"/>
    <n v="4"/>
    <n v="1"/>
    <x v="98"/>
    <x v="178"/>
    <x v="4"/>
    <x v="32"/>
    <x v="44"/>
    <x v="24"/>
    <s v="64-2335610-"/>
    <s v="pedro.fritz@redsalud.gob.cl"/>
    <x v="21"/>
    <m/>
    <n v="0"/>
    <m/>
    <n v="0"/>
    <n v="0"/>
    <m/>
    <x v="1"/>
  </r>
  <r>
    <s v="SERVICIO DE SALUD OSORNO"/>
    <x v="1"/>
    <x v="155"/>
    <s v="Proyecto operacional"/>
    <s v="Enviado"/>
    <s v="22.01.001"/>
    <x v="156"/>
    <s v="Se requieren los insumos para el mes de marzo"/>
    <x v="6"/>
    <x v="140"/>
    <n v="4"/>
    <n v="2"/>
    <x v="105"/>
    <x v="145"/>
    <x v="4"/>
    <x v="32"/>
    <x v="44"/>
    <x v="24"/>
    <s v="64-2335610-"/>
    <s v="pedro.fritz@redsalud.gob.cl"/>
    <x v="21"/>
    <m/>
    <n v="0"/>
    <m/>
    <n v="0"/>
    <n v="0"/>
    <m/>
    <x v="1"/>
  </r>
  <r>
    <s v="SERVICIO DE SALUD OSORNO"/>
    <x v="0"/>
    <x v="156"/>
    <s v="Proyecto operacional"/>
    <s v="Enviado"/>
    <s v="22.01.001.003"/>
    <x v="157"/>
    <s v="Compra se servicio de cafetería mañana y tarde para 50 personas, centro de costo Trato Usuario. Instancia de encuentro orientada a compartir experiencias significativas, fortalecer la implementación de buenas prácticas en humanización del trato y cuidado, y promover la mejora continua en la atención centrada en las personas y sus familias."/>
    <x v="0"/>
    <x v="141"/>
    <n v="4"/>
    <n v="50"/>
    <x v="101"/>
    <x v="162"/>
    <x v="4"/>
    <x v="27"/>
    <x v="45"/>
    <x v="49"/>
    <s v="64-2335775-"/>
    <s v="daniela.barriaa@redsalud.gob.cl"/>
    <x v="17"/>
    <m/>
    <n v="0"/>
    <m/>
    <n v="0"/>
    <n v="0"/>
    <m/>
    <x v="1"/>
  </r>
  <r>
    <s v="SERVICIO DE SALUD OSORNO"/>
    <x v="0"/>
    <x v="156"/>
    <s v="Proyecto operacional"/>
    <s v="Enviado"/>
    <s v="22.01.001.003"/>
    <x v="157"/>
    <s v="Compra se servicio de cafetería mañana y tarde para 50 personas, centro de costo Trato Usuario. Instancia de encuentro orientada a compartir experiencias significativas, fortalecer la implementación de buenas prácticas en humanización del trato y cuidado, y promover la mejora continua en la atención centrada en las personas y sus familias."/>
    <x v="0"/>
    <x v="43"/>
    <n v="4"/>
    <n v="26"/>
    <x v="195"/>
    <x v="230"/>
    <x v="4"/>
    <x v="27"/>
    <x v="45"/>
    <x v="49"/>
    <s v="64-2335775-"/>
    <s v="daniela.barriaa@redsalud.gob.cl"/>
    <x v="17"/>
    <m/>
    <n v="0"/>
    <m/>
    <n v="0"/>
    <n v="0"/>
    <m/>
    <x v="1"/>
  </r>
  <r>
    <s v="SERVICIO DE SALUD OSORNO"/>
    <x v="0"/>
    <x v="157"/>
    <s v="Proyecto operacional"/>
    <s v="Enviado"/>
    <s v="22.01.001"/>
    <x v="158"/>
    <s v="Compra de servicio de cafetería y materiales de apoyo (papelería, lápices, papelógrafos) para 50 personas, jornada de un día completo. Centro de costo Trato Usuario"/>
    <x v="0"/>
    <x v="63"/>
    <n v="4"/>
    <n v="50"/>
    <x v="101"/>
    <x v="162"/>
    <x v="4"/>
    <x v="27"/>
    <x v="45"/>
    <x v="49"/>
    <s v="64-2335775-"/>
    <s v="daniela.barriaa@redsalud.gob.cl"/>
    <x v="17"/>
    <m/>
    <n v="0"/>
    <m/>
    <n v="0"/>
    <n v="0"/>
    <m/>
    <x v="1"/>
  </r>
  <r>
    <s v="SERVICIO DE SALUD OSORNO"/>
    <x v="0"/>
    <x v="157"/>
    <s v="Proyecto operacional"/>
    <s v="Enviado"/>
    <s v="22.01.001"/>
    <x v="158"/>
    <s v="Compra de servicio de cafetería y materiales de apoyo (papelería, lápices, papelógrafos) para 50 personas, jornada de un día completo. Centro de costo Trato Usuario"/>
    <x v="0"/>
    <x v="43"/>
    <n v="4"/>
    <n v="50"/>
    <x v="154"/>
    <x v="231"/>
    <x v="4"/>
    <x v="27"/>
    <x v="45"/>
    <x v="49"/>
    <s v="64-2335775-"/>
    <s v="daniela.barriaa@redsalud.gob.cl"/>
    <x v="17"/>
    <m/>
    <n v="0"/>
    <m/>
    <n v="0"/>
    <n v="0"/>
    <m/>
    <x v="1"/>
  </r>
  <r>
    <s v="SERVICIO DE SALUD OSORNO"/>
    <x v="1"/>
    <x v="158"/>
    <s v="Proyecto operacional"/>
    <s v="Enviado"/>
    <s v="22.01.001"/>
    <x v="159"/>
    <s v="Compra de servicio de cafetería y papelería para 50 personas durante dos jornadas. Centro de costo Trato Usuario."/>
    <x v="0"/>
    <x v="63"/>
    <n v="4"/>
    <n v="200"/>
    <x v="196"/>
    <x v="60"/>
    <x v="4"/>
    <x v="27"/>
    <x v="45"/>
    <x v="49"/>
    <s v="64-2335775-"/>
    <s v="daniela.barriaa@redsalud.gob.cl"/>
    <x v="17"/>
    <m/>
    <n v="0"/>
    <m/>
    <n v="0"/>
    <n v="0"/>
    <m/>
    <x v="1"/>
  </r>
  <r>
    <s v="SERVICIO DE SALUD OSORNO"/>
    <x v="1"/>
    <x v="158"/>
    <s v="Proyecto operacional"/>
    <s v="Enviado"/>
    <s v="22.01.001"/>
    <x v="159"/>
    <s v="Compra de servicio de cafetería y papelería para 50 personas durante dos jornadas. Centro de costo Trato Usuario."/>
    <x v="0"/>
    <x v="43"/>
    <n v="4"/>
    <n v="50"/>
    <x v="197"/>
    <x v="164"/>
    <x v="4"/>
    <x v="27"/>
    <x v="45"/>
    <x v="49"/>
    <s v="64-2335775-"/>
    <s v="daniela.barriaa@redsalud.gob.cl"/>
    <x v="16"/>
    <m/>
    <n v="0"/>
    <m/>
    <n v="0"/>
    <n v="0"/>
    <m/>
    <x v="1"/>
  </r>
  <r>
    <s v="SERVICIO DE SALUD OSORNO"/>
    <x v="0"/>
    <x v="159"/>
    <s v="Proyecto operacional"/>
    <s v="Enviado"/>
    <s v="22.04.001"/>
    <x v="160"/>
    <s v="Adquirir recetarios médicos para la Unidad SAFU enero 2026"/>
    <x v="1"/>
    <x v="99"/>
    <n v="4"/>
    <n v="150"/>
    <x v="198"/>
    <x v="121"/>
    <x v="4"/>
    <x v="35"/>
    <x v="50"/>
    <x v="54"/>
    <s v="64-2337034-"/>
    <s v="lhya.kortmann@redsalud.gob.cl"/>
    <x v="13"/>
    <m/>
    <n v="0"/>
    <m/>
    <n v="0"/>
    <n v="0"/>
    <m/>
    <x v="1"/>
  </r>
  <r>
    <s v="SERVICIO DE SALUD OSORNO"/>
    <x v="0"/>
    <x v="160"/>
    <s v="Proyecto operacional"/>
    <s v="Enviado"/>
    <s v="22.04.001"/>
    <x v="161"/>
    <s v="Materiales e insumos que no se encuentran en bodega general y son necesarios para las actividades y salidas a terreno que desarrolla Prevención de Riesgos , S.O. y G.A."/>
    <x v="1"/>
    <x v="43"/>
    <n v="4"/>
    <n v="8"/>
    <x v="199"/>
    <x v="232"/>
    <x v="4"/>
    <x v="38"/>
    <x v="55"/>
    <x v="61"/>
    <s v="64-2336130-"/>
    <s v="david.serrano@redsalud.gob.cl"/>
    <x v="19"/>
    <m/>
    <n v="0"/>
    <m/>
    <n v="0"/>
    <n v="0"/>
    <m/>
    <x v="1"/>
  </r>
  <r>
    <s v="SERVICIO DE SALUD OSORNO"/>
    <x v="0"/>
    <x v="161"/>
    <s v="Proyecto operacional"/>
    <s v="Enviado"/>
    <s v="22.02.002"/>
    <x v="162"/>
    <s v="Vestuario institucional y de proteccion para actividades de terreno del SDPR."/>
    <x v="1"/>
    <x v="142"/>
    <n v="4"/>
    <n v="4"/>
    <x v="110"/>
    <x v="233"/>
    <x v="4"/>
    <x v="32"/>
    <x v="55"/>
    <x v="61"/>
    <s v="64-2336130-"/>
    <s v="venecia.recabarren@redsalud.gob.cl"/>
    <x v="21"/>
    <m/>
    <n v="0"/>
    <m/>
    <n v="0"/>
    <n v="0"/>
    <m/>
    <x v="1"/>
  </r>
  <r>
    <s v="SERVICIO DE SALUD OSORNO"/>
    <x v="0"/>
    <x v="162"/>
    <s v="Proyecto operacional"/>
    <s v="Enviado"/>
    <s v="22.04.005"/>
    <x v="163"/>
    <s v="Se requiere adquirir insumos del área de enfermería para dar continuidad a la atención y una mejora de ésta a la comunidad funcionaria durante el mes de febrero 2026."/>
    <x v="1"/>
    <x v="143"/>
    <n v="4"/>
    <n v="4300"/>
    <x v="200"/>
    <x v="234"/>
    <x v="4"/>
    <x v="35"/>
    <x v="50"/>
    <x v="54"/>
    <s v="64-2337034-"/>
    <s v="lhya.kortmann@redsalud.gob.cl"/>
    <x v="13"/>
    <m/>
    <n v="0"/>
    <m/>
    <n v="0"/>
    <n v="0"/>
    <m/>
    <x v="1"/>
  </r>
  <r>
    <s v="SERVICIO DE SALUD OSORNO"/>
    <x v="0"/>
    <x v="163"/>
    <s v="Proyecto operacional"/>
    <s v="Enviado"/>
    <s v="22.04.014"/>
    <x v="164"/>
    <s v="Se requiere adquirir cajas de almacenamiento de 28 LT para la conservación y resguardo de los insumos de enfermería, con el fin de prevenir deterioro de los insumos , mes de ejecución febrero 2026"/>
    <x v="1"/>
    <x v="93"/>
    <n v="4"/>
    <n v="6"/>
    <x v="201"/>
    <x v="235"/>
    <x v="4"/>
    <x v="38"/>
    <x v="50"/>
    <x v="54"/>
    <s v="64-2337034-"/>
    <s v="lhya.kortmann@redsalud.gob.cl"/>
    <x v="19"/>
    <m/>
    <n v="0"/>
    <m/>
    <n v="0"/>
    <n v="0"/>
    <m/>
    <x v="1"/>
  </r>
  <r>
    <s v="SERVICIO DE SALUD OSORNO"/>
    <x v="0"/>
    <x v="164"/>
    <s v="Proyecto operacional"/>
    <s v="Enviado"/>
    <s v="22.04.001"/>
    <x v="165"/>
    <s v="COMPRAR CROQUERAS PEQUEÑAS Y LAPICES GEL PARA QUE CADA FUNCIONARIO/A, PUEDA, A TRAVÉS, DE LA PSICOTERAPIA NARRATIVA EXPLORAR RECURSOS PERSONALES, HABILIDADES Y COMPETENCIAS QUE FAVORECEN EL CUIDADO Y LA PROTECCIÓN DE LA SALUD MENTAL EN LOS CONTEXTOS LABORALES. ESTAS JORNADAS SE REALIZARAN EN TODOS LOS DISPOSITIVOS DE LA RED DURANTE LA SEGUNDA SEMANA DE OCTUBRE (CONMEMORACIÓN DIA MUNDIAL DE LA SALUD MENTAL)"/>
    <x v="1"/>
    <x v="43"/>
    <n v="4"/>
    <n v="302"/>
    <x v="202"/>
    <x v="236"/>
    <x v="4"/>
    <x v="27"/>
    <x v="56"/>
    <x v="62"/>
    <s v="64-2337096-"/>
    <s v="pilar.mora@redsalud.gob.cl"/>
    <x v="17"/>
    <m/>
    <n v="0"/>
    <m/>
    <n v="0"/>
    <n v="0"/>
    <m/>
    <x v="1"/>
  </r>
  <r>
    <s v="SERVICIO DE SALUD OSORNO"/>
    <x v="0"/>
    <x v="165"/>
    <s v="Proyecto operacional"/>
    <s v="Enviado"/>
    <s v="22.01.001"/>
    <x v="166"/>
    <s v="SE NECESITAN INSUMOS PARA REALIZAR COFFEE PARA EXPOSITORES EXTERNOS, Y COMUNIDAD USUARIA Y FUNCIONARIA, LA CUAL ACTIVIDAD ESTA DIRIGIDO A AMBOS PUBLICO OBJETIVO, COMPRA EN MAYO 2026."/>
    <x v="0"/>
    <x v="31"/>
    <n v="4"/>
    <n v="242"/>
    <x v="203"/>
    <x v="237"/>
    <x v="4"/>
    <x v="25"/>
    <x v="27"/>
    <x v="30"/>
    <s v="64-2337096-"/>
    <s v="claudia.munozga@redsalud.gob.cl"/>
    <x v="15"/>
    <m/>
    <n v="0"/>
    <m/>
    <n v="0"/>
    <n v="0"/>
    <m/>
    <x v="1"/>
  </r>
  <r>
    <s v="SERVICIO DE SALUD OSORNO"/>
    <x v="0"/>
    <x v="165"/>
    <s v="Proyecto operacional"/>
    <s v="Enviado"/>
    <s v="22.01.001"/>
    <x v="166"/>
    <s v="SE NECESITAN INSUMOS PARA REALIZAR COFFEE PARA EXPOSITORES EXTERNOS, Y COMUNIDAD USUARIA Y FUNCIONARIA, LA CUAL ACTIVIDAD ESTA DIRIGIDO A AMBOS PUBLICO OBJETIVO, COMPRA EN MAYO 2026."/>
    <x v="0"/>
    <x v="113"/>
    <n v="4"/>
    <n v="210"/>
    <x v="204"/>
    <x v="238"/>
    <x v="4"/>
    <x v="25"/>
    <x v="27"/>
    <x v="30"/>
    <s v="64-2337096-"/>
    <s v="claudia.munozga@redsalud.gob.cl"/>
    <x v="15"/>
    <m/>
    <n v="0"/>
    <m/>
    <n v="0"/>
    <n v="0"/>
    <m/>
    <x v="1"/>
  </r>
  <r>
    <s v="SERVICIO DE SALUD OSORNO"/>
    <x v="0"/>
    <x v="166"/>
    <s v="Proyecto operacional"/>
    <s v="Enviado"/>
    <s v="31.02.002"/>
    <x v="167"/>
    <s v="se requiere contratar las visitas de los siguientes proyectistas para el mes de octubre 2026; 1 visita proyectista Mecánica de suelos 20 uf; 1 visita proyectista Arquitectura 20 uf; 2 visitas proyectista Calculo Estructural 20 uf; 2 visitas proyectista Instalaciones electricas 20 uf; 1 visita proyectista Paisajismo 15 uf; 1 visita Revisor independiente de arquitectura 20 uf ( nota el valor de la uf será del dia de la visita del especialista)."/>
    <x v="1"/>
    <x v="97"/>
    <n v="4"/>
    <n v="7"/>
    <x v="205"/>
    <x v="239"/>
    <x v="4"/>
    <x v="27"/>
    <x v="57"/>
    <x v="63"/>
    <s v="64-2335596-"/>
    <s v="raul.rojasc@redsalud.gob.cl"/>
    <x v="17"/>
    <m/>
    <n v="0"/>
    <m/>
    <n v="0"/>
    <n v="0"/>
    <m/>
    <x v="1"/>
  </r>
  <r>
    <s v="SERVICIO DE SALUD OSORNO"/>
    <x v="0"/>
    <x v="167"/>
    <s v="Proyecto operacional"/>
    <s v="Enviado"/>
    <s v="22.01.001"/>
    <x v="168"/>
    <s v="LA ACTIVIDAD REQUIERE COMPRA DE INSUMOS, SERVCIOS Y MATERIALES NECESARIOS PARA LA ORGANIZACIÓN, LA COMPRA DEBE HACERSE EL MES DE JULIO 2026."/>
    <x v="0"/>
    <x v="31"/>
    <n v="4"/>
    <n v="138"/>
    <x v="206"/>
    <x v="240"/>
    <x v="4"/>
    <x v="33"/>
    <x v="27"/>
    <x v="30"/>
    <s v="64-2337096-"/>
    <s v="claudia.munozga@redsalud.gob.cl"/>
    <x v="22"/>
    <m/>
    <n v="0"/>
    <m/>
    <n v="0"/>
    <n v="0"/>
    <m/>
    <x v="1"/>
  </r>
  <r>
    <s v="SERVICIO DE SALUD OSORNO"/>
    <x v="0"/>
    <x v="167"/>
    <s v="Proyecto operacional"/>
    <s v="Enviado"/>
    <s v="22.01.001"/>
    <x v="168"/>
    <s v="LA ACTIVIDAD REQUIERE COMPRA DE INSUMOS, SERVCIOS Y MATERIALES NECESARIOS PARA LA ORGANIZACIÓN, LA COMPRA DEBE HACERSE EL MES DE JULIO 2026."/>
    <x v="0"/>
    <x v="135"/>
    <n v="4"/>
    <n v="70"/>
    <x v="207"/>
    <x v="241"/>
    <x v="4"/>
    <x v="33"/>
    <x v="27"/>
    <x v="30"/>
    <s v="64-2337096-"/>
    <s v="claudia.munozga@redsalud.gob.cl"/>
    <x v="22"/>
    <m/>
    <n v="0"/>
    <m/>
    <n v="0"/>
    <n v="0"/>
    <m/>
    <x v="1"/>
  </r>
  <r>
    <s v="SERVICIO DE SALUD OSORNO"/>
    <x v="0"/>
    <x v="168"/>
    <s v="Proyecto operacional"/>
    <s v="Enviado"/>
    <s v="22.09.005.002"/>
    <x v="169"/>
    <s v="EL SERVICIO DE SALUD OSORNO REQUIERE SUSCRIBIR UN CONVENIO CON EL OBJETIVO DE CONTRATAR EL SERVICIO DE ARRIENDO DE EQUIPOS CON SISTEMA INFORMATICO INTEGRADO, PARA LA REALIZACION DE EXAMENES DE QUIMICA CLINICA, ORINAS, HORMONAS, HEMATOLOGIA, MICROBIOLOGIA Y COAGULACION, JUNTO A LOS REACTIVOS E INSUMOS NECESARIOS PARA EL PROCESAMIENTO DE EXAMENES. LOS ESTABLECIMIENTOS SON HPU, HRN, HPO, HPMQ Y HFSLKMM. LA COMPRA SE REQUIERE EN ABRIL 2026 (PUBLICADO EN MERCADO PUBLICO), Y EL CONVENIO TENDRA VIGENCIA 5 AÑOS (60 MESES)."/>
    <x v="1"/>
    <x v="144"/>
    <n v="4"/>
    <n v="1"/>
    <x v="208"/>
    <x v="242"/>
    <x v="3"/>
    <x v="44"/>
    <x v="15"/>
    <x v="51"/>
    <s v="64-2335827-"/>
    <s v="sofiav.reyes@redsalud.gob.cl"/>
    <x v="14"/>
    <m/>
    <n v="0"/>
    <m/>
    <n v="0"/>
    <n v="0"/>
    <m/>
    <x v="1"/>
  </r>
  <r>
    <s v="SERVICIO DE SALUD OSORNO"/>
    <x v="0"/>
    <x v="169"/>
    <s v="Proyecto operacional"/>
    <s v="Enviado"/>
    <s v="22.04.012"/>
    <x v="170"/>
    <s v="Adquisición Carro de Transporte Droguería-Bodega General"/>
    <x v="1"/>
    <x v="145"/>
    <n v="4"/>
    <n v="3"/>
    <x v="209"/>
    <x v="182"/>
    <x v="4"/>
    <x v="32"/>
    <x v="58"/>
    <x v="64"/>
    <s v="64-2335651-"/>
    <s v="LEONOR.ARANEDAA@REDSALUD.GOB.CL"/>
    <x v="21"/>
    <m/>
    <n v="0"/>
    <m/>
    <n v="0"/>
    <n v="0"/>
    <m/>
    <x v="1"/>
  </r>
  <r>
    <s v="SERVICIO DE SALUD OSORNO"/>
    <x v="0"/>
    <x v="170"/>
    <s v="Proyecto operacional"/>
    <s v="Enviado"/>
    <s v="22.04.001"/>
    <x v="171"/>
    <s v="Adquisición de Amarras Plásticas y Elásticos para Optimizar el Almacenamiento y Distribución primer Trimestre del año 2026. Adquirir 300 bolsas de 1/2 kilo dividido en 3 colores diferentes de tal manera poder ligar cajas con diferentes colores según su lote . Adquirir 20.000 unidades de amarras plásticas o amarras cables para el cierre de los contenedores de transporte de medicamentos."/>
    <x v="1"/>
    <x v="146"/>
    <n v="4"/>
    <n v="10000"/>
    <x v="210"/>
    <x v="243"/>
    <x v="4"/>
    <x v="32"/>
    <x v="58"/>
    <x v="64"/>
    <s v="64-2335651-"/>
    <s v="LEONOR.ARANEDAA@REDSALUD.GOB.CL"/>
    <x v="21"/>
    <m/>
    <n v="0"/>
    <m/>
    <n v="0"/>
    <n v="0"/>
    <m/>
    <x v="1"/>
  </r>
  <r>
    <s v="SERVICIO DE SALUD OSORNO"/>
    <x v="0"/>
    <x v="171"/>
    <s v="Proyecto operacional"/>
    <s v="Enviado"/>
    <s v="22.02.002"/>
    <x v="172"/>
    <s v="Ropa- Zapatos : DT: 02 Poleras, 01 Parka , 01Polar ; 2 TENS- 2 Bodegueros : 02 Poleras c/u, 02 Pantalones c/u , 01 Parka c/u , 01 Polar c/u y 01 Zapatos de Seguridad c/u. ; 2 Administrativas: 02 Poleras c/u , 01 polar c/u , 01 parka c/u. Cascos : 4unidades Guantes para carga: 14 pares de guantes."/>
    <x v="1"/>
    <x v="147"/>
    <n v="4"/>
    <n v="64"/>
    <x v="211"/>
    <x v="244"/>
    <x v="4"/>
    <x v="32"/>
    <x v="58"/>
    <x v="64"/>
    <s v="64-2335651-"/>
    <s v="LEONOR.ARANEDAA@REDSALUD.GOB.CL"/>
    <x v="21"/>
    <m/>
    <n v="0"/>
    <m/>
    <n v="0"/>
    <n v="0"/>
    <m/>
    <x v="1"/>
  </r>
  <r>
    <s v="SERVICIO DE SALUD OSORNO"/>
    <x v="0"/>
    <x v="172"/>
    <s v="Proyecto operacional"/>
    <s v="Enviado"/>
    <s v="22.06.001"/>
    <x v="173"/>
    <s v="Adquisición de 3 cerraduras digitales para el acceso a Droguería y Bodega General. Primer Trimestre 2026."/>
    <x v="1"/>
    <x v="148"/>
    <n v="4"/>
    <n v="3"/>
    <x v="212"/>
    <x v="187"/>
    <x v="4"/>
    <x v="32"/>
    <x v="58"/>
    <x v="64"/>
    <s v="64-2335651-"/>
    <s v="LEONOR.ARANEDAA@REDSALUD.GOB.CL"/>
    <x v="21"/>
    <m/>
    <n v="0"/>
    <m/>
    <n v="0"/>
    <n v="0"/>
    <m/>
    <x v="1"/>
  </r>
  <r>
    <s v="SERVICIO DE SALUD OSORNO"/>
    <x v="0"/>
    <x v="173"/>
    <s v="Proyecto operacional"/>
    <s v="Enviado"/>
    <s v="29.05.999"/>
    <x v="174"/>
    <s v="Adquisición de 15 Sensores de Temperatura y humedad calibrados para Droguería ( Bodega de Dispositivos Médicos) Primer Trimestre 2026. Velar por monitoreo de temperatura y humedad en espacios de almacenamiento de Dispositivos Médicos, se debe considerar poder :poder contar con un sensor en 3 puntos de cada zona de almacenamiento. ( Mas variable, mayor temperatura y menor temperatura) y descargar la información para realizar un monitoreo continuo."/>
    <x v="1"/>
    <x v="149"/>
    <n v="4"/>
    <n v="15"/>
    <x v="213"/>
    <x v="245"/>
    <x v="4"/>
    <x v="32"/>
    <x v="58"/>
    <x v="64"/>
    <s v="64-2335651-"/>
    <s v="LEONOR.ARANEDAA@REDSALUD.GOB.CL"/>
    <x v="21"/>
    <m/>
    <n v="0"/>
    <m/>
    <n v="0"/>
    <n v="0"/>
    <m/>
    <x v="1"/>
  </r>
  <r>
    <s v="SERVICIO DE SALUD OSORNO"/>
    <x v="1"/>
    <x v="174"/>
    <s v="Proyecto operacional"/>
    <s v="Enviado"/>
    <s v="22.01.001"/>
    <x v="175"/>
    <s v="Ceremonia a realizar en septiembre del 2026"/>
    <x v="6"/>
    <x v="31"/>
    <n v="4"/>
    <n v="16"/>
    <x v="214"/>
    <x v="246"/>
    <x v="4"/>
    <x v="36"/>
    <x v="44"/>
    <x v="24"/>
    <s v="64-2335610-"/>
    <s v="pedro.fritz@redsalud.gob.cl"/>
    <x v="24"/>
    <m/>
    <n v="0"/>
    <m/>
    <n v="0"/>
    <n v="0"/>
    <m/>
    <x v="1"/>
  </r>
  <r>
    <s v="SERVICIO DE SALUD OSORNO"/>
    <x v="1"/>
    <x v="174"/>
    <s v="Proyecto operacional"/>
    <s v="Enviado"/>
    <s v="22.01.001"/>
    <x v="175"/>
    <s v="Ceremonia a realizar en septiembre del 2026"/>
    <x v="6"/>
    <x v="150"/>
    <n v="4"/>
    <n v="5"/>
    <x v="197"/>
    <x v="150"/>
    <x v="4"/>
    <x v="36"/>
    <x v="44"/>
    <x v="24"/>
    <s v="64-2335610-"/>
    <s v="pedro.fritz@redsalud.gob.cl"/>
    <x v="24"/>
    <m/>
    <n v="0"/>
    <m/>
    <n v="0"/>
    <n v="0"/>
    <m/>
    <x v="1"/>
  </r>
  <r>
    <s v="SERVICIO DE SALUD OSORNO"/>
    <x v="1"/>
    <x v="174"/>
    <s v="Proyecto operacional"/>
    <s v="Enviado"/>
    <s v="22.01.001"/>
    <x v="175"/>
    <s v="Ceremonia a realizar en septiembre del 2026"/>
    <x v="6"/>
    <x v="151"/>
    <n v="4"/>
    <n v="5"/>
    <x v="197"/>
    <x v="150"/>
    <x v="4"/>
    <x v="36"/>
    <x v="44"/>
    <x v="24"/>
    <s v="64-2335610-"/>
    <s v="pedro.fritz@redsalud.gob.cl"/>
    <x v="24"/>
    <m/>
    <n v="0"/>
    <m/>
    <n v="0"/>
    <n v="0"/>
    <m/>
    <x v="1"/>
  </r>
  <r>
    <s v="SERVICIO DE SALUD OSORNO"/>
    <x v="1"/>
    <x v="174"/>
    <s v="Proyecto operacional"/>
    <s v="Enviado"/>
    <s v="22.01.001"/>
    <x v="175"/>
    <s v="Ceremonia a realizar en septiembre del 2026"/>
    <x v="6"/>
    <x v="152"/>
    <n v="4"/>
    <n v="10"/>
    <x v="215"/>
    <x v="247"/>
    <x v="4"/>
    <x v="36"/>
    <x v="44"/>
    <x v="24"/>
    <s v="64-2335610-"/>
    <s v="pedro.fritz@redsalud.gob.cl"/>
    <x v="24"/>
    <m/>
    <n v="0"/>
    <m/>
    <n v="0"/>
    <n v="0"/>
    <m/>
    <x v="1"/>
  </r>
  <r>
    <s v="SERVICIO DE SALUD OSORNO"/>
    <x v="1"/>
    <x v="175"/>
    <s v="Proyecto operacional"/>
    <s v="Enviado"/>
    <s v="22.01.001"/>
    <x v="176"/>
    <s v="Servicio de cafetería e insumos de librería para la realización de capacitación en talleres prenatales."/>
    <x v="5"/>
    <x v="63"/>
    <n v="4"/>
    <n v="15"/>
    <x v="216"/>
    <x v="248"/>
    <x v="4"/>
    <x v="24"/>
    <x v="59"/>
    <x v="65"/>
    <s v="64-2335829-"/>
    <s v="estrella.azocarv@redsalud.gob.cl"/>
    <x v="14"/>
    <m/>
    <n v="0"/>
    <m/>
    <n v="0"/>
    <n v="0"/>
    <m/>
    <x v="1"/>
  </r>
  <r>
    <s v="SERVICIO DE SALUD OSORNO"/>
    <x v="1"/>
    <x v="175"/>
    <s v="Proyecto operacional"/>
    <s v="Enviado"/>
    <s v="22.01.001"/>
    <x v="176"/>
    <s v="Servicio de cafetería e insumos de librería para la realización de capacitación en talleres prenatales."/>
    <x v="5"/>
    <x v="105"/>
    <n v="4"/>
    <n v="100"/>
    <x v="217"/>
    <x v="231"/>
    <x v="4"/>
    <x v="24"/>
    <x v="59"/>
    <x v="65"/>
    <s v="64-2335829-"/>
    <s v="estrella.azocarv@redsalud.gob.cl"/>
    <x v="14"/>
    <m/>
    <n v="0"/>
    <m/>
    <n v="0"/>
    <n v="0"/>
    <m/>
    <x v="1"/>
  </r>
  <r>
    <s v="SERVICIO DE SALUD OSORNO"/>
    <x v="1"/>
    <x v="175"/>
    <s v="Proyecto operacional"/>
    <s v="Enviado"/>
    <s v="22.01.001"/>
    <x v="176"/>
    <s v="Servicio de cafetería e insumos de librería para la realización de capacitación en talleres prenatales."/>
    <x v="5"/>
    <x v="43"/>
    <n v="4"/>
    <n v="272"/>
    <x v="218"/>
    <x v="249"/>
    <x v="4"/>
    <x v="24"/>
    <x v="59"/>
    <x v="65"/>
    <s v="64-2335829-"/>
    <s v="estrella.azocarv@redsalud.gob.cl"/>
    <x v="14"/>
    <m/>
    <n v="0"/>
    <m/>
    <n v="0"/>
    <n v="0"/>
    <m/>
    <x v="1"/>
  </r>
  <r>
    <s v="SERVICIO DE SALUD OSORNO"/>
    <x v="0"/>
    <x v="176"/>
    <s v="Proyecto operacional"/>
    <s v="Enviado"/>
    <s v="22.06"/>
    <x v="177"/>
    <s v="Dar cobertura a las necesidades de calibración y mantención de equipos médicos e industriales de los establecimientos de la Red del Servicio de Salud Osorno. Corresponde a diferentes servicios a ejecutarse en dichos equipos los años 2026 y 2027, para mantener su buen, continuo y seguro funcionamiento asociados a la atención en unidades clinicas y unidades de apoyo de los diferentes establecimientos y dispositivos de la Red del Servicio de Salud Osorno, dando así continuidad a las prestaciones de salud de la provincia."/>
    <x v="7"/>
    <x v="153"/>
    <n v="4"/>
    <n v="4"/>
    <x v="219"/>
    <x v="250"/>
    <x v="15"/>
    <x v="45"/>
    <x v="60"/>
    <x v="15"/>
    <s v="64-2337431-"/>
    <s v="khris.silva@redsalud.gob.cl"/>
    <x v="21"/>
    <m/>
    <n v="0"/>
    <m/>
    <n v="0"/>
    <n v="0"/>
    <m/>
    <x v="1"/>
  </r>
  <r>
    <s v="SERVICIO DE SALUD OSORNO"/>
    <x v="0"/>
    <x v="176"/>
    <s v="Proyecto operacional"/>
    <s v="Enviado"/>
    <s v="22.06"/>
    <x v="177"/>
    <s v="Dar cobertura a las necesidades de calibración y mantención de equipos médicos e industriales de los establecimientos de la Red del Servicio de Salud Osorno. Corresponde a diferentes servicios a ejecutarse en dichos equipos los años 2026 y 2027, para mantener su buen, continuo y seguro funcionamiento asociados a la atención en unidades clinicas y unidades de apoyo de los diferentes establecimientos y dispositivos de la Red del Servicio de Salud Osorno, dando así continuidad a las prestaciones de salud de la provincia."/>
    <x v="7"/>
    <x v="154"/>
    <n v="4"/>
    <n v="6"/>
    <x v="220"/>
    <x v="251"/>
    <x v="4"/>
    <x v="25"/>
    <x v="60"/>
    <x v="15"/>
    <s v="64-2337431-"/>
    <s v="khris.silva@redsalud.gob.cl"/>
    <x v="15"/>
    <m/>
    <n v="0"/>
    <m/>
    <n v="0"/>
    <n v="0"/>
    <m/>
    <x v="1"/>
  </r>
  <r>
    <s v="SERVICIO DE SALUD OSORNO"/>
    <x v="0"/>
    <x v="176"/>
    <s v="Proyecto operacional"/>
    <s v="Enviado"/>
    <s v="22.06"/>
    <x v="177"/>
    <s v="Dar cobertura a las necesidades de calibración y mantención de equipos médicos e industriales de los establecimientos de la Red del Servicio de Salud Osorno. Corresponde a diferentes servicios a ejecutarse en dichos equipos los años 2026 y 2027, para mantener su buen, continuo y seguro funcionamiento asociados a la atención en unidades clinicas y unidades de apoyo de los diferentes establecimientos y dispositivos de la Red del Servicio de Salud Osorno, dando así continuidad a las prestaciones de salud de la provincia."/>
    <x v="7"/>
    <x v="155"/>
    <n v="4"/>
    <n v="1"/>
    <x v="142"/>
    <x v="180"/>
    <x v="4"/>
    <x v="25"/>
    <x v="60"/>
    <x v="15"/>
    <s v="64-2337431-"/>
    <s v="khris.silva@redsalud.gob.cl"/>
    <x v="15"/>
    <m/>
    <n v="0"/>
    <m/>
    <n v="0"/>
    <n v="0"/>
    <m/>
    <x v="1"/>
  </r>
  <r>
    <s v="SERVICIO DE SALUD OSORNO"/>
    <x v="0"/>
    <x v="176"/>
    <s v="Proyecto operacional"/>
    <s v="Enviado"/>
    <s v="22.06"/>
    <x v="177"/>
    <s v="Dar cobertura a las necesidades de calibración y mantención de equipos médicos e industriales de los establecimientos de la Red del Servicio de Salud Osorno. Corresponde a diferentes servicios a ejecutarse en dichos equipos los años 2026 y 2027, para mantener su buen, continuo y seguro funcionamiento asociados a la atención en unidades clinicas y unidades de apoyo de los diferentes establecimientos y dispositivos de la Red del Servicio de Salud Osorno, dando así continuidad a las prestaciones de salud de la provincia."/>
    <x v="7"/>
    <x v="156"/>
    <n v="4"/>
    <n v="1"/>
    <x v="179"/>
    <x v="182"/>
    <x v="4"/>
    <x v="25"/>
    <x v="60"/>
    <x v="15"/>
    <s v="64-2337431-"/>
    <s v="khris.silva@redsalud.gob.cl"/>
    <x v="15"/>
    <m/>
    <n v="0"/>
    <m/>
    <n v="0"/>
    <n v="0"/>
    <m/>
    <x v="1"/>
  </r>
  <r>
    <s v="SERVICIO DE SALUD OSORNO"/>
    <x v="0"/>
    <x v="176"/>
    <s v="Proyecto operacional"/>
    <s v="Enviado"/>
    <s v="22.06"/>
    <x v="177"/>
    <s v="Dar cobertura a las necesidades de calibración y mantención de equipos médicos e industriales de los establecimientos de la Red del Servicio de Salud Osorno. Corresponde a diferentes servicios a ejecutarse en dichos equipos los años 2026 y 2027, para mantener su buen, continuo y seguro funcionamiento asociados a la atención en unidades clinicas y unidades de apoyo de los diferentes establecimientos y dispositivos de la Red del Servicio de Salud Osorno, dando así continuidad a las prestaciones de salud de la provincia."/>
    <x v="7"/>
    <x v="157"/>
    <n v="4"/>
    <n v="1"/>
    <x v="221"/>
    <x v="252"/>
    <x v="4"/>
    <x v="25"/>
    <x v="60"/>
    <x v="15"/>
    <s v="64-2337431-"/>
    <s v="khris.silva@redsalud.gob.cl"/>
    <x v="15"/>
    <m/>
    <n v="0"/>
    <m/>
    <n v="0"/>
    <n v="0"/>
    <m/>
    <x v="1"/>
  </r>
  <r>
    <s v="SERVICIO DE SALUD OSORNO"/>
    <x v="0"/>
    <x v="177"/>
    <s v="Proyecto operacional"/>
    <s v="Enviado"/>
    <s v="22.04.999"/>
    <x v="178"/>
    <s v="Dar cobertura a las necesidades de accesorios y consumibles asociados al funcionamiento de equipos médicos criticos de ambulancias de emergencia de Base SAMU (enero a diciembre 2027)"/>
    <x v="1"/>
    <x v="44"/>
    <n v="4"/>
    <n v="346"/>
    <x v="222"/>
    <x v="221"/>
    <x v="11"/>
    <x v="43"/>
    <x v="60"/>
    <x v="15"/>
    <s v="64-2337431-"/>
    <s v="khris.silva@redsalud.gob.cl"/>
    <x v="16"/>
    <m/>
    <n v="0"/>
    <m/>
    <n v="0"/>
    <n v="0"/>
    <m/>
    <x v="1"/>
  </r>
  <r>
    <s v="SERVICIO DE SALUD OSORNO"/>
    <x v="1"/>
    <x v="178"/>
    <s v="Proyecto operacional"/>
    <s v="Enviado"/>
    <s v="22.04.002"/>
    <x v="179"/>
    <s v="Insumos para aumentar la lactancia materna exclusiva, mes de julio. Fantoma mamario/Pechera de Lactancia Insumos de lactancia."/>
    <x v="6"/>
    <x v="116"/>
    <n v="4"/>
    <n v="1"/>
    <x v="223"/>
    <x v="253"/>
    <x v="4"/>
    <x v="25"/>
    <x v="59"/>
    <x v="65"/>
    <s v="64-2335829-"/>
    <s v="estrella.azocarv@redsalud.gob.cl"/>
    <x v="15"/>
    <m/>
    <n v="0"/>
    <m/>
    <n v="0"/>
    <n v="0"/>
    <m/>
    <x v="1"/>
  </r>
  <r>
    <s v="SERVICIO DE SALUD OSORNO"/>
    <x v="1"/>
    <x v="178"/>
    <s v="Proyecto operacional"/>
    <s v="Enviado"/>
    <s v="22.04.002"/>
    <x v="179"/>
    <s v="Insumos para aumentar la lactancia materna exclusiva, mes de julio. Fantoma mamario/Pechera de Lactancia Insumos de lactancia."/>
    <x v="6"/>
    <x v="158"/>
    <n v="4"/>
    <n v="98"/>
    <x v="224"/>
    <x v="254"/>
    <x v="4"/>
    <x v="25"/>
    <x v="59"/>
    <x v="65"/>
    <s v="64-2335829-"/>
    <s v="estrella.azocarv@redsalud.gob.cl"/>
    <x v="15"/>
    <m/>
    <n v="0"/>
    <m/>
    <n v="0"/>
    <n v="0"/>
    <m/>
    <x v="1"/>
  </r>
  <r>
    <s v="SERVICIO DE SALUD OSORNO"/>
    <x v="1"/>
    <x v="178"/>
    <s v="Proyecto operacional"/>
    <s v="Enviado"/>
    <s v="22.04.002"/>
    <x v="179"/>
    <s v="Insumos para aumentar la lactancia materna exclusiva, mes de julio. Fantoma mamario/Pechera de Lactancia Insumos de lactancia."/>
    <x v="6"/>
    <x v="92"/>
    <n v="4"/>
    <n v="5"/>
    <x v="225"/>
    <x v="231"/>
    <x v="4"/>
    <x v="25"/>
    <x v="59"/>
    <x v="65"/>
    <s v="64-2335829-"/>
    <s v="estrella.azocarv@redsalud.gob.cl"/>
    <x v="15"/>
    <m/>
    <n v="0"/>
    <m/>
    <n v="0"/>
    <n v="0"/>
    <m/>
    <x v="1"/>
  </r>
  <r>
    <s v="SERVICIO DE SALUD OSORNO"/>
    <x v="1"/>
    <x v="178"/>
    <s v="Proyecto operacional"/>
    <s v="Enviado"/>
    <s v="22.04.002"/>
    <x v="179"/>
    <s v="Insumos para aumentar la lactancia materna exclusiva, mes de julio. Fantoma mamario/Pechera de Lactancia Insumos de lactancia."/>
    <x v="6"/>
    <x v="159"/>
    <n v="4"/>
    <n v="1"/>
    <x v="226"/>
    <x v="255"/>
    <x v="4"/>
    <x v="25"/>
    <x v="59"/>
    <x v="65"/>
    <s v="64-2335829-"/>
    <s v="estrella.azocarv@redsalud.gob.cl"/>
    <x v="15"/>
    <m/>
    <n v="0"/>
    <m/>
    <n v="0"/>
    <n v="0"/>
    <m/>
    <x v="1"/>
  </r>
  <r>
    <s v="SERVICIO DE SALUD OSORNO"/>
    <x v="0"/>
    <x v="179"/>
    <s v="Proyecto operacional"/>
    <s v="Enviado"/>
    <s v="22.04.999"/>
    <x v="180"/>
    <s v="La adquisición de implementos kinésicos para el box es fundamental para garantizar la calidad y la eficacia de los servicios de rehabilitación y tratamiento hacia los funcionarios del servicio y el Hospital (marzo- abril)"/>
    <x v="1"/>
    <x v="160"/>
    <n v="4"/>
    <n v="15"/>
    <x v="227"/>
    <x v="256"/>
    <x v="4"/>
    <x v="32"/>
    <x v="61"/>
    <x v="66"/>
    <s v="64-2337034-"/>
    <s v="felipe.barriga@redsalud.gob.cl"/>
    <x v="21"/>
    <m/>
    <n v="0"/>
    <m/>
    <n v="0"/>
    <n v="0"/>
    <m/>
    <x v="1"/>
  </r>
  <r>
    <s v="SERVICIO DE SALUD OSORNO"/>
    <x v="0"/>
    <x v="180"/>
    <s v="Proyecto operacional"/>
    <s v="Enviado"/>
    <s v="22.12.003"/>
    <x v="181"/>
    <s v="Compra de Servicio de cafetería, artículos de librería y arriendo de pantalla led con atril para una asistencia promedio de 300 personas."/>
    <x v="1"/>
    <x v="161"/>
    <n v="4"/>
    <n v="1505"/>
    <x v="228"/>
    <x v="257"/>
    <x v="4"/>
    <x v="31"/>
    <x v="45"/>
    <x v="49"/>
    <s v="64-2335775-"/>
    <s v="daniela.barriaa@redsalud.gob.cl"/>
    <x v="20"/>
    <m/>
    <n v="0"/>
    <m/>
    <n v="0"/>
    <n v="0"/>
    <m/>
    <x v="1"/>
  </r>
  <r>
    <s v="SERVICIO DE SALUD OSORNO"/>
    <x v="0"/>
    <x v="181"/>
    <s v="Proyecto operacional"/>
    <s v="Enviado"/>
    <s v="22.01.001"/>
    <x v="182"/>
    <s v="Compra de servicio de cafetería para comunidad asistente y autoridades asistentes a la actividad, compra de artículos de librería que se ocuparan en dinámicas de trabajo, además de carpetas y lápices. También se necesita adquirir 300 vasos de polipapel y 300 yogurt."/>
    <x v="7"/>
    <x v="63"/>
    <n v="4"/>
    <n v="1"/>
    <x v="153"/>
    <x v="60"/>
    <x v="4"/>
    <x v="27"/>
    <x v="45"/>
    <x v="49"/>
    <s v="64-2335775-"/>
    <s v="daniela.barriaa@redsalud.gob.cl"/>
    <x v="17"/>
    <m/>
    <n v="0"/>
    <m/>
    <n v="0"/>
    <n v="0"/>
    <m/>
    <x v="1"/>
  </r>
  <r>
    <s v="SERVICIO DE SALUD OSORNO"/>
    <x v="0"/>
    <x v="181"/>
    <s v="Proyecto operacional"/>
    <s v="Enviado"/>
    <s v="22.01.001"/>
    <x v="182"/>
    <s v="Compra de servicio de cafetería para comunidad asistente y autoridades asistentes a la actividad, compra de artículos de librería que se ocuparan en dinámicas de trabajo, además de carpetas y lápices. También se necesita adquirir 300 vasos de polipapel y 300 yogurt."/>
    <x v="7"/>
    <x v="162"/>
    <n v="4"/>
    <n v="1"/>
    <x v="64"/>
    <x v="95"/>
    <x v="4"/>
    <x v="27"/>
    <x v="45"/>
    <x v="49"/>
    <s v="64-2335775-"/>
    <s v="daniela.barriaa@redsalud.gob.cl"/>
    <x v="17"/>
    <m/>
    <n v="0"/>
    <m/>
    <n v="0"/>
    <n v="0"/>
    <m/>
    <x v="1"/>
  </r>
  <r>
    <s v="SERVICIO DE SALUD OSORNO"/>
    <x v="0"/>
    <x v="181"/>
    <s v="Proyecto operacional"/>
    <s v="Enviado"/>
    <s v="22.01.001"/>
    <x v="182"/>
    <s v="Compra de servicio de cafetería para comunidad asistente y autoridades asistentes a la actividad, compra de artículos de librería que se ocuparan en dinámicas de trabajo, además de carpetas y lápices. También se necesita adquirir 300 vasos de polipapel y 300 yogurt."/>
    <x v="7"/>
    <x v="43"/>
    <n v="4"/>
    <n v="600"/>
    <x v="217"/>
    <x v="112"/>
    <x v="4"/>
    <x v="27"/>
    <x v="45"/>
    <x v="49"/>
    <s v="64-2335775-"/>
    <s v="daniela.barriaa@redsalud.gob.cl"/>
    <x v="17"/>
    <m/>
    <n v="0"/>
    <m/>
    <n v="0"/>
    <n v="0"/>
    <m/>
    <x v="1"/>
  </r>
  <r>
    <s v="SERVICIO DE SALUD OSORNO"/>
    <x v="0"/>
    <x v="181"/>
    <s v="Proyecto operacional"/>
    <s v="Enviado"/>
    <s v="22.01.001"/>
    <x v="182"/>
    <s v="Compra de servicio de cafetería para comunidad asistente y autoridades asistentes a la actividad, compra de artículos de librería que se ocuparan en dinámicas de trabajo, además de carpetas y lápices. También se necesita adquirir 300 vasos de polipapel y 300 yogurt."/>
    <x v="7"/>
    <x v="113"/>
    <n v="4"/>
    <n v="303"/>
    <x v="229"/>
    <x v="258"/>
    <x v="4"/>
    <x v="27"/>
    <x v="45"/>
    <x v="49"/>
    <s v="64-2335775-"/>
    <s v="daniela.barriaa@redsalud.gob.cl"/>
    <x v="17"/>
    <m/>
    <n v="0"/>
    <m/>
    <n v="0"/>
    <n v="0"/>
    <m/>
    <x v="1"/>
  </r>
  <r>
    <s v="SERVICIO DE SALUD OSORNO"/>
    <x v="0"/>
    <x v="181"/>
    <s v="Proyecto operacional"/>
    <s v="Enviado"/>
    <s v="22.01.001"/>
    <x v="182"/>
    <s v="Compra de servicio de cafetería para comunidad asistente y autoridades asistentes a la actividad, compra de artículos de librería que se ocuparan en dinámicas de trabajo, además de carpetas y lápices. También se necesita adquirir 300 vasos de polipapel y 300 yogurt."/>
    <x v="7"/>
    <x v="163"/>
    <n v="4"/>
    <n v="300"/>
    <x v="217"/>
    <x v="130"/>
    <x v="4"/>
    <x v="27"/>
    <x v="45"/>
    <x v="49"/>
    <s v="64-2335775-"/>
    <s v="daniela.barriaa@redsalud.gob.cl"/>
    <x v="17"/>
    <m/>
    <n v="0"/>
    <m/>
    <n v="0"/>
    <n v="0"/>
    <m/>
    <x v="1"/>
  </r>
  <r>
    <s v="SERVICIO DE SALUD OSORNO"/>
    <x v="1"/>
    <x v="182"/>
    <s v="Proyecto operacional"/>
    <s v="Enviado"/>
    <s v="22.12.999.015"/>
    <x v="183"/>
    <s v="Compra de servicio de cafetería para 200 personas en total. La actividad contempla 02 jornadas de día completo y se realizaran una en julio y la segunda en octubre."/>
    <x v="0"/>
    <x v="63"/>
    <n v="4"/>
    <n v="1"/>
    <x v="124"/>
    <x v="259"/>
    <x v="4"/>
    <x v="33"/>
    <x v="42"/>
    <x v="47"/>
    <s v="64-2335814-"/>
    <s v="pedro.huito@redsalud.gob.cl"/>
    <x v="22"/>
    <m/>
    <n v="0"/>
    <m/>
    <n v="0"/>
    <n v="0"/>
    <m/>
    <x v="1"/>
  </r>
  <r>
    <s v="SERVICIO DE SALUD OSORNO"/>
    <x v="1"/>
    <x v="182"/>
    <s v="Proyecto operacional"/>
    <s v="Enviado"/>
    <s v="22.12.999.015"/>
    <x v="183"/>
    <s v="Compra de servicio de cafetería para 200 personas en total. La actividad contempla 02 jornadas de día completo y se realizaran una en julio y la segunda en octubre."/>
    <x v="0"/>
    <x v="63"/>
    <n v="4"/>
    <n v="1"/>
    <x v="124"/>
    <x v="259"/>
    <x v="4"/>
    <x v="27"/>
    <x v="42"/>
    <x v="47"/>
    <s v="64-2335814-"/>
    <s v="pedro.huito@redsalud.gob.cl"/>
    <x v="17"/>
    <m/>
    <n v="0"/>
    <m/>
    <n v="0"/>
    <n v="0"/>
    <m/>
    <x v="1"/>
  </r>
  <r>
    <s v="SERVICIO DE SALUD OSORNO"/>
    <x v="3"/>
    <x v="183"/>
    <s v="Proyecto operacional"/>
    <s v="Enviado"/>
    <s v="31.02.002"/>
    <x v="184"/>
    <s v="SE REQUIERE CONTRATAR LAS VISITAS DE LOS SIGUIENTES PROYECTISTAS PARA EL MES DE DICIEMBRE DE 2026 DEL PROYECTO MEJORAMIENTO ELECTRICIDAD Y CORRIENTES DEBILES DEL HOSPITAL DE RIO NEGRO; 3 VISITAS DEL PROYECTISTA, VALOR POR VISITA 14 UF IVA INCLUIDO. Y MEJORAMIENTO CLIMATIZACION DEL HOSPITAL DE RIO NEGRO; 3 VISITAS DEL PROYECTISTA, VALOR POR VISITA 14 UF IVA INCLUIDO. NOTA: EL VALOR DE LA UF SERA DEL DÍA DE LA VISITA"/>
    <x v="1"/>
    <x v="164"/>
    <n v="4"/>
    <n v="6"/>
    <x v="230"/>
    <x v="260"/>
    <x v="4"/>
    <x v="29"/>
    <x v="62"/>
    <x v="36"/>
    <s v="64-2337385-"/>
    <s v="gustavo.marin@redsalud.gob.cl"/>
    <x v="23"/>
    <m/>
    <n v="0"/>
    <m/>
    <n v="0"/>
    <n v="0"/>
    <m/>
    <x v="1"/>
  </r>
  <r>
    <s v="SERVICIO DE SALUD OSORNO"/>
    <x v="3"/>
    <x v="184"/>
    <s v="Proyecto operacional"/>
    <s v="Enviado"/>
    <s v="31.02.002"/>
    <x v="185"/>
    <s v="Desarrollar las adecuaciones a los proyectos de arquitectura y especialidades del diseño de la PSR tipo para el sector de Hueyusca, comuna de Purranque."/>
    <x v="1"/>
    <x v="97"/>
    <n v="4"/>
    <n v="1"/>
    <x v="120"/>
    <x v="161"/>
    <x v="4"/>
    <x v="28"/>
    <x v="39"/>
    <x v="44"/>
    <s v="64-2335843-"/>
    <s v="mario.barrientos@redsalud.gob.cl"/>
    <x v="18"/>
    <m/>
    <n v="0"/>
    <m/>
    <n v="0"/>
    <n v="0"/>
    <m/>
    <x v="1"/>
  </r>
  <r>
    <s v="SERVICIO DE SALUD OSORNO"/>
    <x v="0"/>
    <x v="185"/>
    <s v="Proyecto operacional"/>
    <s v="Enviado"/>
    <s v="22.04.007"/>
    <x v="186"/>
    <s v="Se requiere la adquisición de insumos de limpieza y artículos de higiene, destinados al mantenimiento y sanitización de las dependencias del Dispositivo Comunitario, asegurando condiciones adecuadas de funcionamiento e higiene para usuarios y personal, a partir de marzo de 2026."/>
    <x v="1"/>
    <x v="165"/>
    <n v="4"/>
    <n v="41"/>
    <x v="231"/>
    <x v="261"/>
    <x v="4"/>
    <x v="24"/>
    <x v="63"/>
    <x v="19"/>
    <s v="64-2337366-"/>
    <s v="luis.floresme@redsalud.gob.cl"/>
    <x v="21"/>
    <m/>
    <n v="0"/>
    <m/>
    <n v="0"/>
    <n v="0"/>
    <m/>
    <x v="1"/>
  </r>
  <r>
    <s v="SERVICIO DE SALUD OSORNO"/>
    <x v="0"/>
    <x v="186"/>
    <s v="Proyecto operacional"/>
    <s v="Enviado"/>
    <s v="22.01.001"/>
    <x v="187"/>
    <s v="Adquisición de insumos destinados al desarrollo de taller socio recreativo que se realizara con usuarios/as de UID Newen a contar del mes de enero de 2026."/>
    <x v="1"/>
    <x v="166"/>
    <n v="4"/>
    <n v="91"/>
    <x v="232"/>
    <x v="262"/>
    <x v="4"/>
    <x v="35"/>
    <x v="22"/>
    <x v="67"/>
    <s v="64-2337766-"/>
    <s v="camila.roa@redsalud.gob.cl"/>
    <x v="13"/>
    <m/>
    <n v="0"/>
    <m/>
    <n v="0"/>
    <n v="0"/>
    <m/>
    <x v="1"/>
  </r>
  <r>
    <s v="SERVICIO DE SALUD OSORNO"/>
    <x v="0"/>
    <x v="187"/>
    <s v="Proyecto operacional"/>
    <s v="Enviado"/>
    <s v="22.04.999"/>
    <x v="188"/>
    <s v="Adquisición de insumos orientados al desarrollo de actividades de promoción, prevención e intervenciones que se realizaran con usuarios/as y familiares de UID Newen a contar del mes de enero del 2026."/>
    <x v="0"/>
    <x v="167"/>
    <n v="4"/>
    <n v="4"/>
    <x v="233"/>
    <x v="263"/>
    <x v="4"/>
    <x v="35"/>
    <x v="22"/>
    <x v="67"/>
    <s v="64-2337766-"/>
    <s v="camila.roa@redsalud.gob.cl"/>
    <x v="13"/>
    <m/>
    <n v="0"/>
    <m/>
    <n v="0"/>
    <n v="0"/>
    <m/>
    <x v="1"/>
  </r>
  <r>
    <s v="SERVICIO DE SALUD OSORNO"/>
    <x v="0"/>
    <x v="187"/>
    <s v="Proyecto operacional"/>
    <s v="Enviado"/>
    <s v="22.04.999"/>
    <x v="188"/>
    <s v="Adquisición de insumos orientados al desarrollo de actividades de promoción, prevención e intervenciones que se realizaran con usuarios/as y familiares de UID Newen a contar del mes de enero del 2026."/>
    <x v="0"/>
    <x v="168"/>
    <n v="4"/>
    <n v="1"/>
    <x v="234"/>
    <x v="173"/>
    <x v="4"/>
    <x v="35"/>
    <x v="22"/>
    <x v="67"/>
    <s v="64-2337766-"/>
    <s v="camila.roa@redsalud.gob.cl"/>
    <x v="13"/>
    <m/>
    <n v="0"/>
    <m/>
    <n v="0"/>
    <n v="0"/>
    <m/>
    <x v="1"/>
  </r>
  <r>
    <s v="SERVICIO DE SALUD OSORNO"/>
    <x v="0"/>
    <x v="188"/>
    <s v="Proyecto operacional"/>
    <s v="Enviado"/>
    <s v="22.04.001"/>
    <x v="189"/>
    <s v="La presente adquisición corresponde a la compra de materiales de papelería y oficina destinados al funcionamiento operativo del Centro Comunitario de Apoyo a Personas con Demencia Kümelen. Los insumos serán utilizados para el desarrollo de talleres grupales, atenciones individuales, actividades comunitarias y labores administrativas internas, permitiendo asegurar la continuidad de las prestaciones clínicas y comunitarias que realiza el equipo multidisciplinario del centro. el mes de ejecución es para Abril del 2026"/>
    <x v="0"/>
    <x v="43"/>
    <n v="4"/>
    <n v="29"/>
    <x v="235"/>
    <x v="264"/>
    <x v="4"/>
    <x v="24"/>
    <x v="63"/>
    <x v="19"/>
    <s v="64-2337366-"/>
    <s v="luis.floresme@redsalud.gob.cl"/>
    <x v="14"/>
    <m/>
    <n v="0"/>
    <m/>
    <n v="0"/>
    <n v="0"/>
    <m/>
    <x v="1"/>
  </r>
  <r>
    <s v="SERVICIO DE SALUD OSORNO"/>
    <x v="0"/>
    <x v="188"/>
    <s v="Proyecto operacional"/>
    <s v="Enviado"/>
    <s v="22.04.001"/>
    <x v="189"/>
    <s v="La presente adquisición corresponde a la compra de materiales de papelería y oficina destinados al funcionamiento operativo del Centro Comunitario de Apoyo a Personas con Demencia Kümelen. Los insumos serán utilizados para el desarrollo de talleres grupales, atenciones individuales, actividades comunitarias y labores administrativas internas, permitiendo asegurar la continuidad de las prestaciones clínicas y comunitarias que realiza el equipo multidisciplinario del centro. el mes de ejecución es para Abril del 2026"/>
    <x v="0"/>
    <x v="169"/>
    <n v="4"/>
    <n v="1"/>
    <x v="77"/>
    <x v="265"/>
    <x v="4"/>
    <x v="24"/>
    <x v="63"/>
    <x v="19"/>
    <s v="64-2337366-"/>
    <s v="luis.floresme@redsalud.gob.cl"/>
    <x v="14"/>
    <m/>
    <n v="0"/>
    <m/>
    <n v="0"/>
    <n v="0"/>
    <m/>
    <x v="1"/>
  </r>
  <r>
    <s v="SERVICIO DE SALUD OSORNO"/>
    <x v="0"/>
    <x v="189"/>
    <s v="Proyecto operacional"/>
    <s v="Enviado"/>
    <s v="22.04.001"/>
    <x v="190"/>
    <s v="Contar con 2 mochilas acordes a funcionamiento en terreno de EMT y herramientas manuales básicas necesarias para despliegues en emergencias. mes ejecucion: enero"/>
    <x v="0"/>
    <x v="93"/>
    <n v="4"/>
    <n v="1"/>
    <x v="89"/>
    <x v="266"/>
    <x v="4"/>
    <x v="35"/>
    <x v="2"/>
    <x v="3"/>
    <s v="64-2337728-"/>
    <s v="CATALINA.VERAC@REDSALUD.GOB.CL"/>
    <x v="13"/>
    <m/>
    <n v="0"/>
    <m/>
    <n v="0"/>
    <n v="0"/>
    <m/>
    <x v="1"/>
  </r>
  <r>
    <s v="SERVICIO DE SALUD OSORNO"/>
    <x v="0"/>
    <x v="189"/>
    <s v="Proyecto operacional"/>
    <s v="Enviado"/>
    <s v="22.04.001"/>
    <x v="190"/>
    <s v="Contar con 2 mochilas acordes a funcionamiento en terreno de EMT y herramientas manuales básicas necesarias para despliegues en emergencias. mes ejecucion: enero"/>
    <x v="0"/>
    <x v="170"/>
    <n v="4"/>
    <n v="2"/>
    <x v="236"/>
    <x v="187"/>
    <x v="4"/>
    <x v="35"/>
    <x v="2"/>
    <x v="3"/>
    <s v="64-2337728-"/>
    <s v="CATALINA.VERAC@REDSALUD.GOB.CL"/>
    <x v="13"/>
    <m/>
    <n v="0"/>
    <m/>
    <n v="0"/>
    <n v="0"/>
    <m/>
    <x v="1"/>
  </r>
  <r>
    <s v="SERVICIO DE SALUD OSORNO"/>
    <x v="0"/>
    <x v="190"/>
    <s v="Proyecto operacional"/>
    <s v="Enviado"/>
    <s v="22.11.003"/>
    <x v="191"/>
    <s v="Contar con licencia de software de cartografía web, para la creación de mapas territoriales y análisis de amenazas 12 meses. Desde mes de enero"/>
    <x v="1"/>
    <x v="171"/>
    <n v="4"/>
    <n v="1"/>
    <x v="237"/>
    <x v="267"/>
    <x v="4"/>
    <x v="38"/>
    <x v="2"/>
    <x v="3"/>
    <s v="64-2337728-"/>
    <s v="CATALINA.VERAC@REDSALUD.GOB.CL"/>
    <x v="13"/>
    <m/>
    <n v="0"/>
    <m/>
    <n v="0"/>
    <n v="0"/>
    <m/>
    <x v="1"/>
  </r>
  <r>
    <s v="SERVICIO DE SALUD OSORNO"/>
    <x v="4"/>
    <x v="191"/>
    <s v="Proyecto operacional"/>
    <s v="Enviado"/>
    <s v="29.03"/>
    <x v="192"/>
    <s v="COMPRA DE AMBULANCIA PARA CESFAM CON SAR DE RAHUE ALTO // MES DE FEBRERO 2026."/>
    <x v="1"/>
    <x v="172"/>
    <n v="4"/>
    <n v="1"/>
    <x v="238"/>
    <x v="268"/>
    <x v="4"/>
    <x v="24"/>
    <x v="5"/>
    <x v="39"/>
    <s v="64-2335654-"/>
    <s v="felipe.salvob@redsalud.gob.cl"/>
    <x v="14"/>
    <m/>
    <n v="0"/>
    <m/>
    <n v="0"/>
    <n v="0"/>
    <m/>
    <x v="1"/>
  </r>
  <r>
    <s v="SERVICIO DE SALUD OSORNO"/>
    <x v="0"/>
    <x v="192"/>
    <s v="Proyecto operacional"/>
    <s v="Enviado"/>
    <s v="22.02"/>
    <x v="193"/>
    <s v="COMPRA DE EPP PARA PERSONAL DE LA SECCION DE MANTENIMIENTO DE VEHICULOS DEL SSO"/>
    <x v="5"/>
    <x v="173"/>
    <n v="4"/>
    <n v="2"/>
    <x v="239"/>
    <x v="269"/>
    <x v="4"/>
    <x v="38"/>
    <x v="5"/>
    <x v="39"/>
    <s v="64-2335654-"/>
    <s v="felipe.salvob@redsalud.gob.cl"/>
    <x v="19"/>
    <m/>
    <n v="0"/>
    <m/>
    <n v="0"/>
    <n v="0"/>
    <m/>
    <x v="1"/>
  </r>
  <r>
    <s v="SERVICIO DE SALUD OSORNO"/>
    <x v="0"/>
    <x v="192"/>
    <s v="Proyecto operacional"/>
    <s v="Enviado"/>
    <s v="22.02"/>
    <x v="193"/>
    <s v="COMPRA DE EPP PARA PERSONAL DE LA SECCION DE MANTENIMIENTO DE VEHICULOS DEL SSO"/>
    <x v="5"/>
    <x v="174"/>
    <n v="4"/>
    <n v="26"/>
    <x v="98"/>
    <x v="270"/>
    <x v="4"/>
    <x v="38"/>
    <x v="5"/>
    <x v="39"/>
    <s v="64-2335654-"/>
    <s v="felipe.salvob@redsalud.gob.cl"/>
    <x v="19"/>
    <m/>
    <n v="0"/>
    <m/>
    <n v="0"/>
    <n v="0"/>
    <m/>
    <x v="1"/>
  </r>
  <r>
    <s v="SERVICIO DE SALUD OSORNO"/>
    <x v="0"/>
    <x v="192"/>
    <s v="Proyecto operacional"/>
    <s v="Enviado"/>
    <s v="22.02"/>
    <x v="193"/>
    <s v="COMPRA DE EPP PARA PERSONAL DE LA SECCION DE MANTENIMIENTO DE VEHICULOS DEL SSO"/>
    <x v="5"/>
    <x v="175"/>
    <n v="4"/>
    <n v="2"/>
    <x v="89"/>
    <x v="216"/>
    <x v="4"/>
    <x v="38"/>
    <x v="5"/>
    <x v="39"/>
    <s v="64-2335654-"/>
    <s v="felipe.salvob@redsalud.gob.cl"/>
    <x v="19"/>
    <m/>
    <n v="0"/>
    <m/>
    <n v="0"/>
    <n v="0"/>
    <m/>
    <x v="1"/>
  </r>
  <r>
    <s v="SERVICIO DE SALUD OSORNO"/>
    <x v="0"/>
    <x v="193"/>
    <s v="Proyecto operacional"/>
    <s v="Enviado"/>
    <s v="22.04.001"/>
    <x v="194"/>
    <s v="MES DE EJECUCION DE LA COMPRA DE TARJETAS BLANCAS PARA CREDENCIALES SE REALIZARA EN EL MES DE FEBRERO DE 2026."/>
    <x v="1"/>
    <x v="8"/>
    <n v="4"/>
    <n v="400"/>
    <x v="240"/>
    <x v="145"/>
    <x v="4"/>
    <x v="38"/>
    <x v="64"/>
    <x v="68"/>
    <s v="64-2335819-"/>
    <s v="gustavo.aravena@redsalud.gob.cl"/>
    <x v="19"/>
    <m/>
    <n v="0"/>
    <m/>
    <n v="0"/>
    <n v="0"/>
    <m/>
    <x v="1"/>
  </r>
  <r>
    <s v="SERVICIO DE SALUD OSORNO"/>
    <x v="0"/>
    <x v="194"/>
    <s v="Proyecto operacional"/>
    <s v="Enviado"/>
    <s v="22.04"/>
    <x v="195"/>
    <s v="Brindar una atención integral, segura y oportuna a los usuarios/as de UID Newen, a contar de enero y durante el año 2026."/>
    <x v="0"/>
    <x v="89"/>
    <n v="4"/>
    <n v="1700"/>
    <x v="241"/>
    <x v="271"/>
    <x v="4"/>
    <x v="35"/>
    <x v="22"/>
    <x v="67"/>
    <s v="64-2337766-"/>
    <s v="camila.roa@redsalud.gob.cl"/>
    <x v="13"/>
    <m/>
    <n v="0"/>
    <m/>
    <n v="0"/>
    <n v="0"/>
    <m/>
    <x v="1"/>
  </r>
  <r>
    <s v="SERVICIO DE SALUD OSORNO"/>
    <x v="0"/>
    <x v="194"/>
    <s v="Proyecto operacional"/>
    <s v="Enviado"/>
    <s v="22.04"/>
    <x v="195"/>
    <s v="Brindar una atención integral, segura y oportuna a los usuarios/as de UID Newen, a contar de enero y durante el año 2026."/>
    <x v="0"/>
    <x v="176"/>
    <n v="4"/>
    <n v="125"/>
    <x v="242"/>
    <x v="272"/>
    <x v="4"/>
    <x v="35"/>
    <x v="22"/>
    <x v="67"/>
    <s v="64-2337766-"/>
    <s v="camila.roa@redsalud.gob.cl"/>
    <x v="13"/>
    <m/>
    <n v="0"/>
    <m/>
    <n v="0"/>
    <n v="0"/>
    <m/>
    <x v="1"/>
  </r>
  <r>
    <s v="SERVICIO DE SALUD OSORNO"/>
    <x v="1"/>
    <x v="195"/>
    <s v="Proyecto operacional"/>
    <s v="Enviado"/>
    <s v="22.04-22-01"/>
    <x v="196"/>
    <s v="Se espera adquisición para el mes de enero y/o febrero del 2026 para dar inicio a intervenciones desde abril."/>
    <x v="5"/>
    <x v="94"/>
    <n v="4"/>
    <n v="187"/>
    <x v="243"/>
    <x v="273"/>
    <x v="4"/>
    <x v="32"/>
    <x v="44"/>
    <x v="24"/>
    <s v="64-2335610-"/>
    <s v="pedro.fritz@redsalud.gob.cl"/>
    <x v="21"/>
    <m/>
    <n v="0"/>
    <m/>
    <n v="0"/>
    <n v="0"/>
    <m/>
    <x v="1"/>
  </r>
  <r>
    <s v="SERVICIO DE SALUD OSORNO"/>
    <x v="1"/>
    <x v="195"/>
    <s v="Proyecto operacional"/>
    <s v="Enviado"/>
    <s v="22.04-22-01"/>
    <x v="196"/>
    <s v="Se espera adquisición para el mes de enero y/o febrero del 2026 para dar inicio a intervenciones desde abril."/>
    <x v="5"/>
    <x v="177"/>
    <n v="4"/>
    <n v="6"/>
    <x v="183"/>
    <x v="274"/>
    <x v="4"/>
    <x v="32"/>
    <x v="44"/>
    <x v="24"/>
    <s v="64-2335610-"/>
    <s v="pedro.fritz@redsalud.gob.cl"/>
    <x v="21"/>
    <m/>
    <n v="0"/>
    <m/>
    <n v="0"/>
    <n v="0"/>
    <m/>
    <x v="1"/>
  </r>
  <r>
    <s v="SERVICIO DE SALUD OSORNO"/>
    <x v="1"/>
    <x v="195"/>
    <s v="Proyecto operacional"/>
    <s v="Enviado"/>
    <s v="22.04-22-01"/>
    <x v="196"/>
    <s v="Se espera adquisición para el mes de enero y/o febrero del 2026 para dar inicio a intervenciones desde abril."/>
    <x v="5"/>
    <x v="87"/>
    <n v="4"/>
    <n v="4"/>
    <x v="121"/>
    <x v="275"/>
    <x v="4"/>
    <x v="32"/>
    <x v="44"/>
    <x v="24"/>
    <s v="64-2335610-"/>
    <s v="pedro.fritz@redsalud.gob.cl"/>
    <x v="21"/>
    <m/>
    <n v="0"/>
    <m/>
    <n v="0"/>
    <n v="0"/>
    <m/>
    <x v="1"/>
  </r>
  <r>
    <s v="SERVICIO DE SALUD OSORNO"/>
    <x v="0"/>
    <x v="196"/>
    <s v="Proyecto operacional"/>
    <s v="Enviado"/>
    <s v="22.04.001"/>
    <x v="197"/>
    <s v="TRIMESTRAL, SEGUN NECESIDAD DEL STOCK"/>
    <x v="7"/>
    <x v="178"/>
    <n v="4"/>
    <n v="200"/>
    <x v="244"/>
    <x v="276"/>
    <x v="4"/>
    <x v="35"/>
    <x v="65"/>
    <x v="36"/>
    <s v="64-2335712-"/>
    <s v="karen.silva@redsalud.gob.cl"/>
    <x v="13"/>
    <m/>
    <n v="0"/>
    <m/>
    <n v="0"/>
    <n v="0"/>
    <m/>
    <x v="1"/>
  </r>
  <r>
    <s v="SERVICIO DE SALUD OSORNO"/>
    <x v="0"/>
    <x v="196"/>
    <s v="Proyecto operacional"/>
    <s v="Enviado"/>
    <s v="22.04.001"/>
    <x v="197"/>
    <s v="TRIMESTRAL, SEGUN NECESIDAD DEL STOCK"/>
    <x v="7"/>
    <x v="179"/>
    <n v="4"/>
    <n v="200"/>
    <x v="245"/>
    <x v="277"/>
    <x v="4"/>
    <x v="35"/>
    <x v="65"/>
    <x v="36"/>
    <s v="64-2335712-"/>
    <s v="karen.silva@redsalud.gob.cl"/>
    <x v="13"/>
    <m/>
    <n v="0"/>
    <m/>
    <n v="0"/>
    <n v="0"/>
    <m/>
    <x v="1"/>
  </r>
  <r>
    <s v="SERVICIO DE SALUD OSORNO"/>
    <x v="0"/>
    <x v="196"/>
    <s v="Proyecto operacional"/>
    <s v="Enviado"/>
    <s v="22.04.001"/>
    <x v="197"/>
    <s v="TRIMESTRAL, SEGUN NECESIDAD DEL STOCK"/>
    <x v="7"/>
    <x v="180"/>
    <n v="4"/>
    <n v="4"/>
    <x v="75"/>
    <x v="278"/>
    <x v="4"/>
    <x v="32"/>
    <x v="65"/>
    <x v="36"/>
    <s v="64-2335712-"/>
    <s v="karen.silva@redsalud.gob.cl"/>
    <x v="21"/>
    <m/>
    <n v="0"/>
    <m/>
    <n v="0"/>
    <n v="0"/>
    <m/>
    <x v="1"/>
  </r>
  <r>
    <s v="SERVICIO DE SALUD OSORNO"/>
    <x v="0"/>
    <x v="196"/>
    <s v="Proyecto operacional"/>
    <s v="Enviado"/>
    <s v="22.04.001"/>
    <x v="197"/>
    <s v="TRIMESTRAL, SEGUN NECESIDAD DEL STOCK"/>
    <x v="7"/>
    <x v="181"/>
    <n v="4"/>
    <n v="500"/>
    <x v="246"/>
    <x v="216"/>
    <x v="4"/>
    <x v="32"/>
    <x v="65"/>
    <x v="36"/>
    <s v="64-2335712-"/>
    <s v="karen.silva@redsalud.gob.cl"/>
    <x v="21"/>
    <m/>
    <n v="0"/>
    <m/>
    <n v="0"/>
    <n v="0"/>
    <m/>
    <x v="1"/>
  </r>
  <r>
    <s v="SERVICIO DE SALUD OSORNO"/>
    <x v="0"/>
    <x v="196"/>
    <s v="Proyecto operacional"/>
    <s v="Enviado"/>
    <s v="22.04.001"/>
    <x v="197"/>
    <s v="TRIMESTRAL, SEGUN NECESIDAD DEL STOCK"/>
    <x v="7"/>
    <x v="182"/>
    <n v="5"/>
    <n v="3"/>
    <x v="110"/>
    <x v="279"/>
    <x v="4"/>
    <x v="32"/>
    <x v="65"/>
    <x v="36"/>
    <s v="64-2335712-"/>
    <s v="karen.silva@redsalud.gob.cl"/>
    <x v="21"/>
    <m/>
    <n v="0"/>
    <m/>
    <n v="0"/>
    <n v="0"/>
    <m/>
    <x v="1"/>
  </r>
  <r>
    <s v="SERVICIO DE SALUD OSORNO"/>
    <x v="3"/>
    <x v="197"/>
    <s v="Proyecto operacional"/>
    <s v="Enviado"/>
    <s v="31.02.002"/>
    <x v="198"/>
    <s v="Ejecutar un Pozo profundo para la PSR Forrahue, comuna de Osorno."/>
    <x v="1"/>
    <x v="97"/>
    <n v="4"/>
    <n v="1"/>
    <x v="65"/>
    <x v="97"/>
    <x v="4"/>
    <x v="27"/>
    <x v="39"/>
    <x v="44"/>
    <s v="64-2335843-"/>
    <s v="mario.barrientos@redsalud.gob.cl"/>
    <x v="17"/>
    <m/>
    <n v="0"/>
    <m/>
    <n v="0"/>
    <n v="0"/>
    <m/>
    <x v="1"/>
  </r>
  <r>
    <s v="SERVICIO DE SALUD OSORNO"/>
    <x v="3"/>
    <x v="198"/>
    <s v="Proyecto operacional"/>
    <s v="Enviado"/>
    <s v="31.02.002"/>
    <x v="199"/>
    <s v="Desarrollar las adecuaciones a los proyectos de arquitectura y especialidades del diseño del la PSR tipo para el sector de Forrahue, comuna de Osorno."/>
    <x v="1"/>
    <x v="97"/>
    <n v="4"/>
    <n v="1"/>
    <x v="120"/>
    <x v="161"/>
    <x v="4"/>
    <x v="28"/>
    <x v="39"/>
    <x v="44"/>
    <s v="64-2335843-"/>
    <s v="mario.barrientos@redsalud.gob.cl"/>
    <x v="18"/>
    <m/>
    <n v="0"/>
    <m/>
    <n v="0"/>
    <n v="0"/>
    <m/>
    <x v="1"/>
  </r>
  <r>
    <s v="SERVICIO DE SALUD OSORNO"/>
    <x v="3"/>
    <x v="199"/>
    <s v="Proyecto operacional"/>
    <s v="Enviado"/>
    <s v="31.02.002"/>
    <x v="200"/>
    <s v="Consultoría para el desarrollo de los proyectos de arquitectura, estructuras y especialidades concurrentes para el diseño del Servicio de Alta Resolutividad (SAR), comuna de Puyehue"/>
    <x v="1"/>
    <x v="97"/>
    <n v="4"/>
    <n v="1"/>
    <x v="190"/>
    <x v="225"/>
    <x v="4"/>
    <x v="36"/>
    <x v="39"/>
    <x v="44"/>
    <s v="64-2335843-"/>
    <s v="mario.barrientos@redsalud.gob.cl"/>
    <x v="24"/>
    <m/>
    <n v="0"/>
    <m/>
    <n v="0"/>
    <n v="0"/>
    <m/>
    <x v="1"/>
  </r>
  <r>
    <s v="SERVICIO DE SALUD OSORNO"/>
    <x v="4"/>
    <x v="200"/>
    <s v="Proyecto operacional"/>
    <s v="Enviado"/>
    <s v="29.04"/>
    <x v="201"/>
    <s v="Se requieren para enero 2026"/>
    <x v="1"/>
    <x v="183"/>
    <n v="4"/>
    <n v="15"/>
    <x v="247"/>
    <x v="280"/>
    <x v="4"/>
    <x v="35"/>
    <x v="44"/>
    <x v="24"/>
    <s v="64-2336510-"/>
    <s v="pedro.fritz@redsalud.gob.cl"/>
    <x v="13"/>
    <m/>
    <n v="0"/>
    <m/>
    <n v="0"/>
    <n v="0"/>
    <m/>
    <x v="1"/>
  </r>
  <r>
    <s v="SERVICIO DE SALUD OSORNO"/>
    <x v="4"/>
    <x v="201"/>
    <s v="Proyecto operacional"/>
    <s v="Enviado"/>
    <s v="31.02.005"/>
    <x v="202"/>
    <s v="Proyecto con fuente de financiamiento sectorial. Ejecución proyectada para abril 2026."/>
    <x v="0"/>
    <x v="159"/>
    <n v="4"/>
    <n v="1"/>
    <x v="248"/>
    <x v="281"/>
    <x v="4"/>
    <x v="24"/>
    <x v="66"/>
    <x v="69"/>
    <s v="64-2337386-"/>
    <s v="maria.munozp@redsalud.gob.cl"/>
    <x v="14"/>
    <m/>
    <n v="0"/>
    <m/>
    <n v="0"/>
    <n v="0"/>
    <m/>
    <x v="1"/>
  </r>
  <r>
    <s v="SERVICIO DE SALUD OSORNO"/>
    <x v="4"/>
    <x v="201"/>
    <s v="Proyecto operacional"/>
    <s v="Enviado"/>
    <s v="31.02.005"/>
    <x v="202"/>
    <s v="Proyecto con fuente de financiamiento sectorial. Ejecución proyectada para abril 2026."/>
    <x v="0"/>
    <x v="184"/>
    <n v="4"/>
    <n v="1"/>
    <x v="249"/>
    <x v="282"/>
    <x v="4"/>
    <x v="24"/>
    <x v="66"/>
    <x v="69"/>
    <s v="64-2337386-"/>
    <s v="maria.munozp@redsalud.gob.cl"/>
    <x v="14"/>
    <m/>
    <n v="0"/>
    <m/>
    <n v="0"/>
    <n v="0"/>
    <m/>
    <x v="1"/>
  </r>
  <r>
    <s v="SERVICIO DE SALUD OSORNO"/>
    <x v="5"/>
    <x v="202"/>
    <s v="Proyecto operacional"/>
    <s v="Enviado"/>
    <n v="31"/>
    <x v="203"/>
    <s v="Desarrollar los proyectos de arquitectura, estructuras, especialidades y estudios concurrentes del diseño del nuevo Hospital de Purranque."/>
    <x v="1"/>
    <x v="97"/>
    <n v="4"/>
    <n v="1"/>
    <x v="250"/>
    <x v="283"/>
    <x v="4"/>
    <x v="28"/>
    <x v="39"/>
    <x v="44"/>
    <s v="64-2335843-"/>
    <s v="mario.barrientos@redsalud.gob.cl"/>
    <x v="16"/>
    <m/>
    <n v="0"/>
    <m/>
    <n v="0"/>
    <n v="0"/>
    <m/>
    <x v="1"/>
  </r>
  <r>
    <s v="SERVICIO DE SALUD OSORNO"/>
    <x v="5"/>
    <x v="203"/>
    <s v="Proyecto operacional"/>
    <s v="Enviado"/>
    <s v="31.02.002"/>
    <x v="204"/>
    <s v="Desarrollar los proyectos de arquitectura, estructura y especialidades para la habilitación de un centro de diálisis municipal, el que se ubicara en el ex edificio de la PDI de Osorno."/>
    <x v="1"/>
    <x v="97"/>
    <n v="4"/>
    <n v="1"/>
    <x v="36"/>
    <x v="284"/>
    <x v="4"/>
    <x v="28"/>
    <x v="39"/>
    <x v="44"/>
    <s v="64-2335843-"/>
    <s v="mario.barrientos@redsalud.gob.cl"/>
    <x v="18"/>
    <m/>
    <n v="0"/>
    <m/>
    <n v="0"/>
    <n v="0"/>
    <m/>
    <x v="1"/>
  </r>
  <r>
    <s v="SERVICIO DE SALUD OSORNO"/>
    <x v="5"/>
    <x v="204"/>
    <s v="Proyecto operacional"/>
    <s v="Enviado"/>
    <s v="31.02.003"/>
    <x v="205"/>
    <s v="Contratación del estudio de preinversión hospitalario para el proyecto de reposición del Hospital de alta complejidad de la provincia, el cual contempla los módulos de producción, recursos humanos, TICs, equipos y equipamiento, infraestructura y sustentabilidad financiera. Subtitulo 31"/>
    <x v="1"/>
    <x v="97"/>
    <n v="4"/>
    <n v="1"/>
    <x v="251"/>
    <x v="285"/>
    <x v="4"/>
    <x v="28"/>
    <x v="67"/>
    <x v="70"/>
    <s v="64-2335823-"/>
    <s v="sandra.cardenass@redsalud.gob.cl"/>
    <x v="16"/>
    <m/>
    <n v="0"/>
    <m/>
    <n v="0"/>
    <n v="0"/>
    <m/>
    <x v="1"/>
  </r>
  <r>
    <s v="SERVICIO DE SALUD OSORNO"/>
    <x v="5"/>
    <x v="205"/>
    <s v="Proyecto operacional"/>
    <s v="Enviado"/>
    <s v="31.02.002"/>
    <x v="206"/>
    <s v="Desarrollar los proyectos de arquitectura, estructuras y especialidades concurrentes para la nueva Base SAMU Provincial y Centro de Despacho."/>
    <x v="1"/>
    <x v="97"/>
    <n v="4"/>
    <n v="1"/>
    <x v="252"/>
    <x v="286"/>
    <x v="4"/>
    <x v="26"/>
    <x v="39"/>
    <x v="44"/>
    <s v="64-2335843-"/>
    <s v="mario.barrientos@redsalud.gob.cl"/>
    <x v="24"/>
    <m/>
    <n v="0"/>
    <m/>
    <n v="0"/>
    <n v="0"/>
    <m/>
    <x v="1"/>
  </r>
  <r>
    <s v="SERVICIO DE SALUD OSORNO"/>
    <x v="5"/>
    <x v="206"/>
    <s v="Proyecto operacional"/>
    <s v="Enviado"/>
    <s v="31.02.002"/>
    <x v="207"/>
    <s v="Contratación del estudio de preinversión hospitalario para el proyecto de reposición del Hospital de baja complejidad de Río Negro, el cual contempla los módulos de producción, recursos humanos, TICs, equipo y equipamiento, infraestructura y sustentabilidad financiera. Subtítulo 31"/>
    <x v="1"/>
    <x v="97"/>
    <n v="4"/>
    <n v="1"/>
    <x v="36"/>
    <x v="284"/>
    <x v="4"/>
    <x v="27"/>
    <x v="68"/>
    <x v="71"/>
    <s v="64-2335764-"/>
    <s v="JAVIER.DONOSO@REDSALUD.GOB.CL"/>
    <x v="17"/>
    <m/>
    <n v="0"/>
    <m/>
    <n v="0"/>
    <n v="0"/>
    <m/>
    <x v="1"/>
  </r>
  <r>
    <s v="SERVICIO DE SALUD OSORNO"/>
    <x v="5"/>
    <x v="207"/>
    <s v="Proyecto operacional"/>
    <s v="Enviado"/>
    <s v="31.02.002"/>
    <x v="208"/>
    <s v="Contratación del estudio de preinversión hospitalario para el proyecto de reposición del Hospital de baja complejidad de Puerto Octay, el cual contempla los módulos de producción, recursos humanos, TICs, equipo y equipamiento, infraestructura y sustentabilidad financiera. Subtítulo 31"/>
    <x v="1"/>
    <x v="97"/>
    <n v="4"/>
    <n v="1"/>
    <x v="36"/>
    <x v="284"/>
    <x v="4"/>
    <x v="27"/>
    <x v="68"/>
    <x v="71"/>
    <s v="64-2335663-"/>
    <s v="JAVIER.DONOSO@REDSALUD.GOB.CL"/>
    <x v="17"/>
    <m/>
    <n v="0"/>
    <m/>
    <n v="0"/>
    <n v="0"/>
    <m/>
    <x v="1"/>
  </r>
  <r>
    <s v="SERVICIO DE SALUD OSORNO"/>
    <x v="5"/>
    <x v="208"/>
    <s v="Proyecto operacional"/>
    <s v="Enviado"/>
    <s v="31.02.002"/>
    <x v="209"/>
    <s v="Desarrollar los diseños de Arquitectura, Estructuras y Especialidades concurrentes para el nuevo CESFAM de la comuna de Puerto Octay."/>
    <x v="1"/>
    <x v="97"/>
    <n v="4"/>
    <n v="1"/>
    <x v="0"/>
    <x v="287"/>
    <x v="4"/>
    <x v="27"/>
    <x v="39"/>
    <x v="44"/>
    <s v="64-2335843-"/>
    <s v="mario.barrientos@redsalud.gob.cl"/>
    <x v="17"/>
    <m/>
    <n v="0"/>
    <m/>
    <n v="0"/>
    <n v="0"/>
    <m/>
    <x v="1"/>
  </r>
  <r>
    <s v="SERVICIO DE SALUD OSORNO"/>
    <x v="5"/>
    <x v="209"/>
    <s v="Proyecto operacional"/>
    <s v="Enviado"/>
    <s v="31.02.002"/>
    <x v="210"/>
    <s v="Contratar visitas para diciembre de 2026 de: *02 visita Estructural por 20 UF *02 visita Electricidad por 14 UF *02 visita Clima por 14 UF *01 visita Gas por 14 UF *01 visita Seguridad por 14 UF *01 visita Gases Clínicos por 14 UF *02 visita Pav. y AA.LL por 20UF *02 visita A.P y Alcantarillado por 15 UF * 01 Visita Revisor Independiente de Arquitectura Nota: el valor de la UF será calculado el día de la visita del especialista."/>
    <x v="1"/>
    <x v="97"/>
    <n v="4"/>
    <n v="14"/>
    <x v="253"/>
    <x v="288"/>
    <x v="4"/>
    <x v="29"/>
    <x v="69"/>
    <x v="63"/>
    <s v="64-2337385-"/>
    <s v="rodrigo.neirar@redsalud.gob.cl"/>
    <x v="23"/>
    <m/>
    <n v="0"/>
    <m/>
    <n v="0"/>
    <n v="0"/>
    <m/>
    <x v="1"/>
  </r>
  <r>
    <s v="SERVICIO DE SALUD OSORNO"/>
    <x v="5"/>
    <x v="210"/>
    <s v="Proyecto operacional"/>
    <s v="Enviado"/>
    <s v="31.02.002"/>
    <x v="211"/>
    <s v="SE REQUIETE 1 VISITA DE ESPECIALIDAD DE ARQUITECTURA PARA LA OBRA CONSTRUCCION CESFAM CON SAR CHUYACA OSORNO PARA EL MES DE JUNIO DE 2026. EL COSTO DE LA VISITA ES DE 14 UF IVA INCLUIDO. NOTA: EL VALOR DE LA UF SERA DEL DIA DE LA VISITA."/>
    <x v="1"/>
    <x v="97"/>
    <n v="4"/>
    <n v="1"/>
    <x v="254"/>
    <x v="289"/>
    <x v="4"/>
    <x v="25"/>
    <x v="70"/>
    <x v="72"/>
    <s v="64-2337385-"/>
    <s v="fernando.wulf@redsalud.gob.cl"/>
    <x v="15"/>
    <m/>
    <n v="0"/>
    <m/>
    <n v="0"/>
    <n v="0"/>
    <m/>
    <x v="1"/>
  </r>
  <r>
    <s v="SERVICIO DE SALUD OSORNO"/>
    <x v="0"/>
    <x v="211"/>
    <s v="Proyecto operacional"/>
    <s v="Enviado"/>
    <s v="22..02.002"/>
    <x v="212"/>
    <s v="Fuente de financiamiento con recursos propios del Servicio de Salud Osorno. Ejecución proyectada para abril 2026"/>
    <x v="1"/>
    <x v="147"/>
    <n v="4"/>
    <n v="1"/>
    <x v="144"/>
    <x v="130"/>
    <x v="4"/>
    <x v="24"/>
    <x v="66"/>
    <x v="69"/>
    <s v="64-2337386-"/>
    <s v="maria.munozp@redsalud.gob.cl"/>
    <x v="14"/>
    <m/>
    <n v="0"/>
    <m/>
    <n v="0"/>
    <n v="0"/>
    <m/>
    <x v="1"/>
  </r>
  <r>
    <s v="SERVICIO DE SALUD OSORNO"/>
    <x v="4"/>
    <x v="212"/>
    <s v="Proyecto operacional"/>
    <s v="Enviado"/>
    <s v="29.05.002"/>
    <x v="213"/>
    <s v="Proyecto con fuente de financiamiento sectorial. Ejecución proyectada para abril 2026"/>
    <x v="0"/>
    <x v="159"/>
    <n v="4"/>
    <n v="1"/>
    <x v="255"/>
    <x v="290"/>
    <x v="4"/>
    <x v="24"/>
    <x v="66"/>
    <x v="69"/>
    <s v="64-2337386-"/>
    <s v="maria.munozp@redsalud.gob.cl"/>
    <x v="14"/>
    <m/>
    <n v="0"/>
    <m/>
    <n v="0"/>
    <n v="0"/>
    <m/>
    <x v="1"/>
  </r>
  <r>
    <s v="SERVICIO DE SALUD OSORNO"/>
    <x v="4"/>
    <x v="212"/>
    <s v="Proyecto operacional"/>
    <s v="Enviado"/>
    <s v="29.05.002"/>
    <x v="213"/>
    <s v="Proyecto con fuente de financiamiento sectorial. Ejecución proyectada para abril 2026"/>
    <x v="0"/>
    <x v="184"/>
    <n v="4"/>
    <n v="1"/>
    <x v="256"/>
    <x v="291"/>
    <x v="4"/>
    <x v="24"/>
    <x v="66"/>
    <x v="69"/>
    <s v="64-2337386-"/>
    <s v="maria.munozp@redsalud.gob.cl"/>
    <x v="14"/>
    <m/>
    <n v="0"/>
    <m/>
    <n v="0"/>
    <n v="0"/>
    <m/>
    <x v="1"/>
  </r>
  <r>
    <s v="SERVICIO DE SALUD OSORNO"/>
    <x v="4"/>
    <x v="213"/>
    <s v="Proyecto operacional"/>
    <s v="Enviado"/>
    <s v="31.02.005"/>
    <x v="214"/>
    <s v="Proyecto con fuente de financiamiento F.N.D.R. Ejecución proyectada para julio 2026"/>
    <x v="0"/>
    <x v="159"/>
    <n v="4"/>
    <n v="1"/>
    <x v="257"/>
    <x v="292"/>
    <x v="4"/>
    <x v="33"/>
    <x v="66"/>
    <x v="69"/>
    <s v="64-2337386-"/>
    <s v="maria.munozp@redsalud.gob.cl"/>
    <x v="22"/>
    <m/>
    <n v="0"/>
    <m/>
    <n v="0"/>
    <n v="0"/>
    <m/>
    <x v="1"/>
  </r>
  <r>
    <s v="SERVICIO DE SALUD OSORNO"/>
    <x v="4"/>
    <x v="213"/>
    <s v="Proyecto operacional"/>
    <s v="Enviado"/>
    <s v="31.02.005"/>
    <x v="214"/>
    <s v="Proyecto con fuente de financiamiento F.N.D.R. Ejecución proyectada para julio 2026"/>
    <x v="0"/>
    <x v="184"/>
    <n v="4"/>
    <n v="1"/>
    <x v="258"/>
    <x v="293"/>
    <x v="4"/>
    <x v="33"/>
    <x v="66"/>
    <x v="69"/>
    <s v="64-2337386-"/>
    <s v="maria.munozp@redsalud.gob.cl"/>
    <x v="22"/>
    <m/>
    <n v="0"/>
    <m/>
    <n v="0"/>
    <n v="0"/>
    <m/>
    <x v="1"/>
  </r>
  <r>
    <s v="SERVICIO DE SALUD OSORNO"/>
    <x v="3"/>
    <x v="214"/>
    <s v="Proyecto operacional"/>
    <s v="Enviado"/>
    <s v="31.02.005"/>
    <x v="215"/>
    <s v="Proyecto con fuente de financiamiento F.N.D.R. Ejecución proyectada para julio 2026"/>
    <x v="0"/>
    <x v="159"/>
    <n v="4"/>
    <n v="1"/>
    <x v="259"/>
    <x v="294"/>
    <x v="4"/>
    <x v="33"/>
    <x v="66"/>
    <x v="69"/>
    <s v="64-2337386-"/>
    <s v="maria.munozp@redsalud.gob.cl"/>
    <x v="22"/>
    <m/>
    <n v="0"/>
    <m/>
    <n v="0"/>
    <n v="0"/>
    <m/>
    <x v="1"/>
  </r>
  <r>
    <s v="SERVICIO DE SALUD OSORNO"/>
    <x v="3"/>
    <x v="214"/>
    <s v="Proyecto operacional"/>
    <s v="Enviado"/>
    <s v="31.02.005"/>
    <x v="215"/>
    <s v="Proyecto con fuente de financiamiento F.N.D.R. Ejecución proyectada para julio 2026"/>
    <x v="0"/>
    <x v="184"/>
    <n v="4"/>
    <n v="1"/>
    <x v="260"/>
    <x v="295"/>
    <x v="4"/>
    <x v="33"/>
    <x v="66"/>
    <x v="69"/>
    <s v="64-2337386-"/>
    <s v="maria.munozp@redsalud.gob.cl"/>
    <x v="22"/>
    <m/>
    <n v="0"/>
    <m/>
    <n v="0"/>
    <n v="0"/>
    <m/>
    <x v="1"/>
  </r>
  <r>
    <s v="SERVICIO DE SALUD OSORNO"/>
    <x v="3"/>
    <x v="215"/>
    <s v="Proyecto operacional"/>
    <s v="Enviado"/>
    <s v="31.02.005"/>
    <x v="216"/>
    <s v="Proyecto con fuente de financiamiento F.N.D.R. Ejecución proyectada para junio 2026"/>
    <x v="0"/>
    <x v="159"/>
    <n v="4"/>
    <n v="1"/>
    <x v="261"/>
    <x v="296"/>
    <x v="4"/>
    <x v="25"/>
    <x v="66"/>
    <x v="69"/>
    <s v="64-2337386-"/>
    <s v="maria.munozp@redsalud.gob.cl"/>
    <x v="15"/>
    <m/>
    <n v="0"/>
    <m/>
    <n v="0"/>
    <n v="0"/>
    <m/>
    <x v="1"/>
  </r>
  <r>
    <s v="SERVICIO DE SALUD OSORNO"/>
    <x v="3"/>
    <x v="215"/>
    <s v="Proyecto operacional"/>
    <s v="Enviado"/>
    <s v="31.02.005"/>
    <x v="216"/>
    <s v="Proyecto con fuente de financiamiento F.N.D.R. Ejecución proyectada para junio 2026"/>
    <x v="0"/>
    <x v="184"/>
    <n v="4"/>
    <n v="1"/>
    <x v="262"/>
    <x v="297"/>
    <x v="4"/>
    <x v="25"/>
    <x v="66"/>
    <x v="69"/>
    <s v="64-2337386-"/>
    <s v="maria.munozp@redsalud.gob.cl"/>
    <x v="15"/>
    <m/>
    <n v="0"/>
    <m/>
    <n v="0"/>
    <n v="0"/>
    <m/>
    <x v="1"/>
  </r>
  <r>
    <s v="SERVICIO DE SALUD OSORNO"/>
    <x v="3"/>
    <x v="216"/>
    <s v="Proyecto operacional"/>
    <s v="Enviado"/>
    <s v="31.02.002"/>
    <x v="217"/>
    <s v="Desarrollar las adecuaciones a los proyectos de arquitectura y especialidades del diseño de la PSR tipo para el sector de Cuinco, comuna de San Juan de La Costa."/>
    <x v="1"/>
    <x v="97"/>
    <n v="4"/>
    <n v="1"/>
    <x v="120"/>
    <x v="161"/>
    <x v="4"/>
    <x v="26"/>
    <x v="39"/>
    <x v="44"/>
    <s v="64-2335843-"/>
    <s v="mario.barrientos@redsalud.gob.cl"/>
    <x v="16"/>
    <m/>
    <n v="0"/>
    <m/>
    <n v="0"/>
    <n v="0"/>
    <m/>
    <x v="1"/>
  </r>
  <r>
    <s v="SERVICIO DE SALUD OSORNO"/>
    <x v="3"/>
    <x v="217"/>
    <s v="Proyecto operacional"/>
    <s v="Enviado"/>
    <s v="31.02.005"/>
    <x v="218"/>
    <s v="Proyecto con fuente de financiamiento F.N.D.R. Ejecución proyectada para mayo 2026"/>
    <x v="0"/>
    <x v="159"/>
    <n v="4"/>
    <n v="1"/>
    <x v="263"/>
    <x v="298"/>
    <x v="4"/>
    <x v="31"/>
    <x v="66"/>
    <x v="69"/>
    <s v="64-2337386-"/>
    <s v="maria.munozp@redsalud.gob.cl"/>
    <x v="20"/>
    <m/>
    <n v="0"/>
    <m/>
    <n v="0"/>
    <n v="0"/>
    <m/>
    <x v="1"/>
  </r>
  <r>
    <s v="SERVICIO DE SALUD OSORNO"/>
    <x v="3"/>
    <x v="217"/>
    <s v="Proyecto operacional"/>
    <s v="Enviado"/>
    <s v="31.02.005"/>
    <x v="218"/>
    <s v="Proyecto con fuente de financiamiento F.N.D.R. Ejecución proyectada para mayo 2026"/>
    <x v="0"/>
    <x v="184"/>
    <n v="4"/>
    <n v="1"/>
    <x v="264"/>
    <x v="299"/>
    <x v="4"/>
    <x v="31"/>
    <x v="66"/>
    <x v="69"/>
    <s v="64-2337386-"/>
    <s v="maria.munozp@redsalud.gob.cl"/>
    <x v="20"/>
    <m/>
    <n v="0"/>
    <m/>
    <n v="0"/>
    <n v="0"/>
    <m/>
    <x v="1"/>
  </r>
  <r>
    <s v="SERVICIO DE SALUD OSORNO"/>
    <x v="3"/>
    <x v="218"/>
    <s v="Proyecto operacional"/>
    <s v="Enviado"/>
    <s v="31.02.002"/>
    <x v="219"/>
    <s v="Desarrollar el diseño de arquitectura, estructuras y especialidades para la ampliación y normalización del actual CESFAM de San Pablo."/>
    <x v="1"/>
    <x v="97"/>
    <n v="4"/>
    <n v="1"/>
    <x v="265"/>
    <x v="300"/>
    <x v="4"/>
    <x v="26"/>
    <x v="39"/>
    <x v="44"/>
    <s v="64-2335843-"/>
    <s v="mario.barrientos@redsalud.gob.cl"/>
    <x v="16"/>
    <m/>
    <n v="0"/>
    <m/>
    <n v="0"/>
    <n v="0"/>
    <m/>
    <x v="1"/>
  </r>
  <r>
    <s v="SERVICIO DE SALUD OSORNO"/>
    <x v="4"/>
    <x v="219"/>
    <s v="Proyecto operacional"/>
    <s v="Enviado"/>
    <s v="31.02.005"/>
    <x v="220"/>
    <s v="Proyecto con fuente de financiamiento sectorial. Ejecución proyectada para abril 2026"/>
    <x v="0"/>
    <x v="159"/>
    <n v="4"/>
    <n v="1"/>
    <x v="266"/>
    <x v="301"/>
    <x v="4"/>
    <x v="24"/>
    <x v="66"/>
    <x v="69"/>
    <s v="64-2337386-"/>
    <s v="maria.munozp@redsalud.gob.cl"/>
    <x v="14"/>
    <m/>
    <n v="0"/>
    <m/>
    <n v="0"/>
    <n v="0"/>
    <m/>
    <x v="1"/>
  </r>
  <r>
    <s v="SERVICIO DE SALUD OSORNO"/>
    <x v="4"/>
    <x v="219"/>
    <s v="Proyecto operacional"/>
    <s v="Enviado"/>
    <s v="31.02.005"/>
    <x v="220"/>
    <s v="Proyecto con fuente de financiamiento sectorial. Ejecución proyectada para abril 2026"/>
    <x v="0"/>
    <x v="184"/>
    <n v="4"/>
    <n v="1"/>
    <x v="267"/>
    <x v="302"/>
    <x v="4"/>
    <x v="24"/>
    <x v="66"/>
    <x v="69"/>
    <s v="64-2337386-"/>
    <s v="maria.munozp@redsalud.gob.cl"/>
    <x v="14"/>
    <m/>
    <n v="0"/>
    <m/>
    <n v="0"/>
    <n v="0"/>
    <m/>
    <x v="1"/>
  </r>
  <r>
    <s v="SERVICIO DE SALUD OSORNO"/>
    <x v="5"/>
    <x v="220"/>
    <s v="Proyecto estratégico"/>
    <s v="Enviado"/>
    <s v="31.02.004"/>
    <x v="221"/>
    <s v="SE REQUIERE LICITAR PARA EL MES DE ABRIL DE 2026 EL SERVICIO DE CONSTRUCCION DE POSTA DE SALUD RURAL EL PONCHO."/>
    <x v="1"/>
    <x v="185"/>
    <n v="4"/>
    <n v="1"/>
    <x v="268"/>
    <x v="303"/>
    <x v="4"/>
    <x v="25"/>
    <x v="62"/>
    <x v="36"/>
    <s v="64-2337385-"/>
    <s v="gustavo.marin@redsalud.gob.cl"/>
    <x v="14"/>
    <m/>
    <n v="0"/>
    <m/>
    <n v="0"/>
    <n v="0"/>
    <m/>
    <x v="1"/>
  </r>
  <r>
    <s v="SERVICIO DE SALUD OSORNO"/>
    <x v="5"/>
    <x v="221"/>
    <s v="Proyecto operacional"/>
    <s v="Enviado"/>
    <s v="31.02.004"/>
    <x v="222"/>
    <s v="SE REQUIERE CONTRATAR EL SERCIVIO DE CONSTRUCCION DE POSTA DE SALUD RURAL DE HUILMA, UBICADO EN EL CRUCE HUILMA COMUNA DE RIO NEGRO ENTRE LA RUTA U-72 Y LA RUTA U-506. SE CONTEMPLA LA CONSTRUCCION DE UNA INFRAESTRUCTURA DE 225,6 M2 MAS UNA CASA DE PARAMEDICO DE 55 M2 EN UN TERRENO DE 11.000 M2. COMPUESTA DE MATERIALIDAD DE ACERO GALVANIZADO, CUBIERTA DE ZINC ALUM, REVESTIMIENTO EXTERIOR AISLADO, FUNDACIONES DE HORMIGON ARMADO, REVESTIMIENTO INTERIOR DE YESO CARTON . EL SERVICIO DEBERA ESTAR DISPONIBLE PARA ABRIL DEL 2026."/>
    <x v="1"/>
    <x v="185"/>
    <n v="4"/>
    <n v="1"/>
    <x v="269"/>
    <x v="304"/>
    <x v="4"/>
    <x v="25"/>
    <x v="62"/>
    <x v="36"/>
    <s v="64-2337385-"/>
    <s v="gustavo.marin@redsalud.gob.cl"/>
    <x v="14"/>
    <m/>
    <n v="0"/>
    <m/>
    <n v="0"/>
    <n v="0"/>
    <m/>
    <x v="1"/>
  </r>
  <r>
    <s v="SERVICIO DE SALUD OSORNO"/>
    <x v="5"/>
    <x v="222"/>
    <s v="Proyecto estratégico"/>
    <s v="Enviado"/>
    <s v="31.02.004"/>
    <x v="223"/>
    <s v="SE REQUIERE CONTRATAR PARA EL MES DE ABRIL DE 2026, EL SERVICIO DE CONSTRUCCION DE POSTA DE SALUD RURAL DE RUPANCO, COMUNA DE PUERTO OCTAY UBICADO EN EL KM 60,3 LADO DERECHO DE LA RUTA U911,COMUNA DE DE PUERTO OCTAY ( SECTOR ADMINISTRACION HACIENDA RUPANCO) CONTEMPLA UNA CONSTRUCCION DE 295 M2 PARA LA POSTA Y UNA VIVIENDA DE PARAMEDICO DE 55 M2 AMBAS EN ESTRUCTURA DE ACERO GALVANIZADO,RADIER DE HORMIGON ARMADO, REVESTIMIENTO EXTERIOR CON AISLACION, CUBIERTA DE ZIN ALUM Y REVESTIMIENTO INTERIOR DE YESO-CARTON"/>
    <x v="1"/>
    <x v="185"/>
    <n v="4"/>
    <n v="1"/>
    <x v="270"/>
    <x v="305"/>
    <x v="4"/>
    <x v="24"/>
    <x v="62"/>
    <x v="36"/>
    <s v="64-2337385-"/>
    <s v="gustavo.marin@redsalud.gob.cl"/>
    <x v="14"/>
    <m/>
    <n v="0"/>
    <m/>
    <n v="0"/>
    <n v="0"/>
    <m/>
    <x v="1"/>
  </r>
  <r>
    <s v="SERVICIO DE SALUD OSORNO"/>
    <x v="3"/>
    <x v="223"/>
    <s v="Proyecto operacional"/>
    <s v="Enviado"/>
    <s v="31.02.005"/>
    <x v="224"/>
    <s v="Proyecto con fuente de financiamiento F.N.D.R. Ejecución proyectada para abril 2026"/>
    <x v="1"/>
    <x v="159"/>
    <n v="4"/>
    <n v="1"/>
    <x v="271"/>
    <x v="306"/>
    <x v="4"/>
    <x v="24"/>
    <x v="66"/>
    <x v="69"/>
    <s v="64-2337386-"/>
    <s v="maria.munozp@redsalud.gob.cl"/>
    <x v="14"/>
    <m/>
    <n v="0"/>
    <m/>
    <n v="0"/>
    <n v="0"/>
    <m/>
    <x v="1"/>
  </r>
  <r>
    <s v="SERVICIO DE SALUD OSORNO"/>
    <x v="4"/>
    <x v="224"/>
    <s v="Proyecto operacional"/>
    <s v="Enviado"/>
    <s v="31.02.005"/>
    <x v="225"/>
    <s v="Proyecto con fuente de financiamiento sectorial. Ejecución proyectada para abril 2026"/>
    <x v="0"/>
    <x v="159"/>
    <n v="4"/>
    <n v="1"/>
    <x v="272"/>
    <x v="307"/>
    <x v="4"/>
    <x v="24"/>
    <x v="66"/>
    <x v="69"/>
    <s v="64-2337386-"/>
    <s v="maria.munozp@redsalud.gob.cl"/>
    <x v="14"/>
    <m/>
    <n v="0"/>
    <m/>
    <n v="0"/>
    <n v="0"/>
    <m/>
    <x v="1"/>
  </r>
  <r>
    <s v="SERVICIO DE SALUD OSORNO"/>
    <x v="4"/>
    <x v="224"/>
    <s v="Proyecto operacional"/>
    <s v="Enviado"/>
    <s v="31.02.005"/>
    <x v="225"/>
    <s v="Proyecto con fuente de financiamiento sectorial. Ejecución proyectada para abril 2026"/>
    <x v="0"/>
    <x v="184"/>
    <n v="4"/>
    <n v="1"/>
    <x v="273"/>
    <x v="308"/>
    <x v="4"/>
    <x v="24"/>
    <x v="66"/>
    <x v="69"/>
    <s v="64-2337386-"/>
    <s v="maria.munozp@redsalud.gob.cl"/>
    <x v="14"/>
    <m/>
    <n v="0"/>
    <m/>
    <n v="0"/>
    <n v="0"/>
    <m/>
    <x v="1"/>
  </r>
  <r>
    <s v="SERVICIO DE SALUD OSORNO"/>
    <x v="4"/>
    <x v="225"/>
    <s v="Proyecto estratégico"/>
    <s v="Enviado"/>
    <s v="31.02.005"/>
    <x v="226"/>
    <s v="Proyecto con fuente de financiamiento sectorial. Ejecución proyectada para abril 2026"/>
    <x v="0"/>
    <x v="159"/>
    <n v="4"/>
    <n v="1"/>
    <x v="274"/>
    <x v="309"/>
    <x v="4"/>
    <x v="24"/>
    <x v="66"/>
    <x v="69"/>
    <s v="64-2337386-"/>
    <s v="maria.munozp@redsalud.gob.cl"/>
    <x v="14"/>
    <m/>
    <n v="0"/>
    <m/>
    <n v="0"/>
    <n v="0"/>
    <m/>
    <x v="1"/>
  </r>
  <r>
    <s v="SERVICIO DE SALUD OSORNO"/>
    <x v="4"/>
    <x v="225"/>
    <s v="Proyecto estratégico"/>
    <s v="Enviado"/>
    <s v="31.02.005"/>
    <x v="226"/>
    <s v="Proyecto con fuente de financiamiento sectorial. Ejecución proyectada para abril 2026"/>
    <x v="0"/>
    <x v="184"/>
    <n v="4"/>
    <n v="1"/>
    <x v="275"/>
    <x v="310"/>
    <x v="4"/>
    <x v="24"/>
    <x v="66"/>
    <x v="69"/>
    <s v="64-2337386-"/>
    <s v="maria.munozp@redsalud.gob.cl"/>
    <x v="14"/>
    <m/>
    <n v="0"/>
    <m/>
    <n v="0"/>
    <n v="0"/>
    <m/>
    <x v="1"/>
  </r>
  <r>
    <s v="SERVICIO DE SALUD OSORNO"/>
    <x v="5"/>
    <x v="226"/>
    <s v="Proyecto estratégico"/>
    <s v="Enviado"/>
    <s v="31.02.002"/>
    <x v="227"/>
    <s v="SE REQUIERE LA CONTRATACION DE 01 VISITA DE ESPECIALIDAD DE ARQUITECTURA PARA LA OBRA REPOSICIÓN CESFAM CON SAR RAHUE ALTO OSORNO PARA EL MES DE JUNIO DE 2026. EL COSTO DE LA VISITA ES DE 16 UF IVA INCLUIDO. NOTA EL VALOR DE LA UF SERA CALCULADO DEL DIA DE LA VISITA. INSPECCION DE PROYECTISTA DE ESPECIALIDAD DE ARQUITECTURA PARA INFORME FAVORABLE DE RECEPCION DE OBRA."/>
    <x v="1"/>
    <x v="97"/>
    <n v="4"/>
    <n v="1"/>
    <x v="276"/>
    <x v="122"/>
    <x v="4"/>
    <x v="25"/>
    <x v="70"/>
    <x v="73"/>
    <s v="64-2337385-"/>
    <s v="fernando.wulf@redsalud.gob.cl"/>
    <x v="15"/>
    <m/>
    <n v="0"/>
    <m/>
    <n v="0"/>
    <n v="0"/>
    <m/>
    <x v="1"/>
  </r>
  <r>
    <s v="SERVICIO DE SALUD OSORNO"/>
    <x v="4"/>
    <x v="227"/>
    <s v="Proyecto operacional"/>
    <s v="Enviado"/>
    <s v="29.05.002"/>
    <x v="228"/>
    <s v="Proyecto con fuente de financiamiento sectorial. Ejecución proyectada para abril 2026"/>
    <x v="0"/>
    <x v="159"/>
    <n v="4"/>
    <n v="1"/>
    <x v="62"/>
    <x v="109"/>
    <x v="4"/>
    <x v="24"/>
    <x v="66"/>
    <x v="69"/>
    <s v="64-2337386-"/>
    <s v="maria.munozp@redsalud.gob.cl"/>
    <x v="14"/>
    <m/>
    <n v="0"/>
    <m/>
    <n v="0"/>
    <n v="0"/>
    <m/>
    <x v="1"/>
  </r>
  <r>
    <s v="SERVICIO DE SALUD OSORNO"/>
    <x v="4"/>
    <x v="227"/>
    <s v="Proyecto operacional"/>
    <s v="Enviado"/>
    <s v="29.05.002"/>
    <x v="228"/>
    <s v="Proyecto con fuente de financiamiento sectorial. Ejecución proyectada para abril 2026"/>
    <x v="0"/>
    <x v="184"/>
    <n v="4"/>
    <n v="1"/>
    <x v="251"/>
    <x v="285"/>
    <x v="4"/>
    <x v="24"/>
    <x v="66"/>
    <x v="69"/>
    <s v="64-2337386-"/>
    <s v="maria.munozp@redsalud.gob.cl"/>
    <x v="14"/>
    <m/>
    <n v="0"/>
    <m/>
    <n v="0"/>
    <n v="0"/>
    <m/>
    <x v="1"/>
  </r>
  <r>
    <s v="SERVICIO DE SALUD OSORNO"/>
    <x v="0"/>
    <x v="228"/>
    <s v="Proyecto operacional"/>
    <s v="Enviado"/>
    <s v="22.02"/>
    <x v="229"/>
    <s v="elementos de protección personal y vestuario institucional para actividades en terreno de nuevo funcionario de Sub Depto. Fecha ejecucion: febrero"/>
    <x v="1"/>
    <x v="147"/>
    <n v="4"/>
    <n v="6"/>
    <x v="277"/>
    <x v="311"/>
    <x v="4"/>
    <x v="38"/>
    <x v="2"/>
    <x v="3"/>
    <s v="64-2337728-"/>
    <s v="CATALINA.VERAC@REDSALUD.GOB.CL"/>
    <x v="19"/>
    <m/>
    <n v="0"/>
    <m/>
    <n v="0"/>
    <n v="0"/>
    <m/>
    <x v="1"/>
  </r>
  <r>
    <s v="SERVICIO DE SALUD OSORNO"/>
    <x v="4"/>
    <x v="229"/>
    <s v="Proyecto operacional"/>
    <s v="Enviado"/>
    <s v="29.05.002"/>
    <x v="230"/>
    <s v="Fuente de financiamiento con recursos propios del Servicio de Salud Osorno. Ejecución proyectada para mayo 2026"/>
    <x v="0"/>
    <x v="159"/>
    <n v="4"/>
    <n v="1"/>
    <x v="221"/>
    <x v="252"/>
    <x v="4"/>
    <x v="31"/>
    <x v="66"/>
    <x v="69"/>
    <s v="64-2337386-"/>
    <s v="maria.munozp@redsalud.gob.cl"/>
    <x v="20"/>
    <m/>
    <n v="0"/>
    <m/>
    <n v="0"/>
    <n v="0"/>
    <m/>
    <x v="1"/>
  </r>
  <r>
    <s v="SERVICIO DE SALUD OSORNO"/>
    <x v="4"/>
    <x v="229"/>
    <s v="Proyecto operacional"/>
    <s v="Enviado"/>
    <s v="29.05.002"/>
    <x v="230"/>
    <s v="Fuente de financiamiento con recursos propios del Servicio de Salud Osorno. Ejecución proyectada para mayo 2026"/>
    <x v="0"/>
    <x v="184"/>
    <n v="4"/>
    <n v="1"/>
    <x v="252"/>
    <x v="286"/>
    <x v="4"/>
    <x v="31"/>
    <x v="66"/>
    <x v="69"/>
    <s v="64-2337386-"/>
    <s v="maria.munozp@redsalud.gob.cl"/>
    <x v="20"/>
    <m/>
    <n v="0"/>
    <m/>
    <n v="0"/>
    <n v="0"/>
    <m/>
    <x v="1"/>
  </r>
  <r>
    <s v="SERVICIO DE SALUD OSORNO"/>
    <x v="3"/>
    <x v="230"/>
    <s v="Proyecto estratégico"/>
    <s v="Enviado"/>
    <s v="31.02.005"/>
    <x v="231"/>
    <s v="Proyecto con fuente de financiamiento F.N.D.R. Ejecución proyectada para mayo 2026"/>
    <x v="0"/>
    <x v="159"/>
    <n v="4"/>
    <n v="1"/>
    <x v="278"/>
    <x v="312"/>
    <x v="4"/>
    <x v="31"/>
    <x v="66"/>
    <x v="69"/>
    <s v="64-2337386-"/>
    <s v="maria.munozp@redsalud.gob.cl"/>
    <x v="20"/>
    <m/>
    <n v="0"/>
    <m/>
    <n v="0"/>
    <n v="0"/>
    <m/>
    <x v="1"/>
  </r>
  <r>
    <s v="SERVICIO DE SALUD OSORNO"/>
    <x v="3"/>
    <x v="230"/>
    <s v="Proyecto estratégico"/>
    <s v="Enviado"/>
    <s v="31.02.005"/>
    <x v="231"/>
    <s v="Proyecto con fuente de financiamiento F.N.D.R. Ejecución proyectada para mayo 2026"/>
    <x v="0"/>
    <x v="184"/>
    <n v="4"/>
    <n v="1"/>
    <x v="279"/>
    <x v="313"/>
    <x v="4"/>
    <x v="31"/>
    <x v="66"/>
    <x v="69"/>
    <s v="64-2337386-"/>
    <s v="maria.munozp@redsalud.gob.cl"/>
    <x v="20"/>
    <m/>
    <n v="0"/>
    <m/>
    <n v="0"/>
    <n v="0"/>
    <m/>
    <x v="1"/>
  </r>
  <r>
    <s v="SERVICIO DE SALUD OSORNO"/>
    <x v="0"/>
    <x v="231"/>
    <s v="Proyecto operacional"/>
    <s v="Enviado"/>
    <s v="22.01.001"/>
    <x v="232"/>
    <s v="Se requiere productos para la elaboracion de un Coffe para jornada de conmemoración del día internacional de la eliminación de la violencia contra la mujer."/>
    <x v="5"/>
    <x v="31"/>
    <n v="4"/>
    <n v="74"/>
    <x v="280"/>
    <x v="314"/>
    <x v="4"/>
    <x v="28"/>
    <x v="54"/>
    <x v="59"/>
    <s v="64-2336339-"/>
    <s v="kassandra.fernandez@redsalud.gob.cl"/>
    <x v="18"/>
    <m/>
    <n v="0"/>
    <m/>
    <n v="0"/>
    <n v="0"/>
    <m/>
    <x v="1"/>
  </r>
  <r>
    <s v="SERVICIO DE SALUD OSORNO"/>
    <x v="0"/>
    <x v="231"/>
    <s v="Proyecto operacional"/>
    <s v="Enviado"/>
    <s v="22.01.001"/>
    <x v="232"/>
    <s v="Se requiere productos para la elaboracion de un Coffe para jornada de conmemoración del día internacional de la eliminación de la violencia contra la mujer."/>
    <x v="5"/>
    <x v="113"/>
    <n v="4"/>
    <n v="100"/>
    <x v="210"/>
    <x v="315"/>
    <x v="4"/>
    <x v="28"/>
    <x v="54"/>
    <x v="59"/>
    <s v="64-2336339-"/>
    <s v="kassandra.fernandez@redsalud.gob.cl"/>
    <x v="18"/>
    <m/>
    <n v="0"/>
    <m/>
    <n v="0"/>
    <n v="0"/>
    <m/>
    <x v="1"/>
  </r>
  <r>
    <s v="SERVICIO DE SALUD OSORNO"/>
    <x v="0"/>
    <x v="231"/>
    <s v="Proyecto operacional"/>
    <s v="Enviado"/>
    <s v="22.01.001"/>
    <x v="232"/>
    <s v="Se requiere productos para la elaboracion de un Coffe para jornada de conmemoración del día internacional de la eliminación de la violencia contra la mujer."/>
    <x v="5"/>
    <x v="186"/>
    <n v="4"/>
    <n v="2"/>
    <x v="139"/>
    <x v="316"/>
    <x v="4"/>
    <x v="28"/>
    <x v="54"/>
    <x v="59"/>
    <s v="64-2336339-"/>
    <s v="kassandra.fernandez@redsalud.gob.cl"/>
    <x v="18"/>
    <m/>
    <n v="0"/>
    <m/>
    <n v="0"/>
    <n v="0"/>
    <m/>
    <x v="1"/>
  </r>
  <r>
    <s v="SERVICIO DE SALUD OSORNO"/>
    <x v="0"/>
    <x v="232"/>
    <s v="Proyecto operacional"/>
    <s v="Enviado"/>
    <s v="22.04.002"/>
    <x v="233"/>
    <s v="Compra para realizar rehabilitación Terapia Ocupacional (confección de Ortesis) bajo la estrategia de rehabilitación del equipo Rural de la Dirección de Servicio. La población beneficiaria serán aquellos usuarios(as) de todo el ciclo vital y de localidades rurales de la Provincia. se espera lograr una mejora o mantención de sus participación de la comunidad a través del desarrollo de la rehabilitación, logrando la participación en la comunidad"/>
    <x v="1"/>
    <x v="187"/>
    <n v="4"/>
    <n v="1"/>
    <x v="239"/>
    <x v="317"/>
    <x v="4"/>
    <x v="32"/>
    <x v="37"/>
    <x v="42"/>
    <s v="64-2335807-"/>
    <s v="karin.avila@redsalud.gob.cl"/>
    <x v="21"/>
    <m/>
    <n v="0"/>
    <m/>
    <n v="0"/>
    <n v="0"/>
    <m/>
    <x v="1"/>
  </r>
  <r>
    <s v="SERVICIO DE SALUD OSORNO"/>
    <x v="0"/>
    <x v="233"/>
    <s v="Proyecto operacional"/>
    <s v="Enviado"/>
    <s v="22.06.006"/>
    <x v="234"/>
    <s v="CONTRATAR LOS TRABAJOS DE MANTENCIMIENTO DEL SISTEMA DE ALMACENAMIENTO E IMPULSIÓN DE AGUA POTABLE DE LA BASE SAMU OSORNO. EJECUCCIÓN PARA EL MES DE JUNIO"/>
    <x v="1"/>
    <x v="118"/>
    <n v="4"/>
    <n v="1"/>
    <x v="58"/>
    <x v="96"/>
    <x v="4"/>
    <x v="25"/>
    <x v="71"/>
    <x v="36"/>
    <s v="64-2335596-"/>
    <s v="GARIBE.GALLARDO@REDSALUD.GOB.CL"/>
    <x v="15"/>
    <m/>
    <n v="0"/>
    <m/>
    <n v="0"/>
    <n v="0"/>
    <m/>
    <x v="1"/>
  </r>
  <r>
    <s v="SERVICIO DE SALUD OSORNO"/>
    <x v="0"/>
    <x v="234"/>
    <s v="Proyecto operacional"/>
    <s v="Enviado"/>
    <s v="22.06.001"/>
    <x v="235"/>
    <s v="REALIZAR MANTENCIONES EMERGENTES EN CUALQUIERA DE LOS ESTABLECIMIENTOS DEPENDIENTES DEL SERVICIO DE SALUD OSORNO. EJECUCCIÓN DICIEMBRE."/>
    <x v="1"/>
    <x v="68"/>
    <n v="4"/>
    <n v="1"/>
    <x v="221"/>
    <x v="252"/>
    <x v="4"/>
    <x v="29"/>
    <x v="71"/>
    <x v="36"/>
    <s v="64-2335596-"/>
    <s v="GARIBE.GALLARDO@REDSALUD.GOB.CL"/>
    <x v="23"/>
    <m/>
    <n v="0"/>
    <m/>
    <n v="0"/>
    <n v="0"/>
    <m/>
    <x v="1"/>
  </r>
  <r>
    <s v="SERVICIO DE SALUD OSORNO"/>
    <x v="0"/>
    <x v="235"/>
    <s v="Proyecto operacional"/>
    <s v="Enviado"/>
    <s v="22.06.001"/>
    <x v="236"/>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DESDE ENERO A DICIEMBRE 2027. MES DE EJECUCIÓN DEL CONVENIO DICIEMBRE 2026"/>
    <x v="1"/>
    <x v="118"/>
    <n v="4"/>
    <n v="1"/>
    <x v="36"/>
    <x v="221"/>
    <x v="11"/>
    <x v="43"/>
    <x v="71"/>
    <x v="36"/>
    <s v="64-2335596-"/>
    <s v="GARIBE.GALLARDO@REDSALUD.GOB.CL"/>
    <x v="23"/>
    <m/>
    <n v="0"/>
    <m/>
    <n v="0"/>
    <n v="0"/>
    <m/>
    <x v="1"/>
  </r>
  <r>
    <s v="SERVICIO DE SALUD OSORNO"/>
    <x v="0"/>
    <x v="236"/>
    <s v="Proyecto operacional"/>
    <s v="Enviado"/>
    <s v="22.06.001"/>
    <x v="237"/>
    <s v="Realizar la mantención de cubierta de los Edificios y dispositivos dependientes del Servicio de Salud Osorno, para mantener su infraestructura en buenas condiciones y evitar filtraciones al interior de los dispositivos . EJECUCCIÓN NOVIEMBRE 2026."/>
    <x v="1"/>
    <x v="188"/>
    <n v="4"/>
    <n v="1"/>
    <x v="65"/>
    <x v="97"/>
    <x v="4"/>
    <x v="28"/>
    <x v="71"/>
    <x v="36"/>
    <s v="64-2335596-"/>
    <s v="GARIBE.GALLARDO@REDSALUD.GOB.CL"/>
    <x v="18"/>
    <m/>
    <n v="0"/>
    <m/>
    <n v="0"/>
    <n v="0"/>
    <m/>
    <x v="1"/>
  </r>
  <r>
    <s v="SERVICIO DE SALUD OSORNO"/>
    <x v="0"/>
    <x v="237"/>
    <s v="Proyecto operacional"/>
    <s v="Enviado"/>
    <s v="22.06.001"/>
    <x v="238"/>
    <s v="Mejoramiento de Oficina 2do piso correspondiente a trabajos eléctricos y datos, en Edificio Institucional de Manuel Rodríguez. NOVIEMBRE 2026."/>
    <x v="1"/>
    <x v="68"/>
    <n v="4"/>
    <n v="1"/>
    <x v="255"/>
    <x v="290"/>
    <x v="4"/>
    <x v="28"/>
    <x v="71"/>
    <x v="36"/>
    <s v="64-2335596-"/>
    <s v="GARIBE.GALLARDO@REDSALUD.GOB.CL"/>
    <x v="18"/>
    <m/>
    <n v="0"/>
    <m/>
    <n v="0"/>
    <n v="0"/>
    <m/>
    <x v="1"/>
  </r>
  <r>
    <s v="SERVICIO DE SALUD OSORNO"/>
    <x v="0"/>
    <x v="238"/>
    <s v="Proyecto operacional"/>
    <s v="Enviado"/>
    <s v="22.06.001"/>
    <x v="239"/>
    <s v="Mantenimiento preventivo a protecciones termomagnéticas, dispositivos de fuerza y control, en conjunto con diversos sistemas y componentes que conforman los tableros de distribución de energía eléctrica en el Hospital Intercultural Futa Sruka Lawenche Kunko Mapu Mo. Igualmente en los Hospitales de Purranque y Puerto Octay. Establecimiento COSAM Oriente y dispositivos de la red. Ejecución mes octubre 2026."/>
    <x v="1"/>
    <x v="68"/>
    <n v="4"/>
    <n v="112"/>
    <x v="281"/>
    <x v="318"/>
    <x v="4"/>
    <x v="27"/>
    <x v="72"/>
    <x v="74"/>
    <s v="64-2335653-"/>
    <s v="diego.saldivia@redsalud.gob.cl"/>
    <x v="17"/>
    <m/>
    <n v="0"/>
    <m/>
    <n v="0"/>
    <n v="0"/>
    <m/>
    <x v="1"/>
  </r>
  <r>
    <s v="SERVICIO DE SALUD OSORNO"/>
    <x v="0"/>
    <x v="239"/>
    <s v="Proyecto operacional"/>
    <s v="Enviado"/>
    <s v="22.04-22.02"/>
    <x v="240"/>
    <s v="Adquirir materiales para la caracterización de victimas de los simulacros con tecnica moulage, aumentando el realismo de las lesiones. mes de ejecucion de la compra: agosto."/>
    <x v="5"/>
    <x v="179"/>
    <n v="4"/>
    <n v="30"/>
    <x v="154"/>
    <x v="266"/>
    <x v="4"/>
    <x v="36"/>
    <x v="2"/>
    <x v="3"/>
    <s v="64-2337728-"/>
    <s v="CATALINA.VERAC@REDSALUD.GOB.CL"/>
    <x v="24"/>
    <m/>
    <n v="0"/>
    <m/>
    <n v="0"/>
    <n v="0"/>
    <m/>
    <x v="1"/>
  </r>
  <r>
    <s v="SERVICIO DE SALUD OSORNO"/>
    <x v="0"/>
    <x v="239"/>
    <s v="Proyecto operacional"/>
    <s v="Enviado"/>
    <s v="22.04-22.02"/>
    <x v="240"/>
    <s v="Adquirir materiales para la caracterización de victimas de los simulacros con tecnica moulage, aumentando el realismo de las lesiones. mes de ejecucion de la compra: agosto."/>
    <x v="5"/>
    <x v="189"/>
    <n v="4"/>
    <n v="10"/>
    <x v="197"/>
    <x v="231"/>
    <x v="4"/>
    <x v="36"/>
    <x v="2"/>
    <x v="3"/>
    <s v="64-2337728-"/>
    <s v="CATALINA.VERAC@REDSALUD.GOB.CL"/>
    <x v="24"/>
    <m/>
    <n v="0"/>
    <m/>
    <n v="0"/>
    <n v="0"/>
    <m/>
    <x v="1"/>
  </r>
  <r>
    <s v="SERVICIO DE SALUD OSORNO"/>
    <x v="0"/>
    <x v="239"/>
    <s v="Proyecto operacional"/>
    <s v="Enviado"/>
    <s v="22.04-22.02"/>
    <x v="240"/>
    <s v="Adquirir materiales para la caracterización de victimas de los simulacros con tecnica moulage, aumentando el realismo de las lesiones. mes de ejecucion de la compra: agosto."/>
    <x v="5"/>
    <x v="190"/>
    <n v="4"/>
    <n v="1"/>
    <x v="282"/>
    <x v="319"/>
    <x v="4"/>
    <x v="36"/>
    <x v="2"/>
    <x v="3"/>
    <s v="64-2337728-"/>
    <s v="CATALINA.VERAC@REDSALUD.GOB.CL"/>
    <x v="24"/>
    <m/>
    <n v="0"/>
    <m/>
    <n v="0"/>
    <n v="0"/>
    <m/>
    <x v="1"/>
  </r>
  <r>
    <s v="SERVICIO DE SALUD OSORNO"/>
    <x v="0"/>
    <x v="240"/>
    <s v="Proyecto operacional"/>
    <s v="Enviado"/>
    <s v="22.04.002"/>
    <x v="241"/>
    <s v="La compra se realizará en el mes de Febrero 2026 por una única vez. La vigencia será solamente por Febrero 2026."/>
    <x v="1"/>
    <x v="94"/>
    <n v="4"/>
    <n v="6"/>
    <x v="283"/>
    <x v="320"/>
    <x v="4"/>
    <x v="38"/>
    <x v="73"/>
    <x v="75"/>
    <s v="64-2335806-"/>
    <s v="francisca.contreras.c@redsalud.gob.cl"/>
    <x v="19"/>
    <m/>
    <n v="0"/>
    <m/>
    <n v="0"/>
    <n v="0"/>
    <m/>
    <x v="1"/>
  </r>
  <r>
    <s v="SERVICIO DE SALUD OSORNO"/>
    <x v="0"/>
    <x v="241"/>
    <s v="Proyecto operacional"/>
    <s v="Enviado"/>
    <s v="22.02"/>
    <x v="242"/>
    <s v="Elementos de proteccion personal para funcionarios del del subdepto. prevencion de riesgos del SSO."/>
    <x v="0"/>
    <x v="147"/>
    <n v="4"/>
    <n v="16"/>
    <x v="284"/>
    <x v="321"/>
    <x v="4"/>
    <x v="32"/>
    <x v="55"/>
    <x v="61"/>
    <s v="64-2336130-"/>
    <s v="venecia.recabarren@redsalud.gob.cl"/>
    <x v="21"/>
    <m/>
    <n v="0"/>
    <m/>
    <n v="0"/>
    <n v="0"/>
    <m/>
    <x v="1"/>
  </r>
  <r>
    <s v="SERVICIO DE SALUD OSORNO"/>
    <x v="0"/>
    <x v="241"/>
    <s v="Proyecto operacional"/>
    <s v="Enviado"/>
    <s v="22.02"/>
    <x v="242"/>
    <s v="Elementos de proteccion personal para funcionarios del del subdepto. prevencion de riesgos del SSO."/>
    <x v="0"/>
    <x v="191"/>
    <n v="4"/>
    <n v="2"/>
    <x v="239"/>
    <x v="269"/>
    <x v="4"/>
    <x v="35"/>
    <x v="55"/>
    <x v="61"/>
    <s v="64-2336130-"/>
    <s v="venecia.recabarren@redsalud.gob.cl"/>
    <x v="13"/>
    <m/>
    <n v="0"/>
    <m/>
    <n v="0"/>
    <n v="0"/>
    <m/>
    <x v="1"/>
  </r>
  <r>
    <s v="SERVICIO DE SALUD OSORNO"/>
    <x v="0"/>
    <x v="242"/>
    <s v="Proyecto operacional"/>
    <s v="Enviado"/>
    <s v="22.01.001"/>
    <x v="243"/>
    <s v="Ejecución en el mes de Abril 2026. Compra una única vez."/>
    <x v="1"/>
    <x v="63"/>
    <n v="4"/>
    <n v="2"/>
    <x v="285"/>
    <x v="322"/>
    <x v="4"/>
    <x v="24"/>
    <x v="73"/>
    <x v="75"/>
    <s v="64-2335806-"/>
    <s v="francisca.contreras.c@redsalud.gob.cl"/>
    <x v="14"/>
    <m/>
    <n v="0"/>
    <m/>
    <n v="0"/>
    <n v="0"/>
    <m/>
    <x v="1"/>
  </r>
  <r>
    <s v="SERVICIO DE SALUD OSORNO"/>
    <x v="0"/>
    <x v="243"/>
    <s v="Proyecto operacional"/>
    <s v="Enviado"/>
    <s v="22.04.012"/>
    <x v="244"/>
    <s v="Se requiere la adquisición de herramientas básicas y elementos de mantención (como taladro, destornilladores, martillos ,alicates ,set de llaves, entre otros) destinados a l mantenimiento de centro Kümelen , estas herramientas permitan realizar reparaciones menores, ajustes y mejoras en infraestructura y mobiliario, asegurando condiciones adecuadas para la atención y desarrollo de actividades comunitarias. la compra se ejecuta en febrero 2026."/>
    <x v="1"/>
    <x v="192"/>
    <n v="4"/>
    <n v="9"/>
    <x v="286"/>
    <x v="323"/>
    <x v="4"/>
    <x v="38"/>
    <x v="63"/>
    <x v="19"/>
    <s v="64-2337366-"/>
    <s v="luis.floresme@redsalud.gob.cl"/>
    <x v="19"/>
    <m/>
    <n v="0"/>
    <m/>
    <n v="0"/>
    <n v="0"/>
    <m/>
    <x v="1"/>
  </r>
  <r>
    <s v="SERVICIO DE SALUD OSORNO"/>
    <x v="0"/>
    <x v="244"/>
    <s v="Proyecto operacional"/>
    <s v="Enviado"/>
    <s v="22.04.999"/>
    <x v="245"/>
    <s v="Elementos y dispositivos ergonómicos para funcionarios de la DSSO."/>
    <x v="1"/>
    <x v="193"/>
    <n v="4"/>
    <n v="189"/>
    <x v="287"/>
    <x v="324"/>
    <x v="4"/>
    <x v="35"/>
    <x v="55"/>
    <x v="61"/>
    <s v="64-2336130-"/>
    <s v="venecia.recabarren@redsalud.gob.cl"/>
    <x v="13"/>
    <m/>
    <n v="0"/>
    <m/>
    <n v="0"/>
    <n v="0"/>
    <m/>
    <x v="1"/>
  </r>
  <r>
    <s v="SERVICIO DE SALUD OSORNO"/>
    <x v="4"/>
    <x v="245"/>
    <s v="Proyecto operacional"/>
    <s v="Actualizado"/>
    <s v="29.04"/>
    <x v="246"/>
    <s v="Elementos y dispositivos ergonómicos para funcionarios de la DSSO."/>
    <x v="1"/>
    <x v="183"/>
    <n v="4"/>
    <n v="10"/>
    <x v="147"/>
    <x v="95"/>
    <x v="4"/>
    <x v="35"/>
    <x v="55"/>
    <x v="61"/>
    <s v="64-2336130-"/>
    <s v="venecia.recabarren@redsalud.gob.cl"/>
    <x v="13"/>
    <m/>
    <n v="0"/>
    <m/>
    <n v="0"/>
    <n v="0"/>
    <m/>
    <x v="1"/>
  </r>
  <r>
    <s v="SERVICIO DE SALUD OSORNO"/>
    <x v="0"/>
    <x v="246"/>
    <s v="Proyecto operacional"/>
    <s v="Enviado"/>
    <s v="22.04.001"/>
    <x v="247"/>
    <s v="EL MES DE EJECUCION DE LA COMPRA DE TEST PSICOLOGICOS SE REALIZARA EN FEBRERO DE 2026."/>
    <x v="1"/>
    <x v="85"/>
    <n v="4"/>
    <n v="47"/>
    <x v="288"/>
    <x v="325"/>
    <x v="4"/>
    <x v="38"/>
    <x v="74"/>
    <x v="76"/>
    <s v="64-2335640-"/>
    <s v="guisella.franco@redsalud.gob.cl"/>
    <x v="19"/>
    <m/>
    <n v="0"/>
    <m/>
    <n v="0"/>
    <n v="0"/>
    <m/>
    <x v="1"/>
  </r>
  <r>
    <s v="SERVICIO DE SALUD OSORNO"/>
    <x v="0"/>
    <x v="247"/>
    <s v="Proyecto operacional"/>
    <s v="Enviado"/>
    <s v="22.04.012"/>
    <x v="248"/>
    <s v="ADQUISICION INSUMOS MANTENCION RED DE RADIOCOMUNICACIONES EN EMERGERNCIAS SERVICIO DE SALUD OSORNO (COMPRA ENERO A MARZO DE 2026)"/>
    <x v="1"/>
    <x v="194"/>
    <n v="4"/>
    <n v="63"/>
    <x v="289"/>
    <x v="326"/>
    <x v="4"/>
    <x v="35"/>
    <x v="75"/>
    <x v="13"/>
    <s v="64-2335606-"/>
    <s v="ESTEBAN.ALARCONB@REDSALUD.GOB.CL"/>
    <x v="13"/>
    <m/>
    <n v="0"/>
    <m/>
    <n v="0"/>
    <n v="0"/>
    <m/>
    <x v="1"/>
  </r>
  <r>
    <s v="SERVICIO DE SALUD OSORNO"/>
    <x v="0"/>
    <x v="248"/>
    <s v="Proyecto operacional"/>
    <s v="Actualizado"/>
    <s v="22.01.001.003"/>
    <x v="249"/>
    <s v="Ejecución en Abril 2026. Compra única."/>
    <x v="1"/>
    <x v="63"/>
    <n v="4"/>
    <n v="1"/>
    <x v="290"/>
    <x v="208"/>
    <x v="4"/>
    <x v="31"/>
    <x v="73"/>
    <x v="75"/>
    <s v="64-2335806-"/>
    <s v="francisca.contreras.c@redsalud.gob.cl"/>
    <x v="14"/>
    <m/>
    <n v="0"/>
    <m/>
    <n v="0"/>
    <n v="0"/>
    <m/>
    <x v="1"/>
  </r>
  <r>
    <s v="SERVICIO DE SALUD OSORNO"/>
    <x v="0"/>
    <x v="249"/>
    <s v="Proyecto operacional"/>
    <s v="Enviado"/>
    <s v="22.04.012"/>
    <x v="250"/>
    <s v="ADQUISICION DE INSUMOS RADIALES PARA REPOSICION Y MANTENIMIENTO PORTATILES VHF DE DIRECCION DEL SERVICIO DE SALUD OSORNO (COMPRA ENERO A MARZO 2026)"/>
    <x v="1"/>
    <x v="192"/>
    <n v="4"/>
    <n v="26"/>
    <x v="291"/>
    <x v="327"/>
    <x v="4"/>
    <x v="35"/>
    <x v="75"/>
    <x v="13"/>
    <s v="64-2335606-"/>
    <s v="ESTEBAN.ALARCONB@REDSALUD.GOB.CL"/>
    <x v="13"/>
    <m/>
    <n v="0"/>
    <m/>
    <n v="0"/>
    <n v="0"/>
    <m/>
    <x v="1"/>
  </r>
  <r>
    <s v="SERVICIO DE SALUD OSORNO"/>
    <x v="4"/>
    <x v="250"/>
    <s v="Proyecto operacional"/>
    <s v="Enviado"/>
    <s v="29.05.001"/>
    <x v="251"/>
    <s v="Se requiere adquisición de un micrófono de escritorio con reducción de ruido y una cámara web de alta definición, ambos con conexión USB, destinados a mejorar la calidad de sonido e imagen durante videoconferencias, reuniones técnicas y consejerías familiares virtuales realizadas por el equipo clínico-comunitario. La compra se ejecutará en el mes de Febrero del 2026, asegurando la continuidad y calidad de la atención remota y la participación en actividades interinstitucionales."/>
    <x v="1"/>
    <x v="195"/>
    <n v="4"/>
    <n v="1"/>
    <x v="83"/>
    <x v="164"/>
    <x v="4"/>
    <x v="38"/>
    <x v="63"/>
    <x v="19"/>
    <s v="64-2337366-"/>
    <s v="luis.floresme@redsalud.gob.cl"/>
    <x v="19"/>
    <m/>
    <n v="0"/>
    <m/>
    <n v="0"/>
    <n v="0"/>
    <m/>
    <x v="1"/>
  </r>
  <r>
    <s v="SERVICIO DE SALUD OSORNO"/>
    <x v="0"/>
    <x v="251"/>
    <s v="Proyecto operacional"/>
    <s v="Enviado"/>
    <s v="22.01.001"/>
    <x v="252"/>
    <s v="Se requiere de insumos alimenticios para apoyo en jornada PM de Curso de Monitores realizado desde Abril a Diciembre 2026 (mes de ejecución Abril 2026)."/>
    <x v="1"/>
    <x v="31"/>
    <n v="4"/>
    <n v="220"/>
    <x v="292"/>
    <x v="328"/>
    <x v="4"/>
    <x v="24"/>
    <x v="63"/>
    <x v="19"/>
    <s v="64-2337366-"/>
    <s v="luis.floresme@redsalud.gob.cl"/>
    <x v="14"/>
    <m/>
    <n v="0"/>
    <m/>
    <n v="0"/>
    <n v="0"/>
    <m/>
    <x v="1"/>
  </r>
  <r>
    <s v="SERVICIO DE SALUD OSORNO"/>
    <x v="0"/>
    <x v="252"/>
    <s v="Proyecto operacional"/>
    <s v="Enviado"/>
    <s v="22.04.990"/>
    <x v="253"/>
    <s v="Compra de Equipo de Terapia para rehabilitación fonoaudiologica a través de estrategia Equipo Rural de Rehabilitación. Equipo de Rehabilitación Fonoaudiologica Kit esta compuesto por: Batería Flex Cervical Estándar (Flex estándar, 50 etiquetas protectoras, 50 alcohol pads y bolso protector) Balón Terapéutico Tubo Terapéutico Bandas de goma marcadora; Estimulador Térmico Oral"/>
    <x v="1"/>
    <x v="187"/>
    <n v="4"/>
    <n v="1"/>
    <x v="147"/>
    <x v="233"/>
    <x v="4"/>
    <x v="32"/>
    <x v="37"/>
    <x v="42"/>
    <s v="23-35807-"/>
    <s v="karin.avila@redsalud.gob.cl"/>
    <x v="21"/>
    <m/>
    <n v="0"/>
    <m/>
    <n v="0"/>
    <n v="0"/>
    <m/>
    <x v="1"/>
  </r>
  <r>
    <s v="SERVICIO DE SALUD OSORNO"/>
    <x v="0"/>
    <x v="253"/>
    <s v="Proyecto operacional"/>
    <s v="Enviado"/>
    <s v="22.04.001"/>
    <x v="254"/>
    <s v="Cintas de seguridad para demarcación e instalación de señaletica en zonas de peligro en lugares de trabajo."/>
    <x v="1"/>
    <x v="196"/>
    <n v="4"/>
    <n v="11"/>
    <x v="293"/>
    <x v="329"/>
    <x v="4"/>
    <x v="32"/>
    <x v="55"/>
    <x v="61"/>
    <s v="64-2336130-"/>
    <s v="venecia.recabarren@redsalud.gob.cl"/>
    <x v="21"/>
    <m/>
    <n v="0"/>
    <m/>
    <n v="0"/>
    <n v="0"/>
    <m/>
    <x v="1"/>
  </r>
  <r>
    <s v="SERVICIO DE SALUD OSORNO"/>
    <x v="0"/>
    <x v="254"/>
    <s v="Proyecto operacional"/>
    <s v="Enviado"/>
    <s v="22.08.001"/>
    <x v="255"/>
    <s v="Retiro y traslado de residuos valorizables desde edificio plaza sur. Enero 2026"/>
    <x v="1"/>
    <x v="197"/>
    <n v="4"/>
    <n v="1"/>
    <x v="294"/>
    <x v="330"/>
    <x v="11"/>
    <x v="20"/>
    <x v="76"/>
    <x v="27"/>
    <s v="64-2337030-"/>
    <s v="carloslopez.amb@gmail.com"/>
    <x v="13"/>
    <m/>
    <n v="0"/>
    <m/>
    <n v="0"/>
    <n v="0"/>
    <m/>
    <x v="1"/>
  </r>
  <r>
    <s v="SERVICIO DE SALUD OSORNO"/>
    <x v="0"/>
    <x v="255"/>
    <s v="Proyecto operacional"/>
    <s v="Enviado"/>
    <s v="22.04"/>
    <x v="256"/>
    <s v="Adquisición de Elementos de rehabilitación fonoaudiologica a través de la estrategia de equipo Rural de Rehabilitación"/>
    <x v="0"/>
    <x v="198"/>
    <n v="4"/>
    <n v="18"/>
    <x v="295"/>
    <x v="331"/>
    <x v="4"/>
    <x v="24"/>
    <x v="37"/>
    <x v="42"/>
    <s v="64-2335807-"/>
    <s v="karin.avila@redsalud.gob.cl"/>
    <x v="14"/>
    <m/>
    <n v="0"/>
    <m/>
    <n v="0"/>
    <n v="0"/>
    <m/>
    <x v="1"/>
  </r>
  <r>
    <s v="SERVICIO DE SALUD OSORNO"/>
    <x v="0"/>
    <x v="255"/>
    <s v="Proyecto operacional"/>
    <s v="Enviado"/>
    <s v="22.04"/>
    <x v="256"/>
    <s v="Adquisición de Elementos de rehabilitación fonoaudiologica a través de la estrategia de equipo Rural de Rehabilitación"/>
    <x v="0"/>
    <x v="199"/>
    <n v="4"/>
    <n v="6"/>
    <x v="296"/>
    <x v="332"/>
    <x v="4"/>
    <x v="24"/>
    <x v="37"/>
    <x v="42"/>
    <s v="64-2335807-"/>
    <s v="karin.avila@redsalud.gob.cl"/>
    <x v="14"/>
    <m/>
    <n v="0"/>
    <m/>
    <n v="0"/>
    <n v="0"/>
    <m/>
    <x v="1"/>
  </r>
  <r>
    <s v="SERVICIO DE SALUD OSORNO"/>
    <x v="0"/>
    <x v="256"/>
    <s v="Proyecto operacional"/>
    <s v="Actualizado"/>
    <s v="22.04.999"/>
    <x v="257"/>
    <s v="Bloqueador Solar para proteccion de radiacion UV de funcionarios (as) que se exponen habitualmente."/>
    <x v="1"/>
    <x v="175"/>
    <n v="4"/>
    <n v="6"/>
    <x v="110"/>
    <x v="130"/>
    <x v="4"/>
    <x v="26"/>
    <x v="55"/>
    <x v="61"/>
    <s v="64-2336130-"/>
    <s v="venecia.recabarren@redsalud.gob.cl"/>
    <x v="24"/>
    <m/>
    <n v="0"/>
    <m/>
    <n v="0"/>
    <n v="0"/>
    <m/>
    <x v="1"/>
  </r>
  <r>
    <s v="SERVICIO DE SALUD OSORNO"/>
    <x v="0"/>
    <x v="257"/>
    <s v="Proyecto operacional"/>
    <s v="Enviado"/>
    <s v="22.02-22.04"/>
    <x v="258"/>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5"/>
    <x v="200"/>
    <n v="4"/>
    <n v="96"/>
    <x v="225"/>
    <x v="333"/>
    <x v="4"/>
    <x v="31"/>
    <x v="43"/>
    <x v="48"/>
    <s v="64-2335492-"/>
    <s v="CAROLINA.SILVALL@REDSALUD.GOB.CL"/>
    <x v="20"/>
    <m/>
    <n v="0"/>
    <m/>
    <n v="0"/>
    <n v="0"/>
    <m/>
    <x v="1"/>
  </r>
  <r>
    <s v="SERVICIO DE SALUD OSORNO"/>
    <x v="0"/>
    <x v="257"/>
    <s v="Proyecto operacional"/>
    <s v="Enviado"/>
    <s v="22.02-22.04"/>
    <x v="258"/>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5"/>
    <x v="201"/>
    <n v="4"/>
    <n v="12"/>
    <x v="297"/>
    <x v="235"/>
    <x v="4"/>
    <x v="31"/>
    <x v="43"/>
    <x v="48"/>
    <s v="64-2335492-"/>
    <s v="CAROLINA.SILVALL@REDSALUD.GOB.CL"/>
    <x v="20"/>
    <m/>
    <n v="0"/>
    <m/>
    <n v="0"/>
    <n v="0"/>
    <m/>
    <x v="1"/>
  </r>
  <r>
    <s v="SERVICIO DE SALUD OSORNO"/>
    <x v="0"/>
    <x v="257"/>
    <s v="Proyecto operacional"/>
    <s v="Enviado"/>
    <s v="22.02-22.04"/>
    <x v="258"/>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5"/>
    <x v="202"/>
    <n v="4"/>
    <n v="52"/>
    <x v="298"/>
    <x v="334"/>
    <x v="4"/>
    <x v="31"/>
    <x v="43"/>
    <x v="48"/>
    <s v="64-2335492-"/>
    <s v="CAROLINA.SILVALL@REDSALUD.GOB.CL"/>
    <x v="20"/>
    <m/>
    <n v="0"/>
    <m/>
    <n v="0"/>
    <n v="0"/>
    <m/>
    <x v="1"/>
  </r>
  <r>
    <s v="SERVICIO DE SALUD OSORNO"/>
    <x v="0"/>
    <x v="258"/>
    <s v="Proyecto operacional"/>
    <s v="Enviado"/>
    <s v="22.04.007"/>
    <x v="255"/>
    <s v="Contenedores para segregación de residuos valorizables. La idea es reciclar residuos que permitan disminuir la huella de carbono del edificio plaza sur. ENERO 2026"/>
    <x v="1"/>
    <x v="203"/>
    <n v="4"/>
    <n v="36"/>
    <x v="299"/>
    <x v="335"/>
    <x v="4"/>
    <x v="35"/>
    <x v="76"/>
    <x v="27"/>
    <s v="64-2337030-"/>
    <s v="carloslopez.amb@gmail.com"/>
    <x v="13"/>
    <m/>
    <n v="0"/>
    <m/>
    <n v="0"/>
    <n v="0"/>
    <m/>
    <x v="1"/>
  </r>
  <r>
    <s v="SERVICIO DE SALUD OSORNO"/>
    <x v="0"/>
    <x v="259"/>
    <s v="Proyecto operacional"/>
    <s v="Enviado"/>
    <s v="22.04.009"/>
    <x v="259"/>
    <s v="Equipamiento informático."/>
    <x v="0"/>
    <x v="124"/>
    <n v="4"/>
    <n v="2"/>
    <x v="225"/>
    <x v="265"/>
    <x v="4"/>
    <x v="31"/>
    <x v="55"/>
    <x v="61"/>
    <s v="64-2336130-"/>
    <s v="venecia.recabarren@redsalud.gob.cl"/>
    <x v="20"/>
    <m/>
    <n v="0"/>
    <m/>
    <n v="0"/>
    <n v="0"/>
    <m/>
    <x v="1"/>
  </r>
  <r>
    <s v="SERVICIO DE SALUD OSORNO"/>
    <x v="0"/>
    <x v="259"/>
    <s v="Proyecto operacional"/>
    <s v="Enviado"/>
    <s v="22.04.009"/>
    <x v="259"/>
    <s v="Equipamiento informático."/>
    <x v="0"/>
    <x v="204"/>
    <n v="4"/>
    <n v="1"/>
    <x v="300"/>
    <x v="275"/>
    <x v="4"/>
    <x v="31"/>
    <x v="55"/>
    <x v="61"/>
    <s v="64-2336130-"/>
    <s v="venecia.recabarren@redsalud.gob.cl"/>
    <x v="20"/>
    <m/>
    <n v="0"/>
    <m/>
    <n v="0"/>
    <n v="0"/>
    <m/>
    <x v="1"/>
  </r>
  <r>
    <s v="SERVICIO DE SALUD OSORNO"/>
    <x v="0"/>
    <x v="260"/>
    <s v="Proyecto operacional"/>
    <s v="Enviado"/>
    <s v="22.04-22.02"/>
    <x v="260"/>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7"/>
    <x v="205"/>
    <n v="4"/>
    <n v="49"/>
    <x v="301"/>
    <x v="336"/>
    <x v="4"/>
    <x v="31"/>
    <x v="43"/>
    <x v="48"/>
    <s v="64-2335492-"/>
    <s v="CAROLINA.SILVALL@REDSALUD.GOB.CL"/>
    <x v="20"/>
    <m/>
    <n v="0"/>
    <m/>
    <n v="0"/>
    <n v="0"/>
    <m/>
    <x v="1"/>
  </r>
  <r>
    <s v="SERVICIO DE SALUD OSORNO"/>
    <x v="0"/>
    <x v="260"/>
    <s v="Proyecto operacional"/>
    <s v="Enviado"/>
    <s v="22.04-22.02"/>
    <x v="260"/>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7"/>
    <x v="206"/>
    <n v="4"/>
    <n v="115"/>
    <x v="302"/>
    <x v="337"/>
    <x v="4"/>
    <x v="31"/>
    <x v="43"/>
    <x v="48"/>
    <s v="64-2335492-"/>
    <s v="CAROLINA.SILVALL@REDSALUD.GOB.CL"/>
    <x v="20"/>
    <m/>
    <n v="0"/>
    <m/>
    <n v="0"/>
    <n v="0"/>
    <m/>
    <x v="1"/>
  </r>
  <r>
    <s v="SERVICIO DE SALUD OSORNO"/>
    <x v="0"/>
    <x v="260"/>
    <s v="Proyecto operacional"/>
    <s v="Enviado"/>
    <s v="22.04-22.02"/>
    <x v="260"/>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7"/>
    <x v="207"/>
    <n v="4"/>
    <n v="4"/>
    <x v="89"/>
    <x v="192"/>
    <x v="4"/>
    <x v="31"/>
    <x v="43"/>
    <x v="48"/>
    <s v="64-2335492-"/>
    <s v="CAROLINA.SILVALL@REDSALUD.GOB.CL"/>
    <x v="20"/>
    <m/>
    <n v="0"/>
    <m/>
    <n v="0"/>
    <n v="0"/>
    <m/>
    <x v="1"/>
  </r>
  <r>
    <s v="SERVICIO DE SALUD OSORNO"/>
    <x v="0"/>
    <x v="260"/>
    <s v="Proyecto operacional"/>
    <s v="Enviado"/>
    <s v="22.04-22.02"/>
    <x v="260"/>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7"/>
    <x v="208"/>
    <n v="4"/>
    <n v="2"/>
    <x v="98"/>
    <x v="266"/>
    <x v="4"/>
    <x v="31"/>
    <x v="43"/>
    <x v="48"/>
    <s v="64-2335492-"/>
    <s v="CAROLINA.SILVALL@REDSALUD.GOB.CL"/>
    <x v="20"/>
    <m/>
    <n v="0"/>
    <m/>
    <n v="0"/>
    <n v="0"/>
    <m/>
    <x v="1"/>
  </r>
  <r>
    <s v="SERVICIO DE SALUD OSORNO"/>
    <x v="0"/>
    <x v="260"/>
    <s v="Proyecto operacional"/>
    <s v="Enviado"/>
    <s v="22.04-22.02"/>
    <x v="260"/>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7"/>
    <x v="209"/>
    <n v="4"/>
    <n v="25"/>
    <x v="303"/>
    <x v="270"/>
    <x v="4"/>
    <x v="31"/>
    <x v="43"/>
    <x v="48"/>
    <s v="64-2335492-"/>
    <s v="CAROLINA.SILVALL@REDSALUD.GOB.CL"/>
    <x v="20"/>
    <m/>
    <n v="0"/>
    <m/>
    <n v="0"/>
    <n v="0"/>
    <m/>
    <x v="1"/>
  </r>
  <r>
    <s v="SERVICIO DE SALUD OSORNO"/>
    <x v="0"/>
    <x v="261"/>
    <s v="Proyecto operacional"/>
    <s v="Enviado"/>
    <s v="22.01.001"/>
    <x v="261"/>
    <s v="La presente adquisición tiene como finalidad contar con los insumos y servicios necesarios para la realización de la ceremonia de egreso del curso de formación de monitores al cuidado de personas con demencia. La actividad esta dirigida a reconocer el proceso formación y el compromiso comunitario de las participantes que completaron la capacitación, quienes se integran como agente de apoyo y sensibilización en sus comunidades. Noviembre 2026."/>
    <x v="1"/>
    <x v="162"/>
    <n v="4"/>
    <n v="1"/>
    <x v="304"/>
    <x v="162"/>
    <x v="4"/>
    <x v="28"/>
    <x v="63"/>
    <x v="19"/>
    <s v="64-2337366-"/>
    <s v="luis.floresme@redsalud.gob.cl"/>
    <x v="18"/>
    <m/>
    <n v="0"/>
    <m/>
    <n v="0"/>
    <n v="0"/>
    <m/>
    <x v="1"/>
  </r>
  <r>
    <s v="SERVICIO DE SALUD OSORNO"/>
    <x v="0"/>
    <x v="262"/>
    <s v="Proyecto operacional"/>
    <s v="Actualizado"/>
    <s v="22.02.002"/>
    <x v="262"/>
    <s v="Lentes de seguridad con proteccion UV para conducción de vehículos."/>
    <x v="1"/>
    <x v="210"/>
    <n v="4"/>
    <n v="100"/>
    <x v="101"/>
    <x v="141"/>
    <x v="4"/>
    <x v="33"/>
    <x v="55"/>
    <x v="61"/>
    <s v="64-2336130-"/>
    <s v="venecia.recabarren@redsalud.gob.cl"/>
    <x v="22"/>
    <m/>
    <n v="0"/>
    <m/>
    <n v="0"/>
    <n v="0"/>
    <m/>
    <x v="1"/>
  </r>
  <r>
    <s v="SERVICIO DE SALUD OSORNO"/>
    <x v="0"/>
    <x v="263"/>
    <s v="Proyecto operacional"/>
    <s v="Enviado"/>
    <s v="22.04.008"/>
    <x v="263"/>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5"/>
    <x v="211"/>
    <n v="4"/>
    <n v="243"/>
    <x v="305"/>
    <x v="338"/>
    <x v="4"/>
    <x v="31"/>
    <x v="43"/>
    <x v="48"/>
    <s v="64-2335492-"/>
    <s v="CAROLINA.SILVALL@REDSALUD.GOB.CL"/>
    <x v="20"/>
    <m/>
    <n v="0"/>
    <m/>
    <n v="0"/>
    <n v="0"/>
    <m/>
    <x v="1"/>
  </r>
  <r>
    <s v="SERVICIO DE SALUD OSORNO"/>
    <x v="0"/>
    <x v="263"/>
    <s v="Proyecto operacional"/>
    <s v="Enviado"/>
    <s v="22.04.008"/>
    <x v="263"/>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5"/>
    <x v="169"/>
    <n v="4"/>
    <n v="12"/>
    <x v="101"/>
    <x v="339"/>
    <x v="4"/>
    <x v="31"/>
    <x v="43"/>
    <x v="48"/>
    <s v="64-2335492-"/>
    <s v="CAROLINA.SILVALL@REDSALUD.GOB.CL"/>
    <x v="20"/>
    <m/>
    <n v="0"/>
    <m/>
    <n v="0"/>
    <n v="0"/>
    <m/>
    <x v="1"/>
  </r>
  <r>
    <s v="SERVICIO DE SALUD OSORNO"/>
    <x v="0"/>
    <x v="263"/>
    <s v="Proyecto operacional"/>
    <s v="Enviado"/>
    <s v="22.04.008"/>
    <x v="263"/>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5"/>
    <x v="212"/>
    <n v="4"/>
    <n v="56"/>
    <x v="306"/>
    <x v="340"/>
    <x v="4"/>
    <x v="31"/>
    <x v="43"/>
    <x v="48"/>
    <s v="64-2335492-"/>
    <s v="CAROLINA.SILVALL@REDSALUD.GOB.CL"/>
    <x v="20"/>
    <m/>
    <n v="0"/>
    <m/>
    <n v="0"/>
    <n v="0"/>
    <m/>
    <x v="1"/>
  </r>
  <r>
    <s v="SERVICIO DE SALUD OSORNO"/>
    <x v="0"/>
    <x v="264"/>
    <s v="Proyecto operacional"/>
    <s v="Enviado"/>
    <s v="22.08.003"/>
    <x v="264"/>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1"/>
    <x v="213"/>
    <n v="4"/>
    <n v="91"/>
    <x v="307"/>
    <x v="341"/>
    <x v="4"/>
    <x v="31"/>
    <x v="43"/>
    <x v="48"/>
    <s v="64-2335492-"/>
    <s v="CAROLINA.SILVALL@REDSALUD.GOB.CL"/>
    <x v="20"/>
    <m/>
    <n v="0"/>
    <m/>
    <n v="0"/>
    <n v="0"/>
    <m/>
    <x v="1"/>
  </r>
  <r>
    <s v="SERVICIO DE SALUD OSORNO"/>
    <x v="0"/>
    <x v="265"/>
    <s v="Proyecto operacional"/>
    <s v="Enviado"/>
    <s v="22.12.999"/>
    <x v="265"/>
    <s v="Adquisición de 120 Endoscopias Digestivas Altas para Establecimientos de la red Asistencial del Servicio de Salud Osorno, a partir del mes de marzo 2026."/>
    <x v="1"/>
    <x v="214"/>
    <n v="4"/>
    <n v="1"/>
    <x v="308"/>
    <x v="342"/>
    <x v="4"/>
    <x v="24"/>
    <x v="77"/>
    <x v="77"/>
    <s v="64-2335805-"/>
    <s v="omar.contreras@redsalud.gob.cl"/>
    <x v="21"/>
    <m/>
    <n v="0"/>
    <m/>
    <n v="0"/>
    <n v="0"/>
    <m/>
    <x v="1"/>
  </r>
  <r>
    <s v="SERVICIO DE SALUD OSORNO"/>
    <x v="0"/>
    <x v="266"/>
    <s v="Proyecto operacional"/>
    <s v="Enviado"/>
    <s v="22.07.002"/>
    <x v="232"/>
    <s v="Se requiere impresion de folletería (diseño realizado por diseñedor del SSO), y monitora de yoga para jornada de conmemoración del día internacional de la eliminación de la violencia contra la mujer. Objetivo de la Adquisición: Crear un espacio de conmemoración y reflexión sobre el Día Internacional de la Eliminación de la Violencia contra la Mujer. Monitora de yoga para desarrollar 10 de sesiones, durante los meses de noviembre y diciembre, inscripcion sera dirigida para todas las mujeres de la comunidad funcionaria con una capacidad de 40 cup"/>
    <x v="0"/>
    <x v="98"/>
    <n v="4"/>
    <n v="1"/>
    <x v="156"/>
    <x v="216"/>
    <x v="4"/>
    <x v="28"/>
    <x v="54"/>
    <x v="59"/>
    <s v="64-2336339-"/>
    <s v="kassandra.fernandez@redsalud.gob.cl"/>
    <x v="18"/>
    <m/>
    <n v="0"/>
    <m/>
    <n v="0"/>
    <n v="0"/>
    <m/>
    <x v="1"/>
  </r>
  <r>
    <s v="SERVICIO DE SALUD OSORNO"/>
    <x v="0"/>
    <x v="266"/>
    <s v="Proyecto operacional"/>
    <s v="Enviado"/>
    <s v="22.07.002"/>
    <x v="232"/>
    <s v="Se requiere impresion de folletería (diseño realizado por diseñedor del SSO), y monitora de yoga para jornada de conmemoración del día internacional de la eliminación de la violencia contra la mujer. Objetivo de la Adquisición: Crear un espacio de conmemoración y reflexión sobre el Día Internacional de la Eliminación de la Violencia contra la Mujer. Monitora de yoga para desarrollar 10 de sesiones, durante los meses de noviembre y diciembre, inscripcion sera dirigida para todas las mujeres de la comunidad funcionaria con una capacidad de 40 cup"/>
    <x v="0"/>
    <x v="134"/>
    <n v="4"/>
    <n v="1"/>
    <x v="304"/>
    <x v="162"/>
    <x v="4"/>
    <x v="28"/>
    <x v="54"/>
    <x v="59"/>
    <s v="64-2336339-"/>
    <s v="kassandra.fernandez@redsalud.gob.cl"/>
    <x v="18"/>
    <m/>
    <n v="0"/>
    <m/>
    <n v="0"/>
    <n v="0"/>
    <m/>
    <x v="1"/>
  </r>
  <r>
    <s v="SERVICIO DE SALUD OSORNO"/>
    <x v="0"/>
    <x v="267"/>
    <s v="Proyecto operacional"/>
    <s v="Enviado"/>
    <s v="22.04.012"/>
    <x v="266"/>
    <s v="La presente adquisición tiene como finalidad dotar al centro de apoyo comunitario para personas con demencia Kümelen un carro de carga plegable destinado al traslado seguro y eficiente de materiales, equipos e insumos clínicos y comunitarios utilizados en actividades tanto dentro del recinto como en terreno, el carro debe contar con una estructura resistente, sistema plegable para fácil almacenamiento y mayor durabilidad, permitiendo optimizar el transporte de elementos durante jornadas, ceremonias y acciones comunitarias. Febrero 2026."/>
    <x v="1"/>
    <x v="145"/>
    <n v="4"/>
    <n v="1"/>
    <x v="309"/>
    <x v="192"/>
    <x v="4"/>
    <x v="38"/>
    <x v="63"/>
    <x v="19"/>
    <s v="64-2337366-"/>
    <s v="luis.floresme@redsalud.gob.cl"/>
    <x v="19"/>
    <m/>
    <n v="0"/>
    <m/>
    <n v="0"/>
    <n v="0"/>
    <m/>
    <x v="1"/>
  </r>
  <r>
    <s v="SERVICIO DE SALUD OSORNO"/>
    <x v="0"/>
    <x v="268"/>
    <s v="Proyecto operacional"/>
    <s v="Enviado"/>
    <s v="22.08.007"/>
    <x v="267"/>
    <s v="Contratación de servicio de movilización con conductor consistente en 1 móvil por periodo de 2 meses, para traslado de equipos de salud de la atención primaria y sus insumos y ejecutar actividades de vacunación de campaña de invierno, escolar y programática en área urbana y rural de las comunas de la provincia. Inicio del servicio durante el mes de marzo 2026 hasta mes de mayo de 2026."/>
    <x v="1"/>
    <x v="60"/>
    <n v="4"/>
    <n v="1"/>
    <x v="310"/>
    <x v="36"/>
    <x v="4"/>
    <x v="32"/>
    <x v="78"/>
    <x v="78"/>
    <s v="64-2335829-"/>
    <s v="carolina.lagos@redsalud.gob.cl"/>
    <x v="21"/>
    <m/>
    <n v="0"/>
    <m/>
    <n v="0"/>
    <n v="0"/>
    <m/>
    <x v="1"/>
  </r>
  <r>
    <s v="SERVICIO DE SALUD OSORNO"/>
    <x v="1"/>
    <x v="269"/>
    <s v="Proyecto operacional"/>
    <s v="Enviado"/>
    <s v="22.04.008"/>
    <x v="268"/>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x v="8"/>
    <x v="215"/>
    <n v="4"/>
    <n v="2"/>
    <x v="156"/>
    <x v="192"/>
    <x v="4"/>
    <x v="31"/>
    <x v="43"/>
    <x v="48"/>
    <s v="64-2335492-"/>
    <s v="CAROLINA.SILVALL@REDSALUD.GOB.CL"/>
    <x v="19"/>
    <m/>
    <n v="0"/>
    <m/>
    <n v="0"/>
    <n v="0"/>
    <m/>
    <x v="1"/>
  </r>
  <r>
    <s v="SERVICIO DE SALUD OSORNO"/>
    <x v="1"/>
    <x v="269"/>
    <s v="Proyecto operacional"/>
    <s v="Enviado"/>
    <s v="22.04.008"/>
    <x v="268"/>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x v="8"/>
    <x v="216"/>
    <n v="4"/>
    <n v="4"/>
    <x v="311"/>
    <x v="121"/>
    <x v="4"/>
    <x v="38"/>
    <x v="43"/>
    <x v="48"/>
    <s v="64-2335492-"/>
    <s v="CAROLINA.SILVALL@REDSALUD.GOB.CL"/>
    <x v="19"/>
    <m/>
    <n v="0"/>
    <m/>
    <n v="0"/>
    <n v="0"/>
    <m/>
    <x v="1"/>
  </r>
  <r>
    <s v="SERVICIO DE SALUD OSORNO"/>
    <x v="1"/>
    <x v="269"/>
    <s v="Proyecto operacional"/>
    <s v="Enviado"/>
    <s v="22.04.008"/>
    <x v="268"/>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x v="8"/>
    <x v="217"/>
    <n v="4"/>
    <n v="8"/>
    <x v="312"/>
    <x v="343"/>
    <x v="4"/>
    <x v="38"/>
    <x v="43"/>
    <x v="48"/>
    <s v="64-2335492-"/>
    <s v="CAROLINA.SILVALL@REDSALUD.GOB.CL"/>
    <x v="19"/>
    <m/>
    <n v="0"/>
    <m/>
    <n v="0"/>
    <n v="0"/>
    <m/>
    <x v="1"/>
  </r>
  <r>
    <s v="SERVICIO DE SALUD OSORNO"/>
    <x v="1"/>
    <x v="269"/>
    <s v="Proyecto operacional"/>
    <s v="Enviado"/>
    <s v="22.04.008"/>
    <x v="268"/>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x v="8"/>
    <x v="218"/>
    <n v="4"/>
    <n v="7"/>
    <x v="313"/>
    <x v="344"/>
    <x v="4"/>
    <x v="38"/>
    <x v="43"/>
    <x v="48"/>
    <s v="64-2335492-"/>
    <s v="CAROLINA.SILVALL@REDSALUD.GOB.CL"/>
    <x v="19"/>
    <m/>
    <n v="0"/>
    <m/>
    <n v="0"/>
    <n v="0"/>
    <m/>
    <x v="1"/>
  </r>
  <r>
    <s v="SERVICIO DE SALUD OSORNO"/>
    <x v="1"/>
    <x v="269"/>
    <s v="Proyecto operacional"/>
    <s v="Enviado"/>
    <s v="22.04.008"/>
    <x v="268"/>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x v="8"/>
    <x v="219"/>
    <n v="4"/>
    <n v="2"/>
    <x v="304"/>
    <x v="141"/>
    <x v="4"/>
    <x v="38"/>
    <x v="43"/>
    <x v="48"/>
    <s v="64-2335492-"/>
    <s v="CAROLINA.SILVALL@REDSALUD.GOB.CL"/>
    <x v="19"/>
    <m/>
    <n v="0"/>
    <m/>
    <n v="0"/>
    <n v="0"/>
    <m/>
    <x v="1"/>
  </r>
  <r>
    <s v="SERVICIO DE SALUD OSORNO"/>
    <x v="1"/>
    <x v="269"/>
    <s v="Proyecto operacional"/>
    <s v="Enviado"/>
    <s v="22.04.008"/>
    <x v="268"/>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x v="8"/>
    <x v="220"/>
    <n v="4"/>
    <n v="6"/>
    <x v="149"/>
    <x v="345"/>
    <x v="4"/>
    <x v="38"/>
    <x v="43"/>
    <x v="48"/>
    <s v="64-2335492-"/>
    <s v="CAROLINA.SILVALL@REDSALUD.GOB.CL"/>
    <x v="19"/>
    <m/>
    <n v="0"/>
    <m/>
    <n v="0"/>
    <n v="0"/>
    <m/>
    <x v="1"/>
  </r>
  <r>
    <s v="SERVICIO DE SALUD OSORNO"/>
    <x v="1"/>
    <x v="269"/>
    <s v="Proyecto operacional"/>
    <s v="Enviado"/>
    <s v="22.04.008"/>
    <x v="268"/>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x v="8"/>
    <x v="221"/>
    <n v="4"/>
    <n v="1"/>
    <x v="89"/>
    <x v="266"/>
    <x v="4"/>
    <x v="38"/>
    <x v="43"/>
    <x v="48"/>
    <s v="64-2335492-"/>
    <s v="CAROLINA.SILVALL@REDSALUD.GOB.CL"/>
    <x v="19"/>
    <m/>
    <n v="0"/>
    <m/>
    <n v="0"/>
    <n v="0"/>
    <m/>
    <x v="1"/>
  </r>
  <r>
    <s v="SERVICIO DE SALUD OSORNO"/>
    <x v="0"/>
    <x v="270"/>
    <s v="Proyecto operacional"/>
    <s v="Enviado"/>
    <s v="22.07.001"/>
    <x v="269"/>
    <s v="Se requiere contratación de servicio de grabación y emisión en emisora radial local, de 4 avisos radiales promocionales de vacunación influenza, COVID, Pneumo 23 y Nirsevimab, durante los meses de marzo y abril de 2026, en radio de alcance provincial, banda FM, que incluya de manera obligatoria a las comunas de Osorno, Purranque, Río Negro y San Pablo e idealmente a todas las comunas de la provinica de Osorno. Difusión de be realizarse de lunes a domingo al menos 7 veces al día."/>
    <x v="1"/>
    <x v="222"/>
    <n v="4"/>
    <n v="4"/>
    <x v="314"/>
    <x v="346"/>
    <x v="4"/>
    <x v="32"/>
    <x v="78"/>
    <x v="78"/>
    <s v="64-2335829-"/>
    <s v="carolina.lagos@redsalud.gob.cl"/>
    <x v="21"/>
    <m/>
    <n v="0"/>
    <m/>
    <n v="0"/>
    <n v="0"/>
    <m/>
    <x v="1"/>
  </r>
  <r>
    <s v="SERVICIO DE SALUD OSORNO"/>
    <x v="1"/>
    <x v="271"/>
    <s v="Proyecto operacional"/>
    <s v="Enviado"/>
    <s v="22.04.012"/>
    <x v="270"/>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x v="5"/>
    <x v="223"/>
    <n v="4"/>
    <n v="1"/>
    <x v="144"/>
    <x v="130"/>
    <x v="4"/>
    <x v="31"/>
    <x v="43"/>
    <x v="48"/>
    <s v="64-2335492-"/>
    <s v="CAROLINA.SILVALL@REDSALUD.GOB.CL"/>
    <x v="20"/>
    <m/>
    <n v="0"/>
    <m/>
    <n v="0"/>
    <n v="0"/>
    <m/>
    <x v="1"/>
  </r>
  <r>
    <s v="SERVICIO DE SALUD OSORNO"/>
    <x v="1"/>
    <x v="271"/>
    <s v="Proyecto operacional"/>
    <s v="Enviado"/>
    <s v="22.04.012"/>
    <x v="270"/>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x v="5"/>
    <x v="224"/>
    <n v="4"/>
    <n v="1"/>
    <x v="99"/>
    <x v="149"/>
    <x v="4"/>
    <x v="31"/>
    <x v="43"/>
    <x v="48"/>
    <s v="64-2335492-"/>
    <s v="CAROLINA.SILVALL@REDSALUD.GOB.CL"/>
    <x v="20"/>
    <m/>
    <n v="0"/>
    <m/>
    <n v="0"/>
    <n v="0"/>
    <m/>
    <x v="1"/>
  </r>
  <r>
    <s v="SERVICIO DE SALUD OSORNO"/>
    <x v="1"/>
    <x v="271"/>
    <s v="Proyecto operacional"/>
    <s v="Enviado"/>
    <s v="22.04.012"/>
    <x v="270"/>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x v="5"/>
    <x v="225"/>
    <n v="4"/>
    <n v="5"/>
    <x v="98"/>
    <x v="279"/>
    <x v="4"/>
    <x v="31"/>
    <x v="43"/>
    <x v="48"/>
    <s v="64-2335492-"/>
    <s v="CAROLINA.SILVALL@REDSALUD.GOB.CL"/>
    <x v="20"/>
    <m/>
    <n v="0"/>
    <m/>
    <n v="0"/>
    <n v="0"/>
    <m/>
    <x v="1"/>
  </r>
  <r>
    <s v="SERVICIO DE SALUD OSORNO"/>
    <x v="1"/>
    <x v="272"/>
    <s v="Proyecto operacional"/>
    <s v="Enviado"/>
    <s v="29.06.001"/>
    <x v="271"/>
    <s v="Se requiere la adquisición de una impresora en reemplazo de la actualmente existente, la cual presenta deterioro y no se encuentra en condiciones óptimas de funcionamiento. Esta reposición es necesaria para asegurar la continuidad operativa y el adecuado desempeño de las labores de la unidad."/>
    <x v="1"/>
    <x v="226"/>
    <n v="4"/>
    <n v="1"/>
    <x v="285"/>
    <x v="347"/>
    <x v="4"/>
    <x v="38"/>
    <x v="43"/>
    <x v="48"/>
    <s v="64-2335492-"/>
    <s v="CAROLINA.SILVALL@REDSALUD.GOB.CL"/>
    <x v="19"/>
    <m/>
    <n v="0"/>
    <m/>
    <n v="0"/>
    <n v="0"/>
    <m/>
    <x v="1"/>
  </r>
  <r>
    <s v="SERVICIO DE SALUD OSORNO"/>
    <x v="0"/>
    <x v="273"/>
    <s v="Proyecto operacional"/>
    <s v="Enviado"/>
    <s v="22.07.001"/>
    <x v="272"/>
    <s v="Se requiere servicio de grabación y emisión de 4 avisos radiales promocionales de vacunación escolar y otras vacunas del calendario programatico (4 mensajes totales), en radioemisora de alcance provincial y que tenga alcance obligatorio en las comunas de Osorno, Purranque, Río Negro y San Pablo. Emisión de lunes a domingo 7 veces al día por 2 meses, iniciando el mes de agosto hasta fines del mes de septiembre de 2026."/>
    <x v="1"/>
    <x v="227"/>
    <n v="4"/>
    <n v="4"/>
    <x v="314"/>
    <x v="346"/>
    <x v="4"/>
    <x v="36"/>
    <x v="78"/>
    <x v="78"/>
    <s v="64-2335829-"/>
    <s v="carolina.lagos@redsalud.gob.cl"/>
    <x v="24"/>
    <m/>
    <n v="0"/>
    <m/>
    <n v="0"/>
    <n v="0"/>
    <m/>
    <x v="1"/>
  </r>
  <r>
    <s v="SERVICIO DE SALUD OSORNO"/>
    <x v="0"/>
    <x v="274"/>
    <s v="Proyecto operacional"/>
    <s v="Enviado"/>
    <s v="22.04.001"/>
    <x v="273"/>
    <s v="Etiquetas y rollos de papel para la dispensación de los medicamentos para el tratamiento farmacológico de los usuarios, y rollos de papel para la impresión de las citaciones agendada a usuarios."/>
    <x v="0"/>
    <x v="228"/>
    <n v="4"/>
    <n v="60"/>
    <x v="315"/>
    <x v="347"/>
    <x v="4"/>
    <x v="35"/>
    <x v="79"/>
    <x v="22"/>
    <s v="64-2335608-"/>
    <s v="yuvit.garciachacur@redsalud.gob.cl"/>
    <x v="13"/>
    <m/>
    <n v="0"/>
    <m/>
    <n v="0"/>
    <n v="0"/>
    <m/>
    <x v="1"/>
  </r>
  <r>
    <s v="SERVICIO DE SALUD OSORNO"/>
    <x v="0"/>
    <x v="274"/>
    <s v="Proyecto operacional"/>
    <s v="Enviado"/>
    <s v="22.04.001"/>
    <x v="273"/>
    <s v="Etiquetas y rollos de papel para la dispensación de los medicamentos para el tratamiento farmacológico de los usuarios, y rollos de papel para la impresión de las citaciones agendada a usuarios."/>
    <x v="0"/>
    <x v="229"/>
    <n v="4"/>
    <n v="200"/>
    <x v="121"/>
    <x v="141"/>
    <x v="4"/>
    <x v="35"/>
    <x v="79"/>
    <x v="22"/>
    <s v="64-2335608-"/>
    <s v="yuvit.garciachacur@redsalud.gob.cl"/>
    <x v="13"/>
    <m/>
    <n v="0"/>
    <m/>
    <n v="0"/>
    <n v="0"/>
    <m/>
    <x v="1"/>
  </r>
  <r>
    <s v="SERVICIO DE SALUD OSORNO"/>
    <x v="0"/>
    <x v="275"/>
    <s v="Proyecto operacional"/>
    <s v="Enviado"/>
    <s v="22.01.001"/>
    <x v="274"/>
    <s v="MATERIAL PARA DIFUSIÓN, PROMOCIÓN Y PARA LAS ACCIONES PREVENTIVAS DEL PROGRAMA DE CÁNCERES MÁS PREVALENTES EN LAS MUJERES DE LA PROVINCIA, CON EL FIN DE LOGRAR SU COMETIDO, SE COMENZARÁ A EJECUTAR DESDE ENERO DEL 2026 HASTA DICIEMBRE DEL 2026."/>
    <x v="6"/>
    <x v="63"/>
    <n v="4"/>
    <n v="4"/>
    <x v="316"/>
    <x v="60"/>
    <x v="4"/>
    <x v="38"/>
    <x v="80"/>
    <x v="79"/>
    <s v="64-2335873-"/>
    <s v="franco.fuentes@redsalud.gob.cl"/>
    <x v="19"/>
    <m/>
    <n v="0"/>
    <m/>
    <n v="0"/>
    <n v="0"/>
    <m/>
    <x v="1"/>
  </r>
  <r>
    <s v="SERVICIO DE SALUD OSORNO"/>
    <x v="0"/>
    <x v="275"/>
    <s v="Proyecto operacional"/>
    <s v="Enviado"/>
    <s v="22.01.001"/>
    <x v="274"/>
    <s v="MATERIAL PARA DIFUSIÓN, PROMOCIÓN Y PARA LAS ACCIONES PREVENTIVAS DEL PROGRAMA DE CÁNCERES MÁS PREVALENTES EN LAS MUJERES DE LA PROVINCIA, CON EL FIN DE LOGRAR SU COMETIDO, SE COMENZARÁ A EJECUTAR DESDE ENERO DEL 2026 HASTA DICIEMBRE DEL 2026."/>
    <x v="6"/>
    <x v="230"/>
    <n v="4"/>
    <n v="3"/>
    <x v="317"/>
    <x v="325"/>
    <x v="4"/>
    <x v="32"/>
    <x v="80"/>
    <x v="79"/>
    <s v="64-2335873-"/>
    <s v="franco.fuentes@redsalud.gob.cl"/>
    <x v="21"/>
    <m/>
    <n v="0"/>
    <m/>
    <n v="0"/>
    <n v="0"/>
    <m/>
    <x v="1"/>
  </r>
  <r>
    <s v="SERVICIO DE SALUD OSORNO"/>
    <x v="0"/>
    <x v="275"/>
    <s v="Proyecto operacional"/>
    <s v="Enviado"/>
    <s v="22.01.001"/>
    <x v="274"/>
    <s v="MATERIAL PARA DIFUSIÓN, PROMOCIÓN Y PARA LAS ACCIONES PREVENTIVAS DEL PROGRAMA DE CÁNCERES MÁS PREVALENTES EN LAS MUJERES DE LA PROVINCIA, CON EL FIN DE LOGRAR SU COMETIDO, SE COMENZARÁ A EJECUTAR DESDE ENERO DEL 2026 HASTA DICIEMBRE DEL 2026."/>
    <x v="6"/>
    <x v="231"/>
    <n v="4"/>
    <n v="3"/>
    <x v="317"/>
    <x v="325"/>
    <x v="4"/>
    <x v="38"/>
    <x v="80"/>
    <x v="79"/>
    <s v="64-2335873-"/>
    <s v="franco.fuentes@redsalud.gob.cl"/>
    <x v="19"/>
    <m/>
    <n v="0"/>
    <m/>
    <n v="0"/>
    <n v="0"/>
    <m/>
    <x v="1"/>
  </r>
  <r>
    <s v="SERVICIO DE SALUD OSORNO"/>
    <x v="0"/>
    <x v="275"/>
    <s v="Proyecto operacional"/>
    <s v="Enviado"/>
    <s v="22.01.001"/>
    <x v="274"/>
    <s v="MATERIAL PARA DIFUSIÓN, PROMOCIÓN Y PARA LAS ACCIONES PREVENTIVAS DEL PROGRAMA DE CÁNCERES MÁS PREVALENTES EN LAS MUJERES DE LA PROVINCIA, CON EL FIN DE LOGRAR SU COMETIDO, SE COMENZARÁ A EJECUTAR DESDE ENERO DEL 2026 HASTA DICIEMBRE DEL 2026."/>
    <x v="6"/>
    <x v="232"/>
    <n v="4"/>
    <n v="4000"/>
    <x v="318"/>
    <x v="348"/>
    <x v="4"/>
    <x v="35"/>
    <x v="80"/>
    <x v="79"/>
    <s v="64-2335873-"/>
    <s v="franco.fuentes@redsalud.gob.cl"/>
    <x v="13"/>
    <m/>
    <n v="0"/>
    <m/>
    <n v="0"/>
    <n v="0"/>
    <m/>
    <x v="1"/>
  </r>
  <r>
    <s v="SERVICIO DE SALUD OSORNO"/>
    <x v="0"/>
    <x v="276"/>
    <s v="Proyecto operacional"/>
    <s v="Enviado"/>
    <s v="22.04.999"/>
    <x v="275"/>
    <s v="Se requiere la adquisición de 4 megáfonos y 6 gabinetes para la comunicación en emergencias, gestión de riesgos y protección de equipos, que serán instalados en las 6 vías de evacuación con que cuentan las nuevas instalaciones de COSAM Rahue, ubicadas en calle Guatemala 1402."/>
    <x v="1"/>
    <x v="233"/>
    <n v="4"/>
    <n v="4"/>
    <x v="144"/>
    <x v="182"/>
    <x v="4"/>
    <x v="35"/>
    <x v="79"/>
    <x v="22"/>
    <s v="64-2335608-"/>
    <s v="yuvit.garciachacur@redsalud.gob.cl"/>
    <x v="13"/>
    <m/>
    <n v="0"/>
    <m/>
    <n v="0"/>
    <n v="0"/>
    <m/>
    <x v="1"/>
  </r>
  <r>
    <s v="SERVICIO DE SALUD OSORNO"/>
    <x v="4"/>
    <x v="277"/>
    <s v="Proyecto operacional"/>
    <s v="Enviado"/>
    <s v="29.04"/>
    <x v="275"/>
    <s v="Se requiere la adquisición de 4 megáfonos y 6 gabinetes para la comunicación en emergencias, gestión de riesgos y protección de equipos, que serán instalados en las 6 vías de evacuación con que cuentan las nuevas instalaciones de COSAM Rahue, ubicadas en calle Guatemala 1402."/>
    <x v="1"/>
    <x v="234"/>
    <n v="4"/>
    <n v="6"/>
    <x v="134"/>
    <x v="349"/>
    <x v="4"/>
    <x v="35"/>
    <x v="79"/>
    <x v="22"/>
    <s v="64-2335608-"/>
    <s v="yuvit.garciachacur@redsalud.gob.cl"/>
    <x v="13"/>
    <m/>
    <n v="0"/>
    <m/>
    <n v="0"/>
    <n v="0"/>
    <m/>
    <x v="1"/>
  </r>
  <r>
    <s v="SERVICIO DE SALUD OSORNO"/>
    <x v="0"/>
    <x v="278"/>
    <s v="Proyecto operacional"/>
    <s v="Enviado"/>
    <s v="22.04"/>
    <x v="276"/>
    <s v="Adquisisón de insumos relacionados con la mantención adecuada de la cadena de frío de los productos biológicos que los centros de salud mantienen en custodia en los vacunatorios de la provincia, según normativa del Programa Nacional de Inmunizaciones. Se requiere compra de este material durante el mes de abril de 2026."/>
    <x v="5"/>
    <x v="235"/>
    <n v="4"/>
    <n v="60"/>
    <x v="319"/>
    <x v="350"/>
    <x v="4"/>
    <x v="24"/>
    <x v="78"/>
    <x v="78"/>
    <s v="64-2335829-"/>
    <s v="carolina.lagos@redsalud.gob.cl"/>
    <x v="14"/>
    <m/>
    <n v="0"/>
    <m/>
    <n v="0"/>
    <n v="0"/>
    <m/>
    <x v="1"/>
  </r>
  <r>
    <s v="SERVICIO DE SALUD OSORNO"/>
    <x v="0"/>
    <x v="278"/>
    <s v="Proyecto operacional"/>
    <s v="Enviado"/>
    <s v="22.04"/>
    <x v="276"/>
    <s v="Adquisisón de insumos relacionados con la mantención adecuada de la cadena de frío de los productos biológicos que los centros de salud mantienen en custodia en los vacunatorios de la provincia, según normativa del Programa Nacional de Inmunizaciones. Se requiere compra de este material durante el mes de abril de 2026."/>
    <x v="5"/>
    <x v="236"/>
    <n v="4"/>
    <n v="60"/>
    <x v="320"/>
    <x v="351"/>
    <x v="4"/>
    <x v="24"/>
    <x v="78"/>
    <x v="78"/>
    <s v="64-2335829-"/>
    <s v="carolina.lagos@redsalud.gob.cl"/>
    <x v="14"/>
    <m/>
    <n v="0"/>
    <m/>
    <n v="0"/>
    <n v="0"/>
    <m/>
    <x v="1"/>
  </r>
  <r>
    <s v="SERVICIO DE SALUD OSORNO"/>
    <x v="0"/>
    <x v="278"/>
    <s v="Proyecto operacional"/>
    <s v="Enviado"/>
    <s v="22.04"/>
    <x v="276"/>
    <s v="Adquisisón de insumos relacionados con la mantención adecuada de la cadena de frío de los productos biológicos que los centros de salud mantienen en custodia en los vacunatorios de la provincia, según normativa del Programa Nacional de Inmunizaciones. Se requiere compra de este material durante el mes de abril de 2026."/>
    <x v="5"/>
    <x v="237"/>
    <n v="4"/>
    <n v="44"/>
    <x v="321"/>
    <x v="352"/>
    <x v="4"/>
    <x v="24"/>
    <x v="78"/>
    <x v="78"/>
    <s v="64-2335829-"/>
    <s v="carolina.lagos@redsalud.gob.cl"/>
    <x v="14"/>
    <m/>
    <n v="0"/>
    <m/>
    <n v="0"/>
    <n v="0"/>
    <m/>
    <x v="1"/>
  </r>
  <r>
    <s v="SERVICIO DE SALUD OSORNO"/>
    <x v="0"/>
    <x v="279"/>
    <s v="Proyecto operacional"/>
    <s v="Enviado"/>
    <s v="22.01.001"/>
    <x v="277"/>
    <s v="Se requiere adquirir recursos para conmemorar el Día del Autocuidado en la comunidad funcionaria el 24 de julio de 2026, donde se realizará una feria de salud durante la jornada de mañana y tarde. En esta feria, se invitará a funcionarios/as con emprendimientos relacionados al autocuidado a tener un stand para mostrar y vender sus productos. También, se contará con una profesora de yoga que realizará una actividad por jornada, y una instructora que ofrecerá masajes durante el día."/>
    <x v="0"/>
    <x v="238"/>
    <n v="4"/>
    <n v="2"/>
    <x v="322"/>
    <x v="347"/>
    <x v="4"/>
    <x v="33"/>
    <x v="50"/>
    <x v="54"/>
    <s v="64-2337034-"/>
    <s v="lhya.kortmann@redsalud.gob.cl"/>
    <x v="22"/>
    <m/>
    <n v="0"/>
    <m/>
    <n v="0"/>
    <n v="0"/>
    <m/>
    <x v="1"/>
  </r>
  <r>
    <s v="SERVICIO DE SALUD OSORNO"/>
    <x v="0"/>
    <x v="279"/>
    <s v="Proyecto operacional"/>
    <s v="Enviado"/>
    <s v="22.01.001"/>
    <x v="277"/>
    <s v="Se requiere adquirir recursos para conmemorar el Día del Autocuidado en la comunidad funcionaria el 24 de julio de 2026, donde se realizará una feria de salud durante la jornada de mañana y tarde. En esta feria, se invitará a funcionarios/as con emprendimientos relacionados al autocuidado a tener un stand para mostrar y vender sus productos. También, se contará con una profesora de yoga que realizará una actividad por jornada, y una instructora que ofrecerá masajes durante el día."/>
    <x v="0"/>
    <x v="239"/>
    <n v="4"/>
    <n v="80"/>
    <x v="154"/>
    <x v="317"/>
    <x v="4"/>
    <x v="33"/>
    <x v="50"/>
    <x v="54"/>
    <s v="64-2337034-"/>
    <s v="lhya.kortmann@redsalud.gob.cl"/>
    <x v="22"/>
    <m/>
    <n v="0"/>
    <m/>
    <n v="0"/>
    <n v="0"/>
    <m/>
    <x v="1"/>
  </r>
  <r>
    <s v="SERVICIO DE SALUD OSORNO"/>
    <x v="0"/>
    <x v="280"/>
    <s v="Proyecto operacional"/>
    <s v="Enviado"/>
    <s v="22.04.999"/>
    <x v="180"/>
    <s v="La adquisición de implementos kinésicos para el box es fundamental para garantizar la calidad y la eficacia de los servicios de rehabilitación y tratamiento hacia los funcionarios del servicio y el Hospital (marzo- abril)"/>
    <x v="1"/>
    <x v="160"/>
    <n v="4"/>
    <n v="7"/>
    <x v="323"/>
    <x v="353"/>
    <x v="4"/>
    <x v="32"/>
    <x v="61"/>
    <x v="66"/>
    <s v="64-2337034-"/>
    <s v="felipe.barriga@redsalud.gob.cl"/>
    <x v="21"/>
    <m/>
    <n v="0"/>
    <m/>
    <n v="0"/>
    <n v="0"/>
    <m/>
    <x v="1"/>
  </r>
  <r>
    <s v="SERVICIO DE SALUD OSORNO"/>
    <x v="0"/>
    <x v="281"/>
    <s v="Proyecto operacional"/>
    <s v="Enviado"/>
    <s v="22.04.001"/>
    <x v="278"/>
    <s v="Se solicita adquirir articulos de oficina para box de atención, salas de taller y oficinas administrativas de edificio Matta."/>
    <x v="1"/>
    <x v="240"/>
    <n v="4"/>
    <n v="45"/>
    <x v="104"/>
    <x v="120"/>
    <x v="4"/>
    <x v="32"/>
    <x v="81"/>
    <x v="80"/>
    <s v="64-2337363-"/>
    <s v="ximena.campos@redsalud.gob.cl"/>
    <x v="21"/>
    <m/>
    <n v="0"/>
    <m/>
    <n v="0"/>
    <n v="0"/>
    <m/>
    <x v="1"/>
  </r>
  <r>
    <s v="SERVICIO DE SALUD OSORNO"/>
    <x v="1"/>
    <x v="282"/>
    <s v="Proyecto operacional"/>
    <s v="Enviado"/>
    <s v="29.06.001"/>
    <x v="279"/>
    <s v="Se requiere la adquisición de insumos computacionales destinados a la Unidad Ambulatoria, con el objetivo de mantener el correcto funcionamiento de los equipos y asegurar el desarrollo eficiente de las labores administrativas y técnicas del servicio."/>
    <x v="1"/>
    <x v="241"/>
    <n v="4"/>
    <n v="6"/>
    <x v="324"/>
    <x v="354"/>
    <x v="4"/>
    <x v="36"/>
    <x v="82"/>
    <x v="48"/>
    <s v="64-2335492-"/>
    <s v="CAROLINA.SILVALL@REDSALUD.GOB.CL"/>
    <x v="24"/>
    <m/>
    <n v="0"/>
    <m/>
    <n v="0"/>
    <n v="0"/>
    <m/>
    <x v="1"/>
  </r>
  <r>
    <s v="SERVICIO DE SALUD OSORNO"/>
    <x v="1"/>
    <x v="283"/>
    <s v="Proyecto operacional"/>
    <s v="Enviado"/>
    <s v="22.04.008"/>
    <x v="280"/>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x v="1"/>
    <x v="242"/>
    <n v="4"/>
    <n v="7"/>
    <x v="325"/>
    <x v="355"/>
    <x v="4"/>
    <x v="31"/>
    <x v="43"/>
    <x v="48"/>
    <s v="64-2335492-"/>
    <s v="CAROLINA.SILVALL@REDSALUD.GOB.CL"/>
    <x v="20"/>
    <m/>
    <n v="0"/>
    <m/>
    <n v="0"/>
    <n v="0"/>
    <m/>
    <x v="1"/>
  </r>
  <r>
    <s v="SERVICIO DE SALUD OSORNO"/>
    <x v="1"/>
    <x v="284"/>
    <s v="Proyecto operacional"/>
    <s v="Enviado"/>
    <s v="22.04.012"/>
    <x v="281"/>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x v="5"/>
    <x v="223"/>
    <n v="4"/>
    <n v="1"/>
    <x v="144"/>
    <x v="130"/>
    <x v="4"/>
    <x v="31"/>
    <x v="43"/>
    <x v="48"/>
    <s v="64-2335492-"/>
    <s v="CAROLINA.SILVALL@REDSALUD.GOB.CL"/>
    <x v="20"/>
    <m/>
    <n v="0"/>
    <m/>
    <n v="0"/>
    <n v="0"/>
    <m/>
    <x v="1"/>
  </r>
  <r>
    <s v="SERVICIO DE SALUD OSORNO"/>
    <x v="1"/>
    <x v="284"/>
    <s v="Proyecto operacional"/>
    <s v="Enviado"/>
    <s v="22.04.012"/>
    <x v="281"/>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x v="5"/>
    <x v="224"/>
    <n v="4"/>
    <n v="1"/>
    <x v="99"/>
    <x v="149"/>
    <x v="4"/>
    <x v="31"/>
    <x v="43"/>
    <x v="48"/>
    <s v="64-2335492-"/>
    <s v="CAROLINA.SILVALL@REDSALUD.GOB.CL"/>
    <x v="20"/>
    <m/>
    <n v="0"/>
    <m/>
    <n v="0"/>
    <n v="0"/>
    <m/>
    <x v="1"/>
  </r>
  <r>
    <s v="SERVICIO DE SALUD OSORNO"/>
    <x v="1"/>
    <x v="284"/>
    <s v="Proyecto operacional"/>
    <s v="Enviado"/>
    <s v="22.04.012"/>
    <x v="281"/>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x v="5"/>
    <x v="243"/>
    <n v="4"/>
    <n v="4"/>
    <x v="98"/>
    <x v="216"/>
    <x v="4"/>
    <x v="31"/>
    <x v="43"/>
    <x v="48"/>
    <s v="64-2335492-"/>
    <s v="CAROLINA.SILVALL@REDSALUD.GOB.CL"/>
    <x v="20"/>
    <m/>
    <n v="0"/>
    <m/>
    <n v="0"/>
    <n v="0"/>
    <m/>
    <x v="1"/>
  </r>
  <r>
    <s v="SERVICIO DE SALUD OSORNO"/>
    <x v="1"/>
    <x v="285"/>
    <s v="Proyecto operacional"/>
    <s v="Enviado"/>
    <s v="22.01.001"/>
    <x v="282"/>
    <s v="Adquisicion de productos e insumos para la prevencion, promocion, localizacion de casos, diagnostico y adherencia al tratamiento de usuarios/as con Tuberculosis."/>
    <x v="4"/>
    <x v="63"/>
    <n v="4"/>
    <n v="1"/>
    <x v="326"/>
    <x v="356"/>
    <x v="4"/>
    <x v="36"/>
    <x v="83"/>
    <x v="81"/>
    <s v="64-2335465-"/>
    <s v="mariapaz.gomez.n@redsalud.gob.cl"/>
    <x v="24"/>
    <m/>
    <n v="0"/>
    <m/>
    <n v="0"/>
    <n v="0"/>
    <m/>
    <x v="1"/>
  </r>
  <r>
    <s v="SERVICIO DE SALUD OSORNO"/>
    <x v="1"/>
    <x v="285"/>
    <s v="Proyecto operacional"/>
    <s v="Enviado"/>
    <s v="22.01.001"/>
    <x v="282"/>
    <s v="Adquisicion de productos e insumos para la prevencion, promocion, localizacion de casos, diagnostico y adherencia al tratamiento de usuarios/as con Tuberculosis."/>
    <x v="4"/>
    <x v="31"/>
    <n v="4"/>
    <n v="76"/>
    <x v="327"/>
    <x v="357"/>
    <x v="4"/>
    <x v="26"/>
    <x v="83"/>
    <x v="81"/>
    <s v="64-2335465-"/>
    <s v="mariapaz.gomez.n@redsalud.gob.cl"/>
    <x v="24"/>
    <m/>
    <n v="0"/>
    <m/>
    <n v="0"/>
    <n v="0"/>
    <m/>
    <x v="1"/>
  </r>
  <r>
    <s v="SERVICIO DE SALUD OSORNO"/>
    <x v="1"/>
    <x v="285"/>
    <s v="Proyecto operacional"/>
    <s v="Enviado"/>
    <s v="22.01.001"/>
    <x v="282"/>
    <s v="Adquisicion de productos e insumos para la prevencion, promocion, localizacion de casos, diagnostico y adherencia al tratamiento de usuarios/as con Tuberculosis."/>
    <x v="4"/>
    <x v="113"/>
    <n v="4"/>
    <n v="3"/>
    <x v="106"/>
    <x v="358"/>
    <x v="4"/>
    <x v="26"/>
    <x v="83"/>
    <x v="81"/>
    <s v="64-2335465-"/>
    <s v="mariapaz.gomez.n@redsalud.gob.cl"/>
    <x v="24"/>
    <m/>
    <n v="0"/>
    <m/>
    <n v="0"/>
    <n v="0"/>
    <m/>
    <x v="1"/>
  </r>
  <r>
    <s v="SERVICIO DE SALUD OSORNO"/>
    <x v="1"/>
    <x v="285"/>
    <s v="Proyecto operacional"/>
    <s v="Enviado"/>
    <s v="22.01.001"/>
    <x v="282"/>
    <s v="Adquisicion de productos e insumos para la prevencion, promocion, localizacion de casos, diagnostico y adherencia al tratamiento de usuarios/as con Tuberculosis."/>
    <x v="4"/>
    <x v="244"/>
    <n v="4"/>
    <n v="60"/>
    <x v="77"/>
    <x v="219"/>
    <x v="4"/>
    <x v="26"/>
    <x v="83"/>
    <x v="81"/>
    <s v="64-2335465-"/>
    <s v="mariapaz.gomez.n@redsalud.gob.cl"/>
    <x v="24"/>
    <m/>
    <n v="0"/>
    <m/>
    <n v="0"/>
    <n v="0"/>
    <m/>
    <x v="1"/>
  </r>
  <r>
    <s v="SERVICIO DE SALUD OSORNO"/>
    <x v="1"/>
    <x v="285"/>
    <s v="Proyecto operacional"/>
    <s v="Enviado"/>
    <s v="22.01.001"/>
    <x v="282"/>
    <s v="Adquisicion de productos e insumos para la prevencion, promocion, localizacion de casos, diagnostico y adherencia al tratamiento de usuarios/as con Tuberculosis."/>
    <x v="4"/>
    <x v="245"/>
    <n v="4"/>
    <n v="1"/>
    <x v="180"/>
    <x v="214"/>
    <x v="4"/>
    <x v="26"/>
    <x v="83"/>
    <x v="81"/>
    <s v="64-2335465-"/>
    <s v="mariapaz.gomez.n@redsalud.gob.cl"/>
    <x v="24"/>
    <m/>
    <n v="0"/>
    <m/>
    <n v="0"/>
    <n v="0"/>
    <m/>
    <x v="1"/>
  </r>
  <r>
    <s v="SERVICIO DE SALUD OSORNO"/>
    <x v="1"/>
    <x v="285"/>
    <s v="Proyecto operacional"/>
    <s v="Enviado"/>
    <s v="22.01.001"/>
    <x v="282"/>
    <s v="Adquisicion de productos e insumos para la prevencion, promocion, localizacion de casos, diagnostico y adherencia al tratamiento de usuarios/as con Tuberculosis."/>
    <x v="4"/>
    <x v="246"/>
    <n v="4"/>
    <n v="1"/>
    <x v="328"/>
    <x v="0"/>
    <x v="4"/>
    <x v="26"/>
    <x v="83"/>
    <x v="81"/>
    <s v="64-2335465-"/>
    <s v="mariapaz.gomez.n@redsalud.gob.cl"/>
    <x v="24"/>
    <m/>
    <n v="0"/>
    <m/>
    <n v="0"/>
    <n v="0"/>
    <m/>
    <x v="1"/>
  </r>
  <r>
    <s v="SERVICIO DE SALUD OSORNO"/>
    <x v="0"/>
    <x v="286"/>
    <s v="Proyecto operacional"/>
    <s v="Enviado"/>
    <s v="22.01.001"/>
    <x v="283"/>
    <s v="Apoyo logístico (materiales de trabajo, libreria, insumos de cafeteria,etc.) para 4 convocatorias a capacitaciones, talleres, jornadas y reuniones de trabajo con la red de coordinadores de emergencia de la red. meses de ejecucion febrero - marzo - junio-septiembre-diciembre"/>
    <x v="5"/>
    <x v="247"/>
    <n v="4"/>
    <n v="30"/>
    <x v="197"/>
    <x v="130"/>
    <x v="4"/>
    <x v="38"/>
    <x v="2"/>
    <x v="3"/>
    <s v="64-2337728-"/>
    <s v="CATALINA.VERAC@REDSALUD.GOB.CL"/>
    <x v="19"/>
    <m/>
    <n v="0"/>
    <m/>
    <n v="0"/>
    <n v="0"/>
    <m/>
    <x v="1"/>
  </r>
  <r>
    <s v="SERVICIO DE SALUD OSORNO"/>
    <x v="0"/>
    <x v="286"/>
    <s v="Proyecto operacional"/>
    <s v="Enviado"/>
    <s v="22.01.001"/>
    <x v="283"/>
    <s v="Apoyo logístico (materiales de trabajo, libreria, insumos de cafeteria,etc.) para 4 convocatorias a capacitaciones, talleres, jornadas y reuniones de trabajo con la red de coordinadores de emergencia de la red. meses de ejecucion febrero - marzo - junio-septiembre-diciembre"/>
    <x v="5"/>
    <x v="248"/>
    <n v="4"/>
    <n v="31"/>
    <x v="329"/>
    <x v="359"/>
    <x v="4"/>
    <x v="38"/>
    <x v="2"/>
    <x v="3"/>
    <s v="64-2337728-"/>
    <s v="CATALINA.VERAC@REDSALUD.GOB.CL"/>
    <x v="19"/>
    <m/>
    <n v="0"/>
    <m/>
    <n v="0"/>
    <n v="0"/>
    <m/>
    <x v="1"/>
  </r>
  <r>
    <s v="SERVICIO DE SALUD OSORNO"/>
    <x v="0"/>
    <x v="286"/>
    <s v="Proyecto operacional"/>
    <s v="Enviado"/>
    <s v="22.01.001"/>
    <x v="283"/>
    <s v="Apoyo logístico (materiales de trabajo, libreria, insumos de cafeteria,etc.) para 4 convocatorias a capacitaciones, talleres, jornadas y reuniones de trabajo con la red de coordinadores de emergencia de la red. meses de ejecucion febrero - marzo - junio-septiembre-diciembre"/>
    <x v="5"/>
    <x v="31"/>
    <n v="4"/>
    <n v="308"/>
    <x v="330"/>
    <x v="360"/>
    <x v="7"/>
    <x v="46"/>
    <x v="2"/>
    <x v="3"/>
    <s v="64-2337728-"/>
    <s v="CATALINA.VERAC@REDSALUD.GOB.CL"/>
    <x v="21"/>
    <m/>
    <n v="0"/>
    <m/>
    <n v="0"/>
    <n v="0"/>
    <m/>
    <x v="1"/>
  </r>
  <r>
    <s v="SERVICIO DE SALUD OSORNO"/>
    <x v="4"/>
    <x v="287"/>
    <s v="Proyecto operacional"/>
    <s v="Enviado"/>
    <s v="31.02.005"/>
    <x v="284"/>
    <s v="Proyecto con fuente de financiamiento sectorial. Ejecución proyectada para abril 2026"/>
    <x v="0"/>
    <x v="159"/>
    <n v="4"/>
    <n v="1"/>
    <x v="331"/>
    <x v="361"/>
    <x v="4"/>
    <x v="24"/>
    <x v="66"/>
    <x v="69"/>
    <s v="64-2337386-"/>
    <s v="maria.munozp@redsalud.gob.cl"/>
    <x v="14"/>
    <m/>
    <n v="0"/>
    <m/>
    <n v="0"/>
    <n v="0"/>
    <m/>
    <x v="1"/>
  </r>
  <r>
    <s v="SERVICIO DE SALUD OSORNO"/>
    <x v="4"/>
    <x v="287"/>
    <s v="Proyecto operacional"/>
    <s v="Enviado"/>
    <s v="31.02.005"/>
    <x v="284"/>
    <s v="Proyecto con fuente de financiamiento sectorial. Ejecución proyectada para abril 2026"/>
    <x v="0"/>
    <x v="184"/>
    <n v="4"/>
    <n v="1"/>
    <x v="332"/>
    <x v="362"/>
    <x v="4"/>
    <x v="24"/>
    <x v="66"/>
    <x v="69"/>
    <s v="64-2337386-"/>
    <s v="maria.munozp@redsalud.gob.cl"/>
    <x v="14"/>
    <m/>
    <n v="0"/>
    <m/>
    <n v="0"/>
    <n v="0"/>
    <m/>
    <x v="1"/>
  </r>
  <r>
    <s v="SERVICIO DE SALUD OSORNO"/>
    <x v="0"/>
    <x v="288"/>
    <s v="Proyecto operacional"/>
    <s v="Enviado"/>
    <s v="22.07.999"/>
    <x v="282"/>
    <s v="Adquisición de productos e insumos para la prevención, promoción, localización de casos, diagnostico y adherencia al tratamiento de usuarios/as con Tuberculosis."/>
    <x v="0"/>
    <x v="249"/>
    <n v="4"/>
    <n v="20"/>
    <x v="156"/>
    <x v="219"/>
    <x v="4"/>
    <x v="25"/>
    <x v="83"/>
    <x v="81"/>
    <s v="64-2335465-"/>
    <s v="mariapaz.gomez.n@redsalud.gob.cl"/>
    <x v="15"/>
    <m/>
    <n v="0"/>
    <m/>
    <n v="0"/>
    <n v="0"/>
    <m/>
    <x v="1"/>
  </r>
  <r>
    <s v="SERVICIO DE SALUD OSORNO"/>
    <x v="0"/>
    <x v="288"/>
    <s v="Proyecto operacional"/>
    <s v="Enviado"/>
    <s v="22.07.999"/>
    <x v="282"/>
    <s v="Adquisición de productos e insumos para la prevención, promoción, localización de casos, diagnostico y adherencia al tratamiento de usuarios/as con Tuberculosis."/>
    <x v="0"/>
    <x v="230"/>
    <n v="4"/>
    <n v="10020"/>
    <x v="240"/>
    <x v="363"/>
    <x v="4"/>
    <x v="25"/>
    <x v="83"/>
    <x v="81"/>
    <s v="64-2335465-"/>
    <s v="mariapaz.gomez.n@redsalud.gob.cl"/>
    <x v="15"/>
    <m/>
    <n v="0"/>
    <m/>
    <n v="0"/>
    <n v="0"/>
    <m/>
    <x v="1"/>
  </r>
  <r>
    <s v="SERVICIO DE SALUD OSORNO"/>
    <x v="0"/>
    <x v="289"/>
    <s v="Proyecto operacional"/>
    <s v="Enviado"/>
    <n v="2496"/>
    <x v="285"/>
    <s v="Adquisición de artículos de oficina y materiales para el desarrollo de funciones administrativas y actividades programadas por las distintas unidades del Departamento de Calidad de Vida."/>
    <x v="5"/>
    <x v="43"/>
    <n v="4"/>
    <n v="18"/>
    <x v="333"/>
    <x v="364"/>
    <x v="4"/>
    <x v="35"/>
    <x v="27"/>
    <x v="82"/>
    <s v="64-2337096-"/>
    <s v="claudia.munozga@redsalud.gob.cl"/>
    <x v="13"/>
    <m/>
    <n v="0"/>
    <m/>
    <n v="0"/>
    <n v="0"/>
    <m/>
    <x v="1"/>
  </r>
  <r>
    <s v="SERVICIO DE SALUD OSORNO"/>
    <x v="0"/>
    <x v="289"/>
    <s v="Proyecto operacional"/>
    <s v="Enviado"/>
    <n v="2496"/>
    <x v="285"/>
    <s v="Adquisición de artículos de oficina y materiales para el desarrollo de funciones administrativas y actividades programadas por las distintas unidades del Departamento de Calidad de Vida."/>
    <x v="5"/>
    <x v="250"/>
    <n v="4"/>
    <n v="2"/>
    <x v="225"/>
    <x v="265"/>
    <x v="4"/>
    <x v="35"/>
    <x v="27"/>
    <x v="82"/>
    <s v="64-2337096-"/>
    <s v="claudia.munozga@redsalud.gob.cl"/>
    <x v="13"/>
    <m/>
    <n v="0"/>
    <m/>
    <n v="0"/>
    <n v="0"/>
    <m/>
    <x v="1"/>
  </r>
  <r>
    <s v="SERVICIO DE SALUD OSORNO"/>
    <x v="0"/>
    <x v="289"/>
    <s v="Proyecto operacional"/>
    <s v="Enviado"/>
    <n v="2496"/>
    <x v="285"/>
    <s v="Adquisición de artículos de oficina y materiales para el desarrollo de funciones administrativas y actividades programadas por las distintas unidades del Departamento de Calidad de Vida."/>
    <x v="5"/>
    <x v="212"/>
    <n v="4"/>
    <n v="2"/>
    <x v="104"/>
    <x v="365"/>
    <x v="4"/>
    <x v="35"/>
    <x v="27"/>
    <x v="82"/>
    <s v="64-2337096-"/>
    <s v="claudia.munozga@redsalud.gob.cl"/>
    <x v="13"/>
    <m/>
    <n v="0"/>
    <m/>
    <n v="0"/>
    <n v="0"/>
    <m/>
    <x v="1"/>
  </r>
  <r>
    <s v="SERVICIO DE SALUD OSORNO"/>
    <x v="0"/>
    <x v="290"/>
    <s v="Proyecto operacional"/>
    <s v="Enviado"/>
    <n v="2497"/>
    <x v="286"/>
    <s v="Adquirir talonarios de recetas médicas y ordenes de examenes propias de los dispositivos (psiconeurogeriatria) para dispensación de fármacos y toma de examenes en HBSJO. (realizadas de acuerdo a protocolos de referencia y contrareferencias de los dispositivos de Ayekan y Kumelen)."/>
    <x v="1"/>
    <x v="71"/>
    <n v="4"/>
    <n v="100"/>
    <x v="334"/>
    <x v="185"/>
    <x v="4"/>
    <x v="38"/>
    <x v="81"/>
    <x v="80"/>
    <s v="64-2337363-"/>
    <s v="ximena.campos@redsalud.gob.cl"/>
    <x v="19"/>
    <m/>
    <n v="0"/>
    <m/>
    <n v="0"/>
    <n v="0"/>
    <m/>
    <x v="1"/>
  </r>
  <r>
    <s v="SERVICIO DE SALUD OSORNO"/>
    <x v="0"/>
    <x v="291"/>
    <s v="Proyecto operacional"/>
    <s v="Enviado"/>
    <n v="2498"/>
    <x v="287"/>
    <s v="SE REQUIERE LA COMPRA DE LOS INSUMOS DE OFICINA PARA EL DEPARTAMENTO DE OBRAS, EN EL MES DE MARZO 2026"/>
    <x v="0"/>
    <x v="43"/>
    <n v="4"/>
    <n v="13"/>
    <x v="335"/>
    <x v="366"/>
    <x v="4"/>
    <x v="32"/>
    <x v="84"/>
    <x v="50"/>
    <s v="64-2337382-"/>
    <s v="marta.borquez@redsalud.gob.cl"/>
    <x v="21"/>
    <m/>
    <n v="0"/>
    <m/>
    <n v="0"/>
    <n v="0"/>
    <m/>
    <x v="1"/>
  </r>
  <r>
    <s v="SERVICIO DE SALUD OSORNO"/>
    <x v="0"/>
    <x v="291"/>
    <s v="Proyecto operacional"/>
    <s v="Enviado"/>
    <n v="2498"/>
    <x v="287"/>
    <s v="SE REQUIERE LA COMPRA DE LOS INSUMOS DE OFICINA PARA EL DEPARTAMENTO DE OBRAS, EN EL MES DE MARZO 2026"/>
    <x v="0"/>
    <x v="251"/>
    <n v="4"/>
    <n v="16"/>
    <x v="336"/>
    <x v="367"/>
    <x v="4"/>
    <x v="32"/>
    <x v="84"/>
    <x v="50"/>
    <s v="64-2337382-"/>
    <s v="marta.borquez@redsalud.gob.cl"/>
    <x v="21"/>
    <m/>
    <n v="0"/>
    <m/>
    <n v="0"/>
    <n v="0"/>
    <m/>
    <x v="1"/>
  </r>
  <r>
    <s v="SERVICIO DE SALUD OSORNO"/>
    <x v="0"/>
    <x v="292"/>
    <s v="Proyecto operacional"/>
    <s v="Enviado"/>
    <s v="22.07.002"/>
    <x v="288"/>
    <s v="Impresión de material educativo visual y didáctico reutilizable para fortalecer las actividades de educación alimentaria en la red APS de la provincia de Osorno. La compra se ejecutará en mayo de 2025, financiada con recursos del Programa de Salud Cardiovascular."/>
    <x v="1"/>
    <x v="98"/>
    <n v="4"/>
    <n v="23"/>
    <x v="337"/>
    <x v="368"/>
    <x v="4"/>
    <x v="31"/>
    <x v="24"/>
    <x v="83"/>
    <s v="64-2335808-"/>
    <s v="consuelo.cordova@redsalud.gob.cl"/>
    <x v="20"/>
    <m/>
    <n v="0"/>
    <m/>
    <n v="0"/>
    <n v="0"/>
    <m/>
    <x v="1"/>
  </r>
  <r>
    <s v="SERVICIO DE SALUD OSORNO"/>
    <x v="0"/>
    <x v="293"/>
    <s v="Proyecto operacional"/>
    <s v="Enviado"/>
    <s v="22.04.001"/>
    <x v="282"/>
    <s v="Adquisición de productos e insumos para la prevención, promoción, localización de casos, diagnostico y adherencia al tratamiento de usuarios/as con Tuberculosis."/>
    <x v="1"/>
    <x v="43"/>
    <n v="4"/>
    <n v="165"/>
    <x v="338"/>
    <x v="369"/>
    <x v="4"/>
    <x v="25"/>
    <x v="83"/>
    <x v="81"/>
    <s v="64-2335465-"/>
    <s v="mariapaz.gomez.n@redsalud.gob.cl"/>
    <x v="15"/>
    <m/>
    <n v="0"/>
    <m/>
    <n v="0"/>
    <n v="0"/>
    <m/>
    <x v="1"/>
  </r>
  <r>
    <s v="SERVICIO DE SALUD OSORNO"/>
    <x v="0"/>
    <x v="294"/>
    <s v="Proyecto operacional"/>
    <s v="Enviado"/>
    <n v="2403"/>
    <x v="289"/>
    <s v="Solicita la compra en el mes de mayo 2026 por única vez en el año de insumos de higiene oral que consiste en: cepillo dental adulto, cepillo interproximal, pasta dental adulto 1450ppm flúor, cepillo para prótesis dental, cepillo dental eléctrico recargable y repuestos para cepillo dental eléctrico recargable."/>
    <x v="1"/>
    <x v="252"/>
    <n v="4"/>
    <n v="555"/>
    <x v="339"/>
    <x v="370"/>
    <x v="4"/>
    <x v="31"/>
    <x v="85"/>
    <x v="84"/>
    <s v="64-2335810-"/>
    <s v="gonzalo.schulz@redsalud.gob.cl"/>
    <x v="20"/>
    <m/>
    <n v="0"/>
    <m/>
    <n v="0"/>
    <n v="0"/>
    <m/>
    <x v="1"/>
  </r>
  <r>
    <s v="SERVICIO DE SALUD OSORNO"/>
    <x v="0"/>
    <x v="295"/>
    <s v="Proyecto operacional"/>
    <s v="Enviado"/>
    <n v="2502"/>
    <x v="290"/>
    <s v="Adquirir pilas para equipos clínicos de la unidad SAFU, tales como pesa portátil, hemoglucotest y equipo de electroterapia."/>
    <x v="1"/>
    <x v="253"/>
    <n v="4"/>
    <n v="10"/>
    <x v="340"/>
    <x v="371"/>
    <x v="4"/>
    <x v="35"/>
    <x v="53"/>
    <x v="57"/>
    <s v="64-2337032-"/>
    <s v="daniela.cancino01@redsalud.gob.cl"/>
    <x v="13"/>
    <m/>
    <n v="0"/>
    <m/>
    <n v="0"/>
    <n v="0"/>
    <m/>
    <x v="1"/>
  </r>
  <r>
    <s v="SERVICIO DE SALUD OSORNO"/>
    <x v="0"/>
    <x v="296"/>
    <s v="Proyecto operacional"/>
    <s v="Enviado"/>
    <s v="22.01.001"/>
    <x v="291"/>
    <s v="Jornada de capacitación de Salud Repiratoria para 110 personas, enfocado en la Prevención, Diagnóstico y tratamiento de patologías respiratorias agudas y crónicas en el ciclo vital, destinada a profesionales médicos, enfermeras, kinesiólogos y otros que realicen atenciones de esta población, en la atención primaria."/>
    <x v="1"/>
    <x v="63"/>
    <n v="4"/>
    <n v="110"/>
    <x v="341"/>
    <x v="372"/>
    <x v="4"/>
    <x v="32"/>
    <x v="78"/>
    <x v="78"/>
    <s v="64-2335829-"/>
    <s v="carolina.lagos@redsalud.gob.cl"/>
    <x v="21"/>
    <m/>
    <n v="0"/>
    <m/>
    <n v="0"/>
    <n v="0"/>
    <m/>
    <x v="1"/>
  </r>
  <r>
    <s v="SERVICIO DE SALUD OSORNO"/>
    <x v="0"/>
    <x v="297"/>
    <s v="Proyecto operacional"/>
    <s v="Enviado"/>
    <n v="2504"/>
    <x v="292"/>
    <s v="Jornada de capacitación de Salud Repiratoria para 110 personas, enfocado en la Prevención, Diagnóstico y tratamiento de patologías respiratorias agudas y crónicas en el ciclo vital, destinada a profesionales médicos, enfermeras, kinesiólogos y otros que realicen atenciones de esta población, en la atención primaria. Se requiere adquirir escalera para acceder a repisas de bodega de insumos, en el mes de Enero 2026."/>
    <x v="1"/>
    <x v="223"/>
    <n v="4"/>
    <n v="1"/>
    <x v="156"/>
    <x v="216"/>
    <x v="4"/>
    <x v="35"/>
    <x v="53"/>
    <x v="57"/>
    <s v="64-2337032-"/>
    <s v="daniela.cancino01@redsalud.gob.cl"/>
    <x v="13"/>
    <m/>
    <n v="0"/>
    <m/>
    <n v="0"/>
    <n v="0"/>
    <m/>
    <x v="1"/>
  </r>
  <r>
    <s v="SERVICIO DE SALUD OSORNO"/>
    <x v="0"/>
    <x v="298"/>
    <s v="Proyecto operacional"/>
    <s v="Enviado"/>
    <n v="2510"/>
    <x v="293"/>
    <s v="Contrato suministro de oxígeno medicinal para la Red de Hospitales de Baja y Mediana Complejidad así como para Base SAMU y Cosam dependientes del Servicio Salud Osorno, en formato de cilindros de 0,4 m3 - 0,7 m3 - 6 m3 y 10 m3, el cual debe comenzar vigencia a partir de enero 2027, con duración de 2 años."/>
    <x v="1"/>
    <x v="254"/>
    <n v="4"/>
    <n v="1"/>
    <x v="342"/>
    <x v="221"/>
    <x v="1"/>
    <x v="47"/>
    <x v="86"/>
    <x v="10"/>
    <s v="64-2335809-"/>
    <s v="mario.aburto@redsalud.gov.cl"/>
    <x v="15"/>
    <m/>
    <n v="0"/>
    <m/>
    <n v="0"/>
    <n v="0"/>
    <m/>
    <x v="1"/>
  </r>
  <r>
    <s v="SERVICIO DE SALUD OSORNO"/>
    <x v="0"/>
    <x v="299"/>
    <s v="Proyecto operacional"/>
    <s v="Enviado"/>
    <n v="2511"/>
    <x v="294"/>
    <s v="Se solicita la contratación de servicios de mantención integral del edificio, considerando limpieza y retiro de hojas en techumbres , limpieza de canaletas y bajadas de agua, reparación de vidrios o marcos de ventanas, . mes mayo 2026"/>
    <x v="1"/>
    <x v="68"/>
    <n v="4"/>
    <n v="1"/>
    <x v="343"/>
    <x v="187"/>
    <x v="4"/>
    <x v="31"/>
    <x v="63"/>
    <x v="19"/>
    <s v="64-2337366-"/>
    <s v="luis.floresme@redsalud.gob.cl"/>
    <x v="20"/>
    <m/>
    <n v="0"/>
    <m/>
    <n v="0"/>
    <n v="0"/>
    <m/>
    <x v="1"/>
  </r>
  <r>
    <s v="SERVICIO DE SALUD OSORNO"/>
    <x v="0"/>
    <x v="300"/>
    <s v="Proyecto operacional"/>
    <s v="Enviado"/>
    <n v="2512"/>
    <x v="295"/>
    <s v="Se solicita la contratación de servicios de mantención integral del edificio, reparación de filtraciones de techo y canaletas, revisión y reposición de enchufes e iluminarias, reparación de pisos flotantes levantados o dañados, tratamiento y pintura de paredes afectadas por humedad y hongos, mantención de cerraduras y manillas, revisión de sistema eléctrico y tableros. Mes de Diciembre 2026."/>
    <x v="1"/>
    <x v="118"/>
    <n v="4"/>
    <n v="1"/>
    <x v="153"/>
    <x v="60"/>
    <x v="4"/>
    <x v="29"/>
    <x v="63"/>
    <x v="19"/>
    <s v="64-2337366-"/>
    <s v="luis.floresme@redsalud.gob.cl"/>
    <x v="23"/>
    <m/>
    <n v="0"/>
    <m/>
    <n v="0"/>
    <n v="0"/>
    <m/>
    <x v="1"/>
  </r>
  <r>
    <s v="SERVICIO DE SALUD OSORNO"/>
    <x v="0"/>
    <x v="301"/>
    <s v="Proyecto operacional"/>
    <s v="Enviado"/>
    <s v="22.04.001"/>
    <x v="296"/>
    <s v="Adquisición de material de librería necesario para realizar las actividades diarias de registro en los vacunatorios y material necesario para ejecutar las capacitaciones y certificaciones programadas por el Servicio de Salud a los equipos de salud de la red asistencial, respesto del Programa Nacional de Inmunizaciones y Salud Respiratoria. Se requiere adquisisción a inicios de mes de marzo para ejecutar 1° capacitación a fines de marzo."/>
    <x v="1"/>
    <x v="240"/>
    <n v="4"/>
    <n v="1450"/>
    <x v="344"/>
    <x v="373"/>
    <x v="4"/>
    <x v="32"/>
    <x v="78"/>
    <x v="78"/>
    <s v="64-2335829-"/>
    <s v="carolina.lagos@redsalud.gob.cl"/>
    <x v="21"/>
    <m/>
    <n v="0"/>
    <m/>
    <n v="0"/>
    <n v="0"/>
    <m/>
    <x v="1"/>
  </r>
  <r>
    <s v="SERVICIO DE SALUD OSORNO"/>
    <x v="0"/>
    <x v="302"/>
    <s v="Proyecto operacional"/>
    <s v="Enviado"/>
    <s v="22.11.001"/>
    <x v="297"/>
    <s v="Desarrollar la consultoría de análisis estructural del Ex - edificio de la PDI, que incluye: testigos de losas y muros, modelamiento estructural y recomendaciones que permitan determinar el estado actual de la construcción y determinar las consideraciones técnicas para habilitar un Centro de Diálisis para la comuna de Osorno."/>
    <x v="1"/>
    <x v="97"/>
    <n v="4"/>
    <n v="1"/>
    <x v="345"/>
    <x v="374"/>
    <x v="4"/>
    <x v="31"/>
    <x v="39"/>
    <x v="44"/>
    <s v="64-2335843-"/>
    <s v="mario.barrientos@redsalud.gob.cl"/>
    <x v="20"/>
    <m/>
    <n v="0"/>
    <m/>
    <n v="0"/>
    <n v="0"/>
    <m/>
    <x v="1"/>
  </r>
  <r>
    <s v="SERVICIO DE SALUD OSORNO"/>
    <x v="0"/>
    <x v="303"/>
    <s v="Proyecto operacional"/>
    <s v="Enviado"/>
    <s v="22.01.001"/>
    <x v="298"/>
    <s v="Adquisición servicio de cafetería para 100 asistentes a actividad de capacitación dirigida a profesionales de salud en contexto de preparación para Campaña de Invierno 2026. Considera Jornada de mañana y tarde. Esta actividad se ejecutará en abril."/>
    <x v="1"/>
    <x v="63"/>
    <n v="4"/>
    <n v="100"/>
    <x v="197"/>
    <x v="177"/>
    <x v="4"/>
    <x v="24"/>
    <x v="86"/>
    <x v="10"/>
    <s v="64-2335809-"/>
    <s v="mario.aburto@redsalud.gov.cl"/>
    <x v="14"/>
    <m/>
    <n v="0"/>
    <m/>
    <n v="0"/>
    <n v="0"/>
    <m/>
    <x v="1"/>
  </r>
  <r>
    <s v="SERVICIO DE SALUD OSORNO"/>
    <x v="0"/>
    <x v="304"/>
    <s v="Proyecto operacional"/>
    <s v="Enviado"/>
    <n v="2519"/>
    <x v="299"/>
    <s v="Contar en marzo 2026 con artículos de librería para realizar jornadas de planificación con la red"/>
    <x v="1"/>
    <x v="43"/>
    <n v="4"/>
    <n v="493"/>
    <x v="346"/>
    <x v="375"/>
    <x v="4"/>
    <x v="32"/>
    <x v="87"/>
    <x v="85"/>
    <s v="64-2335661-"/>
    <s v="munirih.soto@redsalud.gob.cl"/>
    <x v="21"/>
    <m/>
    <n v="0"/>
    <m/>
    <n v="0"/>
    <n v="0"/>
    <m/>
    <x v="1"/>
  </r>
  <r>
    <s v="SERVICIO DE SALUD OSORNO"/>
    <x v="0"/>
    <x v="305"/>
    <s v="Proyecto operacional"/>
    <s v="Enviado"/>
    <n v="2521"/>
    <x v="300"/>
    <s v="Compra de insumos odontológicos para dos nuevos boxes dentales SAFU. Año 2026 88 horas de atención clínica."/>
    <x v="1"/>
    <x v="255"/>
    <n v="4"/>
    <n v="1"/>
    <x v="255"/>
    <x v="290"/>
    <x v="4"/>
    <x v="35"/>
    <x v="88"/>
    <x v="86"/>
    <s v="64-2332563-"/>
    <s v="luis.oyarzun@redesalud.gob.cl"/>
    <x v="13"/>
    <m/>
    <n v="0"/>
    <m/>
    <n v="0"/>
    <n v="0"/>
    <m/>
    <x v="1"/>
  </r>
  <r>
    <s v="SERVICIO DE SALUD OSORNO"/>
    <x v="0"/>
    <x v="306"/>
    <s v="Proyecto operacional"/>
    <s v="Enviado"/>
    <n v="2524"/>
    <x v="301"/>
    <s v="Adquisición Licencias de Software GstarCAD por 24 meses, Junio 2026"/>
    <x v="1"/>
    <x v="171"/>
    <n v="4"/>
    <n v="29"/>
    <x v="347"/>
    <x v="376"/>
    <x v="4"/>
    <x v="26"/>
    <x v="89"/>
    <x v="87"/>
    <s v="64-2335685-"/>
    <s v="alejandro.nunez01@redsalud.gob.cl"/>
    <x v="15"/>
    <m/>
    <n v="0"/>
    <m/>
    <n v="0"/>
    <n v="0"/>
    <m/>
    <x v="1"/>
  </r>
  <r>
    <s v="SERVICIO DE SALUD OSORNO"/>
    <x v="0"/>
    <x v="307"/>
    <s v="Proyecto operacional"/>
    <s v="Enviado"/>
    <n v="2525"/>
    <x v="302"/>
    <s v="Adquisición Licencias de Software ArchiCAD por 24 meses, para apoyar los proyectos de diseño y construcción del Servicio de Salud Osorno. Junio 2026"/>
    <x v="1"/>
    <x v="256"/>
    <n v="4"/>
    <n v="5"/>
    <x v="221"/>
    <x v="109"/>
    <x v="4"/>
    <x v="33"/>
    <x v="89"/>
    <x v="87"/>
    <s v="64-2335685-"/>
    <s v="alejandro.nunez01@redsalud.gob.cl"/>
    <x v="15"/>
    <m/>
    <n v="0"/>
    <m/>
    <n v="0"/>
    <n v="0"/>
    <m/>
    <x v="1"/>
  </r>
  <r>
    <s v="SERVICIO DE SALUD OSORNO"/>
    <x v="0"/>
    <x v="308"/>
    <s v="Proyecto operacional"/>
    <s v="Enviado"/>
    <n v="2526"/>
    <x v="303"/>
    <s v="La compra de impresoras térmicas para el SOME de la Unidad de Memoria Ayekan, se fundamenta en la necesidad de modernizar y optimizar los procesos de citación y registro de atenciones, mejorando la eficiencia del equipo administrativo y la calidad del servicio que se entrega a las personas mayores, sus familiares y cuidadores. La compra de impresoras térmicas representa una inversión costo-efectiva que permitirá fortalecer los procesos administrativos y ofrecer un servicio más eficiente, humanizado y centrado en las personas."/>
    <x v="0"/>
    <x v="226"/>
    <n v="4"/>
    <n v="2"/>
    <x v="348"/>
    <x v="171"/>
    <x v="4"/>
    <x v="32"/>
    <x v="81"/>
    <x v="80"/>
    <s v="64-2337363-"/>
    <s v="ximena.campos@redsalud.gob.cl"/>
    <x v="21"/>
    <m/>
    <n v="0"/>
    <m/>
    <n v="0"/>
    <n v="0"/>
    <m/>
    <x v="1"/>
  </r>
  <r>
    <s v="SERVICIO DE SALUD OSORNO"/>
    <x v="0"/>
    <x v="308"/>
    <s v="Proyecto operacional"/>
    <s v="Enviado"/>
    <n v="2526"/>
    <x v="303"/>
    <s v="La compra de impresoras térmicas para el SOME de la Unidad de Memoria Ayekan, se fundamenta en la necesidad de modernizar y optimizar los procesos de citación y registro de atenciones, mejorando la eficiencia del equipo administrativo y la calidad del servicio que se entrega a las personas mayores, sus familiares y cuidadores. La compra de impresoras térmicas representa una inversión costo-efectiva que permitirá fortalecer los procesos administrativos y ofrecer un servicio más eficiente, humanizado y centrado en las personas."/>
    <x v="0"/>
    <x v="69"/>
    <n v="4"/>
    <n v="100"/>
    <x v="139"/>
    <x v="130"/>
    <x v="4"/>
    <x v="32"/>
    <x v="81"/>
    <x v="80"/>
    <s v="64-2337363-"/>
    <s v="ximena.campos@redsalud.gob.cl"/>
    <x v="21"/>
    <m/>
    <n v="0"/>
    <m/>
    <n v="0"/>
    <n v="0"/>
    <m/>
    <x v="1"/>
  </r>
  <r>
    <s v="SERVICIO DE SALUD OSORNO"/>
    <x v="0"/>
    <x v="309"/>
    <s v="Proyecto operacional"/>
    <s v="Actualizado"/>
    <n v="2527"/>
    <x v="304"/>
    <s v="SERVICIO ANUAL DE SOPORTE TÉCNICO SOFTWARE DESDE EL MES DE ABRIL 2026"/>
    <x v="1"/>
    <x v="171"/>
    <n v="4"/>
    <n v="1"/>
    <x v="310"/>
    <x v="36"/>
    <x v="4"/>
    <x v="24"/>
    <x v="90"/>
    <x v="88"/>
    <s v="64-2335599-"/>
    <s v="pablo.mirandaa@redsalud.gob.cl"/>
    <x v="14"/>
    <m/>
    <n v="0"/>
    <m/>
    <n v="0"/>
    <n v="0"/>
    <m/>
    <x v="1"/>
  </r>
  <r>
    <s v="SERVICIO DE SALUD OSORNO"/>
    <x v="0"/>
    <x v="310"/>
    <s v="Proyecto operacional"/>
    <s v="Enviado"/>
    <n v="2528"/>
    <x v="305"/>
    <s v="Adquisición 2 coffee break para Jornada de Plan de Salud Comunal y Priorización como planes de monitoreo de las estrategias desarrolladas durante el 2024, la idea es que se ejecuten en abril - junio 2026"/>
    <x v="1"/>
    <x v="63"/>
    <n v="4"/>
    <n v="2"/>
    <x v="179"/>
    <x v="219"/>
    <x v="4"/>
    <x v="31"/>
    <x v="87"/>
    <x v="85"/>
    <s v="64-2335661-"/>
    <s v="munirih.soto@redsalud.gob.cl"/>
    <x v="20"/>
    <m/>
    <n v="0"/>
    <m/>
    <n v="0"/>
    <n v="0"/>
    <m/>
    <x v="1"/>
  </r>
  <r>
    <s v="SERVICIO DE SALUD OSORNO"/>
    <x v="0"/>
    <x v="311"/>
    <s v="Proyecto operacional"/>
    <s v="Enviado"/>
    <n v="2529"/>
    <x v="306"/>
    <s v="Contar en marzo 2026 con artículos de cafetería para realizar jornadas de planificación y procesos con la red asistencial."/>
    <x v="1"/>
    <x v="31"/>
    <n v="4"/>
    <n v="1"/>
    <x v="349"/>
    <x v="377"/>
    <x v="4"/>
    <x v="32"/>
    <x v="87"/>
    <x v="85"/>
    <s v="64-2335661-"/>
    <s v="munirih.soto@redsalud.gob.cl"/>
    <x v="21"/>
    <m/>
    <n v="0"/>
    <m/>
    <n v="0"/>
    <n v="0"/>
    <m/>
    <x v="1"/>
  </r>
  <r>
    <s v="SERVICIO DE SALUD OSORNO"/>
    <x v="0"/>
    <x v="312"/>
    <s v="Proyecto operacional"/>
    <s v="Enviado"/>
    <s v="22.06.001"/>
    <x v="307"/>
    <s v="COMPRA DE MATERIALES PARA CONSTRUCCIÓN DE REPISAS PARA MEJORAR LA UTILIZACIÓN DEL ESPACIO EN LA BODEGA"/>
    <x v="1"/>
    <x v="257"/>
    <n v="4"/>
    <n v="5"/>
    <x v="212"/>
    <x v="60"/>
    <x v="4"/>
    <x v="32"/>
    <x v="90"/>
    <x v="88"/>
    <s v="64-2335599-"/>
    <s v="pablo.mirandaa@redsalud.gob.cl"/>
    <x v="21"/>
    <m/>
    <n v="0"/>
    <m/>
    <n v="0"/>
    <n v="0"/>
    <m/>
    <x v="1"/>
  </r>
  <r>
    <s v="SERVICIO DE SALUD OSORNO"/>
    <x v="0"/>
    <x v="313"/>
    <s v="Proyecto operacional"/>
    <s v="Enviado"/>
    <n v="2531"/>
    <x v="308"/>
    <s v="La tercera Jornada para cuidadores, es una actividad comunitaria abierta a todas las personas que que ejercen el rol de cuidador/a. Está centrada en la celebración del Dia internacional de las Personas Cuidadoras, que se celebra el 05 de noviembre de cada año. Esta es la 3°version proyectada a 100 participantes y se desarrolla en el mes de noviembre."/>
    <x v="5"/>
    <x v="43"/>
    <n v="4"/>
    <n v="102"/>
    <x v="350"/>
    <x v="378"/>
    <x v="4"/>
    <x v="26"/>
    <x v="81"/>
    <x v="80"/>
    <s v="64-2337363-"/>
    <s v="ximena.campos@redsalud.gob.cl"/>
    <x v="16"/>
    <m/>
    <n v="0"/>
    <m/>
    <n v="0"/>
    <n v="0"/>
    <m/>
    <x v="1"/>
  </r>
  <r>
    <s v="SERVICIO DE SALUD OSORNO"/>
    <x v="0"/>
    <x v="313"/>
    <s v="Proyecto operacional"/>
    <s v="Enviado"/>
    <n v="2531"/>
    <x v="308"/>
    <s v="La tercera Jornada para cuidadores, es una actividad comunitaria abierta a todas las personas que que ejercen el rol de cuidador/a. Está centrada en la celebración del Dia internacional de las Personas Cuidadoras, que se celebra el 05 de noviembre de cada año. Esta es la 3°version proyectada a 100 participantes y se desarrolla en el mes de noviembre."/>
    <x v="5"/>
    <x v="113"/>
    <n v="4"/>
    <n v="200"/>
    <x v="351"/>
    <x v="379"/>
    <x v="4"/>
    <x v="26"/>
    <x v="81"/>
    <x v="80"/>
    <s v="64-2337363-"/>
    <s v="ximena.campos@redsalud.gob.cl"/>
    <x v="16"/>
    <m/>
    <n v="0"/>
    <m/>
    <n v="0"/>
    <n v="0"/>
    <m/>
    <x v="1"/>
  </r>
  <r>
    <s v="SERVICIO DE SALUD OSORNO"/>
    <x v="0"/>
    <x v="313"/>
    <s v="Proyecto operacional"/>
    <s v="Enviado"/>
    <n v="2531"/>
    <x v="308"/>
    <s v="La tercera Jornada para cuidadores, es una actividad comunitaria abierta a todas las personas que que ejercen el rol de cuidador/a. Está centrada en la celebración del Dia internacional de las Personas Cuidadoras, que se celebra el 05 de noviembre de cada año. Esta es la 3°version proyectada a 100 participantes y se desarrolla en el mes de noviembre."/>
    <x v="5"/>
    <x v="31"/>
    <n v="4"/>
    <n v="4"/>
    <x v="352"/>
    <x v="380"/>
    <x v="4"/>
    <x v="26"/>
    <x v="81"/>
    <x v="80"/>
    <s v="64-2337363-"/>
    <s v="ximena.campos@redsalud.gob.cl"/>
    <x v="16"/>
    <m/>
    <n v="0"/>
    <m/>
    <n v="0"/>
    <n v="0"/>
    <m/>
    <x v="1"/>
  </r>
  <r>
    <s v="SERVICIO DE SALUD OSORNO"/>
    <x v="0"/>
    <x v="314"/>
    <s v="Proyecto operacional"/>
    <s v="Enviado"/>
    <n v="2532"/>
    <x v="309"/>
    <s v="SERVICIO DE TRASLADO DE MOBILIARIO, TRASLADO DE OFICINAS"/>
    <x v="1"/>
    <x v="123"/>
    <n v="4"/>
    <n v="1"/>
    <x v="64"/>
    <x v="95"/>
    <x v="4"/>
    <x v="38"/>
    <x v="90"/>
    <x v="88"/>
    <s v="64-2335599-"/>
    <s v="pablo.mirandaa@redsalud.gob.cl"/>
    <x v="19"/>
    <m/>
    <n v="0"/>
    <m/>
    <n v="0"/>
    <n v="0"/>
    <m/>
    <x v="1"/>
  </r>
  <r>
    <s v="SERVICIO DE SALUD OSORNO"/>
    <x v="0"/>
    <x v="315"/>
    <s v="Proyecto operacional"/>
    <s v="Enviado"/>
    <n v="2534"/>
    <x v="310"/>
    <s v="Adquirir equipamiento de telecomunicaciones para los profesionales clínicos del departamento de calidad de vida, con el fin de desarrollar actividades de promoción y prevención en salud mental vía digital y redes sociales (instagram sso.conectados). Iniciativa que pretende educar a funcionarios/as y que puedan tener acceso libre a la información a través de la plataforma social. Médicos y psicólogos realizan videos y transmisiones en vivo para informar sobre diversas patologías y aclarar consultas a la comunidad funcionaria."/>
    <x v="0"/>
    <x v="258"/>
    <n v="4"/>
    <n v="4"/>
    <x v="353"/>
    <x v="381"/>
    <x v="4"/>
    <x v="35"/>
    <x v="91"/>
    <x v="89"/>
    <s v="64-2337033-"/>
    <s v="constanza.garcia.j@redsalud.gob.cl"/>
    <x v="13"/>
    <m/>
    <n v="0"/>
    <m/>
    <n v="0"/>
    <n v="0"/>
    <m/>
    <x v="1"/>
  </r>
  <r>
    <s v="SERVICIO DE SALUD OSORNO"/>
    <x v="0"/>
    <x v="315"/>
    <s v="Proyecto operacional"/>
    <s v="Enviado"/>
    <n v="2534"/>
    <x v="310"/>
    <s v="Adquirir equipamiento de telecomunicaciones para los profesionales clínicos del departamento de calidad de vida, con el fin de desarrollar actividades de promoción y prevención en salud mental vía digital y redes sociales (instagram sso.conectados). Iniciativa que pretende educar a funcionarios/as y que puedan tener acceso libre a la información a través de la plataforma social. Médicos y psicólogos realizan videos y transmisiones en vivo para informar sobre diversas patologías y aclarar consultas a la comunidad funcionaria."/>
    <x v="0"/>
    <x v="259"/>
    <n v="4"/>
    <n v="1"/>
    <x v="234"/>
    <x v="173"/>
    <x v="4"/>
    <x v="35"/>
    <x v="91"/>
    <x v="89"/>
    <s v="64-2337033-"/>
    <s v="constanza.garcia.j@redsalud.gob.cl"/>
    <x v="13"/>
    <m/>
    <n v="0"/>
    <m/>
    <n v="0"/>
    <n v="0"/>
    <m/>
    <x v="1"/>
  </r>
  <r>
    <s v="SERVICIO DE SALUD OSORNO"/>
    <x v="0"/>
    <x v="316"/>
    <s v="Proyecto operacional"/>
    <s v="Enviado"/>
    <s v="22.04.001"/>
    <x v="311"/>
    <s v="Se requiere adquisición 200 Carpetas impresion 4/0 color, couche 350 gr con polimate, bolsillo troquel de imprenta con logo CPU institucional a ejecutarse el mes de febrero 2026"/>
    <x v="1"/>
    <x v="43"/>
    <n v="4"/>
    <n v="200"/>
    <x v="198"/>
    <x v="182"/>
    <x v="4"/>
    <x v="38"/>
    <x v="92"/>
    <x v="37"/>
    <s v="64-2335809-"/>
    <s v="maria.jaramillov@redsalud.gob.cl"/>
    <x v="19"/>
    <m/>
    <n v="0"/>
    <m/>
    <n v="0"/>
    <n v="0"/>
    <m/>
    <x v="1"/>
  </r>
  <r>
    <s v="SERVICIO DE SALUD OSORNO"/>
    <x v="0"/>
    <x v="317"/>
    <s v="Proyecto operacional"/>
    <s v="Enviado"/>
    <n v="2537"/>
    <x v="312"/>
    <s v="Insumos Odontológicos para dar atención clínica dental a funcionarios de la Red del SSO. Enero a diciembre 2026"/>
    <x v="1"/>
    <x v="260"/>
    <n v="4"/>
    <n v="1"/>
    <x v="255"/>
    <x v="290"/>
    <x v="4"/>
    <x v="35"/>
    <x v="88"/>
    <x v="86"/>
    <s v="64-2332563-"/>
    <s v="luis.oyarzun@redesalud.gob.cl"/>
    <x v="13"/>
    <m/>
    <n v="0"/>
    <m/>
    <n v="0"/>
    <n v="0"/>
    <m/>
    <x v="1"/>
  </r>
  <r>
    <s v="SERVICIO DE SALUD OSORNO"/>
    <x v="0"/>
    <x v="318"/>
    <s v="Proyecto operacional"/>
    <s v="Enviado"/>
    <s v="22.04.002"/>
    <x v="313"/>
    <s v="El proceso psicoterapéutico requiere de múltiples herramientas que faciliten la comprensión, trabajo emocional, autorreflexión, autoobservación y el cambio conductual en los pacientes. En este contexto, el material terapéutico y bibliografía se convierte en un recurso esencial que complementa la intervención psicológica y potencia los resultados del tratamiento. Esta adquisición, busca argumentar la necesidad de contar con material terapéutico estructurado, actualizado y adaptado a las distintas modalidades de atención y sus grupos etarios."/>
    <x v="1"/>
    <x v="261"/>
    <n v="4"/>
    <n v="20"/>
    <x v="110"/>
    <x v="177"/>
    <x v="4"/>
    <x v="35"/>
    <x v="91"/>
    <x v="89"/>
    <s v="64-2337033-"/>
    <s v="constanza.garcia.j@redsalud.gob.cl"/>
    <x v="13"/>
    <m/>
    <n v="0"/>
    <m/>
    <n v="0"/>
    <n v="0"/>
    <m/>
    <x v="1"/>
  </r>
  <r>
    <s v="SERVICIO DE SALUD OSORNO"/>
    <x v="0"/>
    <x v="319"/>
    <s v="Proyecto operacional"/>
    <s v="Enviado"/>
    <n v="2542"/>
    <x v="314"/>
    <s v="El aumento de consultas de personas mayores con mayor funcionalidad y la necesidad de evaluar usuarios con patología de graduación leve para el diagnóstico de deterioro cognitivo hace necesario implementar talleres y atenciones individuales con implementos con los que actualmente no contamos y otros que requiren renovación por desgaste en su uso."/>
    <x v="1"/>
    <x v="160"/>
    <n v="4"/>
    <n v="13"/>
    <x v="354"/>
    <x v="382"/>
    <x v="4"/>
    <x v="24"/>
    <x v="81"/>
    <x v="80"/>
    <s v="64-2337363-"/>
    <s v="ximena.campos@redsalud.gob.cl"/>
    <x v="14"/>
    <m/>
    <n v="0"/>
    <m/>
    <n v="0"/>
    <n v="0"/>
    <m/>
    <x v="1"/>
  </r>
  <r>
    <s v="SERVICIO DE SALUD OSORNO"/>
    <x v="0"/>
    <x v="320"/>
    <s v="Proyecto operacional"/>
    <s v="Enviado"/>
    <n v="2545"/>
    <x v="315"/>
    <s v="Adquisición de 1.000 boquillas espiratorias desechables para flujometría, con válvula unidireccional. Compra a ejecutar en Junio."/>
    <x v="1"/>
    <x v="158"/>
    <n v="4"/>
    <n v="1000"/>
    <x v="355"/>
    <x v="199"/>
    <x v="4"/>
    <x v="25"/>
    <x v="86"/>
    <x v="10"/>
    <s v="64-2335809-"/>
    <s v="mario.aburto@redsalud.gov.cl"/>
    <x v="15"/>
    <m/>
    <n v="0"/>
    <m/>
    <n v="0"/>
    <n v="0"/>
    <m/>
    <x v="1"/>
  </r>
  <r>
    <s v="SERVICIO DE SALUD OSORNO"/>
    <x v="0"/>
    <x v="321"/>
    <s v="Proyecto operacional"/>
    <s v="Enviado"/>
    <n v="2547"/>
    <x v="316"/>
    <s v="Adquisición de 720 turbinas desechables para espirometrías con equipos actualmente en uso en la red asistencial, a ejecutar en Abril."/>
    <x v="1"/>
    <x v="89"/>
    <n v="4"/>
    <n v="720"/>
    <x v="356"/>
    <x v="383"/>
    <x v="4"/>
    <x v="24"/>
    <x v="86"/>
    <x v="10"/>
    <s v="64-2335809-"/>
    <s v="mario.aburto@redsalud.gov.cl"/>
    <x v="14"/>
    <m/>
    <n v="0"/>
    <m/>
    <n v="0"/>
    <n v="0"/>
    <m/>
    <x v="1"/>
  </r>
  <r>
    <s v="SERVICIO DE SALUD OSORNO"/>
    <x v="0"/>
    <x v="322"/>
    <s v="Proyecto operacional"/>
    <s v="Enviado"/>
    <n v="2548"/>
    <x v="317"/>
    <s v="Servicio de cafetería Jornada de capacitación CPU a ejecutarse el mes de abril 2026"/>
    <x v="1"/>
    <x v="63"/>
    <n v="4"/>
    <n v="1"/>
    <x v="282"/>
    <x v="319"/>
    <x v="4"/>
    <x v="24"/>
    <x v="92"/>
    <x v="37"/>
    <s v="64-2335809-"/>
    <s v="maria.jaramillov@redsalud.gob.cl"/>
    <x v="14"/>
    <m/>
    <n v="0"/>
    <m/>
    <n v="0"/>
    <n v="0"/>
    <m/>
    <x v="1"/>
  </r>
  <r>
    <s v="SERVICIO DE SALUD OSORNO"/>
    <x v="3"/>
    <x v="323"/>
    <s v="Proyecto estratégico"/>
    <s v="Enviado"/>
    <n v="2549"/>
    <x v="318"/>
    <s v="Adquisición de 12 Equipos para evaluación de saturación oxigeno (oxímetros) en pacientes de Piloto Cesación Tabáquica que ingresan a un Programa de Rehabilitación Respiratoria, en el marco de la estrategia. Compra a ejecutar en Enero."/>
    <x v="1"/>
    <x v="262"/>
    <n v="4"/>
    <n v="12"/>
    <x v="179"/>
    <x v="384"/>
    <x v="4"/>
    <x v="35"/>
    <x v="86"/>
    <x v="90"/>
    <s v="64-2335809-"/>
    <s v="mario.aburto@redsalud.gov.cl"/>
    <x v="13"/>
    <m/>
    <n v="0"/>
    <m/>
    <n v="0"/>
    <n v="0"/>
    <m/>
    <x v="1"/>
  </r>
  <r>
    <s v="SERVICIO DE SALUD OSORNO"/>
    <x v="0"/>
    <x v="324"/>
    <s v="Proyecto operacional"/>
    <s v="Enviado"/>
    <n v="2552"/>
    <x v="319"/>
    <s v="La Unidad de Memoria Ayekan requiere material de folleteria para actividades de difusión, implementación de punto lector, ferias y exposiciones a la comunidad y también de material de estimulación cognitiva que permita a los usuarios trabajar en sala de espera o en domicilios."/>
    <x v="0"/>
    <x v="43"/>
    <n v="4"/>
    <n v="1000"/>
    <x v="357"/>
    <x v="162"/>
    <x v="4"/>
    <x v="25"/>
    <x v="81"/>
    <x v="80"/>
    <s v="64-2337363-"/>
    <s v="ximena.campos@redsalud.gob.cl"/>
    <x v="15"/>
    <m/>
    <n v="0"/>
    <m/>
    <n v="0"/>
    <n v="0"/>
    <m/>
    <x v="1"/>
  </r>
  <r>
    <s v="SERVICIO DE SALUD OSORNO"/>
    <x v="0"/>
    <x v="324"/>
    <s v="Proyecto operacional"/>
    <s v="Enviado"/>
    <n v="2552"/>
    <x v="319"/>
    <s v="La Unidad de Memoria Ayekan requiere material de folleteria para actividades de difusión, implementación de punto lector, ferias y exposiciones a la comunidad y también de material de estimulación cognitiva que permita a los usuarios trabajar en sala de espera o en domicilios."/>
    <x v="0"/>
    <x v="98"/>
    <n v="4"/>
    <n v="3000"/>
    <x v="358"/>
    <x v="182"/>
    <x v="4"/>
    <x v="25"/>
    <x v="81"/>
    <x v="80"/>
    <s v="64-2337363-"/>
    <s v="ximena.campos@redsalud.gob.cl"/>
    <x v="15"/>
    <m/>
    <n v="0"/>
    <m/>
    <n v="0"/>
    <n v="0"/>
    <m/>
    <x v="1"/>
  </r>
  <r>
    <s v="SERVICIO DE SALUD OSORNO"/>
    <x v="0"/>
    <x v="325"/>
    <s v="Proyecto operacional"/>
    <s v="Enviado"/>
    <n v="2554"/>
    <x v="320"/>
    <s v="Los talleres para cuidadores/as de usuarios de Unidad de Memoria se realizaran todos los días martes desde el mes de marzo a diciembre 2026, se trata de mantener un espacio tanto de esparcimiento como educativo para las cuidadores con alto grado de sobrecarga por su rol de cuidador. Durante 2025 se han desarrollado con muy buena evaluación y adherencia por parte de familiares de usuarios. Favorece el autocuidado tanto físico como emocional."/>
    <x v="1"/>
    <x v="263"/>
    <n v="4"/>
    <n v="380"/>
    <x v="359"/>
    <x v="385"/>
    <x v="4"/>
    <x v="36"/>
    <x v="81"/>
    <x v="80"/>
    <s v="64-2337363-"/>
    <s v="ximena.campos@redsalud.gob.cl"/>
    <x v="24"/>
    <m/>
    <n v="0"/>
    <m/>
    <n v="0"/>
    <n v="0"/>
    <m/>
    <x v="1"/>
  </r>
  <r>
    <s v="SERVICIO DE SALUD OSORNO"/>
    <x v="0"/>
    <x v="326"/>
    <s v="Proyecto operacional"/>
    <s v="Enviado"/>
    <s v="22.04.005"/>
    <x v="321"/>
    <s v="Compra de insumos clínicos para realizar vacunación de los usuarios en campaña de invierno, vacunación escolar y vacunas programáticas. Compra para el mes de abril de 2026."/>
    <x v="1"/>
    <x v="89"/>
    <n v="4"/>
    <n v="1000"/>
    <x v="360"/>
    <x v="386"/>
    <x v="4"/>
    <x v="24"/>
    <x v="78"/>
    <x v="78"/>
    <s v="64-2335829-"/>
    <s v="carolina.lagos@redsalud.gob.cl"/>
    <x v="14"/>
    <m/>
    <n v="0"/>
    <m/>
    <n v="0"/>
    <n v="0"/>
    <m/>
    <x v="1"/>
  </r>
  <r>
    <s v="SERVICIO DE SALUD OSORNO"/>
    <x v="0"/>
    <x v="327"/>
    <s v="Proyecto operacional"/>
    <s v="Enviado"/>
    <n v="2556"/>
    <x v="322"/>
    <s v="Adquisición de Neumáticos para vehículos de la Dirección Servicio de Salud Osorno y Base SAMU Osorno año 2026"/>
    <x v="1"/>
    <x v="264"/>
    <n v="4"/>
    <n v="12"/>
    <x v="83"/>
    <x v="180"/>
    <x v="4"/>
    <x v="31"/>
    <x v="5"/>
    <x v="39"/>
    <s v="64-2335654-"/>
    <s v="felipe.salvob@redsalud.gob.cl"/>
    <x v="20"/>
    <m/>
    <n v="0"/>
    <m/>
    <n v="0"/>
    <n v="0"/>
    <m/>
    <x v="1"/>
  </r>
  <r>
    <s v="SERVICIO DE SALUD OSORNO"/>
    <x v="0"/>
    <x v="328"/>
    <s v="Proyecto operacional"/>
    <s v="Enviado"/>
    <s v="22.01.001"/>
    <x v="323"/>
    <s v="1 Servicio de coffe para 115 personas aproximadamente, por 2 días en jornada AM, para los asistentes a la Jornada Anual de Capacitación del Programa Nacional de Inmunizaciones a realizar durante el segundo semestre de 2026. A ejecutar el mes de septiembre de 2025."/>
    <x v="1"/>
    <x v="63"/>
    <n v="4"/>
    <n v="1"/>
    <x v="361"/>
    <x v="346"/>
    <x v="4"/>
    <x v="26"/>
    <x v="78"/>
    <x v="78"/>
    <s v="64-2335829-"/>
    <s v="carolina.lagos@redsalud.gob.cl"/>
    <x v="16"/>
    <m/>
    <n v="0"/>
    <m/>
    <n v="0"/>
    <n v="0"/>
    <m/>
    <x v="1"/>
  </r>
  <r>
    <s v="SERVICIO DE SALUD OSORNO"/>
    <x v="0"/>
    <x v="329"/>
    <s v="Proyecto operacional"/>
    <s v="Enviado"/>
    <n v="2558"/>
    <x v="324"/>
    <s v="Impresión de 6.000 unid. de carnet de control integral para la Red de APS. Tamaño 13.5 x 21.5 cms, impresión a color 4/4, tapas dúplex de 300 gramos emplacado, termolaminado por tiro, anillado continuo (plástico), interior Bond 90 gramos. Número de páginas totales 50 (incluye 5 separaciones en couché 170 gramos, 100 por lado y lado). Compra planificada para el mes de marzo."/>
    <x v="1"/>
    <x v="265"/>
    <n v="4"/>
    <n v="6000"/>
    <x v="139"/>
    <x v="387"/>
    <x v="4"/>
    <x v="32"/>
    <x v="24"/>
    <x v="91"/>
    <s v="64-2335810-"/>
    <s v="consuelo.cordova@redsalud.gob.cl"/>
    <x v="21"/>
    <m/>
    <n v="0"/>
    <m/>
    <n v="0"/>
    <n v="0"/>
    <m/>
    <x v="1"/>
  </r>
  <r>
    <s v="SERVICIO DE SALUD OSORNO"/>
    <x v="0"/>
    <x v="330"/>
    <s v="Proyecto operacional"/>
    <s v="Enviado"/>
    <n v="2558"/>
    <x v="325"/>
    <s v="Compra única en el mes de Febrero 2026"/>
    <x v="1"/>
    <x v="159"/>
    <n v="4"/>
    <n v="240"/>
    <x v="298"/>
    <x v="180"/>
    <x v="4"/>
    <x v="38"/>
    <x v="73"/>
    <x v="75"/>
    <s v="64-2335806-"/>
    <s v="francisca.contreras.c@redsalud.gob.cl"/>
    <x v="19"/>
    <m/>
    <n v="0"/>
    <m/>
    <n v="0"/>
    <n v="0"/>
    <m/>
    <x v="1"/>
  </r>
  <r>
    <s v="SERVICIO DE SALUD OSORNO"/>
    <x v="0"/>
    <x v="331"/>
    <s v="Proyecto operacional"/>
    <s v="Enviado"/>
    <n v="2562"/>
    <x v="326"/>
    <s v="Adquirir test que nos permitan Evalúa para orientar la personalidad desde orientación vocacional y diagnóstico de la personalidad. Adquirir un test proyectivo que consta de 13 láminas que se dividen en tres series que reciben los nombres de A, B y C en las que se emplean figuras humanas para representar situaciones típicas de relación de objeto con el objetivo de que la persona a la que se le administra pueda proyectar sus relaciones objétales."/>
    <x v="1"/>
    <x v="85"/>
    <n v="4"/>
    <n v="2"/>
    <x v="362"/>
    <x v="111"/>
    <x v="4"/>
    <x v="25"/>
    <x v="43"/>
    <x v="48"/>
    <s v="64-2335492-"/>
    <s v="CAROLINA.SILVALL@REDSALUD.GOB.CL"/>
    <x v="15"/>
    <m/>
    <n v="0"/>
    <m/>
    <n v="0"/>
    <n v="0"/>
    <m/>
    <x v="1"/>
  </r>
  <r>
    <s v="SERVICIO DE SALUD OSORNO"/>
    <x v="0"/>
    <x v="332"/>
    <s v="Proyecto operacional"/>
    <s v="Enviado"/>
    <n v="2563"/>
    <x v="327"/>
    <s v="Realizar actividades de sensibilización y promoción del cuidado de la salud mental (desde ENERO). Además, se realizará una jornada especial el día 10 de Octubre de 2026 para conmemorar el día mundial de la Salud Mental, iniciativa que pretende cuidar la dimensión psicológica y emocional de los funcionarios/as procurando su autocuidado y salud integral, para lo cual se invitara a diversos actores de la comunidad de salud mental a presentar sus programas."/>
    <x v="5"/>
    <x v="43"/>
    <n v="4"/>
    <n v="172"/>
    <x v="363"/>
    <x v="388"/>
    <x v="4"/>
    <x v="38"/>
    <x v="91"/>
    <x v="89"/>
    <s v="64-2337033-"/>
    <s v="constanza.garcia.j@redsalud.gob.cl"/>
    <x v="13"/>
    <m/>
    <n v="0"/>
    <m/>
    <n v="0"/>
    <n v="0"/>
    <m/>
    <x v="1"/>
  </r>
  <r>
    <s v="SERVICIO DE SALUD OSORNO"/>
    <x v="0"/>
    <x v="332"/>
    <s v="Proyecto operacional"/>
    <s v="Enviado"/>
    <n v="2563"/>
    <x v="327"/>
    <s v="Realizar actividades de sensibilización y promoción del cuidado de la salud mental (desde ENERO). Además, se realizará una jornada especial el día 10 de Octubre de 2026 para conmemorar el día mundial de la Salud Mental, iniciativa que pretende cuidar la dimensión psicológica y emocional de los funcionarios/as procurando su autocuidado y salud integral, para lo cual se invitara a diversos actores de la comunidad de salud mental a presentar sus programas."/>
    <x v="5"/>
    <x v="266"/>
    <n v="4"/>
    <n v="6"/>
    <x v="77"/>
    <x v="192"/>
    <x v="4"/>
    <x v="38"/>
    <x v="91"/>
    <x v="89"/>
    <s v="64-2337033-"/>
    <s v="constanza.garcia.j@redsalud.gob.cl"/>
    <x v="13"/>
    <m/>
    <n v="0"/>
    <m/>
    <n v="0"/>
    <n v="0"/>
    <m/>
    <x v="1"/>
  </r>
  <r>
    <s v="SERVICIO DE SALUD OSORNO"/>
    <x v="0"/>
    <x v="332"/>
    <s v="Proyecto operacional"/>
    <s v="Enviado"/>
    <n v="2563"/>
    <x v="327"/>
    <s v="Realizar actividades de sensibilización y promoción del cuidado de la salud mental (desde ENERO). Además, se realizará una jornada especial el día 10 de Octubre de 2026 para conmemorar el día mundial de la Salud Mental, iniciativa que pretende cuidar la dimensión psicológica y emocional de los funcionarios/as procurando su autocuidado y salud integral, para lo cual se invitara a diversos actores de la comunidad de salud mental a presentar sus programas."/>
    <x v="5"/>
    <x v="267"/>
    <n v="4"/>
    <n v="18"/>
    <x v="364"/>
    <x v="389"/>
    <x v="4"/>
    <x v="38"/>
    <x v="91"/>
    <x v="89"/>
    <s v="64-2337033-"/>
    <s v="constanza.garcia.j@redsalud.gob.cl"/>
    <x v="13"/>
    <m/>
    <n v="0"/>
    <m/>
    <n v="0"/>
    <n v="0"/>
    <m/>
    <x v="1"/>
  </r>
  <r>
    <s v="SERVICIO DE SALUD OSORNO"/>
    <x v="0"/>
    <x v="333"/>
    <s v="Proyecto operacional"/>
    <s v="Enviado"/>
    <s v="22.01.001"/>
    <x v="328"/>
    <s v="Se requiere la compra de insumos de cafetería para las reuniones mensuales (12) de CIRA, de la Subdirección de Gestión Asistencial."/>
    <x v="0"/>
    <x v="31"/>
    <n v="4"/>
    <n v="85"/>
    <x v="365"/>
    <x v="390"/>
    <x v="4"/>
    <x v="35"/>
    <x v="93"/>
    <x v="92"/>
    <s v="64-2335754-"/>
    <s v="esteban.oyarzo.a@redsalud.gob.cl"/>
    <x v="13"/>
    <m/>
    <n v="0"/>
    <m/>
    <n v="0"/>
    <n v="0"/>
    <m/>
    <x v="1"/>
  </r>
  <r>
    <s v="SERVICIO DE SALUD OSORNO"/>
    <x v="0"/>
    <x v="333"/>
    <s v="Proyecto operacional"/>
    <s v="Enviado"/>
    <s v="22.01.001"/>
    <x v="328"/>
    <s v="Se requiere la compra de insumos de cafetería para las reuniones mensuales (12) de CIRA, de la Subdirección de Gestión Asistencial."/>
    <x v="0"/>
    <x v="113"/>
    <n v="4"/>
    <n v="2030"/>
    <x v="366"/>
    <x v="391"/>
    <x v="4"/>
    <x v="35"/>
    <x v="93"/>
    <x v="92"/>
    <s v="64-2335754-"/>
    <s v="esteban.oyarzo.a@redsalud.gob.cl"/>
    <x v="13"/>
    <m/>
    <n v="0"/>
    <m/>
    <n v="0"/>
    <n v="0"/>
    <m/>
    <x v="1"/>
  </r>
  <r>
    <s v="SERVICIO DE SALUD OSORNO"/>
    <x v="0"/>
    <x v="334"/>
    <s v="Proyecto operacional"/>
    <s v="Enviado"/>
    <n v="2565"/>
    <x v="329"/>
    <s v="El Festival de la Voz de las Mujeres es una actividad que se realiza la primera semana de marzo con la finalidad de conmemorar el Día internacional de la Mujer. El propósito del Festival es fomentar la participación y recreación de la comunidad funcionaria ofreciendo un espectáculo de calidad que promueva y estimule las habilidades artísticas musicales de las funcionarias de los distintos Hospitales y Dispositivos de la red del Servicio de Salud de Osorno, a la vez que se concientiza sobre la importancia de conmemorar el día internacional d"/>
    <x v="5"/>
    <x v="43"/>
    <n v="4"/>
    <n v="137"/>
    <x v="367"/>
    <x v="392"/>
    <x v="4"/>
    <x v="32"/>
    <x v="94"/>
    <x v="93"/>
    <s v="64-2337033-"/>
    <s v="ignacio.sotomayor@redsalud.gob.cl"/>
    <x v="21"/>
    <m/>
    <n v="0"/>
    <m/>
    <n v="0"/>
    <n v="0"/>
    <m/>
    <x v="1"/>
  </r>
  <r>
    <s v="SERVICIO DE SALUD OSORNO"/>
    <x v="0"/>
    <x v="334"/>
    <s v="Proyecto operacional"/>
    <s v="Enviado"/>
    <n v="2565"/>
    <x v="329"/>
    <s v="El Festival de la Voz de las Mujeres es una actividad que se realiza la primera semana de marzo con la finalidad de conmemorar el Día internacional de la Mujer. El propósito del Festival es fomentar la participación y recreación de la comunidad funcionaria ofreciendo un espectáculo de calidad que promueva y estimule las habilidades artísticas musicales de las funcionarias de los distintos Hospitales y Dispositivos de la red del Servicio de Salud de Osorno, a la vez que se concientiza sobre la importancia de conmemorar el día internacional d"/>
    <x v="5"/>
    <x v="268"/>
    <n v="4"/>
    <n v="40"/>
    <x v="368"/>
    <x v="393"/>
    <x v="4"/>
    <x v="32"/>
    <x v="94"/>
    <x v="93"/>
    <s v="64-2337033-"/>
    <s v="ignacio.sotomayor@redsalud.gob.cl"/>
    <x v="21"/>
    <m/>
    <n v="0"/>
    <m/>
    <n v="0"/>
    <n v="0"/>
    <m/>
    <x v="1"/>
  </r>
  <r>
    <s v="SERVICIO DE SALUD OSORNO"/>
    <x v="0"/>
    <x v="334"/>
    <s v="Proyecto operacional"/>
    <s v="Enviado"/>
    <n v="2565"/>
    <x v="329"/>
    <s v="El Festival de la Voz de las Mujeres es una actividad que se realiza la primera semana de marzo con la finalidad de conmemorar el Día internacional de la Mujer. El propósito del Festival es fomentar la participación y recreación de la comunidad funcionaria ofreciendo un espectáculo de calidad que promueva y estimule las habilidades artísticas musicales de las funcionarias de los distintos Hospitales y Dispositivos de la red del Servicio de Salud de Osorno, a la vez que se concientiza sobre la importancia de conmemorar el día internacional d"/>
    <x v="5"/>
    <x v="31"/>
    <n v="4"/>
    <n v="4"/>
    <x v="369"/>
    <x v="394"/>
    <x v="4"/>
    <x v="32"/>
    <x v="94"/>
    <x v="93"/>
    <s v="64-2337033-"/>
    <s v="ignacio.sotomayor@redsalud.gob.cl"/>
    <x v="21"/>
    <m/>
    <n v="0"/>
    <m/>
    <n v="0"/>
    <n v="0"/>
    <m/>
    <x v="1"/>
  </r>
  <r>
    <s v="SERVICIO DE SALUD OSORNO"/>
    <x v="0"/>
    <x v="335"/>
    <s v="Proyecto operacional"/>
    <s v="Enviado"/>
    <s v="22.06.001"/>
    <x v="330"/>
    <s v="Obras civiles para montaje de 2 futuros contenedores de largo 20 pies. Construcción de vereda de hormigón de dimensiones 25mx2,5m para acceso de funcionarios, construcción de losa de hormigón de dimensiones 12x10m, construcción de techo para los contenedores."/>
    <x v="1"/>
    <x v="185"/>
    <n v="4"/>
    <n v="1"/>
    <x v="370"/>
    <x v="47"/>
    <x v="4"/>
    <x v="36"/>
    <x v="44"/>
    <x v="58"/>
    <s v="64-2335588-"/>
    <s v="robertonunez123@gmail.com"/>
    <x v="24"/>
    <m/>
    <n v="0"/>
    <m/>
    <n v="0"/>
    <n v="0"/>
    <m/>
    <x v="1"/>
  </r>
  <r>
    <s v="SERVICIO DE SALUD OSORNO"/>
    <x v="0"/>
    <x v="336"/>
    <s v="Proyecto operacional"/>
    <s v="Enviado"/>
    <s v="22.04.009"/>
    <x v="331"/>
    <s v="Dado el proceso de recambio de Equipamiento PC MINSAL, los equipos pertenecientes a Empresa UPGRADE (Aprox. 40) quedarán en calidad de donación al Servicio de Salud Osorno, pero sin discos de almacenamiento. Por esta razón se requiere adquirir 40 Discos SSD y así dejar operativos 40 PC para uso de los establecimientos de nuestra Red."/>
    <x v="1"/>
    <x v="269"/>
    <n v="4"/>
    <n v="40"/>
    <x v="371"/>
    <x v="395"/>
    <x v="4"/>
    <x v="32"/>
    <x v="89"/>
    <x v="87"/>
    <s v="64-2335685-"/>
    <s v="alejandro.nunez01@redsalud.gob.cl"/>
    <x v="21"/>
    <m/>
    <n v="0"/>
    <m/>
    <n v="0"/>
    <n v="0"/>
    <m/>
    <x v="1"/>
  </r>
  <r>
    <s v="SERVICIO DE SALUD OSORNO"/>
    <x v="5"/>
    <x v="337"/>
    <s v="Proyecto operacional"/>
    <s v="Enviado"/>
    <n v="2220"/>
    <x v="332"/>
    <s v="Se requiere licitar para el mes de mayo año 2025, Mejoramiento Hospital de Rio Negro (4 LICITACIONES)"/>
    <x v="6"/>
    <x v="164"/>
    <n v="4"/>
    <n v="1"/>
    <x v="372"/>
    <x v="396"/>
    <x v="4"/>
    <x v="29"/>
    <x v="62"/>
    <x v="36"/>
    <s v="64-2337385-"/>
    <s v="gustavo.marin@redsalud.gob.cl"/>
    <x v="23"/>
    <m/>
    <n v="0"/>
    <m/>
    <n v="0"/>
    <n v="0"/>
    <m/>
    <x v="1"/>
  </r>
  <r>
    <s v="SERVICIO DE SALUD OSORNO"/>
    <x v="5"/>
    <x v="337"/>
    <s v="Proyecto operacional"/>
    <s v="Enviado"/>
    <n v="2220"/>
    <x v="332"/>
    <s v="Se requiere licitar para el mes de mayo año 2025, Mejoramiento Hospital de Rio Negro (4 LICITACIONES)"/>
    <x v="6"/>
    <x v="164"/>
    <n v="4"/>
    <n v="1"/>
    <x v="373"/>
    <x v="397"/>
    <x v="4"/>
    <x v="29"/>
    <x v="62"/>
    <x v="36"/>
    <s v="64-2337385-"/>
    <s v="gustavo.marin@redsalud.gob.cl"/>
    <x v="23"/>
    <m/>
    <n v="0"/>
    <m/>
    <n v="0"/>
    <n v="0"/>
    <m/>
    <x v="1"/>
  </r>
  <r>
    <s v="SERVICIO DE SALUD OSORNO"/>
    <x v="5"/>
    <x v="337"/>
    <s v="Proyecto operacional"/>
    <s v="Enviado"/>
    <n v="2220"/>
    <x v="332"/>
    <s v="Se requiere licitar para el mes de mayo año 2025, Mejoramiento Hospital de Rio Negro (4 LICITACIONES)"/>
    <x v="6"/>
    <x v="164"/>
    <n v="4"/>
    <n v="1"/>
    <x v="374"/>
    <x v="398"/>
    <x v="4"/>
    <x v="32"/>
    <x v="62"/>
    <x v="36"/>
    <s v="64-2337385-"/>
    <s v="gustavo.marin@redsalud.gob.cl"/>
    <x v="21"/>
    <m/>
    <n v="0"/>
    <m/>
    <n v="0"/>
    <n v="0"/>
    <m/>
    <x v="1"/>
  </r>
  <r>
    <s v="SERVICIO DE SALUD OSORNO"/>
    <x v="5"/>
    <x v="337"/>
    <s v="Proyecto operacional"/>
    <s v="Enviado"/>
    <n v="2220"/>
    <x v="332"/>
    <s v="Se requiere licitar para el mes de mayo año 2025, Mejoramiento Hospital de Rio Negro (4 LICITACIONES)"/>
    <x v="6"/>
    <x v="164"/>
    <n v="4"/>
    <n v="1"/>
    <x v="375"/>
    <x v="399"/>
    <x v="4"/>
    <x v="24"/>
    <x v="62"/>
    <x v="36"/>
    <s v="64-2337385-"/>
    <s v="gustavo.marin@redsalud.gob.cl"/>
    <x v="14"/>
    <m/>
    <n v="0"/>
    <m/>
    <n v="0"/>
    <n v="0"/>
    <m/>
    <x v="1"/>
  </r>
  <r>
    <s v="SERVICIO DE SALUD OSORNO"/>
    <x v="0"/>
    <x v="338"/>
    <s v="Proyecto operacional"/>
    <s v="Enviado"/>
    <n v="2771"/>
    <x v="333"/>
    <s v="4 CONTENEDORES DE PAPEL CON LAS SIGUIENTES MEDIDAS Alto 70 Cm Ancho 40 Cm Profundidad 39 Cm Peso 2,3 Kg Capacidad 60 Litros"/>
    <x v="1"/>
    <x v="203"/>
    <n v="4"/>
    <n v="4"/>
    <x v="376"/>
    <x v="149"/>
    <x v="4"/>
    <x v="35"/>
    <x v="95"/>
    <x v="94"/>
    <s v="64-2335752-"/>
    <s v="CRISTINA.COLLINAO@REDSALUD.GOB.CL"/>
    <x v="13"/>
    <m/>
    <n v="0"/>
    <m/>
    <n v="0"/>
    <n v="0"/>
    <m/>
    <x v="1"/>
  </r>
  <r>
    <s v="SERVICIO DE SALUD OSORNO"/>
    <x v="0"/>
    <x v="339"/>
    <s v="Proyecto estratégico"/>
    <s v="Enviado"/>
    <s v="Constanza García"/>
    <x v="334"/>
    <s v="Adquirir material necesario para el desarrollo de las atenciones de salud mental, favoreciendo una atención digna y de buena calidad, buscando brindar un estándar de comodidad medio para las y los pacientes, favoreciendo su apertura a la experiencia"/>
    <x v="5"/>
    <x v="212"/>
    <n v="4"/>
    <n v="2"/>
    <x v="376"/>
    <x v="400"/>
    <x v="4"/>
    <x v="35"/>
    <x v="91"/>
    <x v="89"/>
    <s v="64-2337033-"/>
    <s v="constanza.gj@gmail.com"/>
    <x v="13"/>
    <m/>
    <n v="0"/>
    <m/>
    <n v="0"/>
    <n v="0"/>
    <m/>
    <x v="1"/>
  </r>
  <r>
    <s v="SERVICIO DE SALUD OSORNO"/>
    <x v="0"/>
    <x v="339"/>
    <s v="Proyecto estratégico"/>
    <s v="Enviado"/>
    <s v="Constanza García"/>
    <x v="334"/>
    <s v="Adquirir material necesario para el desarrollo de las atenciones de salud mental, favoreciendo una atención digna y de buena calidad, buscando brindar un estándar de comodidad medio para las y los pacientes, favoreciendo su apertura a la experiencia"/>
    <x v="5"/>
    <x v="43"/>
    <n v="4"/>
    <n v="3"/>
    <x v="149"/>
    <x v="192"/>
    <x v="4"/>
    <x v="35"/>
    <x v="91"/>
    <x v="89"/>
    <s v="64-2337033-"/>
    <s v="constanza.gj@gmail.com"/>
    <x v="13"/>
    <m/>
    <n v="0"/>
    <m/>
    <n v="0"/>
    <n v="0"/>
    <m/>
    <x v="1"/>
  </r>
  <r>
    <s v="SERVICIO DE SALUD OSORNO"/>
    <x v="0"/>
    <x v="339"/>
    <s v="Proyecto estratégico"/>
    <s v="Enviado"/>
    <s v="Constanza García"/>
    <x v="334"/>
    <s v="Adquirir material necesario para el desarrollo de las atenciones de salud mental, favoreciendo una atención digna y de buena calidad, buscando brindar un estándar de comodidad medio para las y los pacientes, favoreciendo su apertura a la experiencia"/>
    <x v="5"/>
    <x v="140"/>
    <n v="4"/>
    <n v="1"/>
    <x v="322"/>
    <x v="401"/>
    <x v="4"/>
    <x v="35"/>
    <x v="91"/>
    <x v="89"/>
    <s v="64-2337033-"/>
    <s v="constanza.gj@gmail.com"/>
    <x v="13"/>
    <m/>
    <n v="0"/>
    <m/>
    <n v="0"/>
    <n v="0"/>
    <m/>
    <x v="1"/>
  </r>
  <r>
    <s v="SERVICIO DE SALUD OSORNO"/>
    <x v="0"/>
    <x v="340"/>
    <s v="Proyecto operacional"/>
    <s v="Enviado"/>
    <s v="22.01-22.04"/>
    <x v="335"/>
    <s v="Fortalecer los procesos terapéuticos y comunitarios de las personas en tratamiento, mediante espacios mensuales de resignificación que promuevan la integración familiar, la reconstrucción de vínculos y la participación activa en actividades que refuercen el sentido de pertenencia, la autoestima y la continuidad del proceso de rehabilitación."/>
    <x v="5"/>
    <x v="31"/>
    <n v="4"/>
    <n v="4626"/>
    <x v="377"/>
    <x v="402"/>
    <x v="4"/>
    <x v="38"/>
    <x v="43"/>
    <x v="48"/>
    <s v="64-2565492-"/>
    <s v="carolina.silvall@redsalud.gob.cl"/>
    <x v="13"/>
    <m/>
    <n v="0"/>
    <m/>
    <n v="0"/>
    <n v="0"/>
    <m/>
    <x v="1"/>
  </r>
  <r>
    <s v="SERVICIO DE SALUD OSORNO"/>
    <x v="0"/>
    <x v="340"/>
    <s v="Proyecto operacional"/>
    <s v="Enviado"/>
    <s v="22.01-22.04"/>
    <x v="335"/>
    <s v="Fortalecer los procesos terapéuticos y comunitarios de las personas en tratamiento, mediante espacios mensuales de resignificación que promuevan la integración familiar, la reconstrucción de vínculos y la participación activa en actividades que refuercen el sentido de pertenencia, la autoestima y la continuidad del proceso de rehabilitación."/>
    <x v="5"/>
    <x v="270"/>
    <n v="4"/>
    <n v="2406"/>
    <x v="378"/>
    <x v="403"/>
    <x v="4"/>
    <x v="38"/>
    <x v="43"/>
    <x v="48"/>
    <s v="64-2565492-"/>
    <s v="carolina.silvall@redsalud.gob.cl"/>
    <x v="13"/>
    <m/>
    <n v="0"/>
    <m/>
    <n v="0"/>
    <n v="0"/>
    <m/>
    <x v="1"/>
  </r>
  <r>
    <s v="SERVICIO DE SALUD OSORNO"/>
    <x v="0"/>
    <x v="340"/>
    <s v="Proyecto operacional"/>
    <s v="Enviado"/>
    <s v="22.01-22.04"/>
    <x v="335"/>
    <s v="Fortalecer los procesos terapéuticos y comunitarios de las personas en tratamiento, mediante espacios mensuales de resignificación que promuevan la integración familiar, la reconstrucción de vínculos y la participación activa en actividades que refuercen el sentido de pertenencia, la autoestima y la continuidad del proceso de rehabilitación."/>
    <x v="5"/>
    <x v="270"/>
    <n v="4"/>
    <n v="1224"/>
    <x v="379"/>
    <x v="404"/>
    <x v="4"/>
    <x v="38"/>
    <x v="43"/>
    <x v="48"/>
    <s v="64-2565492-"/>
    <s v="carolina.silvall@redsalud.gob.cl"/>
    <x v="13"/>
    <m/>
    <n v="0"/>
    <m/>
    <n v="0"/>
    <n v="0"/>
    <m/>
    <x v="1"/>
  </r>
  <r>
    <s v="SERVICIO DE SALUD OSORNO"/>
    <x v="0"/>
    <x v="341"/>
    <s v="Proyecto operacional"/>
    <s v="Enviado"/>
    <s v="22.01.001"/>
    <x v="336"/>
    <s v="ADQUISICIÓN DE INSUMOS DE ALIMENTACIÓN NECESARIOS PARA MANTENER LA CALIDAD DE ACTIVIDADES IMPORTANTES COMO REUNIONES CON EL INTERSECTOR , TALLERES Y CAPACITACIONES"/>
    <x v="1"/>
    <x v="82"/>
    <n v="4"/>
    <n v="40"/>
    <x v="380"/>
    <x v="405"/>
    <x v="4"/>
    <x v="35"/>
    <x v="91"/>
    <x v="89"/>
    <s v="64-2337033-"/>
    <s v="constanza.gj@gmail.com"/>
    <x v="13"/>
    <m/>
    <n v="0"/>
    <m/>
    <n v="0"/>
    <n v="0"/>
    <m/>
    <x v="1"/>
  </r>
  <r>
    <s v="SERVICIO DE SALUD OSORNO"/>
    <x v="0"/>
    <x v="342"/>
    <s v="Proyecto operacional"/>
    <s v="Enviado"/>
    <n v="2577"/>
    <x v="337"/>
    <s v="MUEBLE REPISERO PARA DOCUMENTOS DE MELAMINA"/>
    <x v="1"/>
    <x v="108"/>
    <n v="4"/>
    <n v="1"/>
    <x v="147"/>
    <x v="233"/>
    <x v="4"/>
    <x v="35"/>
    <x v="95"/>
    <x v="94"/>
    <s v="64-2335752-"/>
    <s v="CRISTINA.COLLINAO@REDSALUD.GOB.CL"/>
    <x v="13"/>
    <m/>
    <n v="0"/>
    <m/>
    <n v="0"/>
    <n v="0"/>
    <m/>
    <x v="1"/>
  </r>
  <r>
    <s v="SERVICIO DE SALUD OSORNO"/>
    <x v="0"/>
    <x v="343"/>
    <s v="Proyecto operacional"/>
    <s v="Enviado"/>
    <s v="22.02.001"/>
    <x v="338"/>
    <s v="Ejecución de las olimpiadas del adolescente a realizar en contexto de prevención de la obesidad."/>
    <x v="0"/>
    <x v="271"/>
    <n v="4"/>
    <n v="20"/>
    <x v="381"/>
    <x v="149"/>
    <x v="4"/>
    <x v="32"/>
    <x v="73"/>
    <x v="75"/>
    <s v="64-25806-"/>
    <s v="francisca.contreras.c@redsalud.gob.cl"/>
    <x v="19"/>
    <m/>
    <n v="0"/>
    <m/>
    <n v="0"/>
    <n v="0"/>
    <m/>
    <x v="1"/>
  </r>
  <r>
    <s v="SERVICIO DE SALUD OSORNO"/>
    <x v="0"/>
    <x v="343"/>
    <s v="Proyecto operacional"/>
    <s v="Enviado"/>
    <s v="22.02.001"/>
    <x v="338"/>
    <s v="Ejecución de las olimpiadas del adolescente a realizar en contexto de prevención de la obesidad."/>
    <x v="0"/>
    <x v="272"/>
    <n v="4"/>
    <n v="100"/>
    <x v="139"/>
    <x v="130"/>
    <x v="4"/>
    <x v="32"/>
    <x v="73"/>
    <x v="75"/>
    <s v="64-25806-"/>
    <s v="francisca.contreras.c@redsalud.gob.cl"/>
    <x v="19"/>
    <m/>
    <n v="0"/>
    <m/>
    <n v="0"/>
    <n v="0"/>
    <m/>
    <x v="1"/>
  </r>
  <r>
    <s v="SERVICIO DE SALUD OSORNO"/>
    <x v="0"/>
    <x v="344"/>
    <s v="Proyecto operacional"/>
    <s v="Enviado"/>
    <n v="2588"/>
    <x v="339"/>
    <s v="Tener stock para reuniones del Director durante el año y recepción parcializada en 4 meses."/>
    <x v="0"/>
    <x v="31"/>
    <n v="4"/>
    <n v="118"/>
    <x v="382"/>
    <x v="406"/>
    <x v="4"/>
    <x v="35"/>
    <x v="96"/>
    <x v="92"/>
    <s v="64-2335750-"/>
    <s v="claudia.veraa@redsalud.gob.cl"/>
    <x v="13"/>
    <m/>
    <n v="0"/>
    <m/>
    <n v="0"/>
    <n v="0"/>
    <m/>
    <x v="1"/>
  </r>
  <r>
    <s v="SERVICIO DE SALUD OSORNO"/>
    <x v="0"/>
    <x v="344"/>
    <s v="Proyecto operacional"/>
    <s v="Enviado"/>
    <n v="2588"/>
    <x v="339"/>
    <s v="Tener stock para reuniones del Director durante el año y recepción parcializada en 4 meses."/>
    <x v="0"/>
    <x v="113"/>
    <n v="4"/>
    <n v="2022"/>
    <x v="383"/>
    <x v="407"/>
    <x v="4"/>
    <x v="35"/>
    <x v="96"/>
    <x v="92"/>
    <s v="64-2335750-"/>
    <s v="claudia.veraa@redsalud.gob.cl"/>
    <x v="13"/>
    <m/>
    <n v="0"/>
    <m/>
    <n v="0"/>
    <n v="0"/>
    <m/>
    <x v="1"/>
  </r>
  <r>
    <s v="SERVICIO DE SALUD OSORNO"/>
    <x v="0"/>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x v="9"/>
    <x v="273"/>
    <n v="4"/>
    <n v="60"/>
    <x v="384"/>
    <x v="408"/>
    <x v="4"/>
    <x v="33"/>
    <x v="97"/>
    <x v="95"/>
    <s v="64-2335849-"/>
    <s v="angela.montesinos@redsalud.gob.cl"/>
    <x v="15"/>
    <m/>
    <n v="0"/>
    <m/>
    <n v="0"/>
    <n v="0"/>
    <m/>
    <x v="1"/>
  </r>
  <r>
    <s v="SERVICIO DE SALUD OSORNO"/>
    <x v="0"/>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x v="9"/>
    <x v="274"/>
    <n v="4"/>
    <n v="300"/>
    <x v="315"/>
    <x v="409"/>
    <x v="4"/>
    <x v="33"/>
    <x v="97"/>
    <x v="95"/>
    <s v="64-2335849-"/>
    <s v="angela.montesinos@redsalud.gob.cl"/>
    <x v="15"/>
    <m/>
    <n v="0"/>
    <m/>
    <n v="0"/>
    <n v="0"/>
    <m/>
    <x v="1"/>
  </r>
  <r>
    <s v="SERVICIO DE SALUD OSORNO"/>
    <x v="0"/>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x v="9"/>
    <x v="275"/>
    <n v="4"/>
    <n v="1200"/>
    <x v="28"/>
    <x v="410"/>
    <x v="4"/>
    <x v="26"/>
    <x v="97"/>
    <x v="95"/>
    <s v="64-2335849-"/>
    <s v="angela.montesinos@redsalud.gob.cl"/>
    <x v="24"/>
    <m/>
    <n v="0"/>
    <m/>
    <n v="0"/>
    <n v="0"/>
    <m/>
    <x v="1"/>
  </r>
  <r>
    <s v="SERVICIO DE SALUD OSORNO"/>
    <x v="0"/>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x v="9"/>
    <x v="31"/>
    <n v="4"/>
    <n v="880"/>
    <x v="385"/>
    <x v="411"/>
    <x v="4"/>
    <x v="33"/>
    <x v="97"/>
    <x v="95"/>
    <s v="64-2335849-"/>
    <s v="angela.montesinos@redsalud.gob.cl"/>
    <x v="15"/>
    <m/>
    <n v="0"/>
    <m/>
    <n v="0"/>
    <n v="0"/>
    <m/>
    <x v="1"/>
  </r>
  <r>
    <s v="SERVICIO DE SALUD OSORNO"/>
    <x v="0"/>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x v="9"/>
    <x v="270"/>
    <n v="4"/>
    <n v="80"/>
    <x v="386"/>
    <x v="412"/>
    <x v="4"/>
    <x v="33"/>
    <x v="97"/>
    <x v="95"/>
    <s v="64-2335849-"/>
    <s v="angela.montesinos@redsalud.gob.cl"/>
    <x v="15"/>
    <m/>
    <n v="0"/>
    <m/>
    <n v="0"/>
    <n v="0"/>
    <m/>
    <x v="1"/>
  </r>
  <r>
    <s v="SERVICIO DE SALUD OSORNO"/>
    <x v="0"/>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x v="9"/>
    <x v="276"/>
    <n v="4"/>
    <n v="3200"/>
    <x v="387"/>
    <x v="413"/>
    <x v="4"/>
    <x v="33"/>
    <x v="97"/>
    <x v="95"/>
    <s v="64-2335849-"/>
    <s v="angela.montesinos@redsalud.gob.cl"/>
    <x v="15"/>
    <m/>
    <n v="0"/>
    <m/>
    <n v="0"/>
    <n v="0"/>
    <m/>
    <x v="1"/>
  </r>
  <r>
    <s v="SERVICIO DE SALUD OSORNO"/>
    <x v="0"/>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x v="9"/>
    <x v="277"/>
    <n v="4"/>
    <n v="40"/>
    <x v="388"/>
    <x v="231"/>
    <x v="4"/>
    <x v="33"/>
    <x v="97"/>
    <x v="95"/>
    <s v="64-2335849-"/>
    <s v="angela.montesinos@redsalud.gob.cl"/>
    <x v="15"/>
    <m/>
    <n v="0"/>
    <m/>
    <n v="0"/>
    <n v="0"/>
    <m/>
    <x v="1"/>
  </r>
  <r>
    <s v="SERVICIO DE SALUD OSORNO"/>
    <x v="0"/>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x v="9"/>
    <x v="278"/>
    <n v="4"/>
    <n v="5"/>
    <x v="225"/>
    <x v="231"/>
    <x v="4"/>
    <x v="33"/>
    <x v="97"/>
    <x v="95"/>
    <s v="64-2335849-"/>
    <s v="angela.montesinos@redsalud.gob.cl"/>
    <x v="15"/>
    <m/>
    <n v="0"/>
    <m/>
    <n v="0"/>
    <n v="0"/>
    <m/>
    <x v="1"/>
  </r>
  <r>
    <s v="SERVICIO DE SALUD OSORNO"/>
    <x v="0"/>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x v="9"/>
    <x v="279"/>
    <n v="4"/>
    <n v="5"/>
    <x v="212"/>
    <x v="60"/>
    <x v="4"/>
    <x v="26"/>
    <x v="97"/>
    <x v="95"/>
    <s v="64-2335849-"/>
    <s v="angela.montesinos@redsalud.gob.cl"/>
    <x v="24"/>
    <m/>
    <n v="0"/>
    <m/>
    <n v="0"/>
    <n v="0"/>
    <m/>
    <x v="1"/>
  </r>
  <r>
    <s v="SERVICIO DE SALUD OSORNO"/>
    <x v="0"/>
    <x v="346"/>
    <s v="Proyecto operacional"/>
    <s v="Enviado"/>
    <s v="22.04"/>
    <x v="341"/>
    <s v="Se requiere la reposición y adquisición de insumos médicos para los botiquines de las Unidades Residencial y Ambulatoria de la Comunidad Terapéutica. Con personal compuestos por enfermeros, técnicos paramédicos y médicos, se busca atender emergencias, aliviar el dolor, realizar curaciones y manejar patologías menores. Contar con botiquines equipados permite brindar atención primaria oportuna ante eventos ocurridos durante la estadía o actividades de la unidad."/>
    <x v="5"/>
    <x v="280"/>
    <n v="4"/>
    <n v="23"/>
    <x v="389"/>
    <x v="414"/>
    <x v="4"/>
    <x v="33"/>
    <x v="43"/>
    <x v="48"/>
    <s v="64-2565492-"/>
    <s v="carolina.silvall@redsalud.gob.cl"/>
    <x v="15"/>
    <m/>
    <n v="0"/>
    <m/>
    <n v="0"/>
    <n v="0"/>
    <m/>
    <x v="1"/>
  </r>
  <r>
    <s v="SERVICIO DE SALUD OSORNO"/>
    <x v="0"/>
    <x v="346"/>
    <s v="Proyecto operacional"/>
    <s v="Enviado"/>
    <s v="22.04"/>
    <x v="341"/>
    <s v="Se requiere la reposición y adquisición de insumos médicos para los botiquines de las Unidades Residencial y Ambulatoria de la Comunidad Terapéutica. Con personal compuestos por enfermeros, técnicos paramédicos y médicos, se busca atender emergencias, aliviar el dolor, realizar curaciones y manejar patologías menores. Contar con botiquines equipados permite brindar atención primaria oportuna ante eventos ocurridos durante la estadía o actividades de la unidad."/>
    <x v="5"/>
    <x v="281"/>
    <n v="4"/>
    <n v="431"/>
    <x v="390"/>
    <x v="415"/>
    <x v="4"/>
    <x v="33"/>
    <x v="43"/>
    <x v="48"/>
    <s v="64-2565492-"/>
    <s v="carolina.silvall@redsalud.gob.cl"/>
    <x v="15"/>
    <m/>
    <n v="0"/>
    <m/>
    <n v="0"/>
    <n v="0"/>
    <m/>
    <x v="1"/>
  </r>
  <r>
    <s v="SERVICIO DE SALUD OSORNO"/>
    <x v="0"/>
    <x v="346"/>
    <s v="Proyecto operacional"/>
    <s v="Enviado"/>
    <s v="22.04"/>
    <x v="341"/>
    <s v="Se requiere la reposición y adquisición de insumos médicos para los botiquines de las Unidades Residencial y Ambulatoria de la Comunidad Terapéutica. Con personal compuestos por enfermeros, técnicos paramédicos y médicos, se busca atender emergencias, aliviar el dolor, realizar curaciones y manejar patologías menores. Contar con botiquines equipados permite brindar atención primaria oportuna ante eventos ocurridos durante la estadía o actividades de la unidad."/>
    <x v="5"/>
    <x v="282"/>
    <n v="4"/>
    <n v="3002"/>
    <x v="391"/>
    <x v="416"/>
    <x v="4"/>
    <x v="33"/>
    <x v="43"/>
    <x v="48"/>
    <s v="64-2565492-"/>
    <s v="carolina.silvall@redsalud.gob.cl"/>
    <x v="15"/>
    <m/>
    <n v="0"/>
    <m/>
    <n v="0"/>
    <n v="0"/>
    <m/>
    <x v="1"/>
  </r>
  <r>
    <s v="SERVICIO DE SALUD OSORNO"/>
    <x v="0"/>
    <x v="347"/>
    <s v="Proyecto operacional"/>
    <s v="Enviado"/>
    <n v="2592"/>
    <x v="342"/>
    <s v="Adquisición de insumos médicos para el control cardiovascular/integral en APS. 1) EQUIPO DE CURACION DESECHABLE: 2.000 UNIDADES. 2) CURETAS FOX (3 mm o 4 mm): 500 UNIDADES (19 cajas c/25 unidades). 3) MONOFILAMENTO SEMMES WEINSTEIN: 250 UNIDADES. 4) CINTA MÉTRICA RETRÁCTIL: 150 UNIDADES. Compra para marzo 2025."/>
    <x v="1"/>
    <x v="89"/>
    <n v="4"/>
    <n v="2900"/>
    <x v="392"/>
    <x v="417"/>
    <x v="4"/>
    <x v="32"/>
    <x v="24"/>
    <x v="91"/>
    <s v="64-2335810-"/>
    <s v="consuelo.cordova@redsalud.gob.cl"/>
    <x v="21"/>
    <m/>
    <n v="0"/>
    <m/>
    <n v="0"/>
    <n v="0"/>
    <m/>
    <x v="1"/>
  </r>
  <r>
    <s v="SERVICIO DE SALUD OSORNO"/>
    <x v="0"/>
    <x v="348"/>
    <s v="Proyecto operacional"/>
    <s v="Enviado"/>
    <s v="22.04"/>
    <x v="343"/>
    <s v="Mantener stock de recursos para el desarrollo de actividades psicopedagógicas y desde el abordaje cognitivo conductual de todos los terapeutas, todas dirigidas a que las personas en tratamientos y familiares logren a través de actividades grupales dirigidas, adquirir conocimientos de forma lúdica con estrategias que permitan el desarrollo de creatividad, estimulación y discriminación visual."/>
    <x v="0"/>
    <x v="267"/>
    <n v="4"/>
    <n v="731"/>
    <x v="393"/>
    <x v="418"/>
    <x v="4"/>
    <x v="24"/>
    <x v="43"/>
    <x v="48"/>
    <s v="64-2565492-"/>
    <s v="carolina.silvall@redsalud.gob.cl"/>
    <x v="21"/>
    <m/>
    <n v="0"/>
    <m/>
    <n v="0"/>
    <n v="0"/>
    <m/>
    <x v="1"/>
  </r>
  <r>
    <s v="SERVICIO DE SALUD OSORNO"/>
    <x v="0"/>
    <x v="348"/>
    <s v="Proyecto operacional"/>
    <s v="Enviado"/>
    <s v="22.04"/>
    <x v="343"/>
    <s v="Mantener stock de recursos para el desarrollo de actividades psicopedagógicas y desde el abordaje cognitivo conductual de todos los terapeutas, todas dirigidas a que las personas en tratamientos y familiares logren a través de actividades grupales dirigidas, adquirir conocimientos de forma lúdica con estrategias que permitan el desarrollo de creatividad, estimulación y discriminación visual."/>
    <x v="0"/>
    <x v="276"/>
    <n v="4"/>
    <n v="70"/>
    <x v="394"/>
    <x v="419"/>
    <x v="4"/>
    <x v="24"/>
    <x v="43"/>
    <x v="48"/>
    <s v="64-2565492-"/>
    <s v="carolina.silvall@redsalud.gob.cl"/>
    <x v="21"/>
    <m/>
    <n v="0"/>
    <m/>
    <n v="0"/>
    <n v="0"/>
    <m/>
    <x v="1"/>
  </r>
  <r>
    <s v="SERVICIO DE SALUD OSORNO"/>
    <x v="0"/>
    <x v="349"/>
    <s v="Proyecto operacional"/>
    <s v="Enviado"/>
    <s v="22.04"/>
    <x v="344"/>
    <s v="Adquisición de insumos para la atención y educación en salud, a personas bajo control en distintos programas de la atención primaria: - 100 cajas Apositos - 10 linternas frontales - 10 diapazón - 10 tijera corta yeso dentada Bruns - 10 fonendoscopios pediátricos - 14 Podoscopio"/>
    <x v="5"/>
    <x v="184"/>
    <n v="4"/>
    <n v="44"/>
    <x v="395"/>
    <x v="420"/>
    <x v="4"/>
    <x v="32"/>
    <x v="24"/>
    <x v="91"/>
    <s v="64-2335810-"/>
    <s v="consuelo.cordova@redsalud.gob.cl"/>
    <x v="21"/>
    <m/>
    <n v="0"/>
    <m/>
    <n v="0"/>
    <n v="0"/>
    <m/>
    <x v="1"/>
  </r>
  <r>
    <s v="SERVICIO DE SALUD OSORNO"/>
    <x v="0"/>
    <x v="349"/>
    <s v="Proyecto operacional"/>
    <s v="Enviado"/>
    <s v="22.04"/>
    <x v="344"/>
    <s v="Adquisición de insumos para la atención y educación en salud, a personas bajo control en distintos programas de la atención primaria: - 100 cajas Apositos - 10 linternas frontales - 10 diapazón - 10 tijera corta yeso dentada Bruns - 10 fonendoscopios pediátricos - 14 Podoscopio"/>
    <x v="5"/>
    <x v="283"/>
    <n v="4"/>
    <n v="10"/>
    <x v="156"/>
    <x v="182"/>
    <x v="4"/>
    <x v="32"/>
    <x v="24"/>
    <x v="91"/>
    <s v="64-2335810-"/>
    <s v="consuelo.cordova@redsalud.gob.cl"/>
    <x v="21"/>
    <m/>
    <n v="0"/>
    <m/>
    <n v="0"/>
    <n v="0"/>
    <m/>
    <x v="1"/>
  </r>
  <r>
    <s v="SERVICIO DE SALUD OSORNO"/>
    <x v="0"/>
    <x v="349"/>
    <s v="Proyecto operacional"/>
    <s v="Enviado"/>
    <s v="22.04"/>
    <x v="344"/>
    <s v="Adquisición de insumos para la atención y educación en salud, a personas bajo control en distintos programas de la atención primaria: - 100 cajas Apositos - 10 linternas frontales - 10 diapazón - 10 tijera corta yeso dentada Bruns - 10 fonendoscopios pediátricos - 14 Podoscopio"/>
    <x v="5"/>
    <x v="284"/>
    <n v="4"/>
    <n v="100"/>
    <x v="225"/>
    <x v="95"/>
    <x v="4"/>
    <x v="32"/>
    <x v="24"/>
    <x v="91"/>
    <s v="64-2335810-"/>
    <s v="consuelo.cordova@redsalud.gob.cl"/>
    <x v="21"/>
    <m/>
    <n v="0"/>
    <m/>
    <n v="0"/>
    <n v="0"/>
    <m/>
    <x v="1"/>
  </r>
  <r>
    <s v="SERVICIO DE SALUD OSORNO"/>
    <x v="0"/>
    <x v="350"/>
    <s v="Proyecto operacional"/>
    <s v="Enviado"/>
    <n v="2590"/>
    <x v="345"/>
    <s v="Realizar actividad conmemorativa enmarcada en el cumplimiento de los 10 años de antigüedad del centro kümelen en septiembre 2026."/>
    <x v="5"/>
    <x v="63"/>
    <n v="4"/>
    <n v="100"/>
    <x v="182"/>
    <x v="199"/>
    <x v="4"/>
    <x v="26"/>
    <x v="98"/>
    <x v="96"/>
    <s v="64-2337366-"/>
    <s v="carlos.utreras@redsalud.gob.cl"/>
    <x v="16"/>
    <m/>
    <n v="0"/>
    <m/>
    <n v="0"/>
    <n v="0"/>
    <m/>
    <x v="1"/>
  </r>
  <r>
    <s v="SERVICIO DE SALUD OSORNO"/>
    <x v="0"/>
    <x v="350"/>
    <s v="Proyecto operacional"/>
    <s v="Enviado"/>
    <n v="2590"/>
    <x v="345"/>
    <s v="Realizar actividad conmemorativa enmarcada en el cumplimiento de los 10 años de antigüedad del centro kümelen en septiembre 2026."/>
    <x v="5"/>
    <x v="285"/>
    <n v="4"/>
    <n v="200"/>
    <x v="396"/>
    <x v="401"/>
    <x v="4"/>
    <x v="26"/>
    <x v="98"/>
    <x v="96"/>
    <s v="64-2337366-"/>
    <s v="carlos.utreras@redsalud.gob.cl"/>
    <x v="16"/>
    <m/>
    <n v="0"/>
    <m/>
    <n v="0"/>
    <n v="0"/>
    <m/>
    <x v="1"/>
  </r>
  <r>
    <s v="SERVICIO DE SALUD OSORNO"/>
    <x v="0"/>
    <x v="350"/>
    <s v="Proyecto operacional"/>
    <s v="Enviado"/>
    <n v="2590"/>
    <x v="345"/>
    <s v="Realizar actividad conmemorativa enmarcada en el cumplimiento de los 10 años de antigüedad del centro kümelen en septiembre 2026."/>
    <x v="5"/>
    <x v="135"/>
    <n v="4"/>
    <n v="100"/>
    <x v="357"/>
    <x v="421"/>
    <x v="4"/>
    <x v="26"/>
    <x v="98"/>
    <x v="96"/>
    <s v="64-2337366-"/>
    <s v="carlos.utreras@redsalud.gob.cl"/>
    <x v="16"/>
    <m/>
    <n v="0"/>
    <m/>
    <n v="0"/>
    <n v="0"/>
    <m/>
    <x v="1"/>
  </r>
  <r>
    <s v="SERVICIO DE SALUD OSORNO"/>
    <x v="1"/>
    <x v="351"/>
    <s v="Proyecto estratégico"/>
    <s v="Enviado"/>
    <s v="22.01-22.04-22.02"/>
    <x v="346"/>
    <s v="Consiste en enseñar a los usuarios de forma teórico-práctica habilidades para lograr la máxima independencia de los usuarios de salud mental. Fomentar máxima autonomía posible de los participantes según su nivel de funcionalidad, identificar las fortalezas y necesidades individuales de cada participante, desarrollar habilidades para la vida diaria en AVD básicas, instrumentales, en interacción y comunicación, explorar los recursos disponibles en la comunidad para brindar apoyo adicional."/>
    <x v="7"/>
    <x v="286"/>
    <n v="4"/>
    <n v="17"/>
    <x v="397"/>
    <x v="422"/>
    <x v="4"/>
    <x v="38"/>
    <x v="44"/>
    <x v="97"/>
    <s v="64-2565610-"/>
    <s v="pedro.fritz@redsalud.gob.cl"/>
    <x v="13"/>
    <m/>
    <n v="0"/>
    <m/>
    <n v="0"/>
    <n v="0"/>
    <m/>
    <x v="1"/>
  </r>
  <r>
    <s v="SERVICIO DE SALUD OSORNO"/>
    <x v="1"/>
    <x v="351"/>
    <s v="Proyecto estratégico"/>
    <s v="Enviado"/>
    <s v="22.01-22.04-22.02"/>
    <x v="346"/>
    <s v="Consiste en enseñar a los usuarios de forma teórico-práctica habilidades para lograr la máxima independencia de los usuarios de salud mental. Fomentar máxima autonomía posible de los participantes según su nivel de funcionalidad, identificar las fortalezas y necesidades individuales de cada participante, desarrollar habilidades para la vida diaria en AVD básicas, instrumentales, en interacción y comunicación, explorar los recursos disponibles en la comunidad para brindar apoyo adicional."/>
    <x v="7"/>
    <x v="31"/>
    <n v="4"/>
    <n v="24"/>
    <x v="398"/>
    <x v="423"/>
    <x v="4"/>
    <x v="38"/>
    <x v="44"/>
    <x v="97"/>
    <s v="64-2565610-"/>
    <s v="pedro.fritz@redsalud.gob.cl"/>
    <x v="13"/>
    <m/>
    <n v="0"/>
    <m/>
    <n v="0"/>
    <n v="0"/>
    <m/>
    <x v="1"/>
  </r>
  <r>
    <s v="SERVICIO DE SALUD OSORNO"/>
    <x v="1"/>
    <x v="351"/>
    <s v="Proyecto estratégico"/>
    <s v="Enviado"/>
    <s v="22.01-22.04-22.02"/>
    <x v="346"/>
    <s v="Consiste en enseñar a los usuarios de forma teórico-práctica habilidades para lograr la máxima independencia de los usuarios de salud mental. Fomentar máxima autonomía posible de los participantes según su nivel de funcionalidad, identificar las fortalezas y necesidades individuales de cada participante, desarrollar habilidades para la vida diaria en AVD básicas, instrumentales, en interacción y comunicación, explorar los recursos disponibles en la comunidad para brindar apoyo adicional."/>
    <x v="7"/>
    <x v="287"/>
    <n v="4"/>
    <n v="18"/>
    <x v="399"/>
    <x v="424"/>
    <x v="4"/>
    <x v="38"/>
    <x v="44"/>
    <x v="97"/>
    <s v="64-2565610-"/>
    <s v="pedro.fritz@redsalud.gob.cl"/>
    <x v="13"/>
    <m/>
    <n v="0"/>
    <m/>
    <n v="0"/>
    <n v="0"/>
    <m/>
    <x v="1"/>
  </r>
  <r>
    <s v="SERVICIO DE SALUD OSORNO"/>
    <x v="1"/>
    <x v="351"/>
    <s v="Proyecto estratégico"/>
    <s v="Enviado"/>
    <s v="22.01-22.04-22.02"/>
    <x v="346"/>
    <s v="Consiste en enseñar a los usuarios de forma teórico-práctica habilidades para lograr la máxima independencia de los usuarios de salud mental. Fomentar máxima autonomía posible de los participantes según su nivel de funcionalidad, identificar las fortalezas y necesidades individuales de cada participante, desarrollar habilidades para la vida diaria en AVD básicas, instrumentales, en interacción y comunicación, explorar los recursos disponibles en la comunidad para brindar apoyo adicional."/>
    <x v="7"/>
    <x v="288"/>
    <n v="4"/>
    <n v="4"/>
    <x v="87"/>
    <x v="150"/>
    <x v="4"/>
    <x v="38"/>
    <x v="44"/>
    <x v="97"/>
    <s v="64-2565610-"/>
    <s v="pedro.fritz@redsalud.gob.cl"/>
    <x v="13"/>
    <m/>
    <n v="0"/>
    <m/>
    <n v="0"/>
    <n v="0"/>
    <m/>
    <x v="1"/>
  </r>
  <r>
    <s v="SERVICIO DE SALUD OSORNO"/>
    <x v="1"/>
    <x v="351"/>
    <s v="Proyecto estratégico"/>
    <s v="Enviado"/>
    <s v="22.01-22.04-22.02"/>
    <x v="346"/>
    <s v="Consiste en enseñar a los usuarios de forma teórico-práctica habilidades para lograr la máxima independencia de los usuarios de salud mental. Fomentar máxima autonomía posible de los participantes según su nivel de funcionalidad, identificar las fortalezas y necesidades individuales de cada participante, desarrollar habilidades para la vida diaria en AVD básicas, instrumentales, en interacción y comunicación, explorar los recursos disponibles en la comunidad para brindar apoyo adicional."/>
    <x v="7"/>
    <x v="289"/>
    <n v="4"/>
    <n v="1"/>
    <x v="400"/>
    <x v="425"/>
    <x v="4"/>
    <x v="38"/>
    <x v="44"/>
    <x v="97"/>
    <s v="64-2565610-"/>
    <s v="pedro.fritz@redsalud.gob.cl"/>
    <x v="13"/>
    <m/>
    <n v="0"/>
    <m/>
    <n v="0"/>
    <n v="0"/>
    <m/>
    <x v="1"/>
  </r>
  <r>
    <s v="SERVICIO DE SALUD OSORNO"/>
    <x v="0"/>
    <x v="352"/>
    <s v="Proyecto operacional"/>
    <s v="Enviado"/>
    <n v="2591"/>
    <x v="347"/>
    <s v="Adquisición de ciclo de capacitaciones para la red asistencial en ECICEP, considerando capacitaciones transversales para el equipo de salud, capacitaciones para Médicos, Capacitaciones para Enfermeras y TENS."/>
    <x v="1"/>
    <x v="290"/>
    <n v="4"/>
    <n v="4"/>
    <x v="401"/>
    <x v="426"/>
    <x v="4"/>
    <x v="24"/>
    <x v="83"/>
    <x v="98"/>
    <s v="64-2335465-"/>
    <s v="mariapaz.gomez.n@redsalud.gob.cl"/>
    <x v="14"/>
    <m/>
    <n v="0"/>
    <m/>
    <n v="0"/>
    <n v="0"/>
    <m/>
    <x v="1"/>
  </r>
  <r>
    <s v="SERVICIO DE SALUD OSORNO"/>
    <x v="0"/>
    <x v="353"/>
    <s v="Proyecto operacional"/>
    <s v="Enviado"/>
    <s v="22.04.003"/>
    <x v="348"/>
    <s v="Adquisición de insumos clínicos necesarios para la atención de usuarias en un entorno limpio e higiénico."/>
    <x v="0"/>
    <x v="291"/>
    <n v="4"/>
    <n v="412"/>
    <x v="402"/>
    <x v="427"/>
    <x v="4"/>
    <x v="35"/>
    <x v="99"/>
    <x v="99"/>
    <s v="64-2331026-"/>
    <s v="barbara.mendez@redsalud.gob.cl"/>
    <x v="13"/>
    <m/>
    <n v="0"/>
    <m/>
    <n v="0"/>
    <n v="0"/>
    <m/>
    <x v="1"/>
  </r>
  <r>
    <s v="SERVICIO DE SALUD OSORNO"/>
    <x v="0"/>
    <x v="353"/>
    <s v="Proyecto operacional"/>
    <s v="Enviado"/>
    <s v="22.04.003"/>
    <x v="348"/>
    <s v="Adquisición de insumos clínicos necesarios para la atención de usuarias en un entorno limpio e higiénico."/>
    <x v="0"/>
    <x v="292"/>
    <n v="4"/>
    <n v="1200"/>
    <x v="403"/>
    <x v="428"/>
    <x v="4"/>
    <x v="35"/>
    <x v="99"/>
    <x v="99"/>
    <s v="64-2331026-"/>
    <s v="barbara.mendez@redsalud.gob.cl"/>
    <x v="13"/>
    <m/>
    <n v="0"/>
    <m/>
    <n v="0"/>
    <n v="0"/>
    <m/>
    <x v="1"/>
  </r>
  <r>
    <s v="SERVICIO DE SALUD OSORNO"/>
    <x v="0"/>
    <x v="354"/>
    <s v="Proyecto operacional"/>
    <s v="Enviado"/>
    <n v="2594"/>
    <x v="349"/>
    <s v="1) 10 Set de brazaletes tensiómetros reusables para la medición de la presión arterial. Cada Set viene brazaletes de 4 tamaños: Pediátrico (15-21 cms), Adulto pequeño/Adolescente (20-26 cms), Adulto mediano (25-34 cms), Adulto grande/Obeso (32-43 cms). Garantía técnica mínima 18 meses. 2) 10 unidades esfigmomanómetro automatizado, diseñado para la medición de la presión arterial y la frecuencia cardíaca en personas con edades superiores a los 3 años. Validado para Chile y autorizado por Minsal para uso profesional. Compra Marzo 2026."/>
    <x v="1"/>
    <x v="184"/>
    <n v="4"/>
    <n v="20"/>
    <x v="404"/>
    <x v="106"/>
    <x v="4"/>
    <x v="24"/>
    <x v="24"/>
    <x v="91"/>
    <s v="64-2335810-"/>
    <s v="consuelo.cordova@redsalud.gob.cl"/>
    <x v="21"/>
    <m/>
    <n v="0"/>
    <m/>
    <n v="0"/>
    <n v="0"/>
    <m/>
    <x v="1"/>
  </r>
  <r>
    <s v="SERVICIO DE SALUD OSORNO"/>
    <x v="0"/>
    <x v="355"/>
    <s v="Proyecto operacional"/>
    <s v="Enviado"/>
    <s v="22.04.004"/>
    <x v="350"/>
    <s v="Adquisición de dispositivos médicos para el apoyo a la gestión de curaciones avanzadas en usuarios portadores de úlcera venosa y úlcera del pie diabético a ejecutarse en marzo 2026."/>
    <x v="1"/>
    <x v="284"/>
    <n v="4"/>
    <n v="870"/>
    <x v="405"/>
    <x v="429"/>
    <x v="4"/>
    <x v="32"/>
    <x v="24"/>
    <x v="100"/>
    <s v="64-2335810-"/>
    <s v="consuelo.cordova@redsalud.gob.cl"/>
    <x v="21"/>
    <m/>
    <n v="0"/>
    <m/>
    <n v="0"/>
    <n v="0"/>
    <m/>
    <x v="1"/>
  </r>
  <r>
    <s v="SERVICIO DE SALUD OSORNO"/>
    <x v="0"/>
    <x v="356"/>
    <s v="Proyecto operacional"/>
    <s v="Enviado"/>
    <n v="2597"/>
    <x v="351"/>
    <s v="Proveer de servicios de catering para jornada de capacitación Médicos Generales Imágenes Diagnósticas."/>
    <x v="1"/>
    <x v="63"/>
    <n v="4"/>
    <n v="8"/>
    <x v="144"/>
    <x v="219"/>
    <x v="4"/>
    <x v="24"/>
    <x v="99"/>
    <x v="99"/>
    <s v="64-2331026-"/>
    <s v="barbara.mendez@redsalud.gob.cl"/>
    <x v="14"/>
    <m/>
    <n v="0"/>
    <m/>
    <n v="0"/>
    <n v="0"/>
    <m/>
    <x v="1"/>
  </r>
  <r>
    <s v="SERVICIO DE SALUD OSORNO"/>
    <x v="0"/>
    <x v="357"/>
    <s v="Proyecto estratégico"/>
    <s v="Enviado"/>
    <n v="2598"/>
    <x v="352"/>
    <s v="Adquisición de exámenes con informe radiológico de ecotomografía abdominal y mamaria para los hospitales acreditados dependientes del Servicio de Salud Osorno."/>
    <x v="0"/>
    <x v="293"/>
    <n v="4"/>
    <n v="1000"/>
    <x v="225"/>
    <x v="290"/>
    <x v="11"/>
    <x v="20"/>
    <x v="99"/>
    <x v="99"/>
    <s v="64-2331026-"/>
    <s v="barbara.mendez@redsalud.gob.cl"/>
    <x v="13"/>
    <m/>
    <n v="0"/>
    <m/>
    <n v="0"/>
    <n v="0"/>
    <m/>
    <x v="1"/>
  </r>
  <r>
    <s v="SERVICIO DE SALUD OSORNO"/>
    <x v="0"/>
    <x v="357"/>
    <s v="Proyecto estratégico"/>
    <s v="Enviado"/>
    <n v="2598"/>
    <x v="352"/>
    <s v="Adquisición de exámenes con informe radiológico de ecotomografía abdominal y mamaria para los hospitales acreditados dependientes del Servicio de Salud Osorno."/>
    <x v="0"/>
    <x v="294"/>
    <n v="4"/>
    <n v="1000"/>
    <x v="225"/>
    <x v="290"/>
    <x v="11"/>
    <x v="20"/>
    <x v="99"/>
    <x v="99"/>
    <s v="64-2331026-"/>
    <s v="barbara.mendez@redsalud.gob.cl"/>
    <x v="13"/>
    <m/>
    <n v="0"/>
    <m/>
    <n v="0"/>
    <n v="0"/>
    <m/>
    <x v="1"/>
  </r>
  <r>
    <s v="SERVICIO DE SALUD OSORNO"/>
    <x v="0"/>
    <x v="358"/>
    <s v="Proyecto operacional"/>
    <s v="Enviado"/>
    <s v="22.01-22.04"/>
    <x v="353"/>
    <s v="Contar con insumos de cafetería para ser utilizados dentro de talleres y charlas mencionadas que están dirigidos a la comunidad usuaria del servicio. Los artículos de oficina son para hacer cuadernillos de manuales y orientaciones técnicas de la unidad, también para folletería que será entregada a la comunidad funcionaria y usuaria en talleres, charlas y ferias laborales de la provincia."/>
    <x v="6"/>
    <x v="31"/>
    <n v="4"/>
    <n v="685"/>
    <x v="406"/>
    <x v="430"/>
    <x v="4"/>
    <x v="24"/>
    <x v="74"/>
    <x v="101"/>
    <s v="64-2565640-"/>
    <s v="guisella.franco@redsalud.gob.cl"/>
    <x v="21"/>
    <m/>
    <n v="0"/>
    <m/>
    <n v="0"/>
    <n v="0"/>
    <m/>
    <x v="1"/>
  </r>
  <r>
    <s v="SERVICIO DE SALUD OSORNO"/>
    <x v="0"/>
    <x v="358"/>
    <s v="Proyecto operacional"/>
    <s v="Enviado"/>
    <s v="22.01-22.04"/>
    <x v="353"/>
    <s v="Contar con insumos de cafetería para ser utilizados dentro de talleres y charlas mencionadas que están dirigidos a la comunidad usuaria del servicio. Los artículos de oficina son para hacer cuadernillos de manuales y orientaciones técnicas de la unidad, también para folletería que será entregada a la comunidad funcionaria y usuaria en talleres, charlas y ferias laborales de la provincia."/>
    <x v="6"/>
    <x v="295"/>
    <n v="4"/>
    <n v="200"/>
    <x v="407"/>
    <x v="265"/>
    <x v="4"/>
    <x v="25"/>
    <x v="74"/>
    <x v="101"/>
    <s v="64-2565640-"/>
    <s v="guisella.franco@redsalud.gob.cl"/>
    <x v="20"/>
    <m/>
    <n v="0"/>
    <m/>
    <n v="0"/>
    <n v="0"/>
    <m/>
    <x v="1"/>
  </r>
  <r>
    <s v="SERVICIO DE SALUD OSORNO"/>
    <x v="0"/>
    <x v="358"/>
    <s v="Proyecto operacional"/>
    <s v="Enviado"/>
    <s v="22.01-22.04"/>
    <x v="353"/>
    <s v="Contar con insumos de cafetería para ser utilizados dentro de talleres y charlas mencionadas que están dirigidos a la comunidad usuaria del servicio. Los artículos de oficina son para hacer cuadernillos de manuales y orientaciones técnicas de la unidad, también para folletería que será entregada a la comunidad funcionaria y usuaria en talleres, charlas y ferias laborales de la provincia."/>
    <x v="6"/>
    <x v="186"/>
    <n v="4"/>
    <n v="4"/>
    <x v="154"/>
    <x v="431"/>
    <x v="4"/>
    <x v="25"/>
    <x v="74"/>
    <x v="101"/>
    <s v="64-2565640-"/>
    <s v="guisella.franco@redsalud.gob.cl"/>
    <x v="20"/>
    <m/>
    <n v="0"/>
    <m/>
    <n v="0"/>
    <n v="0"/>
    <m/>
    <x v="1"/>
  </r>
  <r>
    <s v="SERVICIO DE SALUD OSORNO"/>
    <x v="0"/>
    <x v="358"/>
    <s v="Proyecto operacional"/>
    <s v="Enviado"/>
    <s v="22.01-22.04"/>
    <x v="353"/>
    <s v="Contar con insumos de cafetería para ser utilizados dentro de talleres y charlas mencionadas que están dirigidos a la comunidad usuaria del servicio. Los artículos de oficina son para hacer cuadernillos de manuales y orientaciones técnicas de la unidad, también para folletería que será entregada a la comunidad funcionaria y usuaria en talleres, charlas y ferias laborales de la provincia."/>
    <x v="6"/>
    <x v="276"/>
    <n v="4"/>
    <n v="452"/>
    <x v="408"/>
    <x v="432"/>
    <x v="4"/>
    <x v="32"/>
    <x v="74"/>
    <x v="101"/>
    <s v="64-2565640-"/>
    <s v="guisella.franco@redsalud.gob.cl"/>
    <x v="19"/>
    <m/>
    <n v="0"/>
    <m/>
    <n v="0"/>
    <n v="0"/>
    <m/>
    <x v="1"/>
  </r>
  <r>
    <s v="SERVICIO DE SALUD OSORNO"/>
    <x v="0"/>
    <x v="359"/>
    <s v="Proyecto operacional"/>
    <s v="Enviado"/>
    <n v="2599"/>
    <x v="354"/>
    <s v="Convenio de informes radiológicos simples y mamografia, en calidad de ambulatorios y urgentes, para los Establecimientos dependientes del Servicio de Salud Osorno."/>
    <x v="0"/>
    <x v="296"/>
    <n v="4"/>
    <n v="1000"/>
    <x v="225"/>
    <x v="290"/>
    <x v="11"/>
    <x v="20"/>
    <x v="99"/>
    <x v="99"/>
    <s v="64-2331026-"/>
    <s v="barbara.mendez@redsalud.gob.cl"/>
    <x v="13"/>
    <m/>
    <n v="0"/>
    <m/>
    <n v="0"/>
    <n v="0"/>
    <m/>
    <x v="1"/>
  </r>
  <r>
    <s v="SERVICIO DE SALUD OSORNO"/>
    <x v="0"/>
    <x v="359"/>
    <s v="Proyecto operacional"/>
    <s v="Enviado"/>
    <n v="2599"/>
    <x v="354"/>
    <s v="Convenio de informes radiológicos simples y mamografia, en calidad de ambulatorios y urgentes, para los Establecimientos dependientes del Servicio de Salud Osorno."/>
    <x v="0"/>
    <x v="297"/>
    <n v="4"/>
    <n v="12000"/>
    <x v="409"/>
    <x v="433"/>
    <x v="11"/>
    <x v="20"/>
    <x v="99"/>
    <x v="99"/>
    <s v="64-2331026-"/>
    <s v="barbara.mendez@redsalud.gob.cl"/>
    <x v="13"/>
    <m/>
    <n v="0"/>
    <m/>
    <n v="0"/>
    <n v="0"/>
    <m/>
    <x v="1"/>
  </r>
  <r>
    <s v="SERVICIO DE SALUD OSORNO"/>
    <x v="0"/>
    <x v="360"/>
    <s v="Proyecto operacional"/>
    <s v="Enviado"/>
    <s v="22.01.001"/>
    <x v="355"/>
    <s v="La presente adquisición tiene como finalidad contar con los insumos y servicios necesarios para la conmemoración del día mundial de la mujer, esta jornada esta dirigida y reconocer y visibilizar el rol de las mujeres en el ámbito laboral y las personas con demencias, cuidadoras y familiares, promoviendo la equidad de genero, bienestar y participación comunitaria. Se contempla material de difusión, ambientación y alimentación. Marzo 2026."/>
    <x v="5"/>
    <x v="82"/>
    <n v="4"/>
    <n v="22"/>
    <x v="410"/>
    <x v="434"/>
    <x v="4"/>
    <x v="32"/>
    <x v="98"/>
    <x v="96"/>
    <s v="64-2337366-"/>
    <s v="carlos.utreras@redsalud.gob.cl"/>
    <x v="21"/>
    <m/>
    <n v="0"/>
    <m/>
    <n v="0"/>
    <n v="0"/>
    <m/>
    <x v="1"/>
  </r>
  <r>
    <s v="SERVICIO DE SALUD OSORNO"/>
    <x v="0"/>
    <x v="360"/>
    <s v="Proyecto operacional"/>
    <s v="Enviado"/>
    <s v="22.01.001"/>
    <x v="355"/>
    <s v="La presente adquisición tiene como finalidad contar con los insumos y servicios necesarios para la conmemoración del día mundial de la mujer, esta jornada esta dirigida y reconocer y visibilizar el rol de las mujeres en el ámbito laboral y las personas con demencias, cuidadoras y familiares, promoviendo la equidad de genero, bienestar y participación comunitaria. Se contempla material de difusión, ambientación y alimentación. Marzo 2026."/>
    <x v="5"/>
    <x v="298"/>
    <n v="4"/>
    <n v="22"/>
    <x v="411"/>
    <x v="435"/>
    <x v="4"/>
    <x v="32"/>
    <x v="98"/>
    <x v="96"/>
    <s v="64-2337366-"/>
    <s v="carlos.utreras@redsalud.gob.cl"/>
    <x v="21"/>
    <m/>
    <n v="0"/>
    <m/>
    <n v="0"/>
    <n v="0"/>
    <m/>
    <x v="1"/>
  </r>
  <r>
    <s v="SERVICIO DE SALUD OSORNO"/>
    <x v="0"/>
    <x v="360"/>
    <s v="Proyecto operacional"/>
    <s v="Enviado"/>
    <s v="22.01.001"/>
    <x v="355"/>
    <s v="La presente adquisición tiene como finalidad contar con los insumos y servicios necesarios para la conmemoración del día mundial de la mujer, esta jornada esta dirigida y reconocer y visibilizar el rol de las mujeres en el ámbito laboral y las personas con demencias, cuidadoras y familiares, promoviendo la equidad de genero, bienestar y participación comunitaria. Se contempla material de difusión, ambientación y alimentación. Marzo 2026."/>
    <x v="5"/>
    <x v="135"/>
    <n v="4"/>
    <n v="22"/>
    <x v="412"/>
    <x v="436"/>
    <x v="4"/>
    <x v="32"/>
    <x v="98"/>
    <x v="96"/>
    <s v="64-2337366-"/>
    <s v="carlos.utreras@redsalud.gob.cl"/>
    <x v="21"/>
    <m/>
    <n v="0"/>
    <m/>
    <n v="0"/>
    <n v="0"/>
    <m/>
    <x v="1"/>
  </r>
  <r>
    <s v="SERVICIO DE SALUD OSORNO"/>
    <x v="0"/>
    <x v="361"/>
    <s v="Proyecto operacional"/>
    <s v="Enviado"/>
    <n v="2601"/>
    <x v="356"/>
    <s v="Mantener suministro de servicio de dosimetría, para Trabajadores Ocupacionalmente Expuestos a radiaciones Ionizantes, para los 4 trimestres del año 2026"/>
    <x v="1"/>
    <x v="299"/>
    <n v="4"/>
    <n v="15"/>
    <x v="413"/>
    <x v="437"/>
    <x v="4"/>
    <x v="35"/>
    <x v="99"/>
    <x v="99"/>
    <s v="64-2331026-"/>
    <s v="barbara.mendez@redsalud.gob.cl"/>
    <x v="13"/>
    <m/>
    <n v="0"/>
    <m/>
    <n v="0"/>
    <n v="0"/>
    <m/>
    <x v="1"/>
  </r>
  <r>
    <s v="SERVICIO DE SALUD OSORNO"/>
    <x v="0"/>
    <x v="362"/>
    <s v="Proyecto operacional"/>
    <s v="Enviado"/>
    <s v="22.08.007"/>
    <x v="357"/>
    <s v="Servicio de movilización sin conductor, para el traslado de funcionarios mamógrafo móvil del servicio de salud Osorno."/>
    <x v="1"/>
    <x v="300"/>
    <n v="4"/>
    <n v="1"/>
    <x v="255"/>
    <x v="290"/>
    <x v="11"/>
    <x v="20"/>
    <x v="99"/>
    <x v="99"/>
    <s v="64-2331026-"/>
    <s v="barbara.mendez@redsalud.gob.cl"/>
    <x v="13"/>
    <m/>
    <n v="0"/>
    <m/>
    <n v="0"/>
    <n v="0"/>
    <m/>
    <x v="1"/>
  </r>
  <r>
    <s v="SERVICIO DE SALUD OSORNO"/>
    <x v="1"/>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x v="3"/>
    <x v="301"/>
    <n v="4"/>
    <n v="500"/>
    <x v="414"/>
    <x v="182"/>
    <x v="4"/>
    <x v="32"/>
    <x v="100"/>
    <x v="102"/>
    <s v="64-2335687-"/>
    <s v="marco.gonzalezf@redsalud.gob.cl"/>
    <x v="21"/>
    <m/>
    <n v="0"/>
    <m/>
    <n v="0"/>
    <n v="0"/>
    <m/>
    <x v="1"/>
  </r>
  <r>
    <s v="SERVICIO DE SALUD OSORNO"/>
    <x v="1"/>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x v="3"/>
    <x v="249"/>
    <n v="4"/>
    <n v="2"/>
    <x v="415"/>
    <x v="438"/>
    <x v="4"/>
    <x v="32"/>
    <x v="100"/>
    <x v="102"/>
    <s v="64-2335687-"/>
    <s v="marco.gonzalezf@redsalud.gob.cl"/>
    <x v="21"/>
    <m/>
    <n v="0"/>
    <m/>
    <n v="0"/>
    <n v="0"/>
    <m/>
    <x v="1"/>
  </r>
  <r>
    <s v="SERVICIO DE SALUD OSORNO"/>
    <x v="1"/>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x v="3"/>
    <x v="32"/>
    <n v="4"/>
    <n v="1"/>
    <x v="83"/>
    <x v="164"/>
    <x v="4"/>
    <x v="32"/>
    <x v="100"/>
    <x v="102"/>
    <s v="64-2335687-"/>
    <s v="marco.gonzalezf@redsalud.gob.cl"/>
    <x v="21"/>
    <m/>
    <n v="0"/>
    <m/>
    <n v="0"/>
    <n v="0"/>
    <m/>
    <x v="1"/>
  </r>
  <r>
    <s v="SERVICIO DE SALUD OSORNO"/>
    <x v="1"/>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x v="3"/>
    <x v="105"/>
    <n v="4"/>
    <n v="1000"/>
    <x v="416"/>
    <x v="439"/>
    <x v="4"/>
    <x v="32"/>
    <x v="100"/>
    <x v="102"/>
    <s v="64-2335687-"/>
    <s v="marco.gonzalezf@redsalud.gob.cl"/>
    <x v="21"/>
    <m/>
    <n v="0"/>
    <m/>
    <n v="0"/>
    <n v="0"/>
    <m/>
    <x v="1"/>
  </r>
  <r>
    <s v="SERVICIO DE SALUD OSORNO"/>
    <x v="1"/>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x v="3"/>
    <x v="302"/>
    <n v="4"/>
    <n v="1"/>
    <x v="417"/>
    <x v="219"/>
    <x v="4"/>
    <x v="32"/>
    <x v="100"/>
    <x v="102"/>
    <s v="64-2335687-"/>
    <s v="marco.gonzalezf@redsalud.gob.cl"/>
    <x v="21"/>
    <m/>
    <n v="0"/>
    <m/>
    <n v="0"/>
    <n v="0"/>
    <m/>
    <x v="1"/>
  </r>
  <r>
    <s v="SERVICIO DE SALUD OSORNO"/>
    <x v="1"/>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x v="3"/>
    <x v="43"/>
    <n v="4"/>
    <n v="1000"/>
    <x v="418"/>
    <x v="440"/>
    <x v="4"/>
    <x v="32"/>
    <x v="100"/>
    <x v="102"/>
    <s v="64-2335687-"/>
    <s v="marco.gonzalezf@redsalud.gob.cl"/>
    <x v="21"/>
    <m/>
    <n v="0"/>
    <m/>
    <n v="0"/>
    <n v="0"/>
    <m/>
    <x v="1"/>
  </r>
  <r>
    <s v="SERVICIO DE SALUD OSORNO"/>
    <x v="1"/>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x v="3"/>
    <x v="158"/>
    <n v="4"/>
    <n v="1000"/>
    <x v="419"/>
    <x v="441"/>
    <x v="4"/>
    <x v="32"/>
    <x v="100"/>
    <x v="102"/>
    <s v="64-2335687-"/>
    <s v="marco.gonzalezf@redsalud.gob.cl"/>
    <x v="21"/>
    <m/>
    <n v="0"/>
    <m/>
    <n v="0"/>
    <n v="0"/>
    <m/>
    <x v="1"/>
  </r>
  <r>
    <s v="SERVICIO DE SALUD OSORNO"/>
    <x v="1"/>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x v="3"/>
    <x v="182"/>
    <n v="4"/>
    <n v="500"/>
    <x v="420"/>
    <x v="442"/>
    <x v="4"/>
    <x v="32"/>
    <x v="100"/>
    <x v="102"/>
    <s v="64-2335687-"/>
    <s v="marco.gonzalezf@redsalud.gob.cl"/>
    <x v="21"/>
    <m/>
    <n v="0"/>
    <m/>
    <n v="0"/>
    <n v="0"/>
    <m/>
    <x v="1"/>
  </r>
  <r>
    <s v="SERVICIO DE SALUD OSORNO"/>
    <x v="4"/>
    <x v="364"/>
    <s v="Proyecto operacional"/>
    <s v="Enviado"/>
    <n v="2505"/>
    <x v="282"/>
    <s v="Adquisición de productos e insumos para la prevención, promoción, localización de casos, diagnostico y adherencia al tratamiento de usuarios/as con Tuberculosis."/>
    <x v="0"/>
    <x v="303"/>
    <n v="4"/>
    <n v="15"/>
    <x v="417"/>
    <x v="101"/>
    <x v="4"/>
    <x v="25"/>
    <x v="101"/>
    <x v="81"/>
    <s v="64-2335465-"/>
    <s v="mariapaz.gomez.n@redsalud.gob.cl"/>
    <x v="15"/>
    <m/>
    <n v="0"/>
    <m/>
    <n v="0"/>
    <n v="0"/>
    <m/>
    <x v="1"/>
  </r>
  <r>
    <s v="SERVICIO DE SALUD OSORNO"/>
    <x v="4"/>
    <x v="364"/>
    <s v="Proyecto operacional"/>
    <s v="Enviado"/>
    <n v="2505"/>
    <x v="282"/>
    <s v="Adquisición de productos e insumos para la prevención, promoción, localización de casos, diagnostico y adherencia al tratamiento de usuarios/as con Tuberculosis."/>
    <x v="0"/>
    <x v="304"/>
    <n v="4"/>
    <n v="1"/>
    <x v="64"/>
    <x v="95"/>
    <x v="4"/>
    <x v="25"/>
    <x v="101"/>
    <x v="81"/>
    <s v="64-2335465-"/>
    <s v="mariapaz.gomez.n@redsalud.gob.cl"/>
    <x v="15"/>
    <m/>
    <n v="0"/>
    <m/>
    <n v="0"/>
    <n v="0"/>
    <m/>
    <x v="1"/>
  </r>
  <r>
    <s v="SERVICIO DE SALUD OSORNO"/>
    <x v="0"/>
    <x v="365"/>
    <s v="Proyecto operacional"/>
    <s v="Enviado"/>
    <n v="2169"/>
    <x v="359"/>
    <s v="En el contexto de atención clínica a los usuarios del dispositivo COSAM Rahue, se mantiene presente la necesidad de contar con insumos clínicos y no clínicos para la realización procedimientos de enfermería los cuales son parte importante del tratamiento establecido para el cumplimiento de los objetivos terapéuticos del usuario durante su proceso de salud-enfermedad. Esto debido a que las cantidades que se requieren para hacer pedido en CENABAST son mucho mayores a las que se utilizan en el dispositivo. Además, se requieren ciertos insumos para"/>
    <x v="4"/>
    <x v="101"/>
    <n v="4"/>
    <n v="5"/>
    <x v="170"/>
    <x v="216"/>
    <x v="4"/>
    <x v="35"/>
    <x v="41"/>
    <x v="46"/>
    <s v="64-2335608-"/>
    <s v="camilo.martinez@redsalud.gob.cl"/>
    <x v="13"/>
    <m/>
    <n v="0"/>
    <m/>
    <n v="0"/>
    <n v="0"/>
    <m/>
    <x v="1"/>
  </r>
  <r>
    <s v="SERVICIO DE SALUD OSORNO"/>
    <x v="0"/>
    <x v="365"/>
    <s v="Proyecto operacional"/>
    <s v="Enviado"/>
    <n v="2169"/>
    <x v="359"/>
    <s v="En el contexto de atención clínica a los usuarios del dispositivo COSAM Rahue, se mantiene presente la necesidad de contar con insumos clínicos y no clínicos para la realización procedimientos de enfermería los cuales son parte importante del tratamiento establecido para el cumplimiento de los objetivos terapéuticos del usuario durante su proceso de salud-enfermedad. Esto debido a que las cantidades que se requieren para hacer pedido en CENABAST son mucho mayores a las que se utilizan en el dispositivo. Además, se requieren ciertos insumos para"/>
    <x v="4"/>
    <x v="89"/>
    <n v="4"/>
    <n v="100"/>
    <x v="421"/>
    <x v="443"/>
    <x v="4"/>
    <x v="35"/>
    <x v="41"/>
    <x v="46"/>
    <s v="64-2335608-"/>
    <s v="camilo.martinez@redsalud.gob.cl"/>
    <x v="13"/>
    <m/>
    <n v="0"/>
    <m/>
    <n v="0"/>
    <n v="0"/>
    <m/>
    <x v="1"/>
  </r>
  <r>
    <s v="SERVICIO DE SALUD OSORNO"/>
    <x v="0"/>
    <x v="365"/>
    <s v="Proyecto operacional"/>
    <s v="Enviado"/>
    <n v="2169"/>
    <x v="359"/>
    <s v="En el contexto de atención clínica a los usuarios del dispositivo COSAM Rahue, se mantiene presente la necesidad de contar con insumos clínicos y no clínicos para la realización procedimientos de enfermería los cuales son parte importante del tratamiento establecido para el cumplimiento de los objetivos terapéuticos del usuario durante su proceso de salud-enfermedad. Esto debido a que las cantidades que se requieren para hacer pedido en CENABAST son mucho mayores a las que se utilizan en el dispositivo. Además, se requieren ciertos insumos para"/>
    <x v="4"/>
    <x v="305"/>
    <n v="4"/>
    <n v="20"/>
    <x v="422"/>
    <x v="444"/>
    <x v="4"/>
    <x v="35"/>
    <x v="41"/>
    <x v="46"/>
    <s v="64-2335608-"/>
    <s v="camilo.martinez@redsalud.gob.cl"/>
    <x v="13"/>
    <m/>
    <n v="0"/>
    <m/>
    <n v="0"/>
    <n v="0"/>
    <m/>
    <x v="1"/>
  </r>
  <r>
    <s v="SERVICIO DE SALUD OSORNO"/>
    <x v="0"/>
    <x v="365"/>
    <s v="Proyecto operacional"/>
    <s v="Enviado"/>
    <n v="2169"/>
    <x v="359"/>
    <s v="En el contexto de atención clínica a los usuarios del dispositivo COSAM Rahue, se mantiene presente la necesidad de contar con insumos clínicos y no clínicos para la realización procedimientos de enfermería los cuales son parte importante del tratamiento establecido para el cumplimiento de los objetivos terapéuticos del usuario durante su proceso de salud-enfermedad. Esto debido a que las cantidades que se requieren para hacer pedido en CENABAST son mucho mayores a las que se utilizan en el dispositivo. Además, se requieren ciertos insumos para"/>
    <x v="4"/>
    <x v="85"/>
    <n v="4"/>
    <n v="6"/>
    <x v="423"/>
    <x v="445"/>
    <x v="4"/>
    <x v="35"/>
    <x v="41"/>
    <x v="46"/>
    <s v="64-2335608-"/>
    <s v="camilo.martinez@redsalud.gob.cl"/>
    <x v="13"/>
    <m/>
    <n v="0"/>
    <m/>
    <n v="0"/>
    <n v="0"/>
    <m/>
    <x v="1"/>
  </r>
  <r>
    <s v="SERVICIO DE SALUD OSORNO"/>
    <x v="0"/>
    <x v="365"/>
    <s v="Proyecto operacional"/>
    <s v="Enviado"/>
    <n v="2169"/>
    <x v="359"/>
    <s v="En el contexto de atención clínica a los usuarios del dispositivo COSAM Rahue, se mantiene presente la necesidad de contar con insumos clínicos y no clínicos para la realización procedimientos de enfermería los cuales son parte importante del tratamiento establecido para el cumplimiento de los objetivos terapéuticos del usuario durante su proceso de salud-enfermedad. Esto debido a que las cantidades que se requieren para hacer pedido en CENABAST son mucho mayores a las que se utilizan en el dispositivo. Además, se requieren ciertos insumos para"/>
    <x v="4"/>
    <x v="306"/>
    <n v="4"/>
    <n v="24"/>
    <x v="424"/>
    <x v="446"/>
    <x v="4"/>
    <x v="35"/>
    <x v="41"/>
    <x v="46"/>
    <s v="64-2335608-"/>
    <s v="camilo.martinez@redsalud.gob.cl"/>
    <x v="13"/>
    <m/>
    <n v="0"/>
    <m/>
    <n v="0"/>
    <n v="0"/>
    <m/>
    <x v="1"/>
  </r>
  <r>
    <s v="SERVICIO DE SALUD OSORNO"/>
    <x v="0"/>
    <x v="365"/>
    <s v="Proyecto operacional"/>
    <s v="Enviado"/>
    <n v="2169"/>
    <x v="359"/>
    <s v="En el contexto de atención clínica a los usuarios del dispositivo COSAM Rahue, se mantiene presente la necesidad de contar con insumos clínicos y no clínicos para la realización procedimientos de enfermería los cuales son parte importante del tratamiento establecido para el cumplimiento de los objetivos terapéuticos del usuario durante su proceso de salud-enfermedad. Esto debido a que las cantidades que se requieren para hacer pedido en CENABAST son mucho mayores a las que se utilizan en el dispositivo. Además, se requieren ciertos insumos para"/>
    <x v="4"/>
    <x v="307"/>
    <n v="4"/>
    <n v="4"/>
    <x v="110"/>
    <x v="233"/>
    <x v="4"/>
    <x v="35"/>
    <x v="41"/>
    <x v="46"/>
    <s v="64-2335608-"/>
    <s v="camilo.martinez@redsalud.gob.cl"/>
    <x v="13"/>
    <m/>
    <n v="0"/>
    <m/>
    <n v="0"/>
    <n v="0"/>
    <m/>
    <x v="1"/>
  </r>
  <r>
    <s v="SERVICIO DE SALUD OSORNO"/>
    <x v="0"/>
    <x v="366"/>
    <s v="Proyecto estratégico"/>
    <s v="Enviado"/>
    <s v="22.01-22.04"/>
    <x v="360"/>
    <s v="Realizar capacitación en formación de facilitadores taller de habilidades parentales Nadie es Perfecto a profesionales de la red asistencial."/>
    <x v="5"/>
    <x v="275"/>
    <n v="4"/>
    <n v="15"/>
    <x v="425"/>
    <x v="347"/>
    <x v="4"/>
    <x v="25"/>
    <x v="102"/>
    <x v="103"/>
    <s v="64-2565829-"/>
    <s v="estrella.azocarv@redsalud.gob.cl"/>
    <x v="20"/>
    <m/>
    <n v="0"/>
    <m/>
    <n v="0"/>
    <n v="0"/>
    <m/>
    <x v="1"/>
  </r>
  <r>
    <s v="SERVICIO DE SALUD OSORNO"/>
    <x v="0"/>
    <x v="366"/>
    <s v="Proyecto estratégico"/>
    <s v="Enviado"/>
    <s v="22.01-22.04"/>
    <x v="360"/>
    <s v="Realizar capacitación en formación de facilitadores taller de habilidades parentales Nadie es Perfecto a profesionales de la red asistencial."/>
    <x v="5"/>
    <x v="308"/>
    <n v="4"/>
    <n v="955"/>
    <x v="426"/>
    <x v="447"/>
    <x v="4"/>
    <x v="25"/>
    <x v="102"/>
    <x v="103"/>
    <s v="64-2565829-"/>
    <s v="estrella.azocarv@redsalud.gob.cl"/>
    <x v="20"/>
    <m/>
    <n v="0"/>
    <m/>
    <n v="0"/>
    <n v="0"/>
    <m/>
    <x v="1"/>
  </r>
  <r>
    <s v="SERVICIO DE SALUD OSORNO"/>
    <x v="0"/>
    <x v="366"/>
    <s v="Proyecto estratégico"/>
    <s v="Enviado"/>
    <s v="22.01-22.04"/>
    <x v="360"/>
    <s v="Realizar capacitación en formación de facilitadores taller de habilidades parentales Nadie es Perfecto a profesionales de la red asistencial."/>
    <x v="5"/>
    <x v="309"/>
    <n v="4"/>
    <n v="157"/>
    <x v="427"/>
    <x v="448"/>
    <x v="4"/>
    <x v="25"/>
    <x v="102"/>
    <x v="103"/>
    <s v="64-2565829-"/>
    <s v="estrella.azocarv@redsalud.gob.cl"/>
    <x v="20"/>
    <m/>
    <n v="0"/>
    <m/>
    <n v="0"/>
    <n v="0"/>
    <m/>
    <x v="1"/>
  </r>
  <r>
    <s v="SERVICIO DE SALUD OSORNO"/>
    <x v="0"/>
    <x v="367"/>
    <s v="Proyecto operacional"/>
    <s v="Enviado"/>
    <s v="22.04"/>
    <x v="361"/>
    <s v="Proveer de insumos de higiene, limpieza para mantención de Edificio Matta."/>
    <x v="7"/>
    <x v="310"/>
    <n v="4"/>
    <n v="30"/>
    <x v="139"/>
    <x v="173"/>
    <x v="4"/>
    <x v="24"/>
    <x v="81"/>
    <x v="80"/>
    <s v="64-2567363-"/>
    <s v="ximena.campos@redsalud.gob.cl"/>
    <x v="21"/>
    <m/>
    <n v="0"/>
    <m/>
    <n v="0"/>
    <n v="0"/>
    <m/>
    <x v="1"/>
  </r>
  <r>
    <s v="SERVICIO DE SALUD OSORNO"/>
    <x v="0"/>
    <x v="367"/>
    <s v="Proyecto operacional"/>
    <s v="Enviado"/>
    <s v="22.04"/>
    <x v="361"/>
    <s v="Proveer de insumos de higiene, limpieza para mantención de Edificio Matta."/>
    <x v="7"/>
    <x v="311"/>
    <n v="4"/>
    <n v="30"/>
    <x v="428"/>
    <x v="449"/>
    <x v="4"/>
    <x v="24"/>
    <x v="81"/>
    <x v="80"/>
    <s v="64-2567363-"/>
    <s v="ximena.campos@redsalud.gob.cl"/>
    <x v="21"/>
    <m/>
    <n v="0"/>
    <m/>
    <n v="0"/>
    <n v="0"/>
    <m/>
    <x v="1"/>
  </r>
  <r>
    <s v="SERVICIO DE SALUD OSORNO"/>
    <x v="0"/>
    <x v="367"/>
    <s v="Proyecto operacional"/>
    <s v="Enviado"/>
    <s v="22.04"/>
    <x v="361"/>
    <s v="Proveer de insumos de higiene, limpieza para mantención de Edificio Matta."/>
    <x v="7"/>
    <x v="287"/>
    <n v="4"/>
    <n v="56"/>
    <x v="429"/>
    <x v="450"/>
    <x v="4"/>
    <x v="24"/>
    <x v="81"/>
    <x v="80"/>
    <s v="64-2567363-"/>
    <s v="ximena.campos@redsalud.gob.cl"/>
    <x v="21"/>
    <m/>
    <n v="0"/>
    <m/>
    <n v="0"/>
    <n v="0"/>
    <m/>
    <x v="1"/>
  </r>
  <r>
    <s v="SERVICIO DE SALUD OSORNO"/>
    <x v="0"/>
    <x v="367"/>
    <s v="Proyecto operacional"/>
    <s v="Enviado"/>
    <s v="22.04"/>
    <x v="361"/>
    <s v="Proveer de insumos de higiene, limpieza para mantención de Edificio Matta."/>
    <x v="7"/>
    <x v="312"/>
    <n v="4"/>
    <n v="21"/>
    <x v="201"/>
    <x v="451"/>
    <x v="4"/>
    <x v="33"/>
    <x v="81"/>
    <x v="80"/>
    <s v="64-2567363-"/>
    <s v="ximena.campos@redsalud.gob.cl"/>
    <x v="15"/>
    <m/>
    <n v="0"/>
    <m/>
    <n v="0"/>
    <n v="0"/>
    <m/>
    <x v="1"/>
  </r>
  <r>
    <s v="SERVICIO DE SALUD OSORNO"/>
    <x v="0"/>
    <x v="367"/>
    <s v="Proyecto operacional"/>
    <s v="Enviado"/>
    <s v="22.04"/>
    <x v="361"/>
    <s v="Proveer de insumos de higiene, limpieza para mantención de Edificio Matta."/>
    <x v="7"/>
    <x v="148"/>
    <n v="4"/>
    <n v="1"/>
    <x v="149"/>
    <x v="421"/>
    <x v="4"/>
    <x v="24"/>
    <x v="81"/>
    <x v="80"/>
    <s v="64-2567363-"/>
    <s v="ximena.campos@redsalud.gob.cl"/>
    <x v="21"/>
    <m/>
    <n v="0"/>
    <m/>
    <n v="0"/>
    <n v="0"/>
    <m/>
    <x v="1"/>
  </r>
  <r>
    <s v="SERVICIO DE SALUD OSORNO"/>
    <x v="4"/>
    <x v="368"/>
    <s v="Proyecto operacional"/>
    <s v="Enviado"/>
    <n v="2579"/>
    <x v="362"/>
    <s v="Adquisición de taladro percutor inalambrico con mandril 13mm y taladro atornillador inalambrico con mandril de 13mm"/>
    <x v="1"/>
    <x v="313"/>
    <n v="4"/>
    <n v="1"/>
    <x v="212"/>
    <x v="112"/>
    <x v="4"/>
    <x v="35"/>
    <x v="44"/>
    <x v="58"/>
    <s v="64-2335588-"/>
    <s v="roberto.nunez@redsalud.gob.cl"/>
    <x v="13"/>
    <m/>
    <n v="0"/>
    <m/>
    <n v="0"/>
    <n v="0"/>
    <m/>
    <x v="1"/>
  </r>
  <r>
    <s v="SERVICIO DE SALUD OSORNO"/>
    <x v="0"/>
    <x v="369"/>
    <s v="Proyecto operacional"/>
    <s v="Enviado"/>
    <n v="2185"/>
    <x v="363"/>
    <s v="Compra de articulos de escritorio para el funiconamiento del Equipo Rural de Rehabilitación (marzo 2026)"/>
    <x v="1"/>
    <x v="43"/>
    <n v="4"/>
    <n v="340"/>
    <x v="430"/>
    <x v="452"/>
    <x v="4"/>
    <x v="32"/>
    <x v="37"/>
    <x v="42"/>
    <s v="64-2335807-"/>
    <s v="karin.avila@redsalud.gob.cl"/>
    <x v="21"/>
    <m/>
    <n v="0"/>
    <m/>
    <n v="0"/>
    <n v="0"/>
    <m/>
    <x v="1"/>
  </r>
  <r>
    <s v="SERVICIO DE SALUD OSORNO"/>
    <x v="0"/>
    <x v="370"/>
    <s v="Proyecto estratégico"/>
    <s v="Enviado"/>
    <n v="2583"/>
    <x v="364"/>
    <s v="Renovación de toma de presión de brazo digital para control de pacientes cuando acuden a controles presenciales como también para la implementación del bolso de Visitas domiciliarias en la provincia de Osorno. Lo anterior para adquirirlo durante el mes de abril 2026."/>
    <x v="1"/>
    <x v="314"/>
    <n v="4"/>
    <n v="2"/>
    <x v="431"/>
    <x v="149"/>
    <x v="4"/>
    <x v="31"/>
    <x v="81"/>
    <x v="80"/>
    <s v="64-2337363-"/>
    <s v="ximena.campos@redsalud.gob.cl"/>
    <x v="14"/>
    <m/>
    <n v="0"/>
    <m/>
    <n v="0"/>
    <n v="0"/>
    <m/>
    <x v="1"/>
  </r>
  <r>
    <s v="SERVICIO DE SALUD OSORNO"/>
    <x v="0"/>
    <x v="371"/>
    <s v="Proyecto operacional"/>
    <s v="Enviado"/>
    <n v="2203"/>
    <x v="100"/>
    <s v="Compra de Insumos de cafetería para atención a los asistentes a las reuniones teniendo en cuenta que el desplazamiento desde las comunas a Osorno debe ser temprano por un tema de frecuencia de los buses. Esto contempla un aproximado de 34 reuniones que van desde marzo a diciembre, con un promedio de 970 personas."/>
    <x v="0"/>
    <x v="31"/>
    <n v="4"/>
    <n v="16890"/>
    <x v="432"/>
    <x v="453"/>
    <x v="4"/>
    <x v="32"/>
    <x v="103"/>
    <x v="104"/>
    <s v="64-2335836-"/>
    <s v="daniel.pereira.v@redsalud.gob.cl"/>
    <x v="21"/>
    <m/>
    <n v="0"/>
    <m/>
    <n v="0"/>
    <n v="0"/>
    <m/>
    <x v="1"/>
  </r>
  <r>
    <s v="SERVICIO DE SALUD OSORNO"/>
    <x v="0"/>
    <x v="371"/>
    <s v="Proyecto operacional"/>
    <s v="Enviado"/>
    <n v="2203"/>
    <x v="100"/>
    <s v="Compra de Insumos de cafetería para atención a los asistentes a las reuniones teniendo en cuenta que el desplazamiento desde las comunas a Osorno debe ser temprano por un tema de frecuencia de los buses. Esto contempla un aproximado de 34 reuniones que van desde marzo a diciembre, con un promedio de 970 personas."/>
    <x v="0"/>
    <x v="113"/>
    <n v="4"/>
    <n v="1120"/>
    <x v="433"/>
    <x v="454"/>
    <x v="4"/>
    <x v="32"/>
    <x v="103"/>
    <x v="104"/>
    <s v="64-2335836-"/>
    <s v="daniel.pereira.v@redsalud.gob.cl"/>
    <x v="21"/>
    <m/>
    <n v="0"/>
    <m/>
    <n v="0"/>
    <n v="0"/>
    <m/>
    <x v="1"/>
  </r>
  <r>
    <s v="SERVICIO DE SALUD OSORNO"/>
    <x v="1"/>
    <x v="372"/>
    <s v="Proyecto operacional"/>
    <s v="Enviado"/>
    <n v="2207"/>
    <x v="365"/>
    <s v="Ambos talleres serán realizados desde marzo a diciembre de 2026, por lo que se solicita realizar la compra en febrero de 2026."/>
    <x v="1"/>
    <x v="94"/>
    <n v="4"/>
    <n v="120"/>
    <x v="434"/>
    <x v="455"/>
    <x v="4"/>
    <x v="32"/>
    <x v="44"/>
    <x v="24"/>
    <s v="64-2335610-"/>
    <s v="pedro.fritz@redsalud.gob.cl"/>
    <x v="21"/>
    <m/>
    <n v="0"/>
    <m/>
    <n v="0"/>
    <n v="0"/>
    <m/>
    <x v="1"/>
  </r>
  <r>
    <s v="SERVICIO DE SALUD OSORNO"/>
    <x v="0"/>
    <x v="373"/>
    <s v="Proyecto operacional"/>
    <s v="Enviado"/>
    <n v="2582"/>
    <x v="338"/>
    <s v="Realizar olimpiadas del adolescente en contexto de prevención de obesidad"/>
    <x v="1"/>
    <x v="315"/>
    <n v="4"/>
    <n v="4"/>
    <x v="140"/>
    <x v="185"/>
    <x v="4"/>
    <x v="32"/>
    <x v="73"/>
    <x v="75"/>
    <s v="64-2335806-"/>
    <s v="francisca.contreras.c@redsalud.gob.cl"/>
    <x v="19"/>
    <m/>
    <n v="0"/>
    <m/>
    <n v="0"/>
    <n v="0"/>
    <m/>
    <x v="1"/>
  </r>
  <r>
    <s v="SERVICIO DE SALUD OSORNO"/>
    <x v="1"/>
    <x v="374"/>
    <s v="Proyecto operacional"/>
    <s v="Enviado"/>
    <n v="2210"/>
    <x v="366"/>
    <s v="Taller se ejecuta durante todo el año, mes de enero en pausa, para comenzar en febrero, por lo que se necesitan los materiales en mes de febrero."/>
    <x v="1"/>
    <x v="94"/>
    <n v="4"/>
    <n v="360"/>
    <x v="435"/>
    <x v="456"/>
    <x v="4"/>
    <x v="32"/>
    <x v="44"/>
    <x v="24"/>
    <s v="64-2335610-"/>
    <s v="pedro.fritz@redsalud.gob.cl"/>
    <x v="19"/>
    <m/>
    <n v="0"/>
    <m/>
    <n v="0"/>
    <n v="0"/>
    <m/>
    <x v="1"/>
  </r>
  <r>
    <s v="SERVICIO DE SALUD OSORNO"/>
    <x v="0"/>
    <x v="375"/>
    <s v="Proyecto operacional"/>
    <s v="Enviado"/>
    <n v="2266"/>
    <x v="367"/>
    <s v="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
    <x v="4"/>
    <x v="316"/>
    <n v="4"/>
    <n v="620"/>
    <x v="436"/>
    <x v="457"/>
    <x v="4"/>
    <x v="31"/>
    <x v="43"/>
    <x v="48"/>
    <s v="64-2335492-"/>
    <s v="CAROLINA.SILVALL@REDSALUD.GOB.CL"/>
    <x v="14"/>
    <m/>
    <n v="0"/>
    <m/>
    <n v="0"/>
    <n v="0"/>
    <m/>
    <x v="1"/>
  </r>
  <r>
    <s v="SERVICIO DE SALUD OSORNO"/>
    <x v="0"/>
    <x v="375"/>
    <s v="Proyecto operacional"/>
    <s v="Enviado"/>
    <n v="2266"/>
    <x v="367"/>
    <s v="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
    <x v="4"/>
    <x v="317"/>
    <n v="4"/>
    <n v="5"/>
    <x v="77"/>
    <x v="233"/>
    <x v="4"/>
    <x v="31"/>
    <x v="43"/>
    <x v="48"/>
    <s v="64-2335492-"/>
    <s v="CAROLINA.SILVALL@REDSALUD.GOB.CL"/>
    <x v="14"/>
    <m/>
    <n v="0"/>
    <m/>
    <n v="0"/>
    <n v="0"/>
    <m/>
    <x v="1"/>
  </r>
  <r>
    <s v="SERVICIO DE SALUD OSORNO"/>
    <x v="0"/>
    <x v="375"/>
    <s v="Proyecto operacional"/>
    <s v="Enviado"/>
    <n v="2266"/>
    <x v="367"/>
    <s v="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
    <x v="4"/>
    <x v="267"/>
    <n v="4"/>
    <n v="180"/>
    <x v="437"/>
    <x v="458"/>
    <x v="4"/>
    <x v="31"/>
    <x v="43"/>
    <x v="48"/>
    <s v="64-2335492-"/>
    <s v="CAROLINA.SILVALL@REDSALUD.GOB.CL"/>
    <x v="14"/>
    <m/>
    <n v="0"/>
    <m/>
    <n v="0"/>
    <n v="0"/>
    <m/>
    <x v="1"/>
  </r>
  <r>
    <s v="SERVICIO DE SALUD OSORNO"/>
    <x v="0"/>
    <x v="375"/>
    <s v="Proyecto operacional"/>
    <s v="Enviado"/>
    <n v="2266"/>
    <x v="367"/>
    <s v="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
    <x v="4"/>
    <x v="318"/>
    <n v="4"/>
    <n v="300"/>
    <x v="438"/>
    <x v="459"/>
    <x v="4"/>
    <x v="31"/>
    <x v="43"/>
    <x v="48"/>
    <s v="64-2335492-"/>
    <s v="CAROLINA.SILVALL@REDSALUD.GOB.CL"/>
    <x v="14"/>
    <m/>
    <n v="0"/>
    <m/>
    <n v="0"/>
    <n v="0"/>
    <m/>
    <x v="1"/>
  </r>
  <r>
    <s v="SERVICIO DE SALUD OSORNO"/>
    <x v="0"/>
    <x v="375"/>
    <s v="Proyecto operacional"/>
    <s v="Enviado"/>
    <n v="2266"/>
    <x v="367"/>
    <s v="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
    <x v="4"/>
    <x v="276"/>
    <n v="4"/>
    <n v="115"/>
    <x v="439"/>
    <x v="460"/>
    <x v="4"/>
    <x v="31"/>
    <x v="43"/>
    <x v="48"/>
    <s v="64-2335492-"/>
    <s v="CAROLINA.SILVALL@REDSALUD.GOB.CL"/>
    <x v="14"/>
    <m/>
    <n v="0"/>
    <m/>
    <n v="0"/>
    <n v="0"/>
    <m/>
    <x v="1"/>
  </r>
  <r>
    <s v="SERVICIO DE SALUD OSORNO"/>
    <x v="0"/>
    <x v="375"/>
    <s v="Proyecto operacional"/>
    <s v="Enviado"/>
    <n v="2266"/>
    <x v="367"/>
    <s v="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
    <x v="4"/>
    <x v="319"/>
    <n v="4"/>
    <n v="1"/>
    <x v="89"/>
    <x v="266"/>
    <x v="4"/>
    <x v="31"/>
    <x v="43"/>
    <x v="48"/>
    <s v="64-2335492-"/>
    <s v="CAROLINA.SILVALL@REDSALUD.GOB.CL"/>
    <x v="14"/>
    <m/>
    <n v="0"/>
    <m/>
    <n v="0"/>
    <n v="0"/>
    <m/>
    <x v="1"/>
  </r>
  <r>
    <s v="SERVICIO DE SALUD OSORNO"/>
    <x v="0"/>
    <x v="376"/>
    <s v="Proyecto operacional"/>
    <s v="Enviado"/>
    <s v="22.04"/>
    <x v="368"/>
    <s v="Adquisición de elementos de rehabilitación rural para terapeuta y kinesióloga con equipamiento médico y artículos clínicos."/>
    <x v="5"/>
    <x v="309"/>
    <n v="4"/>
    <n v="13"/>
    <x v="440"/>
    <x v="461"/>
    <x v="4"/>
    <x v="24"/>
    <x v="37"/>
    <x v="42"/>
    <s v="64-2565807-"/>
    <s v="karin.avila@redsalud.gob.cl"/>
    <x v="21"/>
    <m/>
    <n v="0"/>
    <m/>
    <n v="0"/>
    <n v="0"/>
    <m/>
    <x v="1"/>
  </r>
  <r>
    <s v="SERVICIO DE SALUD OSORNO"/>
    <x v="0"/>
    <x v="376"/>
    <s v="Proyecto operacional"/>
    <s v="Enviado"/>
    <s v="22.04"/>
    <x v="368"/>
    <s v="Adquisición de elementos de rehabilitación rural para terapeuta y kinesióloga con equipamiento médico y artículos clínicos."/>
    <x v="5"/>
    <x v="278"/>
    <n v="4"/>
    <n v="15"/>
    <x v="225"/>
    <x v="130"/>
    <x v="4"/>
    <x v="31"/>
    <x v="37"/>
    <x v="42"/>
    <s v="64-2565807-"/>
    <s v="karin.avila@redsalud.gob.cl"/>
    <x v="14"/>
    <m/>
    <n v="0"/>
    <m/>
    <n v="0"/>
    <n v="0"/>
    <m/>
    <x v="1"/>
  </r>
  <r>
    <s v="SERVICIO DE SALUD OSORNO"/>
    <x v="0"/>
    <x v="376"/>
    <s v="Proyecto operacional"/>
    <s v="Enviado"/>
    <s v="22.04"/>
    <x v="368"/>
    <s v="Adquisición de elementos de rehabilitación rural para terapeuta y kinesióloga con equipamiento médico y artículos clínicos."/>
    <x v="5"/>
    <x v="320"/>
    <n v="4"/>
    <n v="107"/>
    <x v="441"/>
    <x v="462"/>
    <x v="4"/>
    <x v="31"/>
    <x v="37"/>
    <x v="42"/>
    <s v="64-2565807-"/>
    <s v="karin.avila@redsalud.gob.cl"/>
    <x v="14"/>
    <m/>
    <n v="0"/>
    <m/>
    <n v="0"/>
    <n v="0"/>
    <m/>
    <x v="1"/>
  </r>
  <r>
    <s v="SERVICIO DE SALUD OSORNO"/>
    <x v="4"/>
    <x v="377"/>
    <s v="Proyecto operacional"/>
    <s v="Enviado"/>
    <n v="2518"/>
    <x v="369"/>
    <s v="Renovar equipo informático servidor NAS actual, el cual está llegando al límite de vida útil, este debe incluir discos duros instalados y además sumar otros para llegar a un total de 40TB de almacenamiento. Marzo 2026"/>
    <x v="0"/>
    <x v="321"/>
    <n v="4"/>
    <n v="1"/>
    <x v="67"/>
    <x v="99"/>
    <x v="4"/>
    <x v="32"/>
    <x v="89"/>
    <x v="87"/>
    <s v="64-2335685-"/>
    <s v="alejandro.nunez01@redsalud.gob.cl"/>
    <x v="21"/>
    <m/>
    <n v="0"/>
    <m/>
    <n v="0"/>
    <n v="0"/>
    <m/>
    <x v="1"/>
  </r>
  <r>
    <s v="SERVICIO DE SALUD OSORNO"/>
    <x v="4"/>
    <x v="377"/>
    <s v="Proyecto operacional"/>
    <s v="Enviado"/>
    <n v="2518"/>
    <x v="369"/>
    <s v="Renovar equipo informático servidor NAS actual, el cual está llegando al límite de vida útil, este debe incluir discos duros instalados y además sumar otros para llegar a un total de 40TB de almacenamiento. Marzo 2026"/>
    <x v="0"/>
    <x v="322"/>
    <n v="4"/>
    <n v="2"/>
    <x v="72"/>
    <x v="95"/>
    <x v="4"/>
    <x v="32"/>
    <x v="89"/>
    <x v="87"/>
    <s v="64-2335685-"/>
    <s v="alejandro.nunez01@redsalud.gob.cl"/>
    <x v="21"/>
    <m/>
    <n v="0"/>
    <m/>
    <n v="0"/>
    <n v="0"/>
    <m/>
    <x v="1"/>
  </r>
  <r>
    <s v="SERVICIO DE SALUD OSORNO"/>
    <x v="0"/>
    <x v="378"/>
    <s v="Proyecto operacional"/>
    <s v="Enviado"/>
    <n v="2233"/>
    <x v="370"/>
    <s v="Se requiere la adquisición de artículos de escritorio de buena calidad, en la cantidad necesaria para garantizar el desarrollo adecuado de las actividades administrativas y didácticas realizadas con las personas en tratamiento de la unidad. Los insumos deben permitir un funcionamiento eficiente de los procesos internos y apoyar la ejecución de las acciones planificadas, asegurando que el equipo cuente con los recursos necesarios para cumplir sus funciones de manera efectiva y ordenada."/>
    <x v="5"/>
    <x v="133"/>
    <n v="4"/>
    <n v="12"/>
    <x v="442"/>
    <x v="311"/>
    <x v="4"/>
    <x v="38"/>
    <x v="43"/>
    <x v="48"/>
    <s v="64-2335492-"/>
    <s v="CAROLINA.SILVALL@REDSALUD.GOB.CL"/>
    <x v="19"/>
    <m/>
    <n v="0"/>
    <m/>
    <n v="0"/>
    <n v="0"/>
    <m/>
    <x v="1"/>
  </r>
  <r>
    <s v="SERVICIO DE SALUD OSORNO"/>
    <x v="0"/>
    <x v="378"/>
    <s v="Proyecto operacional"/>
    <s v="Enviado"/>
    <n v="2233"/>
    <x v="370"/>
    <s v="Se requiere la adquisición de artículos de escritorio de buena calidad, en la cantidad necesaria para garantizar el desarrollo adecuado de las actividades administrativas y didácticas realizadas con las personas en tratamiento de la unidad. Los insumos deben permitir un funcionamiento eficiente de los procesos internos y apoyar la ejecución de las acciones planificadas, asegurando que el equipo cuente con los recursos necesarios para cumplir sus funciones de manera efectiva y ordenada."/>
    <x v="5"/>
    <x v="43"/>
    <n v="4"/>
    <n v="1000"/>
    <x v="443"/>
    <x v="463"/>
    <x v="4"/>
    <x v="38"/>
    <x v="43"/>
    <x v="48"/>
    <s v="64-2335492-"/>
    <s v="CAROLINA.SILVALL@REDSALUD.GOB.CL"/>
    <x v="19"/>
    <m/>
    <n v="0"/>
    <m/>
    <n v="0"/>
    <n v="0"/>
    <m/>
    <x v="1"/>
  </r>
  <r>
    <s v="SERVICIO DE SALUD OSORNO"/>
    <x v="0"/>
    <x v="378"/>
    <s v="Proyecto operacional"/>
    <s v="Enviado"/>
    <n v="2233"/>
    <x v="370"/>
    <s v="Se requiere la adquisición de artículos de escritorio de buena calidad, en la cantidad necesaria para garantizar el desarrollo adecuado de las actividades administrativas y didácticas realizadas con las personas en tratamiento de la unidad. Los insumos deben permitir un funcionamiento eficiente de los procesos internos y apoyar la ejecución de las acciones planificadas, asegurando que el equipo cuente con los recursos necesarios para cumplir sus funciones de manera efectiva y ordenada."/>
    <x v="5"/>
    <x v="250"/>
    <n v="4"/>
    <n v="10"/>
    <x v="197"/>
    <x v="231"/>
    <x v="4"/>
    <x v="38"/>
    <x v="43"/>
    <x v="48"/>
    <s v="64-2335492-"/>
    <s v="CAROLINA.SILVALL@REDSALUD.GOB.CL"/>
    <x v="19"/>
    <m/>
    <n v="0"/>
    <m/>
    <n v="0"/>
    <n v="0"/>
    <m/>
    <x v="1"/>
  </r>
  <r>
    <s v="SERVICIO DE SALUD OSORNO"/>
    <x v="1"/>
    <x v="379"/>
    <s v="Proyecto operacional"/>
    <s v="Enviado"/>
    <n v="2240"/>
    <x v="371"/>
    <s v="Las actividades comunitarias se desarrollan a lo largo de todo el año, las compras se utilizan para complementar las actividades dirigidas y/o festividades específicas, pero también para actividades de gestión, coordinación de estas mismas, y reuniones extraprogramáticas con la comunidad o instituciones con los que colaboramos para el desarrollo de lo programado anualmente."/>
    <x v="7"/>
    <x v="31"/>
    <n v="4"/>
    <n v="260"/>
    <x v="400"/>
    <x v="464"/>
    <x v="4"/>
    <x v="35"/>
    <x v="44"/>
    <x v="24"/>
    <s v="64-2335610-"/>
    <s v="pedro.fritz@redsalud.gob.cl"/>
    <x v="13"/>
    <m/>
    <n v="0"/>
    <m/>
    <n v="0"/>
    <n v="0"/>
    <m/>
    <x v="1"/>
  </r>
  <r>
    <s v="SERVICIO DE SALUD OSORNO"/>
    <x v="1"/>
    <x v="379"/>
    <s v="Proyecto operacional"/>
    <s v="Enviado"/>
    <n v="2240"/>
    <x v="371"/>
    <s v="Las actividades comunitarias se desarrollan a lo largo de todo el año, las compras se utilizan para complementar las actividades dirigidas y/o festividades específicas, pero también para actividades de gestión, coordinación de estas mismas, y reuniones extraprogramáticas con la comunidad o instituciones con los que colaboramos para el desarrollo de lo programado anualmente."/>
    <x v="7"/>
    <x v="43"/>
    <n v="4"/>
    <n v="510"/>
    <x v="444"/>
    <x v="465"/>
    <x v="4"/>
    <x v="35"/>
    <x v="44"/>
    <x v="24"/>
    <s v="64-2335610-"/>
    <s v="pedro.fritz@redsalud.gob.cl"/>
    <x v="13"/>
    <m/>
    <n v="0"/>
    <m/>
    <n v="0"/>
    <n v="0"/>
    <m/>
    <x v="1"/>
  </r>
  <r>
    <s v="SERVICIO DE SALUD OSORNO"/>
    <x v="1"/>
    <x v="379"/>
    <s v="Proyecto operacional"/>
    <s v="Enviado"/>
    <n v="2240"/>
    <x v="371"/>
    <s v="Las actividades comunitarias se desarrollan a lo largo de todo el año, las compras se utilizan para complementar las actividades dirigidas y/o festividades específicas, pero también para actividades de gestión, coordinación de estas mismas, y reuniones extraprogramáticas con la comunidad o instituciones con los que colaboramos para el desarrollo de lo programado anualmente."/>
    <x v="7"/>
    <x v="113"/>
    <n v="4"/>
    <n v="700"/>
    <x v="445"/>
    <x v="466"/>
    <x v="4"/>
    <x v="35"/>
    <x v="44"/>
    <x v="24"/>
    <s v="64-2335610-"/>
    <s v="pedro.fritz@redsalud.gob.cl"/>
    <x v="13"/>
    <m/>
    <n v="0"/>
    <m/>
    <n v="0"/>
    <n v="0"/>
    <m/>
    <x v="1"/>
  </r>
  <r>
    <s v="SERVICIO DE SALUD OSORNO"/>
    <x v="1"/>
    <x v="379"/>
    <s v="Proyecto operacional"/>
    <s v="Enviado"/>
    <n v="2240"/>
    <x v="371"/>
    <s v="Las actividades comunitarias se desarrollan a lo largo de todo el año, las compras se utilizan para complementar las actividades dirigidas y/o festividades específicas, pero también para actividades de gestión, coordinación de estas mismas, y reuniones extraprogramáticas con la comunidad o instituciones con los que colaboramos para el desarrollo de lo programado anualmente."/>
    <x v="7"/>
    <x v="323"/>
    <n v="4"/>
    <n v="2"/>
    <x v="309"/>
    <x v="345"/>
    <x v="4"/>
    <x v="35"/>
    <x v="44"/>
    <x v="24"/>
    <s v="64-2335610-"/>
    <s v="pedro.fritz@redsalud.gob.cl"/>
    <x v="13"/>
    <m/>
    <n v="0"/>
    <m/>
    <n v="0"/>
    <n v="0"/>
    <m/>
    <x v="1"/>
  </r>
  <r>
    <s v="SERVICIO DE SALUD OSORNO"/>
    <x v="1"/>
    <x v="379"/>
    <s v="Proyecto operacional"/>
    <s v="Enviado"/>
    <n v="2240"/>
    <x v="371"/>
    <s v="Las actividades comunitarias se desarrollan a lo largo de todo el año, las compras se utilizan para complementar las actividades dirigidas y/o festividades específicas, pero también para actividades de gestión, coordinación de estas mismas, y reuniones extraprogramáticas con la comunidad o instituciones con los que colaboramos para el desarrollo de lo programado anualmente."/>
    <x v="7"/>
    <x v="324"/>
    <n v="4"/>
    <n v="2"/>
    <x v="431"/>
    <x v="149"/>
    <x v="4"/>
    <x v="35"/>
    <x v="44"/>
    <x v="24"/>
    <s v="64-2335610-"/>
    <s v="pedro.fritz@redsalud.gob.cl"/>
    <x v="13"/>
    <m/>
    <n v="0"/>
    <m/>
    <n v="0"/>
    <n v="0"/>
    <m/>
    <x v="1"/>
  </r>
  <r>
    <s v="SERVICIO DE SALUD OSORNO"/>
    <x v="0"/>
    <x v="380"/>
    <s v="Proyecto operacional"/>
    <s v="Enviado"/>
    <n v="2254"/>
    <x v="372"/>
    <s v="Se requiere adquirir servicios de amplificación y colaciones para todos los participantes de la actividad ?En Movimiento y a Una Sola Voz?, en su versión N°15, con el fin de asegurar condiciones adecuadas de participación y contribuir a una presentación de calidad que favorezca los procesos de educación y sensibilización comunitaria en torno a la salud mental, promoviendo acciones de promoción, prevención y autocuidado."/>
    <x v="6"/>
    <x v="325"/>
    <n v="4"/>
    <n v="1"/>
    <x v="64"/>
    <x v="95"/>
    <x v="4"/>
    <x v="26"/>
    <x v="43"/>
    <x v="48"/>
    <s v="64-2335492-"/>
    <s v="CAROLINA.SILVALL@REDSALUD.GOB.CL"/>
    <x v="16"/>
    <m/>
    <n v="0"/>
    <m/>
    <n v="0"/>
    <n v="0"/>
    <m/>
    <x v="1"/>
  </r>
  <r>
    <s v="SERVICIO DE SALUD OSORNO"/>
    <x v="0"/>
    <x v="380"/>
    <s v="Proyecto operacional"/>
    <s v="Enviado"/>
    <n v="2254"/>
    <x v="372"/>
    <s v="Se requiere adquirir servicios de amplificación y colaciones para todos los participantes de la actividad ?En Movimiento y a Una Sola Voz?, en su versión N°15, con el fin de asegurar condiciones adecuadas de participación y contribuir a una presentación de calidad que favorezca los procesos de educación y sensibilización comunitaria en torno a la salud mental, promoviendo acciones de promoción, prevención y autocuidado."/>
    <x v="6"/>
    <x v="326"/>
    <n v="4"/>
    <n v="48"/>
    <x v="196"/>
    <x v="347"/>
    <x v="4"/>
    <x v="26"/>
    <x v="43"/>
    <x v="48"/>
    <s v="64-2335492-"/>
    <s v="CAROLINA.SILVALL@REDSALUD.GOB.CL"/>
    <x v="16"/>
    <m/>
    <n v="0"/>
    <m/>
    <n v="0"/>
    <n v="0"/>
    <m/>
    <x v="1"/>
  </r>
  <r>
    <s v="SERVICIO DE SALUD OSORNO"/>
    <x v="0"/>
    <x v="380"/>
    <s v="Proyecto operacional"/>
    <s v="Enviado"/>
    <n v="2254"/>
    <x v="372"/>
    <s v="Se requiere adquirir servicios de amplificación y colaciones para todos los participantes de la actividad ?En Movimiento y a Una Sola Voz?, en su versión N°15, con el fin de asegurar condiciones adecuadas de participación y contribuir a una presentación de calidad que favorezca los procesos de educación y sensibilización comunitaria en torno a la salud mental, promoviendo acciones de promoción, prevención y autocuidado."/>
    <x v="6"/>
    <x v="327"/>
    <n v="4"/>
    <n v="400"/>
    <x v="446"/>
    <x v="467"/>
    <x v="4"/>
    <x v="26"/>
    <x v="43"/>
    <x v="48"/>
    <s v="64-2335492-"/>
    <s v="CAROLINA.SILVALL@REDSALUD.GOB.CL"/>
    <x v="16"/>
    <m/>
    <n v="0"/>
    <m/>
    <n v="0"/>
    <n v="0"/>
    <m/>
    <x v="1"/>
  </r>
  <r>
    <s v="SERVICIO DE SALUD OSORNO"/>
    <x v="0"/>
    <x v="380"/>
    <s v="Proyecto operacional"/>
    <s v="Enviado"/>
    <n v="2254"/>
    <x v="372"/>
    <s v="Se requiere adquirir servicios de amplificación y colaciones para todos los participantes de la actividad ?En Movimiento y a Una Sola Voz?, en su versión N°15, con el fin de asegurar condiciones adecuadas de participación y contribuir a una presentación de calidad que favorezca los procesos de educación y sensibilización comunitaria en torno a la salud mental, promoviendo acciones de promoción, prevención y autocuidado."/>
    <x v="6"/>
    <x v="31"/>
    <n v="4"/>
    <n v="3238"/>
    <x v="447"/>
    <x v="468"/>
    <x v="4"/>
    <x v="26"/>
    <x v="43"/>
    <x v="48"/>
    <s v="64-2335492-"/>
    <s v="CAROLINA.SILVALL@REDSALUD.GOB.CL"/>
    <x v="16"/>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318"/>
    <n v="4"/>
    <n v="70"/>
    <x v="448"/>
    <x v="469"/>
    <x v="4"/>
    <x v="24"/>
    <x v="104"/>
    <x v="67"/>
    <s v="64-2336694-"/>
    <s v="anamaria.diaz@redsalud.gob.cl"/>
    <x v="21"/>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267"/>
    <n v="4"/>
    <n v="80"/>
    <x v="449"/>
    <x v="470"/>
    <x v="4"/>
    <x v="24"/>
    <x v="104"/>
    <x v="67"/>
    <s v="64-2336694-"/>
    <s v="anamaria.diaz@redsalud.gob.cl"/>
    <x v="21"/>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276"/>
    <n v="4"/>
    <n v="70"/>
    <x v="450"/>
    <x v="471"/>
    <x v="4"/>
    <x v="24"/>
    <x v="104"/>
    <x v="67"/>
    <s v="64-2336694-"/>
    <s v="anamaria.diaz@redsalud.gob.cl"/>
    <x v="21"/>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125"/>
    <n v="4"/>
    <n v="100"/>
    <x v="449"/>
    <x v="472"/>
    <x v="4"/>
    <x v="24"/>
    <x v="104"/>
    <x v="67"/>
    <s v="64-2336694-"/>
    <s v="anamaria.diaz@redsalud.gob.cl"/>
    <x v="21"/>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277"/>
    <n v="4"/>
    <n v="8"/>
    <x v="451"/>
    <x v="149"/>
    <x v="4"/>
    <x v="24"/>
    <x v="104"/>
    <x v="67"/>
    <s v="64-2336694-"/>
    <s v="anamaria.diaz@redsalud.gob.cl"/>
    <x v="21"/>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310"/>
    <n v="4"/>
    <n v="1"/>
    <x v="431"/>
    <x v="400"/>
    <x v="4"/>
    <x v="24"/>
    <x v="104"/>
    <x v="67"/>
    <s v="64-2336694-"/>
    <s v="anamaria.diaz@redsalud.gob.cl"/>
    <x v="21"/>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328"/>
    <n v="4"/>
    <n v="160"/>
    <x v="452"/>
    <x v="473"/>
    <x v="4"/>
    <x v="24"/>
    <x v="104"/>
    <x v="67"/>
    <s v="64-2336694-"/>
    <s v="anamaria.diaz@redsalud.gob.cl"/>
    <x v="21"/>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329"/>
    <n v="4"/>
    <n v="5"/>
    <x v="101"/>
    <x v="421"/>
    <x v="4"/>
    <x v="24"/>
    <x v="104"/>
    <x v="67"/>
    <s v="64-2336694-"/>
    <s v="anamaria.diaz@redsalud.gob.cl"/>
    <x v="21"/>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46"/>
    <n v="4"/>
    <n v="1"/>
    <x v="345"/>
    <x v="374"/>
    <x v="15"/>
    <x v="48"/>
    <x v="104"/>
    <x v="67"/>
    <s v="64-2336694-"/>
    <s v="anamaria.diaz@redsalud.gob.cl"/>
    <x v="14"/>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275"/>
    <n v="4"/>
    <n v="1"/>
    <x v="72"/>
    <x v="177"/>
    <x v="4"/>
    <x v="25"/>
    <x v="104"/>
    <x v="67"/>
    <s v="64-2336694-"/>
    <s v="anamaria.diaz@redsalud.gob.cl"/>
    <x v="20"/>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330"/>
    <n v="4"/>
    <n v="1"/>
    <x v="328"/>
    <x v="0"/>
    <x v="4"/>
    <x v="25"/>
    <x v="104"/>
    <x v="67"/>
    <s v="64-2336694-"/>
    <s v="anamaria.diaz@redsalud.gob.cl"/>
    <x v="20"/>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230"/>
    <n v="4"/>
    <n v="2"/>
    <x v="72"/>
    <x v="95"/>
    <x v="4"/>
    <x v="25"/>
    <x v="104"/>
    <x v="67"/>
    <s v="64-2336694-"/>
    <s v="anamaria.diaz@redsalud.gob.cl"/>
    <x v="20"/>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331"/>
    <n v="4"/>
    <n v="1"/>
    <x v="179"/>
    <x v="182"/>
    <x v="7"/>
    <x v="49"/>
    <x v="104"/>
    <x v="67"/>
    <s v="64-2336694-"/>
    <s v="anamaria.diaz@redsalud.gob.cl"/>
    <x v="20"/>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273"/>
    <n v="4"/>
    <n v="1"/>
    <x v="64"/>
    <x v="95"/>
    <x v="4"/>
    <x v="31"/>
    <x v="104"/>
    <x v="67"/>
    <s v="64-2336694-"/>
    <s v="anamaria.diaz@redsalud.gob.cl"/>
    <x v="14"/>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332"/>
    <n v="4"/>
    <n v="1"/>
    <x v="64"/>
    <x v="95"/>
    <x v="4"/>
    <x v="25"/>
    <x v="104"/>
    <x v="67"/>
    <s v="64-2336694-"/>
    <s v="anamaria.diaz@redsalud.gob.cl"/>
    <x v="20"/>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31"/>
    <n v="4"/>
    <n v="100"/>
    <x v="453"/>
    <x v="474"/>
    <x v="4"/>
    <x v="24"/>
    <x v="104"/>
    <x v="67"/>
    <s v="64-2336694-"/>
    <s v="anamaria.diaz@redsalud.gob.cl"/>
    <x v="21"/>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333"/>
    <n v="4"/>
    <n v="1"/>
    <x v="58"/>
    <x v="96"/>
    <x v="4"/>
    <x v="24"/>
    <x v="104"/>
    <x v="67"/>
    <s v="64-2336694-"/>
    <s v="anamaria.diaz@redsalud.gob.cl"/>
    <x v="21"/>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334"/>
    <n v="4"/>
    <n v="1"/>
    <x v="180"/>
    <x v="214"/>
    <x v="4"/>
    <x v="25"/>
    <x v="104"/>
    <x v="67"/>
    <s v="64-2336694-"/>
    <s v="anamaria.diaz@redsalud.gob.cl"/>
    <x v="20"/>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25"/>
    <n v="4"/>
    <n v="1"/>
    <x v="221"/>
    <x v="252"/>
    <x v="4"/>
    <x v="31"/>
    <x v="104"/>
    <x v="67"/>
    <s v="64-2336694-"/>
    <s v="anamaria.diaz@redsalud.gob.cl"/>
    <x v="14"/>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335"/>
    <n v="4"/>
    <n v="1"/>
    <x v="58"/>
    <x v="96"/>
    <x v="4"/>
    <x v="31"/>
    <x v="104"/>
    <x v="67"/>
    <s v="64-2336694-"/>
    <s v="anamaria.diaz@redsalud.gob.cl"/>
    <x v="14"/>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336"/>
    <n v="4"/>
    <n v="2"/>
    <x v="77"/>
    <x v="421"/>
    <x v="4"/>
    <x v="24"/>
    <x v="104"/>
    <x v="67"/>
    <s v="64-2336694-"/>
    <s v="anamaria.diaz@redsalud.gob.cl"/>
    <x v="21"/>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175"/>
    <n v="4"/>
    <n v="1"/>
    <x v="431"/>
    <x v="400"/>
    <x v="4"/>
    <x v="24"/>
    <x v="104"/>
    <x v="67"/>
    <s v="64-2336694-"/>
    <s v="anamaria.diaz@redsalud.gob.cl"/>
    <x v="21"/>
    <m/>
    <n v="0"/>
    <m/>
    <n v="0"/>
    <n v="0"/>
    <m/>
    <x v="1"/>
  </r>
  <r>
    <s v="SERVICIO DE SALUD OSORNO"/>
    <x v="0"/>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x v="10"/>
    <x v="337"/>
    <n v="4"/>
    <n v="24"/>
    <x v="454"/>
    <x v="475"/>
    <x v="4"/>
    <x v="24"/>
    <x v="104"/>
    <x v="67"/>
    <s v="64-2336694-"/>
    <s v="anamaria.diaz@redsalud.gob.cl"/>
    <x v="21"/>
    <m/>
    <n v="0"/>
    <m/>
    <n v="0"/>
    <n v="0"/>
    <m/>
    <x v="1"/>
  </r>
  <r>
    <s v="SERVICIO DE SALUD OSORNO"/>
    <x v="4"/>
    <x v="382"/>
    <s v="Proyecto operacional"/>
    <s v="Enviado"/>
    <n v="2584"/>
    <x v="374"/>
    <s v="Se requiere Hidrolavadora para poder limpiar accesos de vehiculos que se llenan de pasto y musgos, limpiar muros y ventanas del establecimiento con personal propio."/>
    <x v="1"/>
    <x v="338"/>
    <n v="4"/>
    <n v="1"/>
    <x v="83"/>
    <x v="164"/>
    <x v="4"/>
    <x v="38"/>
    <x v="44"/>
    <x v="58"/>
    <s v="64-2335588-"/>
    <s v="roberto.nunez@redsalud.gob.cl"/>
    <x v="13"/>
    <m/>
    <n v="0"/>
    <m/>
    <n v="0"/>
    <n v="0"/>
    <m/>
    <x v="1"/>
  </r>
  <r>
    <s v="SERVICIO DE SALUD OSORNO"/>
    <x v="0"/>
    <x v="383"/>
    <s v="Proyecto operacional"/>
    <s v="Enviado"/>
    <n v="2380"/>
    <x v="375"/>
    <s v="Contar con servicio de cafetería (2 días) en horario am y snack frio para jornada pm, para asistentes y relatores externos, además de insumos de Liberia para el desarrollo de actividades practicas. mes ejecucion de la compra: Abril"/>
    <x v="6"/>
    <x v="339"/>
    <n v="4"/>
    <n v="62"/>
    <x v="455"/>
    <x v="476"/>
    <x v="4"/>
    <x v="24"/>
    <x v="2"/>
    <x v="3"/>
    <s v="64-2337728-"/>
    <s v="CATALINA.VERAC@REDSALUD.GOB.CL"/>
    <x v="14"/>
    <m/>
    <n v="0"/>
    <m/>
    <n v="0"/>
    <n v="0"/>
    <m/>
    <x v="1"/>
  </r>
  <r>
    <s v="SERVICIO DE SALUD OSORNO"/>
    <x v="0"/>
    <x v="383"/>
    <s v="Proyecto operacional"/>
    <s v="Enviado"/>
    <n v="2380"/>
    <x v="375"/>
    <s v="Contar con servicio de cafetería (2 días) en horario am y snack frio para jornada pm, para asistentes y relatores externos, además de insumos de Liberia para el desarrollo de actividades practicas. mes ejecucion de la compra: Abril"/>
    <x v="6"/>
    <x v="340"/>
    <n v="4"/>
    <n v="200"/>
    <x v="456"/>
    <x v="253"/>
    <x v="4"/>
    <x v="24"/>
    <x v="2"/>
    <x v="3"/>
    <s v="64-2337728-"/>
    <s v="CATALINA.VERAC@REDSALUD.GOB.CL"/>
    <x v="14"/>
    <m/>
    <n v="0"/>
    <m/>
    <n v="0"/>
    <n v="0"/>
    <m/>
    <x v="1"/>
  </r>
  <r>
    <s v="SERVICIO DE SALUD OSORNO"/>
    <x v="0"/>
    <x v="383"/>
    <s v="Proyecto operacional"/>
    <s v="Enviado"/>
    <n v="2380"/>
    <x v="375"/>
    <s v="Contar con servicio de cafetería (2 días) en horario am y snack frio para jornada pm, para asistentes y relatores externos, además de insumos de Liberia para el desarrollo de actividades practicas. mes ejecucion de la compra: Abril"/>
    <x v="6"/>
    <x v="113"/>
    <n v="4"/>
    <n v="656"/>
    <x v="457"/>
    <x v="477"/>
    <x v="4"/>
    <x v="24"/>
    <x v="2"/>
    <x v="3"/>
    <s v="64-2337728-"/>
    <s v="CATALINA.VERAC@REDSALUD.GOB.CL"/>
    <x v="14"/>
    <m/>
    <n v="0"/>
    <m/>
    <n v="0"/>
    <n v="0"/>
    <m/>
    <x v="1"/>
  </r>
  <r>
    <s v="SERVICIO DE SALUD OSORNO"/>
    <x v="0"/>
    <x v="383"/>
    <s v="Proyecto operacional"/>
    <s v="Enviado"/>
    <n v="2380"/>
    <x v="375"/>
    <s v="Contar con servicio de cafetería (2 días) en horario am y snack frio para jornada pm, para asistentes y relatores externos, además de insumos de Liberia para el desarrollo de actividades practicas. mes ejecucion de la compra: Abril"/>
    <x v="6"/>
    <x v="31"/>
    <n v="4"/>
    <n v="1"/>
    <x v="458"/>
    <x v="478"/>
    <x v="4"/>
    <x v="24"/>
    <x v="2"/>
    <x v="3"/>
    <s v="64-2337728-"/>
    <s v="CATALINA.VERAC@REDSALUD.GOB.CL"/>
    <x v="14"/>
    <m/>
    <n v="0"/>
    <m/>
    <n v="0"/>
    <n v="0"/>
    <m/>
    <x v="1"/>
  </r>
  <r>
    <s v="SERVICIO DE SALUD OSORNO"/>
    <x v="0"/>
    <x v="384"/>
    <s v="Proyecto operacional"/>
    <s v="Enviado"/>
    <s v="22.04.002"/>
    <x v="376"/>
    <s v="MES DE EJECUCION DE LA COMPRA DE MATERIALES DE ESCRITORIO, DIDACTICOS E INSUMOS DE CAFETERIA SE REALIZARA EN EL MES DE FEBRERO DE 2026."/>
    <x v="7"/>
    <x v="113"/>
    <n v="4"/>
    <n v="2160"/>
    <x v="459"/>
    <x v="479"/>
    <x v="4"/>
    <x v="38"/>
    <x v="105"/>
    <x v="105"/>
    <s v="64-2335819-"/>
    <s v="sandra.rodriguez@redsalud.gob.cl"/>
    <x v="19"/>
    <m/>
    <n v="0"/>
    <m/>
    <n v="0"/>
    <n v="0"/>
    <m/>
    <x v="1"/>
  </r>
  <r>
    <s v="SERVICIO DE SALUD OSORNO"/>
    <x v="0"/>
    <x v="384"/>
    <s v="Proyecto operacional"/>
    <s v="Enviado"/>
    <s v="22.04.002"/>
    <x v="376"/>
    <s v="MES DE EJECUCION DE LA COMPRA DE MATERIALES DE ESCRITORIO, DIDACTICOS E INSUMOS DE CAFETERIA SE REALIZARA EN EL MES DE FEBRERO DE 2026."/>
    <x v="7"/>
    <x v="31"/>
    <n v="4"/>
    <n v="1405"/>
    <x v="460"/>
    <x v="480"/>
    <x v="4"/>
    <x v="38"/>
    <x v="105"/>
    <x v="105"/>
    <s v="64-2335819-"/>
    <s v="sandra.rodriguez@redsalud.gob.cl"/>
    <x v="19"/>
    <m/>
    <n v="0"/>
    <m/>
    <n v="0"/>
    <n v="0"/>
    <m/>
    <x v="1"/>
  </r>
  <r>
    <s v="SERVICIO DE SALUD OSORNO"/>
    <x v="0"/>
    <x v="384"/>
    <s v="Proyecto operacional"/>
    <s v="Enviado"/>
    <s v="22.04.002"/>
    <x v="376"/>
    <s v="MES DE EJECUCION DE LA COMPRA DE MATERIALES DE ESCRITORIO, DIDACTICOS E INSUMOS DE CAFETERIA SE REALIZARA EN EL MES DE FEBRERO DE 2026."/>
    <x v="7"/>
    <x v="43"/>
    <n v="4"/>
    <n v="803"/>
    <x v="461"/>
    <x v="481"/>
    <x v="4"/>
    <x v="38"/>
    <x v="105"/>
    <x v="105"/>
    <s v="64-2335819-"/>
    <s v="sandra.rodriguez@redsalud.gob.cl"/>
    <x v="19"/>
    <m/>
    <n v="0"/>
    <m/>
    <n v="0"/>
    <n v="0"/>
    <m/>
    <x v="1"/>
  </r>
  <r>
    <s v="SERVICIO DE SALUD OSORNO"/>
    <x v="0"/>
    <x v="384"/>
    <s v="Proyecto operacional"/>
    <s v="Enviado"/>
    <s v="22.04.002"/>
    <x v="376"/>
    <s v="MES DE EJECUCION DE LA COMPRA DE MATERIALES DE ESCRITORIO, DIDACTICOS E INSUMOS DE CAFETERIA SE REALIZARA EN EL MES DE FEBRERO DE 2026."/>
    <x v="7"/>
    <x v="341"/>
    <n v="4"/>
    <n v="566"/>
    <x v="462"/>
    <x v="482"/>
    <x v="4"/>
    <x v="38"/>
    <x v="105"/>
    <x v="105"/>
    <s v="64-2335819-"/>
    <s v="sandra.rodriguez@redsalud.gob.cl"/>
    <x v="19"/>
    <m/>
    <n v="0"/>
    <m/>
    <n v="0"/>
    <n v="0"/>
    <m/>
    <x v="1"/>
  </r>
  <r>
    <s v="SERVICIO DE SALUD OSORNO"/>
    <x v="0"/>
    <x v="384"/>
    <s v="Proyecto operacional"/>
    <s v="Enviado"/>
    <s v="22.04.002"/>
    <x v="376"/>
    <s v="MES DE EJECUCION DE LA COMPRA DE MATERIALES DE ESCRITORIO, DIDACTICOS E INSUMOS DE CAFETERIA SE REALIZARA EN EL MES DE FEBRERO DE 2026."/>
    <x v="7"/>
    <x v="94"/>
    <n v="4"/>
    <n v="1170"/>
    <x v="463"/>
    <x v="483"/>
    <x v="4"/>
    <x v="38"/>
    <x v="105"/>
    <x v="105"/>
    <s v="64-2335819-"/>
    <s v="sandra.rodriguez@redsalud.gob.cl"/>
    <x v="19"/>
    <m/>
    <n v="0"/>
    <m/>
    <n v="0"/>
    <n v="0"/>
    <m/>
    <x v="1"/>
  </r>
  <r>
    <s v="SERVICIO DE SALUD OSORNO"/>
    <x v="0"/>
    <x v="385"/>
    <s v="Proyecto operacional"/>
    <s v="Enviado"/>
    <s v="22.04.007"/>
    <x v="377"/>
    <s v="Adquisición de insumos para actividades programadas con usuarios/as de UID Newen a contar del mes de enero del 2026."/>
    <x v="0"/>
    <x v="94"/>
    <n v="4"/>
    <n v="396"/>
    <x v="464"/>
    <x v="484"/>
    <x v="4"/>
    <x v="35"/>
    <x v="22"/>
    <x v="67"/>
    <s v="64-2337766-"/>
    <s v="camila.roa@redsalud.gob.cl"/>
    <x v="13"/>
    <m/>
    <n v="0"/>
    <m/>
    <n v="0"/>
    <n v="0"/>
    <m/>
    <x v="1"/>
  </r>
  <r>
    <s v="SERVICIO DE SALUD OSORNO"/>
    <x v="0"/>
    <x v="385"/>
    <s v="Proyecto operacional"/>
    <s v="Enviado"/>
    <s v="22.04.007"/>
    <x v="377"/>
    <s v="Adquisición de insumos para actividades programadas con usuarios/as de UID Newen a contar del mes de enero del 2026."/>
    <x v="0"/>
    <x v="292"/>
    <n v="4"/>
    <n v="12"/>
    <x v="465"/>
    <x v="266"/>
    <x v="4"/>
    <x v="35"/>
    <x v="22"/>
    <x v="67"/>
    <s v="64-2337766-"/>
    <s v="camila.roa@redsalud.gob.cl"/>
    <x v="13"/>
    <m/>
    <n v="0"/>
    <m/>
    <n v="0"/>
    <n v="0"/>
    <m/>
    <x v="1"/>
  </r>
  <r>
    <s v="SERVICIO DE SALUD OSORNO"/>
    <x v="1"/>
    <x v="386"/>
    <s v="Proyecto operacional"/>
    <s v="Enviado"/>
    <s v="22.04"/>
    <x v="378"/>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x v="8"/>
    <x v="342"/>
    <n v="4"/>
    <n v="44"/>
    <x v="466"/>
    <x v="485"/>
    <x v="4"/>
    <x v="38"/>
    <x v="43"/>
    <x v="48"/>
    <s v="64-2335492-"/>
    <s v="CAROLINA.SILVALL@REDSALUD.GOB.CL"/>
    <x v="19"/>
    <m/>
    <n v="0"/>
    <m/>
    <n v="0"/>
    <n v="0"/>
    <m/>
    <x v="1"/>
  </r>
  <r>
    <s v="SERVICIO DE SALUD OSORNO"/>
    <x v="1"/>
    <x v="386"/>
    <s v="Proyecto operacional"/>
    <s v="Enviado"/>
    <s v="22.04"/>
    <x v="378"/>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x v="8"/>
    <x v="343"/>
    <n v="4"/>
    <n v="4"/>
    <x v="467"/>
    <x v="486"/>
    <x v="4"/>
    <x v="38"/>
    <x v="43"/>
    <x v="48"/>
    <s v="64-2335492-"/>
    <s v="CAROLINA.SILVALL@REDSALUD.GOB.CL"/>
    <x v="19"/>
    <m/>
    <n v="0"/>
    <m/>
    <n v="0"/>
    <n v="0"/>
    <m/>
    <x v="1"/>
  </r>
  <r>
    <s v="SERVICIO DE SALUD OSORNO"/>
    <x v="1"/>
    <x v="386"/>
    <s v="Proyecto operacional"/>
    <s v="Enviado"/>
    <s v="22.04"/>
    <x v="378"/>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x v="8"/>
    <x v="344"/>
    <n v="4"/>
    <n v="7"/>
    <x v="468"/>
    <x v="487"/>
    <x v="4"/>
    <x v="25"/>
    <x v="43"/>
    <x v="48"/>
    <s v="64-2335492-"/>
    <s v="CAROLINA.SILVALL@REDSALUD.GOB.CL"/>
    <x v="15"/>
    <m/>
    <n v="0"/>
    <m/>
    <n v="0"/>
    <n v="0"/>
    <m/>
    <x v="1"/>
  </r>
  <r>
    <s v="SERVICIO DE SALUD OSORNO"/>
    <x v="1"/>
    <x v="386"/>
    <s v="Proyecto operacional"/>
    <s v="Enviado"/>
    <s v="22.04"/>
    <x v="378"/>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x v="8"/>
    <x v="345"/>
    <n v="4"/>
    <n v="9"/>
    <x v="469"/>
    <x v="488"/>
    <x v="4"/>
    <x v="25"/>
    <x v="43"/>
    <x v="48"/>
    <s v="64-2335492-"/>
    <s v="CAROLINA.SILVALL@REDSALUD.GOB.CL"/>
    <x v="19"/>
    <m/>
    <n v="0"/>
    <m/>
    <n v="0"/>
    <n v="0"/>
    <m/>
    <x v="1"/>
  </r>
  <r>
    <s v="SERVICIO DE SALUD OSORNO"/>
    <x v="1"/>
    <x v="386"/>
    <s v="Proyecto operacional"/>
    <s v="Enviado"/>
    <s v="22.04"/>
    <x v="378"/>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x v="8"/>
    <x v="100"/>
    <n v="4"/>
    <n v="2"/>
    <x v="162"/>
    <x v="199"/>
    <x v="4"/>
    <x v="25"/>
    <x v="43"/>
    <x v="48"/>
    <s v="64-2335492-"/>
    <s v="CAROLINA.SILVALL@REDSALUD.GOB.CL"/>
    <x v="15"/>
    <m/>
    <n v="0"/>
    <m/>
    <n v="0"/>
    <n v="0"/>
    <m/>
    <x v="1"/>
  </r>
  <r>
    <s v="SERVICIO DE SALUD OSORNO"/>
    <x v="1"/>
    <x v="386"/>
    <s v="Proyecto operacional"/>
    <s v="Enviado"/>
    <s v="22.04"/>
    <x v="378"/>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x v="8"/>
    <x v="215"/>
    <n v="4"/>
    <n v="2"/>
    <x v="156"/>
    <x v="192"/>
    <x v="4"/>
    <x v="25"/>
    <x v="43"/>
    <x v="48"/>
    <s v="64-2335492-"/>
    <s v="CAROLINA.SILVALL@REDSALUD.GOB.CL"/>
    <x v="15"/>
    <m/>
    <n v="0"/>
    <m/>
    <n v="0"/>
    <n v="0"/>
    <m/>
    <x v="1"/>
  </r>
  <r>
    <s v="SERVICIO DE SALUD OSORNO"/>
    <x v="1"/>
    <x v="386"/>
    <s v="Proyecto operacional"/>
    <s v="Enviado"/>
    <s v="22.04"/>
    <x v="378"/>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x v="8"/>
    <x v="346"/>
    <n v="4"/>
    <n v="1"/>
    <x v="72"/>
    <x v="177"/>
    <x v="4"/>
    <x v="25"/>
    <x v="43"/>
    <x v="48"/>
    <s v="64-2335492-"/>
    <s v="CAROLINA.SILVALL@REDSALUD.GOB.CL"/>
    <x v="19"/>
    <m/>
    <n v="0"/>
    <m/>
    <n v="0"/>
    <n v="0"/>
    <m/>
    <x v="1"/>
  </r>
  <r>
    <s v="SERVICIO DE SALUD OSORNO"/>
    <x v="0"/>
    <x v="387"/>
    <s v="Proyecto operacional"/>
    <s v="Enviado"/>
    <s v="22.04.001"/>
    <x v="379"/>
    <s v="Suministrar materiales y herramientas de oficina, tales como tijeras, corcheteras, lapices, pendon, timbres, hojas, etc. para funcionarios para facilitar su funcionamiento de trabajo."/>
    <x v="5"/>
    <x v="43"/>
    <n v="4"/>
    <n v="5298"/>
    <x v="470"/>
    <x v="489"/>
    <x v="4"/>
    <x v="38"/>
    <x v="2"/>
    <x v="3"/>
    <s v="64-2337728-"/>
    <s v="CATALINA.VERAC@REDSALUD.GOB.CL"/>
    <x v="19"/>
    <m/>
    <n v="0"/>
    <m/>
    <n v="0"/>
    <n v="0"/>
    <m/>
    <x v="1"/>
  </r>
  <r>
    <s v="SERVICIO DE SALUD OSORNO"/>
    <x v="0"/>
    <x v="387"/>
    <s v="Proyecto operacional"/>
    <s v="Enviado"/>
    <s v="22.04.001"/>
    <x v="379"/>
    <s v="Suministrar materiales y herramientas de oficina, tales como tijeras, corcheteras, lapices, pendon, timbres, hojas, etc. para funcionarios para facilitar su funcionamiento de trabajo."/>
    <x v="5"/>
    <x v="106"/>
    <n v="4"/>
    <n v="1"/>
    <x v="239"/>
    <x v="317"/>
    <x v="4"/>
    <x v="38"/>
    <x v="2"/>
    <x v="3"/>
    <s v="64-2337728-"/>
    <s v="CATALINA.VERAC@REDSALUD.GOB.CL"/>
    <x v="19"/>
    <m/>
    <n v="0"/>
    <m/>
    <n v="0"/>
    <n v="0"/>
    <m/>
    <x v="1"/>
  </r>
  <r>
    <s v="SERVICIO DE SALUD OSORNO"/>
    <x v="0"/>
    <x v="387"/>
    <s v="Proyecto operacional"/>
    <s v="Enviado"/>
    <s v="22.04.001"/>
    <x v="379"/>
    <s v="Suministrar materiales y herramientas de oficina, tales como tijeras, corcheteras, lapices, pendon, timbres, hojas, etc. para funcionarios para facilitar su funcionamiento de trabajo."/>
    <x v="5"/>
    <x v="212"/>
    <n v="4"/>
    <n v="4"/>
    <x v="225"/>
    <x v="421"/>
    <x v="4"/>
    <x v="38"/>
    <x v="2"/>
    <x v="3"/>
    <s v="64-2337728-"/>
    <s v="CATALINA.VERAC@REDSALUD.GOB.CL"/>
    <x v="19"/>
    <m/>
    <n v="0"/>
    <m/>
    <n v="0"/>
    <n v="0"/>
    <m/>
    <x v="1"/>
  </r>
  <r>
    <s v="SERVICIO DE SALUD OSORNO"/>
    <x v="0"/>
    <x v="388"/>
    <s v="Proyecto operacional"/>
    <s v="Enviado"/>
    <s v="22.04.002"/>
    <x v="380"/>
    <s v="MES DE EJECUCION DE LA COMPRA DE MATERIALES DE ESCRITORIO, DIDACTICOS E INSUMOS DE CAFETERIA SE REALIZARA EN EL MES DE FEBRERO DE 2026."/>
    <x v="5"/>
    <x v="31"/>
    <n v="4"/>
    <n v="1348"/>
    <x v="471"/>
    <x v="490"/>
    <x v="4"/>
    <x v="38"/>
    <x v="106"/>
    <x v="106"/>
    <s v="64-2335819-"/>
    <s v="waleska.monsalvez@redsalud.gob.cl"/>
    <x v="19"/>
    <m/>
    <n v="0"/>
    <m/>
    <n v="0"/>
    <n v="0"/>
    <m/>
    <x v="1"/>
  </r>
  <r>
    <s v="SERVICIO DE SALUD OSORNO"/>
    <x v="0"/>
    <x v="388"/>
    <s v="Proyecto operacional"/>
    <s v="Enviado"/>
    <s v="22.04.002"/>
    <x v="380"/>
    <s v="MES DE EJECUCION DE LA COMPRA DE MATERIALES DE ESCRITORIO, DIDACTICOS E INSUMOS DE CAFETERIA SE REALIZARA EN EL MES DE FEBRERO DE 2026."/>
    <x v="5"/>
    <x v="113"/>
    <n v="4"/>
    <n v="2210"/>
    <x v="472"/>
    <x v="491"/>
    <x v="4"/>
    <x v="38"/>
    <x v="106"/>
    <x v="106"/>
    <s v="64-2335819-"/>
    <s v="waleska.monsalvez@redsalud.gob.cl"/>
    <x v="19"/>
    <m/>
    <n v="0"/>
    <m/>
    <n v="0"/>
    <n v="0"/>
    <m/>
    <x v="1"/>
  </r>
  <r>
    <s v="SERVICIO DE SALUD OSORNO"/>
    <x v="0"/>
    <x v="388"/>
    <s v="Proyecto operacional"/>
    <s v="Enviado"/>
    <s v="22.04.002"/>
    <x v="380"/>
    <s v="MES DE EJECUCION DE LA COMPRA DE MATERIALES DE ESCRITORIO, DIDACTICOS E INSUMOS DE CAFETERIA SE REALIZARA EN EL MES DE FEBRERO DE 2026."/>
    <x v="5"/>
    <x v="94"/>
    <n v="4"/>
    <n v="2554"/>
    <x v="473"/>
    <x v="492"/>
    <x v="4"/>
    <x v="38"/>
    <x v="106"/>
    <x v="106"/>
    <s v="64-2335819-"/>
    <s v="waleska.monsalvez@redsalud.gob.cl"/>
    <x v="19"/>
    <m/>
    <n v="0"/>
    <m/>
    <n v="0"/>
    <n v="0"/>
    <m/>
    <x v="1"/>
  </r>
  <r>
    <s v="SERVICIO DE SALUD OSORNO"/>
    <x v="0"/>
    <x v="389"/>
    <s v="Proyecto operacional"/>
    <s v="Enviado"/>
    <s v="22.04"/>
    <x v="381"/>
    <s v="Pizarra de Corcho (50x30) Pizarra de Corcho (50x60) Pizarra mitad Corcho y mitad Blanca (50x60) Corchetera Isofit CM70 Regla acero 30 cm Tijeras chicas Disco Duro Externo 2TB BANDEJA DE ESCRITORIO TRIPLE DE MADERA, LAS MEDIDAS SON 38X35 (RESPETAR MEDIDAS)"/>
    <x v="0"/>
    <x v="43"/>
    <n v="4"/>
    <n v="20"/>
    <x v="474"/>
    <x v="493"/>
    <x v="4"/>
    <x v="35"/>
    <x v="95"/>
    <x v="107"/>
    <s v="64-2335752-"/>
    <s v="CRISTINA.COLLINAO@REDSALUD.GOB.CL"/>
    <x v="13"/>
    <m/>
    <n v="0"/>
    <m/>
    <n v="0"/>
    <n v="0"/>
    <m/>
    <x v="1"/>
  </r>
  <r>
    <s v="SERVICIO DE SALUD OSORNO"/>
    <x v="0"/>
    <x v="389"/>
    <s v="Proyecto operacional"/>
    <s v="Enviado"/>
    <s v="22.04"/>
    <x v="381"/>
    <s v="Pizarra de Corcho (50x30) Pizarra de Corcho (50x60) Pizarra mitad Corcho y mitad Blanca (50x60) Corchetera Isofit CM70 Regla acero 30 cm Tijeras chicas Disco Duro Externo 2TB BANDEJA DE ESCRITORIO TRIPLE DE MADERA, LAS MEDIDAS SON 38X35 (RESPETAR MEDIDAS)"/>
    <x v="0"/>
    <x v="322"/>
    <n v="4"/>
    <n v="4"/>
    <x v="123"/>
    <x v="164"/>
    <x v="4"/>
    <x v="35"/>
    <x v="95"/>
    <x v="107"/>
    <s v="64-2335752-"/>
    <s v="CRISTINA.COLLINAO@REDSALUD.GOB.CL"/>
    <x v="13"/>
    <m/>
    <n v="0"/>
    <m/>
    <n v="0"/>
    <n v="0"/>
    <m/>
    <x v="1"/>
  </r>
  <r>
    <s v="SERVICIO DE SALUD OSORNO"/>
    <x v="0"/>
    <x v="390"/>
    <s v="Proyecto operacional"/>
    <s v="Enviado"/>
    <s v="22.04.003"/>
    <x v="382"/>
    <s v="Se adquieren cintas de glicemia y glucómetros en comodato"/>
    <x v="1"/>
    <x v="85"/>
    <n v="4"/>
    <n v="250000"/>
    <x v="475"/>
    <x v="494"/>
    <x v="4"/>
    <x v="24"/>
    <x v="52"/>
    <x v="56"/>
    <s v="64-2335811-"/>
    <s v="eleuterio.roman@redsalud.gob.cl"/>
    <x v="14"/>
    <m/>
    <n v="0"/>
    <m/>
    <n v="0"/>
    <n v="0"/>
    <m/>
    <x v="1"/>
  </r>
  <r>
    <s v="SERVICIO DE SALUD OSORNO"/>
    <x v="1"/>
    <x v="391"/>
    <s v="Proyecto operacional"/>
    <s v="Enviado"/>
    <s v="22.04"/>
    <x v="383"/>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x v="1"/>
    <x v="242"/>
    <n v="4"/>
    <n v="9"/>
    <x v="476"/>
    <x v="446"/>
    <x v="4"/>
    <x v="31"/>
    <x v="43"/>
    <x v="48"/>
    <s v="64-2335492-"/>
    <s v="CAROLINA.SILVALL@REDSALUD.GOB.CL"/>
    <x v="20"/>
    <m/>
    <n v="0"/>
    <m/>
    <n v="0"/>
    <n v="0"/>
    <m/>
    <x v="1"/>
  </r>
  <r>
    <s v="SERVICIO DE SALUD OSORNO"/>
    <x v="0"/>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11"/>
    <x v="113"/>
    <n v="4"/>
    <n v="660"/>
    <x v="477"/>
    <x v="495"/>
    <x v="4"/>
    <x v="31"/>
    <x v="43"/>
    <x v="48"/>
    <s v="64-2335492-"/>
    <s v="CAROLINA.SILVALL@REDSALUD.GOB.CL"/>
    <x v="20"/>
    <m/>
    <n v="0"/>
    <m/>
    <n v="0"/>
    <n v="0"/>
    <m/>
    <x v="1"/>
  </r>
  <r>
    <s v="SERVICIO DE SALUD OSORNO"/>
    <x v="0"/>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11"/>
    <x v="347"/>
    <n v="4"/>
    <n v="535"/>
    <x v="478"/>
    <x v="496"/>
    <x v="4"/>
    <x v="31"/>
    <x v="43"/>
    <x v="48"/>
    <s v="64-2335492-"/>
    <s v="CAROLINA.SILVALL@REDSALUD.GOB.CL"/>
    <x v="20"/>
    <m/>
    <n v="0"/>
    <m/>
    <n v="0"/>
    <n v="0"/>
    <m/>
    <x v="1"/>
  </r>
  <r>
    <s v="SERVICIO DE SALUD OSORNO"/>
    <x v="0"/>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11"/>
    <x v="348"/>
    <n v="4"/>
    <n v="77"/>
    <x v="479"/>
    <x v="497"/>
    <x v="4"/>
    <x v="31"/>
    <x v="43"/>
    <x v="48"/>
    <s v="64-2335492-"/>
    <s v="CAROLINA.SILVALL@REDSALUD.GOB.CL"/>
    <x v="20"/>
    <m/>
    <n v="0"/>
    <m/>
    <n v="0"/>
    <n v="0"/>
    <m/>
    <x v="1"/>
  </r>
  <r>
    <s v="SERVICIO DE SALUD OSORNO"/>
    <x v="0"/>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11"/>
    <x v="349"/>
    <n v="4"/>
    <n v="12"/>
    <x v="239"/>
    <x v="333"/>
    <x v="4"/>
    <x v="31"/>
    <x v="43"/>
    <x v="48"/>
    <s v="64-2335492-"/>
    <s v="CAROLINA.SILVALL@REDSALUD.GOB.CL"/>
    <x v="20"/>
    <m/>
    <n v="0"/>
    <m/>
    <n v="0"/>
    <n v="0"/>
    <m/>
    <x v="1"/>
  </r>
  <r>
    <s v="SERVICIO DE SALUD OSORNO"/>
    <x v="0"/>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11"/>
    <x v="350"/>
    <n v="4"/>
    <n v="131"/>
    <x v="480"/>
    <x v="498"/>
    <x v="4"/>
    <x v="31"/>
    <x v="43"/>
    <x v="48"/>
    <s v="64-2335492-"/>
    <s v="CAROLINA.SILVALL@REDSALUD.GOB.CL"/>
    <x v="20"/>
    <m/>
    <n v="0"/>
    <m/>
    <n v="0"/>
    <n v="0"/>
    <m/>
    <x v="1"/>
  </r>
  <r>
    <s v="SERVICIO DE SALUD OSORNO"/>
    <x v="0"/>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11"/>
    <x v="351"/>
    <n v="4"/>
    <n v="61"/>
    <x v="104"/>
    <x v="499"/>
    <x v="4"/>
    <x v="31"/>
    <x v="43"/>
    <x v="48"/>
    <s v="64-2335492-"/>
    <s v="CAROLINA.SILVALL@REDSALUD.GOB.CL"/>
    <x v="20"/>
    <m/>
    <n v="0"/>
    <m/>
    <n v="0"/>
    <n v="0"/>
    <m/>
    <x v="1"/>
  </r>
  <r>
    <s v="SERVICIO DE SALUD OSORNO"/>
    <x v="0"/>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11"/>
    <x v="352"/>
    <n v="4"/>
    <n v="12"/>
    <x v="442"/>
    <x v="311"/>
    <x v="4"/>
    <x v="31"/>
    <x v="43"/>
    <x v="48"/>
    <s v="64-2335492-"/>
    <s v="CAROLINA.SILVALL@REDSALUD.GOB.CL"/>
    <x v="20"/>
    <m/>
    <n v="0"/>
    <m/>
    <n v="0"/>
    <n v="0"/>
    <m/>
    <x v="1"/>
  </r>
  <r>
    <s v="SERVICIO DE SALUD OSORNO"/>
    <x v="0"/>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11"/>
    <x v="353"/>
    <n v="4"/>
    <n v="91"/>
    <x v="481"/>
    <x v="500"/>
    <x v="4"/>
    <x v="31"/>
    <x v="43"/>
    <x v="48"/>
    <s v="64-2335492-"/>
    <s v="CAROLINA.SILVALL@REDSALUD.GOB.CL"/>
    <x v="20"/>
    <m/>
    <n v="0"/>
    <m/>
    <n v="0"/>
    <n v="0"/>
    <m/>
    <x v="1"/>
  </r>
  <r>
    <s v="SERVICIO DE SALUD OSORNO"/>
    <x v="0"/>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11"/>
    <x v="354"/>
    <n v="4"/>
    <n v="4"/>
    <x v="89"/>
    <x v="192"/>
    <x v="4"/>
    <x v="31"/>
    <x v="43"/>
    <x v="48"/>
    <s v="64-2335492-"/>
    <s v="CAROLINA.SILVALL@REDSALUD.GOB.CL"/>
    <x v="20"/>
    <m/>
    <n v="0"/>
    <m/>
    <n v="0"/>
    <n v="0"/>
    <m/>
    <x v="1"/>
  </r>
  <r>
    <s v="SERVICIO DE SALUD OSORNO"/>
    <x v="0"/>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11"/>
    <x v="355"/>
    <n v="4"/>
    <n v="12"/>
    <x v="482"/>
    <x v="501"/>
    <x v="4"/>
    <x v="31"/>
    <x v="43"/>
    <x v="48"/>
    <s v="64-2335492-"/>
    <s v="CAROLINA.SILVALL@REDSALUD.GOB.CL"/>
    <x v="20"/>
    <m/>
    <n v="0"/>
    <m/>
    <n v="0"/>
    <n v="0"/>
    <m/>
    <x v="1"/>
  </r>
  <r>
    <s v="SERVICIO DE SALUD OSORNO"/>
    <x v="0"/>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x v="11"/>
    <x v="356"/>
    <n v="4"/>
    <n v="20"/>
    <x v="139"/>
    <x v="266"/>
    <x v="4"/>
    <x v="31"/>
    <x v="43"/>
    <x v="48"/>
    <s v="64-2335492-"/>
    <s v="CAROLINA.SILVALL@REDSALUD.GOB.CL"/>
    <x v="20"/>
    <m/>
    <n v="0"/>
    <m/>
    <n v="0"/>
    <n v="0"/>
    <m/>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9">
  <r>
    <s v="SERVICIO DE SALUD OSORNO"/>
    <s v="Bienes y Servicios"/>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n v="2"/>
    <s v="Servicio Control Asistencia"/>
    <n v="1"/>
    <n v="1"/>
    <n v="90000000"/>
    <n v="2500000"/>
    <x v="0"/>
    <x v="0"/>
    <x v="0"/>
    <x v="0"/>
    <s v="64-2335840-"/>
    <s v="bruno.ojeda@redsalud.gov.cl"/>
    <x v="0"/>
    <d v="2024-07-05T00:00:00"/>
    <n v="54"/>
    <s v="1057532-268-SE25"/>
    <n v="1"/>
    <n v="2500000"/>
    <d v="2026-02-01T00:00:00"/>
    <x v="0"/>
    <x v="0"/>
  </r>
  <r>
    <s v="SERVICIO DE SALUD OSORNO"/>
    <s v="Bienes y Servicios"/>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n v="2"/>
    <s v="Servicio Control Asistencia"/>
    <n v="1"/>
    <n v="1"/>
    <n v="90000000"/>
    <n v="2500000"/>
    <x v="0"/>
    <x v="0"/>
    <x v="0"/>
    <x v="0"/>
    <s v="64-2335840-"/>
    <s v="bruno.ojeda@redsalud.gov.cl"/>
    <x v="0"/>
    <d v="2024-07-05T00:00:00"/>
    <n v="54"/>
    <s v="1057532-268-SE25"/>
    <n v="1"/>
    <n v="2500000"/>
    <d v="2026-04-01T00:00:00"/>
    <x v="0"/>
    <x v="0"/>
  </r>
  <r>
    <s v="SERVICIO DE SALUD OSORNO"/>
    <s v="Bienes y Servicios"/>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n v="2"/>
    <s v="Servicio Control Asistencia"/>
    <n v="1"/>
    <n v="1"/>
    <n v="90000000"/>
    <n v="2500000"/>
    <x v="0"/>
    <x v="0"/>
    <x v="0"/>
    <x v="0"/>
    <s v="64-2335840-"/>
    <s v="bruno.ojeda@redsalud.gov.cl"/>
    <x v="0"/>
    <d v="2024-07-05T00:00:00"/>
    <n v="54"/>
    <s v="1057532-266-SE25"/>
    <n v="1"/>
    <n v="2500000"/>
    <d v="2026-02-01T00:00:00"/>
    <x v="0"/>
    <x v="0"/>
  </r>
  <r>
    <s v="SERVICIO DE SALUD OSORNO"/>
    <s v="Bienes y Servicios"/>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n v="2"/>
    <s v="Servicio Control Asistencia"/>
    <n v="1"/>
    <n v="1"/>
    <n v="90000000"/>
    <n v="2500000"/>
    <x v="0"/>
    <x v="0"/>
    <x v="0"/>
    <x v="0"/>
    <s v="64-2335840-"/>
    <s v="bruno.ojeda@redsalud.gov.cl"/>
    <x v="0"/>
    <d v="2024-07-05T00:00:00"/>
    <n v="54"/>
    <s v="1057532-266-SE25"/>
    <n v="1"/>
    <n v="2500000"/>
    <d v="2026-12-01T00:00:00"/>
    <x v="0"/>
    <x v="0"/>
  </r>
  <r>
    <s v="SERVICIO DE SALUD OSORNO"/>
    <s v="Bienes y Servicios"/>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n v="2"/>
    <s v="Servicio Control Asistencia"/>
    <n v="1"/>
    <n v="1"/>
    <n v="90000000"/>
    <n v="2500000"/>
    <x v="0"/>
    <x v="0"/>
    <x v="0"/>
    <x v="0"/>
    <s v="64-2335840-"/>
    <s v="bruno.ojeda@redsalud.gov.cl"/>
    <x v="0"/>
    <d v="2024-07-05T00:00:00"/>
    <n v="54"/>
    <s v="1057532-267-SE25"/>
    <n v="1"/>
    <n v="2500000"/>
    <d v="2026-11-01T00:00:00"/>
    <x v="0"/>
    <x v="0"/>
  </r>
  <r>
    <s v="SERVICIO DE SALUD OSORNO"/>
    <s v="Bienes y Servicios"/>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n v="2"/>
    <s v="Servicio Control Asistencia"/>
    <n v="1"/>
    <n v="1"/>
    <n v="90000000"/>
    <n v="2500000"/>
    <x v="0"/>
    <x v="0"/>
    <x v="0"/>
    <x v="0"/>
    <s v="64-2335840-"/>
    <s v="bruno.ojeda@redsalud.gov.cl"/>
    <x v="0"/>
    <d v="2024-07-05T00:00:00"/>
    <n v="54"/>
    <s v="1057532-268-SE25"/>
    <n v="1"/>
    <n v="2500000"/>
    <d v="2026-06-01T00:00:00"/>
    <x v="0"/>
    <x v="0"/>
  </r>
  <r>
    <s v="SERVICIO DE SALUD OSORNO"/>
    <s v="Bienes y Servicios"/>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n v="2"/>
    <s v="Servicio Control Asistencia"/>
    <n v="1"/>
    <n v="1"/>
    <n v="90000000"/>
    <n v="2500000"/>
    <x v="0"/>
    <x v="0"/>
    <x v="0"/>
    <x v="0"/>
    <s v="64-2335840-"/>
    <s v="bruno.ojeda@redsalud.gov.cl"/>
    <x v="0"/>
    <d v="2024-07-05T00:00:00"/>
    <n v="54"/>
    <s v="1057532-268-SE25"/>
    <n v="1"/>
    <n v="2500000"/>
    <d v="2026-11-01T00:00:00"/>
    <x v="0"/>
    <x v="0"/>
  </r>
  <r>
    <s v="SERVICIO DE SALUD OSORNO"/>
    <s v="Bienes y Servicios"/>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n v="2"/>
    <s v="Servicio Control Asistencia"/>
    <n v="1"/>
    <n v="1"/>
    <n v="90000000"/>
    <n v="2500000"/>
    <x v="0"/>
    <x v="0"/>
    <x v="0"/>
    <x v="0"/>
    <s v="64-2335840-"/>
    <s v="bruno.ojeda@redsalud.gov.cl"/>
    <x v="0"/>
    <d v="2024-07-05T00:00:00"/>
    <n v="54"/>
    <s v="1057532-266-SE25"/>
    <n v="1"/>
    <n v="2500000"/>
    <d v="2026-07-01T00:00:00"/>
    <x v="0"/>
    <x v="0"/>
  </r>
  <r>
    <s v="SERVICIO DE SALUD OSORNO"/>
    <s v="Bienes y Servicios"/>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n v="2"/>
    <s v="Servicio Control Asistencia"/>
    <n v="1"/>
    <n v="1"/>
    <n v="90000000"/>
    <n v="2500000"/>
    <x v="0"/>
    <x v="0"/>
    <x v="0"/>
    <x v="0"/>
    <s v="64-2335840-"/>
    <s v="bruno.ojeda@redsalud.gov.cl"/>
    <x v="0"/>
    <d v="2024-07-05T00:00:00"/>
    <n v="54"/>
    <s v="1057532-266-SE25"/>
    <n v="1"/>
    <n v="2500000"/>
    <d v="2026-01-01T00:00:00"/>
    <x v="0"/>
    <x v="0"/>
  </r>
  <r>
    <s v="SERVICIO DE SALUD OSORNO"/>
    <s v="Bienes y Servicios"/>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n v="2"/>
    <s v="Servicio Control Asistencia"/>
    <n v="1"/>
    <n v="1"/>
    <n v="90000000"/>
    <n v="2500000"/>
    <x v="0"/>
    <x v="0"/>
    <x v="0"/>
    <x v="0"/>
    <s v="64-2335840-"/>
    <s v="bruno.ojeda@redsalud.gov.cl"/>
    <x v="0"/>
    <d v="2024-07-05T00:00:00"/>
    <n v="54"/>
    <s v="1057532-266-SE25"/>
    <n v="1"/>
    <n v="2500000"/>
    <d v="2026-06-01T00:00:00"/>
    <x v="0"/>
    <x v="0"/>
  </r>
  <r>
    <s v="SERVICIO DE SALUD OSORNO"/>
    <s v="Bienes y Servicios"/>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n v="2"/>
    <s v="Servicio Control Asistencia"/>
    <n v="1"/>
    <n v="1"/>
    <n v="90000000"/>
    <n v="2500000"/>
    <x v="0"/>
    <x v="0"/>
    <x v="0"/>
    <x v="0"/>
    <s v="64-2335840-"/>
    <s v="bruno.ojeda@redsalud.gov.cl"/>
    <x v="0"/>
    <d v="2024-07-05T00:00:00"/>
    <n v="54"/>
    <s v="1057532-267-SE25"/>
    <n v="1"/>
    <n v="2500000"/>
    <d v="2026-04-01T00:00:00"/>
    <x v="0"/>
    <x v="0"/>
  </r>
  <r>
    <s v="SERVICIO DE SALUD OSORNO"/>
    <s v="Bienes y Servicios"/>
    <x v="0"/>
    <s v="Proyecto operacional"/>
    <s v="Publicado"/>
    <s v="22.11.003"/>
    <x v="0"/>
    <s v="El presente proyecto tiene por objeto la contratación de un servicio de software y equipamiento de reloj control para todos los establecimientos dependientes de la Dirección del Servicio de Salud Osorno, por un período de 36 meses."/>
    <n v="2"/>
    <s v="Servicio Control Asistencia"/>
    <n v="1"/>
    <n v="1"/>
    <n v="90000000"/>
    <n v="2500000"/>
    <x v="0"/>
    <x v="0"/>
    <x v="0"/>
    <x v="0"/>
    <s v="64-2335840-"/>
    <s v="bruno.ojeda@redsalud.gov.cl"/>
    <x v="0"/>
    <d v="2024-07-05T00:00:00"/>
    <n v="54"/>
    <s v="1057532-266-SE25"/>
    <n v="1"/>
    <n v="2500000"/>
    <d v="2026-03-01T00:00:00"/>
    <x v="0"/>
    <x v="0"/>
  </r>
  <r>
    <s v="SERVICIO DE SALUD OSORNO"/>
    <s v="Bienes y Servicios"/>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n v="2"/>
    <s v="Control Flota"/>
    <n v="1"/>
    <n v="1"/>
    <n v="20136000"/>
    <n v="559333"/>
    <x v="0"/>
    <x v="0"/>
    <x v="0"/>
    <x v="1"/>
    <s v="64-2335840-"/>
    <s v="bruno.ojeda@redsalud.gov.cl"/>
    <x v="1"/>
    <d v="2024-07-05T00:00:00"/>
    <n v="1"/>
    <s v="1057532-1544-SE24"/>
    <n v="1"/>
    <n v="559333"/>
    <d v="2026-01-01T00:00:00"/>
    <x v="0"/>
    <x v="0"/>
  </r>
  <r>
    <s v="SERVICIO DE SALUD OSORNO"/>
    <s v="Bienes y Servicios"/>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n v="2"/>
    <s v="Control Flota"/>
    <n v="1"/>
    <n v="1"/>
    <n v="20136000"/>
    <n v="559333"/>
    <x v="0"/>
    <x v="0"/>
    <x v="0"/>
    <x v="1"/>
    <s v="64-2335840-"/>
    <s v="bruno.ojeda@redsalud.gov.cl"/>
    <x v="1"/>
    <d v="2024-07-05T00:00:00"/>
    <n v="1"/>
    <s v="1057532-1544-SE24"/>
    <n v="1"/>
    <n v="559333"/>
    <d v="2026-07-01T00:00:00"/>
    <x v="0"/>
    <x v="0"/>
  </r>
  <r>
    <s v="SERVICIO DE SALUD OSORNO"/>
    <s v="Bienes y Servicios"/>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n v="2"/>
    <s v="Control Flota"/>
    <n v="1"/>
    <n v="1"/>
    <n v="20136000"/>
    <n v="559333"/>
    <x v="0"/>
    <x v="0"/>
    <x v="0"/>
    <x v="1"/>
    <s v="64-2335840-"/>
    <s v="bruno.ojeda@redsalud.gov.cl"/>
    <x v="1"/>
    <d v="2024-07-05T00:00:00"/>
    <n v="1"/>
    <s v="1057532-1544-SE24"/>
    <n v="1"/>
    <n v="559333"/>
    <d v="2026-05-01T00:00:00"/>
    <x v="0"/>
    <x v="0"/>
  </r>
  <r>
    <s v="SERVICIO DE SALUD OSORNO"/>
    <s v="Bienes y Servicios"/>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n v="2"/>
    <s v="Control Flota"/>
    <n v="1"/>
    <n v="1"/>
    <n v="20136000"/>
    <n v="559333"/>
    <x v="0"/>
    <x v="0"/>
    <x v="0"/>
    <x v="1"/>
    <s v="64-2335840-"/>
    <s v="bruno.ojeda@redsalud.gov.cl"/>
    <x v="1"/>
    <d v="2024-07-05T00:00:00"/>
    <n v="1"/>
    <s v="1057532-1544-SE24"/>
    <n v="1"/>
    <n v="559333"/>
    <d v="2026-02-01T00:00:00"/>
    <x v="0"/>
    <x v="0"/>
  </r>
  <r>
    <s v="SERVICIO DE SALUD OSORNO"/>
    <s v="Bienes y Servicios"/>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n v="2"/>
    <s v="Control Flota"/>
    <n v="1"/>
    <n v="1"/>
    <n v="20136000"/>
    <n v="559333"/>
    <x v="0"/>
    <x v="0"/>
    <x v="0"/>
    <x v="1"/>
    <s v="64-2335840-"/>
    <s v="bruno.ojeda@redsalud.gov.cl"/>
    <x v="1"/>
    <d v="2024-07-05T00:00:00"/>
    <n v="1"/>
    <s v="1057532-1544-SE24"/>
    <n v="1"/>
    <n v="559333"/>
    <d v="2026-08-01T00:00:00"/>
    <x v="0"/>
    <x v="0"/>
  </r>
  <r>
    <s v="SERVICIO DE SALUD OSORNO"/>
    <s v="Bienes y Servicios"/>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n v="2"/>
    <s v="Control Flota"/>
    <n v="1"/>
    <n v="1"/>
    <n v="20136000"/>
    <n v="559333"/>
    <x v="0"/>
    <x v="0"/>
    <x v="0"/>
    <x v="1"/>
    <s v="64-2335840-"/>
    <s v="bruno.ojeda@redsalud.gov.cl"/>
    <x v="1"/>
    <d v="2024-07-05T00:00:00"/>
    <n v="1"/>
    <s v="1057532-1544-SE24"/>
    <n v="1"/>
    <n v="559333"/>
    <d v="2026-03-01T00:00:00"/>
    <x v="0"/>
    <x v="0"/>
  </r>
  <r>
    <s v="SERVICIO DE SALUD OSORNO"/>
    <s v="Bienes y Servicios"/>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n v="2"/>
    <s v="Control Flota"/>
    <n v="1"/>
    <n v="1"/>
    <n v="20136000"/>
    <n v="559333"/>
    <x v="0"/>
    <x v="0"/>
    <x v="0"/>
    <x v="1"/>
    <s v="64-2335840-"/>
    <s v="bruno.ojeda@redsalud.gov.cl"/>
    <x v="1"/>
    <d v="2024-07-05T00:00:00"/>
    <n v="1"/>
    <s v="1057532-1544-SE24"/>
    <n v="1"/>
    <n v="559333"/>
    <d v="2026-06-01T00:00:00"/>
    <x v="0"/>
    <x v="0"/>
  </r>
  <r>
    <s v="SERVICIO DE SALUD OSORNO"/>
    <s v="Bienes y Servicios"/>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n v="2"/>
    <s v="Control Flota"/>
    <n v="1"/>
    <n v="1"/>
    <n v="20136000"/>
    <n v="559333"/>
    <x v="0"/>
    <x v="0"/>
    <x v="0"/>
    <x v="1"/>
    <s v="64-2335840-"/>
    <s v="bruno.ojeda@redsalud.gov.cl"/>
    <x v="1"/>
    <d v="2024-07-05T00:00:00"/>
    <n v="1"/>
    <s v="1057532-1544-SE24"/>
    <n v="1"/>
    <n v="559333"/>
    <d v="2026-04-01T00:00:00"/>
    <x v="0"/>
    <x v="0"/>
  </r>
  <r>
    <s v="SERVICIO DE SALUD OSORNO"/>
    <s v="Bienes y Servicios"/>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n v="2"/>
    <s v="Control Flota"/>
    <n v="1"/>
    <n v="1"/>
    <n v="20136000"/>
    <n v="559333"/>
    <x v="0"/>
    <x v="0"/>
    <x v="0"/>
    <x v="1"/>
    <s v="64-2335840-"/>
    <s v="bruno.ojeda@redsalud.gov.cl"/>
    <x v="1"/>
    <d v="2024-07-05T00:00:00"/>
    <n v="1"/>
    <s v="1057532-1544-SE24"/>
    <n v="1"/>
    <n v="559333"/>
    <d v="2026-09-01T00:00:00"/>
    <x v="0"/>
    <x v="0"/>
  </r>
  <r>
    <s v="SERVICIO DE SALUD OSORNO"/>
    <s v="Bienes y Servicios"/>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n v="2"/>
    <s v="Control Flota"/>
    <n v="1"/>
    <n v="1"/>
    <n v="20136000"/>
    <n v="559333"/>
    <x v="0"/>
    <x v="0"/>
    <x v="0"/>
    <x v="1"/>
    <s v="64-2335840-"/>
    <s v="bruno.ojeda@redsalud.gov.cl"/>
    <x v="1"/>
    <d v="2024-07-05T00:00:00"/>
    <n v="1"/>
    <s v="1057532-1544-SE24"/>
    <n v="1"/>
    <n v="559333"/>
    <d v="2026-10-01T00:00:00"/>
    <x v="0"/>
    <x v="0"/>
  </r>
  <r>
    <s v="SERVICIO DE SALUD OSORNO"/>
    <s v="Bienes y Servicios"/>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n v="2"/>
    <s v="Control Flota"/>
    <n v="1"/>
    <n v="1"/>
    <n v="20136000"/>
    <n v="559333"/>
    <x v="0"/>
    <x v="0"/>
    <x v="0"/>
    <x v="1"/>
    <s v="64-2335840-"/>
    <s v="bruno.ojeda@redsalud.gov.cl"/>
    <x v="1"/>
    <d v="2024-07-05T00:00:00"/>
    <n v="1"/>
    <s v="1057532-1544-SE24"/>
    <n v="1"/>
    <n v="559333"/>
    <d v="2026-11-01T00:00:00"/>
    <x v="0"/>
    <x v="0"/>
  </r>
  <r>
    <s v="SERVICIO DE SALUD OSORNO"/>
    <s v="Bienes y Servicios"/>
    <x v="1"/>
    <s v="Proyecto estratégico"/>
    <s v="Publicado"/>
    <s v="22.11.003"/>
    <x v="1"/>
    <s v="&quo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quot;"/>
    <n v="2"/>
    <s v="Control Flota"/>
    <n v="1"/>
    <n v="1"/>
    <n v="20136000"/>
    <n v="559333"/>
    <x v="0"/>
    <x v="0"/>
    <x v="0"/>
    <x v="1"/>
    <s v="64-2335840-"/>
    <s v="bruno.ojeda@redsalud.gov.cl"/>
    <x v="1"/>
    <d v="2024-07-05T00:00:00"/>
    <n v="1"/>
    <s v="1057532-1544-SE24"/>
    <n v="1"/>
    <n v="559333"/>
    <d v="2026-12-01T00:00:00"/>
    <x v="0"/>
    <x v="0"/>
  </r>
  <r>
    <s v="SERVICIO DE SALUD OSORNO"/>
    <s v="Bienes y Servicios"/>
    <x v="2"/>
    <s v="Proyecto operacional"/>
    <s v="Publicado"/>
    <s v="22.11.003"/>
    <x v="2"/>
    <s v="Tiene como finalidad realizar un adecuado control y gestión de flota de vehículos, aumentando la eficiencia en lo operacional, como también disminuyendo el riesgo de accidentes de tránsito."/>
    <n v="1"/>
    <s v="Sistema de control de flota"/>
    <n v="1"/>
    <n v="1"/>
    <n v="20136000"/>
    <n v="559345"/>
    <x v="0"/>
    <x v="0"/>
    <x v="1"/>
    <x v="2"/>
    <s v="64-2565654-"/>
    <s v="felipe.salvob@redsalud.gob.cl"/>
    <x v="0"/>
    <d v="2024-07-05T00:00:00"/>
    <n v="0"/>
    <m/>
    <n v="1"/>
    <n v="559345"/>
    <d v="2026-12-01T00:00:00"/>
    <x v="0"/>
    <x v="0"/>
  </r>
  <r>
    <s v="SERVICIO DE SALUD OSORNO"/>
    <s v="Bienes y Servicios"/>
    <x v="2"/>
    <s v="Proyecto operacional"/>
    <s v="Publicado"/>
    <s v="22.11.003"/>
    <x v="2"/>
    <s v="Tiene como finalidad realizar un adecuado control y gestión de flota de vehículos, aumentando la eficiencia en lo operacional, como también disminuyendo el riesgo de accidentes de tránsito."/>
    <n v="1"/>
    <s v="Sistema de control de flota"/>
    <n v="1"/>
    <n v="1"/>
    <n v="20136000"/>
    <n v="559333"/>
    <x v="0"/>
    <x v="0"/>
    <x v="1"/>
    <x v="2"/>
    <s v="64-2565654-"/>
    <s v="felipe.salvob@redsalud.gob.cl"/>
    <x v="0"/>
    <d v="2024-07-05T00:00:00"/>
    <n v="0"/>
    <m/>
    <n v="1"/>
    <n v="559333"/>
    <d v="2026-05-01T00:00:00"/>
    <x v="0"/>
    <x v="0"/>
  </r>
  <r>
    <s v="SERVICIO DE SALUD OSORNO"/>
    <s v="Bienes y Servicios"/>
    <x v="2"/>
    <s v="Proyecto operacional"/>
    <s v="Publicado"/>
    <s v="22.11.003"/>
    <x v="2"/>
    <s v="Tiene como finalidad realizar un adecuado control y gestión de flota de vehículos, aumentando la eficiencia en lo operacional, como también disminuyendo el riesgo de accidentes de tránsito."/>
    <n v="1"/>
    <s v="Sistema de control de flota"/>
    <n v="1"/>
    <n v="1"/>
    <n v="20136000"/>
    <n v="559333"/>
    <x v="0"/>
    <x v="0"/>
    <x v="1"/>
    <x v="2"/>
    <s v="64-2565654-"/>
    <s v="felipe.salvob@redsalud.gob.cl"/>
    <x v="0"/>
    <d v="2024-07-05T00:00:00"/>
    <n v="0"/>
    <m/>
    <n v="1"/>
    <n v="559333"/>
    <d v="2026-03-01T00:00:00"/>
    <x v="0"/>
    <x v="0"/>
  </r>
  <r>
    <s v="SERVICIO DE SALUD OSORNO"/>
    <s v="Bienes y Servicios"/>
    <x v="2"/>
    <s v="Proyecto operacional"/>
    <s v="Publicado"/>
    <s v="22.11.003"/>
    <x v="2"/>
    <s v="Tiene como finalidad realizar un adecuado control y gestión de flota de vehículos, aumentando la eficiencia en lo operacional, como también disminuyendo el riesgo de accidentes de tránsito."/>
    <n v="1"/>
    <s v="Sistema de control de flota"/>
    <n v="1"/>
    <n v="1"/>
    <n v="20136000"/>
    <n v="559333"/>
    <x v="0"/>
    <x v="0"/>
    <x v="1"/>
    <x v="2"/>
    <s v="64-2565654-"/>
    <s v="felipe.salvob@redsalud.gob.cl"/>
    <x v="0"/>
    <d v="2024-07-05T00:00:00"/>
    <n v="0"/>
    <m/>
    <n v="1"/>
    <n v="559333"/>
    <d v="2026-02-01T00:00:00"/>
    <x v="0"/>
    <x v="0"/>
  </r>
  <r>
    <s v="SERVICIO DE SALUD OSORNO"/>
    <s v="Bienes y Servicios"/>
    <x v="2"/>
    <s v="Proyecto operacional"/>
    <s v="Publicado"/>
    <s v="22.11.003"/>
    <x v="2"/>
    <s v="Tiene como finalidad realizar un adecuado control y gestión de flota de vehículos, aumentando la eficiencia en lo operacional, como también disminuyendo el riesgo de accidentes de tránsito."/>
    <n v="1"/>
    <s v="Sistema de control de flota"/>
    <n v="1"/>
    <n v="1"/>
    <n v="20136000"/>
    <n v="559333"/>
    <x v="0"/>
    <x v="0"/>
    <x v="1"/>
    <x v="2"/>
    <s v="64-2565654-"/>
    <s v="felipe.salvob@redsalud.gob.cl"/>
    <x v="0"/>
    <d v="2024-07-05T00:00:00"/>
    <n v="0"/>
    <m/>
    <n v="1"/>
    <n v="559333"/>
    <d v="2026-06-01T00:00:00"/>
    <x v="0"/>
    <x v="0"/>
  </r>
  <r>
    <s v="SERVICIO DE SALUD OSORNO"/>
    <s v="Bienes y Servicios"/>
    <x v="2"/>
    <s v="Proyecto operacional"/>
    <s v="Publicado"/>
    <s v="22.11.003"/>
    <x v="2"/>
    <s v="Tiene como finalidad realizar un adecuado control y gestión de flota de vehículos, aumentando la eficiencia en lo operacional, como también disminuyendo el riesgo de accidentes de tránsito."/>
    <n v="1"/>
    <s v="Sistema de control de flota"/>
    <n v="1"/>
    <n v="1"/>
    <n v="20136000"/>
    <n v="559333"/>
    <x v="0"/>
    <x v="0"/>
    <x v="1"/>
    <x v="2"/>
    <s v="64-2565654-"/>
    <s v="felipe.salvob@redsalud.gob.cl"/>
    <x v="0"/>
    <d v="2024-07-05T00:00:00"/>
    <n v="0"/>
    <m/>
    <n v="1"/>
    <n v="559333"/>
    <d v="2026-01-01T00:00:00"/>
    <x v="0"/>
    <x v="0"/>
  </r>
  <r>
    <s v="SERVICIO DE SALUD OSORNO"/>
    <s v="Bienes y Servicios"/>
    <x v="2"/>
    <s v="Proyecto operacional"/>
    <s v="Publicado"/>
    <s v="22.11.003"/>
    <x v="2"/>
    <s v="Tiene como finalidad realizar un adecuado control y gestión de flota de vehículos, aumentando la eficiencia en lo operacional, como también disminuyendo el riesgo de accidentes de tránsito."/>
    <n v="1"/>
    <s v="Sistema de control de flota"/>
    <n v="1"/>
    <n v="1"/>
    <n v="20136000"/>
    <n v="559333"/>
    <x v="0"/>
    <x v="0"/>
    <x v="1"/>
    <x v="2"/>
    <s v="64-2565654-"/>
    <s v="felipe.salvob@redsalud.gob.cl"/>
    <x v="0"/>
    <d v="2024-07-05T00:00:00"/>
    <n v="0"/>
    <m/>
    <n v="1"/>
    <n v="559333"/>
    <d v="2026-07-01T00:00:00"/>
    <x v="0"/>
    <x v="0"/>
  </r>
  <r>
    <s v="SERVICIO DE SALUD OSORNO"/>
    <s v="Bienes y Servicios"/>
    <x v="2"/>
    <s v="Proyecto operacional"/>
    <s v="Publicado"/>
    <s v="22.11.003"/>
    <x v="2"/>
    <s v="Tiene como finalidad realizar un adecuado control y gestión de flota de vehículos, aumentando la eficiencia en lo operacional, como también disminuyendo el riesgo de accidentes de tránsito."/>
    <n v="1"/>
    <s v="Sistema de control de flota"/>
    <n v="1"/>
    <n v="1"/>
    <n v="20136000"/>
    <n v="559333"/>
    <x v="0"/>
    <x v="0"/>
    <x v="1"/>
    <x v="2"/>
    <s v="64-2565654-"/>
    <s v="felipe.salvob@redsalud.gob.cl"/>
    <x v="0"/>
    <d v="2024-07-05T00:00:00"/>
    <n v="0"/>
    <m/>
    <n v="1"/>
    <n v="559333"/>
    <d v="2026-04-01T00:00:00"/>
    <x v="0"/>
    <x v="0"/>
  </r>
  <r>
    <s v="SERVICIO DE SALUD OSORNO"/>
    <s v="Bienes y Servicios"/>
    <x v="2"/>
    <s v="Proyecto operacional"/>
    <s v="Publicado"/>
    <s v="22.11.003"/>
    <x v="2"/>
    <s v="Tiene como finalidad realizar un adecuado control y gestión de flota de vehículos, aumentando la eficiencia en lo operacional, como también disminuyendo el riesgo de accidentes de tránsito."/>
    <n v="1"/>
    <s v="Sistema de control de flota"/>
    <n v="1"/>
    <n v="1"/>
    <n v="20136000"/>
    <n v="559333"/>
    <x v="0"/>
    <x v="0"/>
    <x v="1"/>
    <x v="2"/>
    <s v="64-2565654-"/>
    <s v="felipe.salvob@redsalud.gob.cl"/>
    <x v="0"/>
    <d v="2024-07-05T00:00:00"/>
    <n v="0"/>
    <m/>
    <n v="1"/>
    <n v="559333"/>
    <d v="2026-08-01T00:00:00"/>
    <x v="0"/>
    <x v="0"/>
  </r>
  <r>
    <s v="SERVICIO DE SALUD OSORNO"/>
    <s v="Bienes y Servicios"/>
    <x v="2"/>
    <s v="Proyecto operacional"/>
    <s v="Publicado"/>
    <s v="22.11.003"/>
    <x v="2"/>
    <s v="Tiene como finalidad realizar un adecuado control y gestión de flota de vehículos, aumentando la eficiencia en lo operacional, como también disminuyendo el riesgo de accidentes de tránsito."/>
    <n v="1"/>
    <s v="Sistema de control de flota"/>
    <n v="1"/>
    <n v="1"/>
    <n v="20136000"/>
    <n v="559333"/>
    <x v="0"/>
    <x v="0"/>
    <x v="1"/>
    <x v="2"/>
    <s v="64-2565654-"/>
    <s v="felipe.salvob@redsalud.gob.cl"/>
    <x v="0"/>
    <d v="2024-07-05T00:00:00"/>
    <n v="0"/>
    <m/>
    <n v="1"/>
    <n v="559333"/>
    <d v="2026-10-01T00:00:00"/>
    <x v="0"/>
    <x v="0"/>
  </r>
  <r>
    <s v="SERVICIO DE SALUD OSORNO"/>
    <s v="Bienes y Servicios"/>
    <x v="2"/>
    <s v="Proyecto operacional"/>
    <s v="Publicado"/>
    <s v="22.11.003"/>
    <x v="2"/>
    <s v="Tiene como finalidad realizar un adecuado control y gestión de flota de vehículos, aumentando la eficiencia en lo operacional, como también disminuyendo el riesgo de accidentes de tránsito."/>
    <n v="1"/>
    <s v="Sistema de control de flota"/>
    <n v="1"/>
    <n v="1"/>
    <n v="20136000"/>
    <n v="559333"/>
    <x v="0"/>
    <x v="0"/>
    <x v="1"/>
    <x v="2"/>
    <s v="64-2565654-"/>
    <s v="felipe.salvob@redsalud.gob.cl"/>
    <x v="0"/>
    <d v="2024-07-05T00:00:00"/>
    <n v="0"/>
    <m/>
    <n v="1"/>
    <n v="559333"/>
    <d v="2026-09-01T00:00:00"/>
    <x v="0"/>
    <x v="0"/>
  </r>
  <r>
    <s v="SERVICIO DE SALUD OSORNO"/>
    <s v="Bienes y Servicios"/>
    <x v="2"/>
    <s v="Proyecto operacional"/>
    <s v="Publicado"/>
    <s v="22.11.003"/>
    <x v="2"/>
    <s v="Tiene como finalidad realizar un adecuado control y gestión de flota de vehículos, aumentando la eficiencia en lo operacional, como también disminuyendo el riesgo de accidentes de tránsito."/>
    <n v="1"/>
    <s v="Sistema de control de flota"/>
    <n v="1"/>
    <n v="1"/>
    <n v="20136000"/>
    <n v="559333"/>
    <x v="0"/>
    <x v="0"/>
    <x v="1"/>
    <x v="2"/>
    <s v="64-2565654-"/>
    <s v="felipe.salvob@redsalud.gob.cl"/>
    <x v="0"/>
    <d v="2024-07-05T00:00:00"/>
    <n v="0"/>
    <m/>
    <n v="1"/>
    <n v="559333"/>
    <d v="2026-11-01T00:00:00"/>
    <x v="0"/>
    <x v="0"/>
  </r>
  <r>
    <s v="SERVICIO DE SALUD OSORNO"/>
    <s v="Bienes y Servicios"/>
    <x v="3"/>
    <s v="Proyecto estratégico"/>
    <s v="Publicado"/>
    <s v="22.11.003"/>
    <x v="3"/>
    <s v="SERVICIO DE SUSCRIPCION WAVE PTX, INCLUYE INTERPERABILIDAD CON SISTEMA VHF, GATEWAY, INSTALACION, LICENCIAS, GPS EN LOS EQUIPOS WAVE PTX."/>
    <n v="1"/>
    <s v="Servicio"/>
    <n v="1"/>
    <n v="1"/>
    <n v="130000000"/>
    <n v="3611111"/>
    <x v="0"/>
    <x v="1"/>
    <x v="2"/>
    <x v="3"/>
    <s v="64-337728-"/>
    <s v="CATALINA.VERAC@REDSALUD.GOB.CL"/>
    <x v="2"/>
    <d v="2024-07-05T00:00:00"/>
    <n v="0"/>
    <m/>
    <n v="1"/>
    <n v="3611111"/>
    <d v="2026-07-01T00:00:00"/>
    <x v="0"/>
    <x v="0"/>
  </r>
  <r>
    <s v="SERVICIO DE SALUD OSORNO"/>
    <s v="Bienes y Servicios"/>
    <x v="3"/>
    <s v="Proyecto estratégico"/>
    <s v="Publicado"/>
    <s v="22.11.003"/>
    <x v="3"/>
    <s v="SERVICIO DE SUSCRIPCION WAVE PTX, INCLUYE INTERPERABILIDAD CON SISTEMA VHF, GATEWAY, INSTALACION, LICENCIAS, GPS EN LOS EQUIPOS WAVE PTX."/>
    <n v="1"/>
    <s v="Servicio"/>
    <n v="1"/>
    <n v="1"/>
    <n v="130000000"/>
    <n v="3611111"/>
    <x v="0"/>
    <x v="1"/>
    <x v="2"/>
    <x v="3"/>
    <s v="64-337728-"/>
    <s v="CATALINA.VERAC@REDSALUD.GOB.CL"/>
    <x v="2"/>
    <d v="2024-07-05T00:00:00"/>
    <n v="0"/>
    <m/>
    <n v="1"/>
    <n v="3611111"/>
    <d v="2026-01-01T00:00:00"/>
    <x v="0"/>
    <x v="0"/>
  </r>
  <r>
    <s v="SERVICIO DE SALUD OSORNO"/>
    <s v="Bienes y Servicios"/>
    <x v="3"/>
    <s v="Proyecto estratégico"/>
    <s v="Publicado"/>
    <s v="22.11.003"/>
    <x v="3"/>
    <s v="SERVICIO DE SUSCRIPCION WAVE PTX, INCLUYE INTERPERABILIDAD CON SISTEMA VHF, GATEWAY, INSTALACION, LICENCIAS, GPS EN LOS EQUIPOS WAVE PTX."/>
    <n v="1"/>
    <s v="Servicio"/>
    <n v="1"/>
    <n v="1"/>
    <n v="130000000"/>
    <n v="3611111"/>
    <x v="0"/>
    <x v="1"/>
    <x v="2"/>
    <x v="3"/>
    <s v="64-337728-"/>
    <s v="CATALINA.VERAC@REDSALUD.GOB.CL"/>
    <x v="2"/>
    <d v="2024-07-05T00:00:00"/>
    <n v="0"/>
    <m/>
    <n v="1"/>
    <n v="3611111"/>
    <d v="2026-12-01T00:00:00"/>
    <x v="0"/>
    <x v="0"/>
  </r>
  <r>
    <s v="SERVICIO DE SALUD OSORNO"/>
    <s v="Bienes y Servicios"/>
    <x v="3"/>
    <s v="Proyecto estratégico"/>
    <s v="Publicado"/>
    <s v="22.11.003"/>
    <x v="3"/>
    <s v="SERVICIO DE SUSCRIPCION WAVE PTX, INCLUYE INTERPERABILIDAD CON SISTEMA VHF, GATEWAY, INSTALACION, LICENCIAS, GPS EN LOS EQUIPOS WAVE PTX."/>
    <n v="1"/>
    <s v="Servicio"/>
    <n v="1"/>
    <n v="1"/>
    <n v="130000000"/>
    <n v="3611111"/>
    <x v="0"/>
    <x v="1"/>
    <x v="2"/>
    <x v="3"/>
    <s v="64-337728-"/>
    <s v="CATALINA.VERAC@REDSALUD.GOB.CL"/>
    <x v="2"/>
    <d v="2024-07-05T00:00:00"/>
    <n v="0"/>
    <m/>
    <n v="1"/>
    <n v="3611111"/>
    <d v="2026-06-01T00:00:00"/>
    <x v="0"/>
    <x v="0"/>
  </r>
  <r>
    <s v="SERVICIO DE SALUD OSORNO"/>
    <s v="Bienes y Servicios"/>
    <x v="3"/>
    <s v="Proyecto estratégico"/>
    <s v="Publicado"/>
    <s v="22.11.003"/>
    <x v="3"/>
    <s v="SERVICIO DE SUSCRIPCION WAVE PTX, INCLUYE INTERPERABILIDAD CON SISTEMA VHF, GATEWAY, INSTALACION, LICENCIAS, GPS EN LOS EQUIPOS WAVE PTX."/>
    <n v="1"/>
    <s v="Servicio"/>
    <n v="1"/>
    <n v="1"/>
    <n v="130000000"/>
    <n v="3611111"/>
    <x v="0"/>
    <x v="1"/>
    <x v="2"/>
    <x v="3"/>
    <s v="64-337728-"/>
    <s v="CATALINA.VERAC@REDSALUD.GOB.CL"/>
    <x v="2"/>
    <d v="2024-07-05T00:00:00"/>
    <n v="0"/>
    <m/>
    <n v="1"/>
    <n v="3611111"/>
    <d v="2026-09-01T00:00:00"/>
    <x v="0"/>
    <x v="0"/>
  </r>
  <r>
    <s v="SERVICIO DE SALUD OSORNO"/>
    <s v="Bienes y Servicios"/>
    <x v="3"/>
    <s v="Proyecto estratégico"/>
    <s v="Publicado"/>
    <s v="22.11.003"/>
    <x v="3"/>
    <s v="SERVICIO DE SUSCRIPCION WAVE PTX, INCLUYE INTERPERABILIDAD CON SISTEMA VHF, GATEWAY, INSTALACION, LICENCIAS, GPS EN LOS EQUIPOS WAVE PTX."/>
    <n v="1"/>
    <s v="Servicio"/>
    <n v="1"/>
    <n v="1"/>
    <n v="130000000"/>
    <n v="3611111"/>
    <x v="0"/>
    <x v="1"/>
    <x v="2"/>
    <x v="3"/>
    <s v="64-337728-"/>
    <s v="CATALINA.VERAC@REDSALUD.GOB.CL"/>
    <x v="2"/>
    <d v="2024-07-05T00:00:00"/>
    <n v="0"/>
    <m/>
    <n v="1"/>
    <n v="3611111"/>
    <d v="2026-08-01T00:00:00"/>
    <x v="0"/>
    <x v="0"/>
  </r>
  <r>
    <s v="SERVICIO DE SALUD OSORNO"/>
    <s v="Bienes y Servicios"/>
    <x v="3"/>
    <s v="Proyecto estratégico"/>
    <s v="Publicado"/>
    <s v="22.11.003"/>
    <x v="3"/>
    <s v="SERVICIO DE SUSCRIPCION WAVE PTX, INCLUYE INTERPERABILIDAD CON SISTEMA VHF, GATEWAY, INSTALACION, LICENCIAS, GPS EN LOS EQUIPOS WAVE PTX."/>
    <n v="1"/>
    <s v="Servicio"/>
    <n v="1"/>
    <n v="1"/>
    <n v="130000000"/>
    <n v="3611111"/>
    <x v="0"/>
    <x v="1"/>
    <x v="2"/>
    <x v="3"/>
    <s v="64-337728-"/>
    <s v="CATALINA.VERAC@REDSALUD.GOB.CL"/>
    <x v="2"/>
    <d v="2024-07-05T00:00:00"/>
    <n v="0"/>
    <m/>
    <n v="1"/>
    <n v="3611111"/>
    <d v="2026-02-01T00:00:00"/>
    <x v="0"/>
    <x v="0"/>
  </r>
  <r>
    <s v="SERVICIO DE SALUD OSORNO"/>
    <s v="Bienes y Servicios"/>
    <x v="3"/>
    <s v="Proyecto estratégico"/>
    <s v="Publicado"/>
    <s v="22.11.003"/>
    <x v="3"/>
    <s v="SERVICIO DE SUSCRIPCION WAVE PTX, INCLUYE INTERPERABILIDAD CON SISTEMA VHF, GATEWAY, INSTALACION, LICENCIAS, GPS EN LOS EQUIPOS WAVE PTX."/>
    <n v="1"/>
    <s v="Servicio"/>
    <n v="1"/>
    <n v="1"/>
    <n v="130000000"/>
    <n v="3611111"/>
    <x v="0"/>
    <x v="1"/>
    <x v="2"/>
    <x v="3"/>
    <s v="64-337728-"/>
    <s v="CATALINA.VERAC@REDSALUD.GOB.CL"/>
    <x v="2"/>
    <d v="2024-07-05T00:00:00"/>
    <n v="0"/>
    <m/>
    <n v="1"/>
    <n v="3611111"/>
    <d v="2026-11-01T00:00:00"/>
    <x v="0"/>
    <x v="0"/>
  </r>
  <r>
    <s v="SERVICIO DE SALUD OSORNO"/>
    <s v="Bienes y Servicios"/>
    <x v="3"/>
    <s v="Proyecto estratégico"/>
    <s v="Publicado"/>
    <s v="22.11.003"/>
    <x v="3"/>
    <s v="SERVICIO DE SUSCRIPCION WAVE PTX, INCLUYE INTERPERABILIDAD CON SISTEMA VHF, GATEWAY, INSTALACION, LICENCIAS, GPS EN LOS EQUIPOS WAVE PTX."/>
    <n v="1"/>
    <s v="Servicio"/>
    <n v="1"/>
    <n v="1"/>
    <n v="130000000"/>
    <n v="3611111"/>
    <x v="0"/>
    <x v="1"/>
    <x v="2"/>
    <x v="3"/>
    <s v="64-337728-"/>
    <s v="CATALINA.VERAC@REDSALUD.GOB.CL"/>
    <x v="2"/>
    <d v="2024-07-05T00:00:00"/>
    <n v="0"/>
    <m/>
    <n v="1"/>
    <n v="3611111"/>
    <d v="2026-04-01T00:00:00"/>
    <x v="0"/>
    <x v="0"/>
  </r>
  <r>
    <s v="SERVICIO DE SALUD OSORNO"/>
    <s v="Bienes y Servicios"/>
    <x v="3"/>
    <s v="Proyecto estratégico"/>
    <s v="Publicado"/>
    <s v="22.11.003"/>
    <x v="3"/>
    <s v="SERVICIO DE SUSCRIPCION WAVE PTX, INCLUYE INTERPERABILIDAD CON SISTEMA VHF, GATEWAY, INSTALACION, LICENCIAS, GPS EN LOS EQUIPOS WAVE PTX."/>
    <n v="1"/>
    <s v="Servicio"/>
    <n v="1"/>
    <n v="1"/>
    <n v="130000000"/>
    <n v="3611111"/>
    <x v="0"/>
    <x v="1"/>
    <x v="2"/>
    <x v="3"/>
    <s v="64-337728-"/>
    <s v="CATALINA.VERAC@REDSALUD.GOB.CL"/>
    <x v="2"/>
    <d v="2024-07-05T00:00:00"/>
    <n v="0"/>
    <m/>
    <n v="1"/>
    <n v="3611111"/>
    <d v="2026-05-01T00:00:00"/>
    <x v="0"/>
    <x v="0"/>
  </r>
  <r>
    <s v="SERVICIO DE SALUD OSORNO"/>
    <s v="Bienes y Servicios"/>
    <x v="3"/>
    <s v="Proyecto estratégico"/>
    <s v="Publicado"/>
    <s v="22.11.003"/>
    <x v="3"/>
    <s v="SERVICIO DE SUSCRIPCION WAVE PTX, INCLUYE INTERPERABILIDAD CON SISTEMA VHF, GATEWAY, INSTALACION, LICENCIAS, GPS EN LOS EQUIPOS WAVE PTX."/>
    <n v="1"/>
    <s v="Servicio"/>
    <n v="1"/>
    <n v="1"/>
    <n v="130000000"/>
    <n v="3611111"/>
    <x v="0"/>
    <x v="1"/>
    <x v="2"/>
    <x v="3"/>
    <s v="64-337728-"/>
    <s v="CATALINA.VERAC@REDSALUD.GOB.CL"/>
    <x v="2"/>
    <d v="2024-07-05T00:00:00"/>
    <n v="0"/>
    <m/>
    <n v="1"/>
    <n v="3611111"/>
    <d v="2026-03-01T00:00:00"/>
    <x v="0"/>
    <x v="0"/>
  </r>
  <r>
    <s v="SERVICIO DE SALUD OSORNO"/>
    <s v="Bienes y Servicios"/>
    <x v="3"/>
    <s v="Proyecto estratégico"/>
    <s v="Publicado"/>
    <s v="22.11.003"/>
    <x v="3"/>
    <s v="SERVICIO DE SUSCRIPCION WAVE PTX, INCLUYE INTERPERABILIDAD CON SISTEMA VHF, GATEWAY, INSTALACION, LICENCIAS, GPS EN LOS EQUIPOS WAVE PTX."/>
    <n v="1"/>
    <s v="Servicio"/>
    <n v="1"/>
    <n v="1"/>
    <n v="130000000"/>
    <n v="3611111"/>
    <x v="0"/>
    <x v="1"/>
    <x v="2"/>
    <x v="3"/>
    <s v="64-337728-"/>
    <s v="CATALINA.VERAC@REDSALUD.GOB.CL"/>
    <x v="2"/>
    <d v="2024-07-05T00:00:00"/>
    <n v="0"/>
    <m/>
    <n v="1"/>
    <n v="3611111"/>
    <d v="2026-10-01T00:00:00"/>
    <x v="0"/>
    <x v="0"/>
  </r>
  <r>
    <s v="SERVICIO DE SALUD OSORNO"/>
    <s v="Bienes y Servicios"/>
    <x v="4"/>
    <s v="Proyecto operacional"/>
    <s v="Publicado"/>
    <s v="22.12.999.022"/>
    <x v="4"/>
    <s v="3 cupos Residencia Protegida por 24 meses, en la Región Metropolitana, por un total de 2190 días de residencia protegida."/>
    <n v="1"/>
    <s v="Residencia"/>
    <n v="1"/>
    <n v="1"/>
    <n v="80865750"/>
    <n v="3369406"/>
    <x v="1"/>
    <x v="2"/>
    <x v="3"/>
    <x v="4"/>
    <s v="64-335813-"/>
    <s v="antonia.caifil@redsalud.gob.cl"/>
    <x v="3"/>
    <d v="2024-07-05T00:00:00"/>
    <n v="12"/>
    <s v="1057532-1987-SE24"/>
    <n v="1"/>
    <n v="3369406"/>
    <d v="2026-02-01T00:00:00"/>
    <x v="0"/>
    <x v="0"/>
  </r>
  <r>
    <s v="SERVICIO DE SALUD OSORNO"/>
    <s v="Bienes y Servicios"/>
    <x v="4"/>
    <s v="Proyecto operacional"/>
    <s v="Publicado"/>
    <s v="22.12.999.022"/>
    <x v="4"/>
    <s v="3 cupos Residencia Protegida por 24 meses, en la Región Metropolitana, por un total de 2190 días de residencia protegida."/>
    <n v="1"/>
    <s v="Residencia"/>
    <n v="1"/>
    <n v="1"/>
    <n v="80865750"/>
    <n v="3369406"/>
    <x v="1"/>
    <x v="2"/>
    <x v="3"/>
    <x v="4"/>
    <s v="64-335813-"/>
    <s v="antonia.caifil@redsalud.gob.cl"/>
    <x v="3"/>
    <d v="2024-07-05T00:00:00"/>
    <n v="12"/>
    <s v="1057532-1299-SE24"/>
    <n v="1"/>
    <n v="3369406"/>
    <d v="2026-03-01T00:00:00"/>
    <x v="0"/>
    <x v="0"/>
  </r>
  <r>
    <s v="SERVICIO DE SALUD OSORNO"/>
    <s v="Bienes y Servicios"/>
    <x v="4"/>
    <s v="Proyecto operacional"/>
    <s v="Publicado"/>
    <s v="22.12.999.022"/>
    <x v="4"/>
    <s v="3 cupos Residencia Protegida por 24 meses, en la Región Metropolitana, por un total de 2190 días de residencia protegida."/>
    <n v="1"/>
    <s v="Residencia"/>
    <n v="1"/>
    <n v="1"/>
    <n v="80865750"/>
    <n v="3369406"/>
    <x v="1"/>
    <x v="2"/>
    <x v="3"/>
    <x v="4"/>
    <s v="64-335813-"/>
    <s v="antonia.caifil@redsalud.gob.cl"/>
    <x v="3"/>
    <d v="2024-07-05T00:00:00"/>
    <n v="12"/>
    <s v="1057532-1987-SE24"/>
    <n v="1"/>
    <n v="3369406"/>
    <d v="2026-07-01T00:00:00"/>
    <x v="0"/>
    <x v="0"/>
  </r>
  <r>
    <s v="SERVICIO DE SALUD OSORNO"/>
    <s v="Bienes y Servicios"/>
    <x v="4"/>
    <s v="Proyecto operacional"/>
    <s v="Publicado"/>
    <s v="22.12.999.022"/>
    <x v="4"/>
    <s v="3 cupos Residencia Protegida por 24 meses, en la Región Metropolitana, por un total de 2190 días de residencia protegida."/>
    <n v="1"/>
    <s v="Residencia"/>
    <n v="1"/>
    <n v="1"/>
    <n v="80865750"/>
    <n v="3369406"/>
    <x v="1"/>
    <x v="2"/>
    <x v="3"/>
    <x v="4"/>
    <s v="64-335813-"/>
    <s v="antonia.caifil@redsalud.gob.cl"/>
    <x v="3"/>
    <d v="2024-07-05T00:00:00"/>
    <n v="12"/>
    <s v="1057532-1299-SE24"/>
    <n v="1"/>
    <n v="3369406"/>
    <d v="2026-06-01T00:00:00"/>
    <x v="0"/>
    <x v="0"/>
  </r>
  <r>
    <s v="SERVICIO DE SALUD OSORNO"/>
    <s v="Bienes y Servicios"/>
    <x v="4"/>
    <s v="Proyecto operacional"/>
    <s v="Publicado"/>
    <s v="22.12.999.022"/>
    <x v="4"/>
    <s v="3 cupos Residencia Protegida por 24 meses, en la Región Metropolitana, por un total de 2190 días de residencia protegida."/>
    <n v="1"/>
    <s v="Residencia"/>
    <n v="1"/>
    <n v="1"/>
    <n v="80865750"/>
    <n v="3369406"/>
    <x v="1"/>
    <x v="2"/>
    <x v="3"/>
    <x v="4"/>
    <s v="64-335813-"/>
    <s v="antonia.caifil@redsalud.gob.cl"/>
    <x v="3"/>
    <d v="2024-07-05T00:00:00"/>
    <n v="12"/>
    <s v="1057532-1831-SE24"/>
    <n v="1"/>
    <n v="3369406"/>
    <d v="2026-06-01T00:00:00"/>
    <x v="0"/>
    <x v="0"/>
  </r>
  <r>
    <s v="SERVICIO DE SALUD OSORNO"/>
    <s v="Bienes y Servicios"/>
    <x v="4"/>
    <s v="Proyecto operacional"/>
    <s v="Publicado"/>
    <s v="22.12.999.022"/>
    <x v="4"/>
    <s v="3 cupos Residencia Protegida por 24 meses, en la Región Metropolitana, por un total de 2190 días de residencia protegida."/>
    <n v="1"/>
    <s v="Residencia"/>
    <n v="1"/>
    <n v="1"/>
    <n v="80865750"/>
    <n v="3369406"/>
    <x v="1"/>
    <x v="2"/>
    <x v="3"/>
    <x v="4"/>
    <s v="64-335813-"/>
    <s v="antonia.caifil@redsalud.gob.cl"/>
    <x v="3"/>
    <d v="2024-07-05T00:00:00"/>
    <n v="12"/>
    <s v="1057532-1987-SE24"/>
    <n v="1"/>
    <n v="3369406"/>
    <d v="2026-11-01T00:00:00"/>
    <x v="0"/>
    <x v="0"/>
  </r>
  <r>
    <s v="SERVICIO DE SALUD OSORNO"/>
    <s v="Bienes y Servicios"/>
    <x v="4"/>
    <s v="Proyecto operacional"/>
    <s v="Publicado"/>
    <s v="22.12.999.022"/>
    <x v="4"/>
    <s v="3 cupos Residencia Protegida por 24 meses, en la Región Metropolitana, por un total de 2190 días de residencia protegida."/>
    <n v="1"/>
    <s v="Residencia"/>
    <n v="1"/>
    <n v="1"/>
    <n v="80865750"/>
    <n v="3369406"/>
    <x v="1"/>
    <x v="2"/>
    <x v="3"/>
    <x v="4"/>
    <s v="64-335813-"/>
    <s v="antonia.caifil@redsalud.gob.cl"/>
    <x v="3"/>
    <d v="2024-07-05T00:00:00"/>
    <n v="12"/>
    <s v="1057532-1831-SE24"/>
    <n v="1"/>
    <n v="3369406"/>
    <d v="2026-07-01T00:00:00"/>
    <x v="0"/>
    <x v="0"/>
  </r>
  <r>
    <s v="SERVICIO DE SALUD OSORNO"/>
    <s v="Bienes y Servicios"/>
    <x v="4"/>
    <s v="Proyecto operacional"/>
    <s v="Publicado"/>
    <s v="22.12.999.022"/>
    <x v="4"/>
    <s v="3 cupos Residencia Protegida por 24 meses, en la Región Metropolitana, por un total de 2190 días de residencia protegida."/>
    <n v="1"/>
    <s v="Residencia"/>
    <n v="1"/>
    <n v="1"/>
    <n v="80865750"/>
    <n v="3369406"/>
    <x v="1"/>
    <x v="2"/>
    <x v="3"/>
    <x v="4"/>
    <s v="64-335813-"/>
    <s v="antonia.caifil@redsalud.gob.cl"/>
    <x v="3"/>
    <d v="2024-07-05T00:00:00"/>
    <n v="12"/>
    <s v="1057532-4506-SE25"/>
    <n v="1"/>
    <n v="3369406"/>
    <d v="2026-02-01T00:00:00"/>
    <x v="0"/>
    <x v="0"/>
  </r>
  <r>
    <s v="SERVICIO DE SALUD OSORNO"/>
    <s v="Bienes y Servicios"/>
    <x v="4"/>
    <s v="Proyecto operacional"/>
    <s v="Publicado"/>
    <s v="22.12.999.022"/>
    <x v="4"/>
    <s v="3 cupos Residencia Protegida por 24 meses, en la Región Metropolitana, por un total de 2190 días de residencia protegida."/>
    <n v="1"/>
    <s v="Residencia"/>
    <n v="1"/>
    <n v="1"/>
    <n v="80865750"/>
    <n v="3369406"/>
    <x v="1"/>
    <x v="2"/>
    <x v="3"/>
    <x v="4"/>
    <s v="64-335813-"/>
    <s v="antonia.caifil@redsalud.gob.cl"/>
    <x v="3"/>
    <d v="2024-07-05T00:00:00"/>
    <n v="12"/>
    <s v="1057532-1299-SE24"/>
    <n v="1"/>
    <n v="3369406"/>
    <d v="2026-02-01T00:00:00"/>
    <x v="0"/>
    <x v="0"/>
  </r>
  <r>
    <s v="SERVICIO DE SALUD OSORNO"/>
    <s v="Bienes y Servicios"/>
    <x v="4"/>
    <s v="Proyecto operacional"/>
    <s v="Publicado"/>
    <s v="22.12.999.022"/>
    <x v="4"/>
    <s v="3 cupos Residencia Protegida por 24 meses, en la Región Metropolitana, por un total de 2190 días de residencia protegida."/>
    <n v="1"/>
    <s v="Residencia"/>
    <n v="1"/>
    <n v="1"/>
    <n v="80865750"/>
    <n v="3369408"/>
    <x v="1"/>
    <x v="2"/>
    <x v="3"/>
    <x v="4"/>
    <s v="64-335813-"/>
    <s v="antonia.caifil@redsalud.gob.cl"/>
    <x v="3"/>
    <d v="2024-07-05T00:00:00"/>
    <n v="12"/>
    <s v="1057532-1831-SE24"/>
    <n v="1"/>
    <n v="3369406"/>
    <d v="2026-08-01T00:00:00"/>
    <x v="0"/>
    <x v="0"/>
  </r>
  <r>
    <s v="SERVICIO DE SALUD OSORNO"/>
    <s v="Bienes y Servicios"/>
    <x v="4"/>
    <s v="Proyecto operacional"/>
    <s v="Publicado"/>
    <s v="22.12.999.022"/>
    <x v="4"/>
    <s v="3 cupos Residencia Protegida por 24 meses, en la Región Metropolitana, por un total de 2190 días de residencia protegida."/>
    <n v="1"/>
    <s v="Residencia"/>
    <n v="1"/>
    <n v="1"/>
    <n v="80865750"/>
    <n v="3369408"/>
    <x v="1"/>
    <x v="2"/>
    <x v="3"/>
    <x v="4"/>
    <s v="64-335813-"/>
    <s v="antonia.caifil@redsalud.gob.cl"/>
    <x v="3"/>
    <d v="2024-07-05T00:00:00"/>
    <n v="12"/>
    <s v="1057532-1299-SE24"/>
    <n v="1"/>
    <n v="3369406"/>
    <d v="2026-11-01T00:00:00"/>
    <x v="0"/>
    <x v="0"/>
  </r>
  <r>
    <s v="SERVICIO DE SALUD OSORNO"/>
    <s v="Bienes y Servicios"/>
    <x v="4"/>
    <s v="Proyecto operacional"/>
    <s v="Publicado"/>
    <s v="22.12.999.022"/>
    <x v="4"/>
    <s v="3 cupos Residencia Protegida por 24 meses, en la Región Metropolitana, por un total de 2190 días de residencia protegida."/>
    <n v="1"/>
    <s v="Residencia"/>
    <n v="1"/>
    <n v="1"/>
    <n v="80865750"/>
    <n v="3369408"/>
    <x v="1"/>
    <x v="2"/>
    <x v="3"/>
    <x v="4"/>
    <s v="64-335813-"/>
    <s v="antonia.caifil@redsalud.gob.cl"/>
    <x v="3"/>
    <d v="2024-07-05T00:00:00"/>
    <n v="12"/>
    <s v="1057532-1299-SE24"/>
    <n v="1"/>
    <n v="3369406"/>
    <d v="2026-05-01T00:00:00"/>
    <x v="0"/>
    <x v="0"/>
  </r>
  <r>
    <s v="SERVICIO DE SALUD OSORNO"/>
    <s v="Bienes y Servicios"/>
    <x v="5"/>
    <s v="Proyecto estratégico"/>
    <s v="Publicado"/>
    <s v="22.12.999.022"/>
    <x v="5"/>
    <s v="08 cupos Hogar Protegido Varones para el SSO en la ciudad de Osorno, por un periodo de 24 meses."/>
    <n v="1"/>
    <s v="Residencia"/>
    <n v="1"/>
    <n v="1"/>
    <n v="156722240"/>
    <n v="6530093"/>
    <x v="1"/>
    <x v="2"/>
    <x v="3"/>
    <x v="5"/>
    <s v="64-335813-"/>
    <s v="caifil.antonia@redsalud.gob.cl"/>
    <x v="4"/>
    <d v="2024-07-05T00:00:00"/>
    <n v="5"/>
    <s v="1057532-1988-SE24"/>
    <n v="1"/>
    <n v="6530093"/>
    <d v="2026-02-01T00:00:00"/>
    <x v="0"/>
    <x v="0"/>
  </r>
  <r>
    <s v="SERVICIO DE SALUD OSORNO"/>
    <s v="Bienes y Servicios"/>
    <x v="5"/>
    <s v="Proyecto estratégico"/>
    <s v="Publicado"/>
    <s v="22.12.999.022"/>
    <x v="5"/>
    <s v="08 cupos Hogar Protegido Varones para el SSO en la ciudad de Osorno, por un periodo de 24 meses."/>
    <n v="1"/>
    <s v="Residencia"/>
    <n v="1"/>
    <n v="1"/>
    <n v="156722240"/>
    <n v="6530093"/>
    <x v="1"/>
    <x v="2"/>
    <x v="3"/>
    <x v="5"/>
    <s v="64-335813-"/>
    <s v="caifil.antonia@redsalud.gob.cl"/>
    <x v="4"/>
    <d v="2024-07-05T00:00:00"/>
    <n v="5"/>
    <s v="1057532-1988-SE24"/>
    <n v="1"/>
    <n v="6530093"/>
    <d v="2026-01-01T00:00:00"/>
    <x v="0"/>
    <x v="0"/>
  </r>
  <r>
    <s v="SERVICIO DE SALUD OSORNO"/>
    <s v="Bienes y Servicios"/>
    <x v="5"/>
    <s v="Proyecto estratégico"/>
    <s v="Publicado"/>
    <s v="22.12.999.022"/>
    <x v="5"/>
    <s v="08 cupos Hogar Protegido Varones para el SSO en la ciudad de Osorno, por un periodo de 24 meses."/>
    <n v="1"/>
    <s v="Residencia"/>
    <n v="1"/>
    <n v="1"/>
    <n v="156722240"/>
    <n v="6530093"/>
    <x v="1"/>
    <x v="2"/>
    <x v="3"/>
    <x v="5"/>
    <s v="64-335813-"/>
    <s v="caifil.antonia@redsalud.gob.cl"/>
    <x v="4"/>
    <d v="2024-07-05T00:00:00"/>
    <n v="5"/>
    <s v="1057532-1758-SE24"/>
    <n v="1"/>
    <n v="6530093"/>
    <d v="2026-01-01T00:00:00"/>
    <x v="0"/>
    <x v="0"/>
  </r>
  <r>
    <s v="SERVICIO DE SALUD OSORNO"/>
    <s v="Bienes y Servicios"/>
    <x v="5"/>
    <s v="Proyecto estratégico"/>
    <s v="Publicado"/>
    <s v="22.12.999.022"/>
    <x v="5"/>
    <s v="08 cupos Hogar Protegido Varones para el SSO en la ciudad de Osorno, por un periodo de 24 meses."/>
    <n v="1"/>
    <s v="Residencia"/>
    <n v="1"/>
    <n v="1"/>
    <n v="156722240"/>
    <n v="6530093"/>
    <x v="1"/>
    <x v="2"/>
    <x v="3"/>
    <x v="5"/>
    <s v="64-335813-"/>
    <s v="caifil.antonia@redsalud.gob.cl"/>
    <x v="4"/>
    <d v="2024-07-05T00:00:00"/>
    <n v="5"/>
    <s v="1057532-2054-SE24"/>
    <n v="1"/>
    <n v="6530093"/>
    <d v="2026-05-01T00:00:00"/>
    <x v="0"/>
    <x v="0"/>
  </r>
  <r>
    <s v="SERVICIO DE SALUD OSORNO"/>
    <s v="Bienes y Servicios"/>
    <x v="5"/>
    <s v="Proyecto estratégico"/>
    <s v="Publicado"/>
    <s v="22.12.999.022"/>
    <x v="5"/>
    <s v="08 cupos Hogar Protegido Varones para el SSO en la ciudad de Osorno, por un periodo de 24 meses."/>
    <n v="1"/>
    <s v="Residencia"/>
    <n v="1"/>
    <n v="1"/>
    <n v="156722240"/>
    <n v="6530093"/>
    <x v="1"/>
    <x v="2"/>
    <x v="3"/>
    <x v="5"/>
    <s v="64-335813-"/>
    <s v="caifil.antonia@redsalud.gob.cl"/>
    <x v="4"/>
    <d v="2024-07-05T00:00:00"/>
    <n v="5"/>
    <s v="1057532-2053-SE24"/>
    <n v="1"/>
    <n v="6530093"/>
    <d v="2026-08-01T00:00:00"/>
    <x v="0"/>
    <x v="0"/>
  </r>
  <r>
    <s v="SERVICIO DE SALUD OSORNO"/>
    <s v="Bienes y Servicios"/>
    <x v="5"/>
    <s v="Proyecto estratégico"/>
    <s v="Publicado"/>
    <s v="22.12.999.022"/>
    <x v="5"/>
    <s v="08 cupos Hogar Protegido Varones para el SSO en la ciudad de Osorno, por un periodo de 24 meses."/>
    <n v="1"/>
    <s v="Residencia"/>
    <n v="1"/>
    <n v="1"/>
    <n v="156722240"/>
    <n v="6530093"/>
    <x v="1"/>
    <x v="2"/>
    <x v="3"/>
    <x v="5"/>
    <s v="64-335813-"/>
    <s v="caifil.antonia@redsalud.gob.cl"/>
    <x v="4"/>
    <d v="2024-07-05T00:00:00"/>
    <n v="5"/>
    <s v="1057532-1758-SE24"/>
    <n v="1"/>
    <n v="6530093"/>
    <d v="2026-05-01T00:00:00"/>
    <x v="0"/>
    <x v="0"/>
  </r>
  <r>
    <s v="SERVICIO DE SALUD OSORNO"/>
    <s v="Bienes y Servicios"/>
    <x v="5"/>
    <s v="Proyecto estratégico"/>
    <s v="Publicado"/>
    <s v="22.12.999.022"/>
    <x v="5"/>
    <s v="08 cupos Hogar Protegido Varones para el SSO en la ciudad de Osorno, por un periodo de 24 meses."/>
    <n v="1"/>
    <s v="Residencia"/>
    <n v="1"/>
    <n v="1"/>
    <n v="156722240"/>
    <n v="6530093"/>
    <x v="1"/>
    <x v="2"/>
    <x v="3"/>
    <x v="5"/>
    <s v="64-335813-"/>
    <s v="caifil.antonia@redsalud.gob.cl"/>
    <x v="4"/>
    <d v="2024-07-05T00:00:00"/>
    <n v="5"/>
    <s v="1057532-1988-SE24"/>
    <n v="1"/>
    <n v="6530093"/>
    <d v="2026-05-01T00:00:00"/>
    <x v="0"/>
    <x v="0"/>
  </r>
  <r>
    <s v="SERVICIO DE SALUD OSORNO"/>
    <s v="Bienes y Servicios"/>
    <x v="5"/>
    <s v="Proyecto estratégico"/>
    <s v="Publicado"/>
    <s v="22.12.999.022"/>
    <x v="5"/>
    <s v="08 cupos Hogar Protegido Varones para el SSO en la ciudad de Osorno, por un periodo de 24 meses."/>
    <n v="1"/>
    <s v="Residencia"/>
    <n v="1"/>
    <n v="1"/>
    <n v="156722240"/>
    <n v="6530093"/>
    <x v="1"/>
    <x v="2"/>
    <x v="3"/>
    <x v="5"/>
    <s v="64-335813-"/>
    <s v="caifil.antonia@redsalud.gob.cl"/>
    <x v="4"/>
    <d v="2024-07-05T00:00:00"/>
    <n v="5"/>
    <s v="1057532-2053-SE24"/>
    <n v="1"/>
    <n v="6530093"/>
    <d v="2026-01-01T00:00:00"/>
    <x v="0"/>
    <x v="0"/>
  </r>
  <r>
    <s v="SERVICIO DE SALUD OSORNO"/>
    <s v="Bienes y Servicios"/>
    <x v="5"/>
    <s v="Proyecto estratégico"/>
    <s v="Publicado"/>
    <s v="22.12.999.022"/>
    <x v="5"/>
    <s v="08 cupos Hogar Protegido Varones para el SSO en la ciudad de Osorno, por un periodo de 24 meses."/>
    <n v="1"/>
    <s v="Residencia"/>
    <n v="1"/>
    <n v="1"/>
    <n v="156722240"/>
    <n v="6530093"/>
    <x v="1"/>
    <x v="2"/>
    <x v="3"/>
    <x v="5"/>
    <s v="64-335813-"/>
    <s v="caifil.antonia@redsalud.gob.cl"/>
    <x v="4"/>
    <d v="2024-07-05T00:00:00"/>
    <n v="5"/>
    <s v="1057532-1758-SE24"/>
    <n v="1"/>
    <n v="6530093"/>
    <d v="2026-03-01T00:00:00"/>
    <x v="0"/>
    <x v="0"/>
  </r>
  <r>
    <s v="SERVICIO DE SALUD OSORNO"/>
    <s v="Bienes y Servicios"/>
    <x v="5"/>
    <s v="Proyecto estratégico"/>
    <s v="Publicado"/>
    <s v="22.12.999.022"/>
    <x v="5"/>
    <s v="08 cupos Hogar Protegido Varones para el SSO en la ciudad de Osorno, por un periodo de 24 meses."/>
    <n v="1"/>
    <s v="Residencia"/>
    <n v="1"/>
    <n v="1"/>
    <n v="156722240"/>
    <n v="6530099"/>
    <x v="1"/>
    <x v="2"/>
    <x v="3"/>
    <x v="5"/>
    <s v="64-335813-"/>
    <s v="caifil.antonia@redsalud.gob.cl"/>
    <x v="4"/>
    <d v="2024-07-05T00:00:00"/>
    <n v="5"/>
    <s v="1057532-2054-SE24"/>
    <n v="1"/>
    <n v="6530099"/>
    <d v="2026-12-01T00:00:00"/>
    <x v="0"/>
    <x v="0"/>
  </r>
  <r>
    <s v="SERVICIO DE SALUD OSORNO"/>
    <s v="Bienes y Servicios"/>
    <x v="5"/>
    <s v="Proyecto estratégico"/>
    <s v="Publicado"/>
    <s v="22.12.999.022"/>
    <x v="5"/>
    <s v="08 cupos Hogar Protegido Varones para el SSO en la ciudad de Osorno, por un periodo de 24 meses."/>
    <n v="1"/>
    <s v="Residencia"/>
    <n v="1"/>
    <n v="1"/>
    <n v="156722240"/>
    <n v="6530093"/>
    <x v="1"/>
    <x v="2"/>
    <x v="3"/>
    <x v="5"/>
    <s v="64-335813-"/>
    <s v="caifil.antonia@redsalud.gob.cl"/>
    <x v="4"/>
    <d v="2024-07-05T00:00:00"/>
    <n v="5"/>
    <s v="1057532-1758-SE24"/>
    <n v="1"/>
    <n v="6530093"/>
    <d v="2026-07-01T00:00:00"/>
    <x v="0"/>
    <x v="0"/>
  </r>
  <r>
    <s v="SERVICIO DE SALUD OSORNO"/>
    <s v="Bienes y Servicios"/>
    <x v="5"/>
    <s v="Proyecto estratégico"/>
    <s v="Publicado"/>
    <s v="22.12.999.022"/>
    <x v="5"/>
    <s v="08 cupos Hogar Protegido Varones para el SSO en la ciudad de Osorno, por un periodo de 24 meses."/>
    <n v="1"/>
    <s v="Residencia"/>
    <n v="1"/>
    <n v="1"/>
    <n v="156722240"/>
    <n v="6530095"/>
    <x v="1"/>
    <x v="2"/>
    <x v="3"/>
    <x v="5"/>
    <s v="64-335813-"/>
    <s v="caifil.antonia@redsalud.gob.cl"/>
    <x v="4"/>
    <d v="2024-07-05T00:00:00"/>
    <n v="5"/>
    <s v="1057532-1758-SE24"/>
    <n v="1"/>
    <n v="6530093"/>
    <d v="2026-08-01T00:00:00"/>
    <x v="0"/>
    <x v="0"/>
  </r>
  <r>
    <s v="SERVICIO DE SALUD OSORNO"/>
    <s v="Bienes y Servicios"/>
    <x v="6"/>
    <s v="Proyecto operacional"/>
    <s v="Publicado"/>
    <s v="22.12.999.022"/>
    <x v="6"/>
    <s v="Se requiere la contratación del servicio denominado Hogar Protegido (beneficiarios 08 usuarios/as), para un periodo de 24 meses, por un total de 5840 días hogar protegido."/>
    <n v="1"/>
    <s v="Residencia"/>
    <n v="1"/>
    <n v="1"/>
    <n v="156722240"/>
    <n v="6530093"/>
    <x v="1"/>
    <x v="2"/>
    <x v="3"/>
    <x v="5"/>
    <s v="64-334581-"/>
    <s v="antonia.caifil@redsalud.gob.cl"/>
    <x v="4"/>
    <d v="2024-07-05T00:00:00"/>
    <n v="11"/>
    <s v="1057532-4507-SE25"/>
    <n v="1"/>
    <n v="6530093"/>
    <d v="2026-04-01T00:00:00"/>
    <x v="0"/>
    <x v="0"/>
  </r>
  <r>
    <s v="SERVICIO DE SALUD OSORNO"/>
    <s v="Bienes y Servicios"/>
    <x v="6"/>
    <s v="Proyecto operacional"/>
    <s v="Publicado"/>
    <s v="22.12.999.022"/>
    <x v="6"/>
    <s v="Se requiere la contratación del servicio denominado Hogar Protegido (beneficiarios 08 usuarios/as), para un periodo de 24 meses, por un total de 5840 días hogar protegido."/>
    <n v="1"/>
    <s v="Residencia"/>
    <n v="1"/>
    <n v="1"/>
    <n v="156722240"/>
    <n v="6530093"/>
    <x v="1"/>
    <x v="2"/>
    <x v="3"/>
    <x v="5"/>
    <s v="64-334581-"/>
    <s v="antonia.caifil@redsalud.gob.cl"/>
    <x v="4"/>
    <d v="2024-07-05T00:00:00"/>
    <n v="11"/>
    <s v="1057532-4668-SE25"/>
    <n v="1"/>
    <n v="6530093"/>
    <d v="2026-06-01T00:00:00"/>
    <x v="0"/>
    <x v="0"/>
  </r>
  <r>
    <s v="SERVICIO DE SALUD OSORNO"/>
    <s v="Bienes y Servicios"/>
    <x v="6"/>
    <s v="Proyecto operacional"/>
    <s v="Publicado"/>
    <s v="22.12.999.022"/>
    <x v="6"/>
    <s v="Se requiere la contratación del servicio denominado Hogar Protegido (beneficiarios 08 usuarios/as), para un periodo de 24 meses, por un total de 5840 días hogar protegido."/>
    <n v="1"/>
    <s v="Residencia"/>
    <n v="1"/>
    <n v="1"/>
    <n v="156722240"/>
    <n v="6530093"/>
    <x v="1"/>
    <x v="2"/>
    <x v="3"/>
    <x v="5"/>
    <s v="64-334581-"/>
    <s v="antonia.caifil@redsalud.gob.cl"/>
    <x v="4"/>
    <d v="2024-07-05T00:00:00"/>
    <n v="11"/>
    <s v="1057532-5016-SE25"/>
    <n v="1"/>
    <n v="6530093"/>
    <d v="2026-10-01T00:00:00"/>
    <x v="0"/>
    <x v="0"/>
  </r>
  <r>
    <s v="SERVICIO DE SALUD OSORNO"/>
    <s v="Bienes y Servicios"/>
    <x v="6"/>
    <s v="Proyecto operacional"/>
    <s v="Publicado"/>
    <s v="22.12.999.022"/>
    <x v="6"/>
    <s v="Se requiere la contratación del servicio denominado Hogar Protegido (beneficiarios 08 usuarios/as), para un periodo de 24 meses, por un total de 5840 días hogar protegido."/>
    <n v="1"/>
    <s v="Residencia"/>
    <n v="1"/>
    <n v="1"/>
    <n v="156722240"/>
    <n v="6530093"/>
    <x v="1"/>
    <x v="2"/>
    <x v="3"/>
    <x v="5"/>
    <s v="64-334581-"/>
    <s v="antonia.caifil@redsalud.gob.cl"/>
    <x v="4"/>
    <d v="2024-07-05T00:00:00"/>
    <n v="11"/>
    <s v="1057532-4851-SE25"/>
    <n v="1"/>
    <n v="6530093"/>
    <d v="2026-01-01T00:00:00"/>
    <x v="0"/>
    <x v="0"/>
  </r>
  <r>
    <s v="SERVICIO DE SALUD OSORNO"/>
    <s v="Bienes y Servicios"/>
    <x v="6"/>
    <s v="Proyecto operacional"/>
    <s v="Publicado"/>
    <s v="22.12.999.022"/>
    <x v="6"/>
    <s v="Se requiere la contratación del servicio denominado Hogar Protegido (beneficiarios 08 usuarios/as), para un periodo de 24 meses, por un total de 5840 días hogar protegido."/>
    <n v="1"/>
    <s v="Residencia"/>
    <n v="1"/>
    <n v="1"/>
    <n v="156722240"/>
    <n v="6530093"/>
    <x v="1"/>
    <x v="2"/>
    <x v="3"/>
    <x v="5"/>
    <s v="64-334581-"/>
    <s v="antonia.caifil@redsalud.gob.cl"/>
    <x v="4"/>
    <d v="2024-07-05T00:00:00"/>
    <n v="11"/>
    <s v="1057532-4851-SE25"/>
    <n v="1"/>
    <n v="6530093"/>
    <d v="2026-07-01T00:00:00"/>
    <x v="0"/>
    <x v="0"/>
  </r>
  <r>
    <s v="SERVICIO DE SALUD OSORNO"/>
    <s v="Bienes y Servicios"/>
    <x v="6"/>
    <s v="Proyecto operacional"/>
    <s v="Publicado"/>
    <s v="22.12.999.022"/>
    <x v="6"/>
    <s v="Se requiere la contratación del servicio denominado Hogar Protegido (beneficiarios 08 usuarios/as), para un periodo de 24 meses, por un total de 5840 días hogar protegido."/>
    <n v="1"/>
    <s v="Residencia"/>
    <n v="1"/>
    <n v="1"/>
    <n v="156722240"/>
    <n v="6530095"/>
    <x v="1"/>
    <x v="2"/>
    <x v="3"/>
    <x v="5"/>
    <s v="64-334581-"/>
    <s v="antonia.caifil@redsalud.gob.cl"/>
    <x v="4"/>
    <d v="2024-07-05T00:00:00"/>
    <n v="11"/>
    <s v="1057532-5669-SE25"/>
    <n v="1"/>
    <n v="6530095"/>
    <d v="2026-11-01T00:00:00"/>
    <x v="0"/>
    <x v="0"/>
  </r>
  <r>
    <s v="SERVICIO DE SALUD OSORNO"/>
    <s v="Bienes y Servicios"/>
    <x v="6"/>
    <s v="Proyecto operacional"/>
    <s v="Publicado"/>
    <s v="22.12.999.022"/>
    <x v="6"/>
    <s v="Se requiere la contratación del servicio denominado Hogar Protegido (beneficiarios 08 usuarios/as), para un periodo de 24 meses, por un total de 5840 días hogar protegido."/>
    <n v="1"/>
    <s v="Residencia"/>
    <n v="1"/>
    <n v="1"/>
    <n v="156722240"/>
    <n v="6530093"/>
    <x v="1"/>
    <x v="2"/>
    <x v="3"/>
    <x v="5"/>
    <s v="64-334581-"/>
    <s v="antonia.caifil@redsalud.gob.cl"/>
    <x v="4"/>
    <d v="2024-07-05T00:00:00"/>
    <n v="11"/>
    <s v="1057532-5224-SE25"/>
    <n v="1"/>
    <n v="6530093"/>
    <d v="2026-08-01T00:00:00"/>
    <x v="0"/>
    <x v="0"/>
  </r>
  <r>
    <s v="SERVICIO DE SALUD OSORNO"/>
    <s v="Bienes y Servicios"/>
    <x v="6"/>
    <s v="Proyecto operacional"/>
    <s v="Publicado"/>
    <s v="22.12.999.022"/>
    <x v="6"/>
    <s v="Se requiere la contratación del servicio denominado Hogar Protegido (beneficiarios 08 usuarios/as), para un periodo de 24 meses, por un total de 5840 días hogar protegido."/>
    <n v="1"/>
    <s v="Residencia"/>
    <n v="1"/>
    <n v="1"/>
    <n v="156722240"/>
    <n v="6530093"/>
    <x v="1"/>
    <x v="2"/>
    <x v="3"/>
    <x v="5"/>
    <s v="64-334581-"/>
    <s v="antonia.caifil@redsalud.gob.cl"/>
    <x v="4"/>
    <d v="2024-07-05T00:00:00"/>
    <n v="11"/>
    <s v="1057532-5224-SE25"/>
    <n v="1"/>
    <n v="6530093"/>
    <d v="2026-04-01T00:00:00"/>
    <x v="0"/>
    <x v="0"/>
  </r>
  <r>
    <s v="SERVICIO DE SALUD OSORNO"/>
    <s v="Bienes y Servicios"/>
    <x v="6"/>
    <s v="Proyecto operacional"/>
    <s v="Publicado"/>
    <s v="22.12.999.022"/>
    <x v="6"/>
    <s v="Se requiere la contratación del servicio denominado Hogar Protegido (beneficiarios 08 usuarios/as), para un periodo de 24 meses, por un total de 5840 días hogar protegido."/>
    <n v="1"/>
    <s v="Residencia"/>
    <n v="1"/>
    <n v="1"/>
    <n v="156722240"/>
    <n v="6530095"/>
    <x v="1"/>
    <x v="2"/>
    <x v="3"/>
    <x v="5"/>
    <s v="64-334581-"/>
    <s v="antonia.caifil@redsalud.gob.cl"/>
    <x v="4"/>
    <d v="2024-07-05T00:00:00"/>
    <n v="11"/>
    <s v="1057532-16-SE25"/>
    <n v="1"/>
    <n v="6530095"/>
    <d v="2026-11-01T00:00:00"/>
    <x v="0"/>
    <x v="0"/>
  </r>
  <r>
    <s v="SERVICIO DE SALUD OSORNO"/>
    <s v="Bienes y Servicios"/>
    <x v="6"/>
    <s v="Proyecto operacional"/>
    <s v="Publicado"/>
    <s v="22.12.999.022"/>
    <x v="6"/>
    <s v="Se requiere la contratación del servicio denominado Hogar Protegido (beneficiarios 08 usuarios/as), para un periodo de 24 meses, por un total de 5840 días hogar protegido."/>
    <n v="1"/>
    <s v="Residencia"/>
    <n v="1"/>
    <n v="1"/>
    <n v="156722240"/>
    <n v="6530093"/>
    <x v="1"/>
    <x v="2"/>
    <x v="3"/>
    <x v="5"/>
    <s v="64-334581-"/>
    <s v="antonia.caifil@redsalud.gob.cl"/>
    <x v="4"/>
    <d v="2024-07-05T00:00:00"/>
    <n v="11"/>
    <s v="1057532-5514-SE25"/>
    <n v="1"/>
    <n v="6530093"/>
    <d v="2026-09-01T00:00:00"/>
    <x v="0"/>
    <x v="0"/>
  </r>
  <r>
    <s v="SERVICIO DE SALUD OSORNO"/>
    <s v="Bienes y Servicios"/>
    <x v="6"/>
    <s v="Proyecto operacional"/>
    <s v="Publicado"/>
    <s v="22.12.999.022"/>
    <x v="6"/>
    <s v="Se requiere la contratación del servicio denominado Hogar Protegido (beneficiarios 08 usuarios/as), para un periodo de 24 meses, por un total de 5840 días hogar protegido."/>
    <n v="1"/>
    <s v="Residencia"/>
    <n v="1"/>
    <n v="1"/>
    <n v="156722240"/>
    <n v="6530093"/>
    <x v="1"/>
    <x v="2"/>
    <x v="3"/>
    <x v="5"/>
    <s v="64-334581-"/>
    <s v="antonia.caifil@redsalud.gob.cl"/>
    <x v="4"/>
    <d v="2024-07-05T00:00:00"/>
    <n v="11"/>
    <s v="1057532-5016-SE25"/>
    <n v="1"/>
    <n v="6530093"/>
    <d v="2026-04-01T00:00:00"/>
    <x v="0"/>
    <x v="0"/>
  </r>
  <r>
    <s v="SERVICIO DE SALUD OSORNO"/>
    <s v="Bienes y Servicios"/>
    <x v="6"/>
    <s v="Proyecto operacional"/>
    <s v="Publicado"/>
    <s v="22.12.999.022"/>
    <x v="6"/>
    <s v="Se requiere la contratación del servicio denominado Hogar Protegido (beneficiarios 08 usuarios/as), para un periodo de 24 meses, por un total de 5840 días hogar protegido."/>
    <n v="1"/>
    <s v="Residencia"/>
    <n v="1"/>
    <n v="1"/>
    <n v="156722240"/>
    <n v="6530097"/>
    <x v="1"/>
    <x v="2"/>
    <x v="3"/>
    <x v="5"/>
    <s v="64-334581-"/>
    <s v="antonia.caifil@redsalud.gob.cl"/>
    <x v="4"/>
    <d v="2024-07-05T00:00:00"/>
    <n v="11"/>
    <s v="1057532-5669-SE25"/>
    <n v="1"/>
    <n v="6530093"/>
    <d v="2026-03-01T00:00:00"/>
    <x v="0"/>
    <x v="0"/>
  </r>
  <r>
    <s v="SERVICIO DE SALUD OSORNO"/>
    <s v="Bienes y Servicios"/>
    <x v="7"/>
    <s v="Proyecto operacional"/>
    <s v="Publicado"/>
    <s v="22.04.012"/>
    <x v="7"/>
    <s v="SERVICIO DE MANTENCIÓN, RECARGA E INSPECCION PREVENTIVA PARA RED HÚMEDA Y EXTINTORES DE LOS ESTABLECIMIENTOS PERTENECIENTES AL SERVICIO DE SALUD OSORNO, POR UN PERIODO DE 3 AÑOS."/>
    <n v="1"/>
    <s v="Recarga"/>
    <n v="1"/>
    <n v="1"/>
    <n v="45150000"/>
    <n v="1505000"/>
    <x v="2"/>
    <x v="3"/>
    <x v="4"/>
    <x v="6"/>
    <s v="64-337046-"/>
    <s v="karin.scholz@redsalud.gob.cl"/>
    <x v="4"/>
    <d v="2024-07-05T00:00:00"/>
    <n v="35"/>
    <s v="1057532-1505-SE24"/>
    <n v="1"/>
    <n v="1505000"/>
    <d v="2026-06-01T00:00:00"/>
    <x v="0"/>
    <x v="0"/>
  </r>
  <r>
    <s v="SERVICIO DE SALUD OSORNO"/>
    <s v="Bienes y Servicios"/>
    <x v="7"/>
    <s v="Proyecto operacional"/>
    <s v="Publicado"/>
    <s v="22.04.012"/>
    <x v="7"/>
    <s v="SERVICIO DE MANTENCIÓN, RECARGA E INSPECCION PREVENTIVA PARA RED HÚMEDA Y EXTINTORES DE LOS ESTABLECIMIENTOS PERTENECIENTES AL SERVICIO DE SALUD OSORNO, POR UN PERIODO DE 3 AÑOS."/>
    <n v="1"/>
    <s v="Recarga"/>
    <n v="1"/>
    <n v="1"/>
    <n v="45150000"/>
    <n v="1505000"/>
    <x v="2"/>
    <x v="3"/>
    <x v="4"/>
    <x v="6"/>
    <s v="64-337046-"/>
    <s v="karin.scholz@redsalud.gob.cl"/>
    <x v="4"/>
    <d v="2024-07-05T00:00:00"/>
    <n v="35"/>
    <s v="1057532-1505-SE24"/>
    <n v="1"/>
    <n v="1505000"/>
    <d v="2026-12-01T00:00:00"/>
    <x v="0"/>
    <x v="0"/>
  </r>
  <r>
    <s v="SERVICIO DE SALUD OSORNO"/>
    <s v="Bienes y Servicios"/>
    <x v="7"/>
    <s v="Proyecto operacional"/>
    <s v="Publicado"/>
    <s v="22.04.012"/>
    <x v="7"/>
    <s v="SERVICIO DE MANTENCIÓN, RECARGA E INSPECCION PREVENTIVA PARA RED HÚMEDA Y EXTINTORES DE LOS ESTABLECIMIENTOS PERTENECIENTES AL SERVICIO DE SALUD OSORNO, POR UN PERIODO DE 3 AÑOS."/>
    <n v="1"/>
    <s v="Recarga"/>
    <n v="1"/>
    <n v="1"/>
    <n v="45150000"/>
    <n v="1505000"/>
    <x v="2"/>
    <x v="3"/>
    <x v="4"/>
    <x v="6"/>
    <s v="64-337046-"/>
    <s v="karin.scholz@redsalud.gob.cl"/>
    <x v="4"/>
    <d v="2024-07-05T00:00:00"/>
    <n v="35"/>
    <s v="1057532-1505-SE24"/>
    <n v="1"/>
    <n v="1505000"/>
    <d v="2026-07-01T00:00:00"/>
    <x v="0"/>
    <x v="0"/>
  </r>
  <r>
    <s v="SERVICIO DE SALUD OSORNO"/>
    <s v="Bienes y Servicios"/>
    <x v="7"/>
    <s v="Proyecto operacional"/>
    <s v="Publicado"/>
    <s v="22.04.012"/>
    <x v="7"/>
    <s v="SERVICIO DE MANTENCIÓN, RECARGA E INSPECCION PREVENTIVA PARA RED HÚMEDA Y EXTINTORES DE LOS ESTABLECIMIENTOS PERTENECIENTES AL SERVICIO DE SALUD OSORNO, POR UN PERIODO DE 3 AÑOS."/>
    <n v="1"/>
    <s v="Recarga"/>
    <n v="1"/>
    <n v="1"/>
    <n v="45150000"/>
    <n v="1505000"/>
    <x v="2"/>
    <x v="3"/>
    <x v="4"/>
    <x v="6"/>
    <s v="64-337046-"/>
    <s v="karin.scholz@redsalud.gob.cl"/>
    <x v="4"/>
    <d v="2024-07-05T00:00:00"/>
    <n v="35"/>
    <s v="1057532-1505-SE24"/>
    <n v="1"/>
    <n v="1505000"/>
    <d v="2026-02-01T00:00:00"/>
    <x v="0"/>
    <x v="0"/>
  </r>
  <r>
    <s v="SERVICIO DE SALUD OSORNO"/>
    <s v="Bienes y Servicios"/>
    <x v="7"/>
    <s v="Proyecto operacional"/>
    <s v="Publicado"/>
    <s v="22.04.012"/>
    <x v="7"/>
    <s v="SERVICIO DE MANTENCIÓN, RECARGA E INSPECCION PREVENTIVA PARA RED HÚMEDA Y EXTINTORES DE LOS ESTABLECIMIENTOS PERTENECIENTES AL SERVICIO DE SALUD OSORNO, POR UN PERIODO DE 3 AÑOS."/>
    <n v="1"/>
    <s v="Recarga"/>
    <n v="1"/>
    <n v="1"/>
    <n v="45150000"/>
    <n v="1505000"/>
    <x v="2"/>
    <x v="3"/>
    <x v="4"/>
    <x v="6"/>
    <s v="64-337046-"/>
    <s v="karin.scholz@redsalud.gob.cl"/>
    <x v="4"/>
    <d v="2024-07-05T00:00:00"/>
    <n v="35"/>
    <s v="1057532-1505-SE24"/>
    <n v="1"/>
    <n v="1505000"/>
    <d v="2026-03-01T00:00:00"/>
    <x v="0"/>
    <x v="0"/>
  </r>
  <r>
    <s v="SERVICIO DE SALUD OSORNO"/>
    <s v="Bienes y Servicios"/>
    <x v="7"/>
    <s v="Proyecto operacional"/>
    <s v="Publicado"/>
    <s v="22.04.012"/>
    <x v="7"/>
    <s v="SERVICIO DE MANTENCIÓN, RECARGA E INSPECCION PREVENTIVA PARA RED HÚMEDA Y EXTINTORES DE LOS ESTABLECIMIENTOS PERTENECIENTES AL SERVICIO DE SALUD OSORNO, POR UN PERIODO DE 3 AÑOS."/>
    <n v="1"/>
    <s v="Recarga"/>
    <n v="1"/>
    <n v="1"/>
    <n v="45150000"/>
    <n v="1505000"/>
    <x v="2"/>
    <x v="3"/>
    <x v="4"/>
    <x v="6"/>
    <s v="64-337046-"/>
    <s v="karin.scholz@redsalud.gob.cl"/>
    <x v="4"/>
    <d v="2024-07-05T00:00:00"/>
    <n v="35"/>
    <s v="1057532-1505-SE24"/>
    <n v="1"/>
    <n v="1505000"/>
    <d v="2026-05-01T00:00:00"/>
    <x v="0"/>
    <x v="0"/>
  </r>
  <r>
    <s v="SERVICIO DE SALUD OSORNO"/>
    <s v="Bienes y Servicios"/>
    <x v="7"/>
    <s v="Proyecto operacional"/>
    <s v="Publicado"/>
    <s v="22.04.012"/>
    <x v="7"/>
    <s v="SERVICIO DE MANTENCIÓN, RECARGA E INSPECCION PREVENTIVA PARA RED HÚMEDA Y EXTINTORES DE LOS ESTABLECIMIENTOS PERTENECIENTES AL SERVICIO DE SALUD OSORNO, POR UN PERIODO DE 3 AÑOS."/>
    <n v="1"/>
    <s v="Recarga"/>
    <n v="1"/>
    <n v="1"/>
    <n v="45150000"/>
    <n v="1505000"/>
    <x v="2"/>
    <x v="3"/>
    <x v="4"/>
    <x v="6"/>
    <s v="64-337046-"/>
    <s v="karin.scholz@redsalud.gob.cl"/>
    <x v="4"/>
    <d v="2024-07-05T00:00:00"/>
    <n v="35"/>
    <s v="1057532-2252-SE24"/>
    <n v="1"/>
    <n v="1505000"/>
    <d v="2026-02-01T00:00:00"/>
    <x v="0"/>
    <x v="0"/>
  </r>
  <r>
    <s v="SERVICIO DE SALUD OSORNO"/>
    <s v="Bienes y Servicios"/>
    <x v="7"/>
    <s v="Proyecto operacional"/>
    <s v="Publicado"/>
    <s v="22.04.012"/>
    <x v="7"/>
    <s v="SERVICIO DE MANTENCIÓN, RECARGA E INSPECCION PREVENTIVA PARA RED HÚMEDA Y EXTINTORES DE LOS ESTABLECIMIENTOS PERTENECIENTES AL SERVICIO DE SALUD OSORNO, POR UN PERIODO DE 3 AÑOS."/>
    <n v="1"/>
    <s v="Recarga"/>
    <n v="1"/>
    <n v="1"/>
    <n v="45150000"/>
    <n v="1505000"/>
    <x v="2"/>
    <x v="3"/>
    <x v="4"/>
    <x v="6"/>
    <s v="64-337046-"/>
    <s v="karin.scholz@redsalud.gob.cl"/>
    <x v="4"/>
    <d v="2024-07-05T00:00:00"/>
    <n v="35"/>
    <s v="1057532-1505-SE24"/>
    <n v="1"/>
    <n v="1505000"/>
    <d v="2026-04-01T00:00:00"/>
    <x v="0"/>
    <x v="0"/>
  </r>
  <r>
    <s v="SERVICIO DE SALUD OSORNO"/>
    <s v="Bienes y Servicios"/>
    <x v="7"/>
    <s v="Proyecto operacional"/>
    <s v="Publicado"/>
    <s v="22.04.012"/>
    <x v="7"/>
    <s v="SERVICIO DE MANTENCIÓN, RECARGA E INSPECCION PREVENTIVA PARA RED HÚMEDA Y EXTINTORES DE LOS ESTABLECIMIENTOS PERTENECIENTES AL SERVICIO DE SALUD OSORNO, POR UN PERIODO DE 3 AÑOS."/>
    <n v="1"/>
    <s v="Recarga"/>
    <n v="1"/>
    <n v="1"/>
    <n v="45150000"/>
    <n v="1505000"/>
    <x v="2"/>
    <x v="3"/>
    <x v="4"/>
    <x v="6"/>
    <s v="64-337046-"/>
    <s v="karin.scholz@redsalud.gob.cl"/>
    <x v="4"/>
    <d v="2024-07-05T00:00:00"/>
    <n v="35"/>
    <s v="1057532-2255-SE24"/>
    <n v="1"/>
    <n v="1505000"/>
    <d v="2026-06-01T00:00:00"/>
    <x v="0"/>
    <x v="0"/>
  </r>
  <r>
    <s v="SERVICIO DE SALUD OSORNO"/>
    <s v="Bienes y Servicios"/>
    <x v="7"/>
    <s v="Proyecto operacional"/>
    <s v="Publicado"/>
    <s v="22.04.012"/>
    <x v="7"/>
    <s v="SERVICIO DE MANTENCIÓN, RECARGA E INSPECCION PREVENTIVA PARA RED HÚMEDA Y EXTINTORES DE LOS ESTABLECIMIENTOS PERTENECIENTES AL SERVICIO DE SALUD OSORNO, POR UN PERIODO DE 3 AÑOS."/>
    <n v="1"/>
    <s v="Recarga"/>
    <n v="1"/>
    <n v="1"/>
    <n v="45150000"/>
    <n v="1505000"/>
    <x v="2"/>
    <x v="3"/>
    <x v="4"/>
    <x v="6"/>
    <s v="64-337046-"/>
    <s v="karin.scholz@redsalud.gob.cl"/>
    <x v="4"/>
    <d v="2024-07-05T00:00:00"/>
    <n v="35"/>
    <s v="1057532-2252-SE24"/>
    <n v="1"/>
    <n v="1505000"/>
    <d v="2026-05-01T00:00:00"/>
    <x v="0"/>
    <x v="0"/>
  </r>
  <r>
    <s v="SERVICIO DE SALUD OSORNO"/>
    <s v="Bienes y Servicios"/>
    <x v="7"/>
    <s v="Proyecto operacional"/>
    <s v="Publicado"/>
    <s v="22.04.012"/>
    <x v="7"/>
    <s v="SERVICIO DE MANTENCIÓN, RECARGA E INSPECCION PREVENTIVA PARA RED HÚMEDA Y EXTINTORES DE LOS ESTABLECIMIENTOS PERTENECIENTES AL SERVICIO DE SALUD OSORNO, POR UN PERIODO DE 3 AÑOS."/>
    <n v="1"/>
    <s v="Recarga"/>
    <n v="1"/>
    <n v="1"/>
    <n v="45150000"/>
    <n v="1505000"/>
    <x v="2"/>
    <x v="3"/>
    <x v="4"/>
    <x v="6"/>
    <s v="64-337046-"/>
    <s v="karin.scholz@redsalud.gob.cl"/>
    <x v="4"/>
    <d v="2024-07-05T00:00:00"/>
    <n v="35"/>
    <s v="1057532-2251-SE24"/>
    <n v="1"/>
    <n v="1505000"/>
    <d v="2026-01-01T00:00:00"/>
    <x v="0"/>
    <x v="0"/>
  </r>
  <r>
    <s v="SERVICIO DE SALUD OSORNO"/>
    <s v="Bienes y Servicios"/>
    <x v="7"/>
    <s v="Proyecto operacional"/>
    <s v="Publicado"/>
    <s v="22.04.012"/>
    <x v="7"/>
    <s v="SERVICIO DE MANTENCIÓN, RECARGA E INSPECCION PREVENTIVA PARA RED HÚMEDA Y EXTINTORES DE LOS ESTABLECIMIENTOS PERTENECIENTES AL SERVICIO DE SALUD OSORNO, POR UN PERIODO DE 3 AÑOS."/>
    <n v="1"/>
    <s v="Recarga"/>
    <n v="1"/>
    <n v="1"/>
    <n v="45150000"/>
    <n v="1505000"/>
    <x v="2"/>
    <x v="3"/>
    <x v="4"/>
    <x v="6"/>
    <s v="64-337046-"/>
    <s v="karin.scholz@redsalud.gob.cl"/>
    <x v="4"/>
    <d v="2024-07-05T00:00:00"/>
    <n v="35"/>
    <s v="1057532-2251-SE24"/>
    <n v="1"/>
    <n v="1505000"/>
    <d v="2026-02-01T00:00:00"/>
    <x v="0"/>
    <x v="0"/>
  </r>
  <r>
    <s v="SERVICIO DE SALUD OSORNO"/>
    <s v="Bienes y Servicios"/>
    <x v="8"/>
    <s v="Proyecto operacional"/>
    <s v="Publicado"/>
    <s v="22.06.002.001"/>
    <x v="8"/>
    <s v="Mantenciones Preventivas, correctivas y/o reparativas de vehículos motorizados de la Red Asistencial del Servicio de Salud Osorno."/>
    <n v="1"/>
    <s v="Mantenimiento"/>
    <n v="1"/>
    <n v="1"/>
    <n v="300000000"/>
    <n v="12500000"/>
    <x v="1"/>
    <x v="2"/>
    <x v="5"/>
    <x v="7"/>
    <s v="64-2567046-"/>
    <s v="felipe.salvob@redsalud.gob.cl"/>
    <x v="3"/>
    <d v="2024-07-05T00:00:00"/>
    <n v="46"/>
    <s v="1057532-119-SE25"/>
    <n v="1"/>
    <n v="12500000"/>
    <d v="2026-08-01T00:00:00"/>
    <x v="0"/>
    <x v="0"/>
  </r>
  <r>
    <s v="SERVICIO DE SALUD OSORNO"/>
    <s v="Bienes y Servicios"/>
    <x v="8"/>
    <s v="Proyecto operacional"/>
    <s v="Publicado"/>
    <s v="22.06.002.001"/>
    <x v="8"/>
    <s v="Mantenciones Preventivas, correctivas y/o reparativas de vehículos motorizados de la Red Asistencial del Servicio de Salud Osorno."/>
    <n v="1"/>
    <s v="Mantenimiento"/>
    <n v="1"/>
    <n v="1"/>
    <n v="300000000"/>
    <n v="12500000"/>
    <x v="1"/>
    <x v="2"/>
    <x v="5"/>
    <x v="7"/>
    <s v="64-2567046-"/>
    <s v="felipe.salvob@redsalud.gob.cl"/>
    <x v="3"/>
    <d v="2024-07-05T00:00:00"/>
    <n v="46"/>
    <s v="1057532-127-SE25"/>
    <n v="1"/>
    <n v="12500000"/>
    <d v="2026-11-01T00:00:00"/>
    <x v="0"/>
    <x v="0"/>
  </r>
  <r>
    <s v="SERVICIO DE SALUD OSORNO"/>
    <s v="Bienes y Servicios"/>
    <x v="8"/>
    <s v="Proyecto operacional"/>
    <s v="Publicado"/>
    <s v="22.06.002.001"/>
    <x v="8"/>
    <s v="Mantenciones Preventivas, correctivas y/o reparativas de vehículos motorizados de la Red Asistencial del Servicio de Salud Osorno."/>
    <n v="1"/>
    <s v="Mantenimiento"/>
    <n v="1"/>
    <n v="1"/>
    <n v="300000000"/>
    <n v="12500000"/>
    <x v="1"/>
    <x v="2"/>
    <x v="5"/>
    <x v="7"/>
    <s v="64-2567046-"/>
    <s v="felipe.salvob@redsalud.gob.cl"/>
    <x v="3"/>
    <d v="2024-07-05T00:00:00"/>
    <n v="46"/>
    <s v="1057532-119-SE25"/>
    <n v="1"/>
    <n v="12500000"/>
    <d v="2026-04-01T00:00:00"/>
    <x v="0"/>
    <x v="0"/>
  </r>
  <r>
    <s v="SERVICIO DE SALUD OSORNO"/>
    <s v="Bienes y Servicios"/>
    <x v="8"/>
    <s v="Proyecto operacional"/>
    <s v="Publicado"/>
    <s v="22.06.002.001"/>
    <x v="8"/>
    <s v="Mantenciones Preventivas, correctivas y/o reparativas de vehículos motorizados de la Red Asistencial del Servicio de Salud Osorno."/>
    <n v="1"/>
    <s v="Mantenimiento"/>
    <n v="1"/>
    <n v="1"/>
    <n v="300000000"/>
    <n v="12500000"/>
    <x v="1"/>
    <x v="2"/>
    <x v="5"/>
    <x v="7"/>
    <s v="64-2567046-"/>
    <s v="felipe.salvob@redsalud.gob.cl"/>
    <x v="3"/>
    <d v="2024-07-05T00:00:00"/>
    <n v="46"/>
    <s v="1057532-119-SE25"/>
    <n v="1"/>
    <n v="12500000"/>
    <d v="2026-01-01T00:00:00"/>
    <x v="0"/>
    <x v="0"/>
  </r>
  <r>
    <s v="SERVICIO DE SALUD OSORNO"/>
    <s v="Bienes y Servicios"/>
    <x v="8"/>
    <s v="Proyecto operacional"/>
    <s v="Publicado"/>
    <s v="22.06.002.001"/>
    <x v="8"/>
    <s v="Mantenciones Preventivas, correctivas y/o reparativas de vehículos motorizados de la Red Asistencial del Servicio de Salud Osorno."/>
    <n v="1"/>
    <s v="Mantenimiento"/>
    <n v="1"/>
    <n v="1"/>
    <n v="300000000"/>
    <n v="12500000"/>
    <x v="1"/>
    <x v="2"/>
    <x v="5"/>
    <x v="7"/>
    <s v="64-2567046-"/>
    <s v="felipe.salvob@redsalud.gob.cl"/>
    <x v="3"/>
    <d v="2024-07-05T00:00:00"/>
    <n v="46"/>
    <s v="1057532-119-SE25"/>
    <n v="1"/>
    <n v="12500000"/>
    <d v="2026-02-01T00:00:00"/>
    <x v="0"/>
    <x v="0"/>
  </r>
  <r>
    <s v="SERVICIO DE SALUD OSORNO"/>
    <s v="Bienes y Servicios"/>
    <x v="8"/>
    <s v="Proyecto operacional"/>
    <s v="Publicado"/>
    <s v="22.06.002.001"/>
    <x v="8"/>
    <s v="Mantenciones Preventivas, correctivas y/o reparativas de vehículos motorizados de la Red Asistencial del Servicio de Salud Osorno."/>
    <n v="1"/>
    <s v="Mantenimiento"/>
    <n v="1"/>
    <n v="1"/>
    <n v="300000000"/>
    <n v="12500000"/>
    <x v="1"/>
    <x v="2"/>
    <x v="5"/>
    <x v="7"/>
    <s v="64-2567046-"/>
    <s v="felipe.salvob@redsalud.gob.cl"/>
    <x v="3"/>
    <d v="2024-07-05T00:00:00"/>
    <n v="46"/>
    <s v="1057532-119-SE25"/>
    <n v="1"/>
    <n v="12500000"/>
    <d v="2026-07-01T00:00:00"/>
    <x v="0"/>
    <x v="0"/>
  </r>
  <r>
    <s v="SERVICIO DE SALUD OSORNO"/>
    <s v="Bienes y Servicios"/>
    <x v="8"/>
    <s v="Proyecto operacional"/>
    <s v="Publicado"/>
    <s v="22.06.002.001"/>
    <x v="8"/>
    <s v="Mantenciones Preventivas, correctivas y/o reparativas de vehículos motorizados de la Red Asistencial del Servicio de Salud Osorno."/>
    <n v="1"/>
    <s v="Mantenimiento"/>
    <n v="1"/>
    <n v="1"/>
    <n v="300000000"/>
    <n v="12500000"/>
    <x v="1"/>
    <x v="2"/>
    <x v="5"/>
    <x v="7"/>
    <s v="64-2567046-"/>
    <s v="felipe.salvob@redsalud.gob.cl"/>
    <x v="3"/>
    <d v="2024-07-05T00:00:00"/>
    <n v="46"/>
    <s v="1057532-125-SE25"/>
    <n v="1"/>
    <n v="12500000"/>
    <d v="2026-07-01T00:00:00"/>
    <x v="0"/>
    <x v="0"/>
  </r>
  <r>
    <s v="SERVICIO DE SALUD OSORNO"/>
    <s v="Bienes y Servicios"/>
    <x v="8"/>
    <s v="Proyecto operacional"/>
    <s v="Publicado"/>
    <s v="22.06.002.001"/>
    <x v="8"/>
    <s v="Mantenciones Preventivas, correctivas y/o reparativas de vehículos motorizados de la Red Asistencial del Servicio de Salud Osorno."/>
    <n v="1"/>
    <s v="Mantenimiento"/>
    <n v="1"/>
    <n v="1"/>
    <n v="300000000"/>
    <n v="12500000"/>
    <x v="1"/>
    <x v="2"/>
    <x v="5"/>
    <x v="7"/>
    <s v="64-2567046-"/>
    <s v="felipe.salvob@redsalud.gob.cl"/>
    <x v="3"/>
    <d v="2024-07-05T00:00:00"/>
    <n v="46"/>
    <s v="1057532-125-SE25"/>
    <n v="1"/>
    <n v="12500000"/>
    <d v="2026-04-01T00:00:00"/>
    <x v="0"/>
    <x v="0"/>
  </r>
  <r>
    <s v="SERVICIO DE SALUD OSORNO"/>
    <s v="Bienes y Servicios"/>
    <x v="8"/>
    <s v="Proyecto operacional"/>
    <s v="Publicado"/>
    <s v="22.06.002.001"/>
    <x v="8"/>
    <s v="Mantenciones Preventivas, correctivas y/o reparativas de vehículos motorizados de la Red Asistencial del Servicio de Salud Osorno."/>
    <n v="1"/>
    <s v="Mantenimiento"/>
    <n v="1"/>
    <n v="1"/>
    <n v="300000000"/>
    <n v="12500000"/>
    <x v="1"/>
    <x v="2"/>
    <x v="5"/>
    <x v="7"/>
    <s v="64-2567046-"/>
    <s v="felipe.salvob@redsalud.gob.cl"/>
    <x v="3"/>
    <d v="2024-07-05T00:00:00"/>
    <n v="46"/>
    <s v="1057532-119-SE25"/>
    <n v="1"/>
    <n v="12500000"/>
    <d v="2026-12-01T00:00:00"/>
    <x v="0"/>
    <x v="0"/>
  </r>
  <r>
    <s v="SERVICIO DE SALUD OSORNO"/>
    <s v="Bienes y Servicios"/>
    <x v="8"/>
    <s v="Proyecto operacional"/>
    <s v="Publicado"/>
    <s v="22.06.002.001"/>
    <x v="8"/>
    <s v="Mantenciones Preventivas, correctivas y/o reparativas de vehículos motorizados de la Red Asistencial del Servicio de Salud Osorno."/>
    <n v="1"/>
    <s v="Mantenimiento"/>
    <n v="1"/>
    <n v="1"/>
    <n v="300000000"/>
    <n v="12500000"/>
    <x v="1"/>
    <x v="2"/>
    <x v="5"/>
    <x v="7"/>
    <s v="64-2567046-"/>
    <s v="felipe.salvob@redsalud.gob.cl"/>
    <x v="3"/>
    <d v="2024-07-05T00:00:00"/>
    <n v="46"/>
    <s v="1057532-119-SE25"/>
    <n v="1"/>
    <n v="12500000"/>
    <d v="2026-09-01T00:00:00"/>
    <x v="0"/>
    <x v="0"/>
  </r>
  <r>
    <s v="SERVICIO DE SALUD OSORNO"/>
    <s v="Bienes y Servicios"/>
    <x v="8"/>
    <s v="Proyecto operacional"/>
    <s v="Publicado"/>
    <s v="22.06.002.001"/>
    <x v="8"/>
    <s v="Mantenciones Preventivas, correctivas y/o reparativas de vehículos motorizados de la Red Asistencial del Servicio de Salud Osorno."/>
    <n v="1"/>
    <s v="Mantenimiento"/>
    <n v="1"/>
    <n v="1"/>
    <n v="300000000"/>
    <n v="12500000"/>
    <x v="1"/>
    <x v="2"/>
    <x v="5"/>
    <x v="7"/>
    <s v="64-2567046-"/>
    <s v="felipe.salvob@redsalud.gob.cl"/>
    <x v="3"/>
    <d v="2024-07-05T00:00:00"/>
    <n v="46"/>
    <s v="1057532-119-SE25"/>
    <n v="1"/>
    <n v="12500000"/>
    <d v="2026-03-01T00:00:00"/>
    <x v="0"/>
    <x v="0"/>
  </r>
  <r>
    <s v="SERVICIO DE SALUD OSORNO"/>
    <s v="Bienes y Servicios"/>
    <x v="8"/>
    <s v="Proyecto operacional"/>
    <s v="Publicado"/>
    <s v="22.06.002.001"/>
    <x v="8"/>
    <s v="Mantenciones Preventivas, correctivas y/o reparativas de vehículos motorizados de la Red Asistencial del Servicio de Salud Osorno."/>
    <n v="1"/>
    <s v="Mantenimiento"/>
    <n v="1"/>
    <n v="1"/>
    <n v="300000000"/>
    <n v="12500000"/>
    <x v="1"/>
    <x v="2"/>
    <x v="5"/>
    <x v="7"/>
    <s v="64-2567046-"/>
    <s v="felipe.salvob@redsalud.gob.cl"/>
    <x v="3"/>
    <d v="2024-07-05T00:00:00"/>
    <n v="46"/>
    <s v="1057532-119-SE25"/>
    <n v="1"/>
    <n v="12500000"/>
    <d v="2026-05-01T00:00:00"/>
    <x v="0"/>
    <x v="0"/>
  </r>
  <r>
    <s v="SERVICIO DE SALUD OSORNO"/>
    <s v="Bienes y Servicios"/>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n v="1"/>
    <s v="Servicio residuos"/>
    <n v="1"/>
    <n v="1"/>
    <n v="794718407"/>
    <n v="33113266"/>
    <x v="1"/>
    <x v="2"/>
    <x v="4"/>
    <x v="8"/>
    <s v="64-337046-"/>
    <s v="karin.scholz@redsalud.gob.cl"/>
    <x v="5"/>
    <d v="2024-07-05T00:00:00"/>
    <n v="2"/>
    <s v="1057532-3993-TD25"/>
    <n v="1"/>
    <n v="33113266"/>
    <d v="2026-01-01T00:00:00"/>
    <x v="0"/>
    <x v="0"/>
  </r>
  <r>
    <s v="SERVICIO DE SALUD OSORNO"/>
    <s v="Bienes y Servicios"/>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n v="1"/>
    <s v="Servicio residuos"/>
    <n v="1"/>
    <n v="1"/>
    <n v="794718407"/>
    <n v="33113266"/>
    <x v="1"/>
    <x v="2"/>
    <x v="4"/>
    <x v="8"/>
    <s v="64-337046-"/>
    <s v="karin.scholz@redsalud.gob.cl"/>
    <x v="5"/>
    <d v="2024-07-05T00:00:00"/>
    <n v="2"/>
    <s v="1057532-3992-TD25"/>
    <n v="1"/>
    <n v="33113266"/>
    <d v="2026-03-01T00:00:00"/>
    <x v="0"/>
    <x v="0"/>
  </r>
  <r>
    <s v="SERVICIO DE SALUD OSORNO"/>
    <s v="Bienes y Servicios"/>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n v="1"/>
    <s v="Servicio residuos"/>
    <n v="1"/>
    <n v="1"/>
    <n v="794718407"/>
    <n v="33113266"/>
    <x v="1"/>
    <x v="2"/>
    <x v="4"/>
    <x v="8"/>
    <s v="64-337046-"/>
    <s v="karin.scholz@redsalud.gob.cl"/>
    <x v="5"/>
    <d v="2024-07-05T00:00:00"/>
    <n v="2"/>
    <s v="1057532-3992-TD25"/>
    <n v="1"/>
    <n v="33113266"/>
    <d v="2026-01-01T00:00:00"/>
    <x v="0"/>
    <x v="0"/>
  </r>
  <r>
    <s v="SERVICIO DE SALUD OSORNO"/>
    <s v="Bienes y Servicios"/>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n v="1"/>
    <s v="Servicio residuos"/>
    <n v="1"/>
    <n v="1"/>
    <n v="794718407"/>
    <n v="33113266"/>
    <x v="1"/>
    <x v="2"/>
    <x v="4"/>
    <x v="8"/>
    <s v="64-337046-"/>
    <s v="karin.scholz@redsalud.gob.cl"/>
    <x v="5"/>
    <d v="2024-07-05T00:00:00"/>
    <n v="2"/>
    <s v="1057532-3992-TD25"/>
    <n v="1"/>
    <n v="33113266"/>
    <d v="2026-02-01T00:00:00"/>
    <x v="0"/>
    <x v="0"/>
  </r>
  <r>
    <s v="SERVICIO DE SALUD OSORNO"/>
    <s v="Bienes y Servicios"/>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n v="1"/>
    <s v="Servicio residuos"/>
    <n v="1"/>
    <n v="1"/>
    <n v="794718407"/>
    <n v="33113266"/>
    <x v="1"/>
    <x v="2"/>
    <x v="4"/>
    <x v="8"/>
    <s v="64-337046-"/>
    <s v="karin.scholz@redsalud.gob.cl"/>
    <x v="5"/>
    <d v="2024-07-05T00:00:00"/>
    <n v="2"/>
    <s v="1057532-3992-TD25"/>
    <n v="1"/>
    <n v="33113266"/>
    <d v="2026-04-01T00:00:00"/>
    <x v="0"/>
    <x v="0"/>
  </r>
  <r>
    <s v="SERVICIO DE SALUD OSORNO"/>
    <s v="Bienes y Servicios"/>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n v="1"/>
    <s v="Servicio residuos"/>
    <n v="1"/>
    <n v="1"/>
    <n v="794718407"/>
    <n v="33113266"/>
    <x v="1"/>
    <x v="2"/>
    <x v="4"/>
    <x v="8"/>
    <s v="64-337046-"/>
    <s v="karin.scholz@redsalud.gob.cl"/>
    <x v="5"/>
    <d v="2024-07-05T00:00:00"/>
    <n v="2"/>
    <s v="1057532-3992-TD25"/>
    <n v="1"/>
    <n v="33113266"/>
    <d v="2026-07-01T00:00:00"/>
    <x v="0"/>
    <x v="0"/>
  </r>
  <r>
    <s v="SERVICIO DE SALUD OSORNO"/>
    <s v="Bienes y Servicios"/>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n v="1"/>
    <s v="Servicio residuos"/>
    <n v="1"/>
    <n v="1"/>
    <n v="794718407"/>
    <n v="33113266"/>
    <x v="1"/>
    <x v="2"/>
    <x v="4"/>
    <x v="8"/>
    <s v="64-337046-"/>
    <s v="karin.scholz@redsalud.gob.cl"/>
    <x v="5"/>
    <d v="2024-07-05T00:00:00"/>
    <n v="2"/>
    <s v="1057532-3992-TD25"/>
    <n v="1"/>
    <n v="33113266"/>
    <d v="2026-06-01T00:00:00"/>
    <x v="0"/>
    <x v="0"/>
  </r>
  <r>
    <s v="SERVICIO DE SALUD OSORNO"/>
    <s v="Bienes y Servicios"/>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n v="1"/>
    <s v="Servicio residuos"/>
    <n v="1"/>
    <n v="1"/>
    <n v="794718407"/>
    <n v="33113266"/>
    <x v="1"/>
    <x v="2"/>
    <x v="4"/>
    <x v="8"/>
    <s v="64-337046-"/>
    <s v="karin.scholz@redsalud.gob.cl"/>
    <x v="5"/>
    <d v="2024-07-05T00:00:00"/>
    <n v="2"/>
    <s v="1057532-3992-TD25"/>
    <n v="1"/>
    <n v="33113266"/>
    <d v="2026-11-01T00:00:00"/>
    <x v="0"/>
    <x v="0"/>
  </r>
  <r>
    <s v="SERVICIO DE SALUD OSORNO"/>
    <s v="Bienes y Servicios"/>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n v="1"/>
    <s v="Servicio residuos"/>
    <n v="1"/>
    <n v="1"/>
    <n v="794718407"/>
    <n v="33113266"/>
    <x v="1"/>
    <x v="2"/>
    <x v="4"/>
    <x v="8"/>
    <s v="64-337046-"/>
    <s v="karin.scholz@redsalud.gob.cl"/>
    <x v="5"/>
    <d v="2024-07-05T00:00:00"/>
    <n v="2"/>
    <s v="1057532-3993-TD25"/>
    <n v="1"/>
    <n v="33113266"/>
    <d v="2026-08-01T00:00:00"/>
    <x v="0"/>
    <x v="0"/>
  </r>
  <r>
    <s v="SERVICIO DE SALUD OSORNO"/>
    <s v="Bienes y Servicios"/>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n v="1"/>
    <s v="Servicio residuos"/>
    <n v="1"/>
    <n v="1"/>
    <n v="794718407"/>
    <n v="33113266"/>
    <x v="1"/>
    <x v="2"/>
    <x v="4"/>
    <x v="8"/>
    <s v="64-337046-"/>
    <s v="karin.scholz@redsalud.gob.cl"/>
    <x v="5"/>
    <d v="2024-07-05T00:00:00"/>
    <n v="2"/>
    <s v="1057532-3992-TD25"/>
    <n v="1"/>
    <n v="33113266"/>
    <d v="2026-12-01T00:00:00"/>
    <x v="0"/>
    <x v="0"/>
  </r>
  <r>
    <s v="SERVICIO DE SALUD OSORNO"/>
    <s v="Bienes y Servicios"/>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n v="1"/>
    <s v="Servicio residuos"/>
    <n v="1"/>
    <n v="1"/>
    <n v="794718407"/>
    <n v="33113266"/>
    <x v="1"/>
    <x v="2"/>
    <x v="4"/>
    <x v="8"/>
    <s v="64-337046-"/>
    <s v="karin.scholz@redsalud.gob.cl"/>
    <x v="5"/>
    <d v="2024-07-05T00:00:00"/>
    <n v="2"/>
    <s v="1057532-3993-TD25"/>
    <n v="1"/>
    <n v="33113266"/>
    <d v="2026-04-01T00:00:00"/>
    <x v="0"/>
    <x v="0"/>
  </r>
  <r>
    <s v="SERVICIO DE SALUD OSORNO"/>
    <s v="Bienes y Servicios"/>
    <x v="9"/>
    <s v="Proyecto operacional"/>
    <s v="Publicado"/>
    <s v="22.08.001"/>
    <x v="9"/>
    <s v="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
    <n v="1"/>
    <s v="Servicio residuos"/>
    <n v="1"/>
    <n v="1"/>
    <n v="794718407"/>
    <n v="33113289"/>
    <x v="1"/>
    <x v="2"/>
    <x v="4"/>
    <x v="8"/>
    <s v="64-337046-"/>
    <s v="karin.scholz@redsalud.gob.cl"/>
    <x v="5"/>
    <d v="2024-07-05T00:00:00"/>
    <n v="2"/>
    <s v="1057532-3992-TD25"/>
    <n v="1"/>
    <n v="33113289"/>
    <d v="2026-05-01T00:00:00"/>
    <x v="0"/>
    <x v="0"/>
  </r>
  <r>
    <s v="SERVICIO DE SALUD OSORNO"/>
    <s v="Bienes y Servicios"/>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n v="1"/>
    <s v="Tarjeta"/>
    <n v="1"/>
    <n v="1"/>
    <n v="1491521358"/>
    <n v="41414809"/>
    <x v="2"/>
    <x v="3"/>
    <x v="6"/>
    <x v="9"/>
    <s v="64-335780-"/>
    <s v="JORGE.OYARZUNS@REDSALUD.GOB.CL"/>
    <x v="4"/>
    <d v="2024-07-05T00:00:00"/>
    <n v="14"/>
    <s v="1057532-131-SE25"/>
    <n v="1"/>
    <n v="41414809"/>
    <d v="2026-03-01T00:00:00"/>
    <x v="0"/>
    <x v="0"/>
  </r>
  <r>
    <s v="SERVICIO DE SALUD OSORNO"/>
    <s v="Bienes y Servicios"/>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n v="1"/>
    <s v="Tarjeta"/>
    <n v="1"/>
    <n v="1"/>
    <n v="1491521358"/>
    <n v="41414809"/>
    <x v="2"/>
    <x v="3"/>
    <x v="6"/>
    <x v="9"/>
    <s v="64-335780-"/>
    <s v="JORGE.OYARZUNS@REDSALUD.GOB.CL"/>
    <x v="4"/>
    <d v="2024-07-05T00:00:00"/>
    <n v="14"/>
    <s v="1057532-1236-SE24"/>
    <n v="1"/>
    <n v="41414809"/>
    <d v="2026-03-01T00:00:00"/>
    <x v="0"/>
    <x v="0"/>
  </r>
  <r>
    <s v="SERVICIO DE SALUD OSORNO"/>
    <s v="Bienes y Servicios"/>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n v="1"/>
    <s v="Tarjeta"/>
    <n v="1"/>
    <n v="1"/>
    <n v="1491521358"/>
    <n v="41414809"/>
    <x v="2"/>
    <x v="3"/>
    <x v="6"/>
    <x v="9"/>
    <s v="64-335780-"/>
    <s v="JORGE.OYARZUNS@REDSALUD.GOB.CL"/>
    <x v="4"/>
    <d v="2024-07-05T00:00:00"/>
    <n v="14"/>
    <s v="1057532-1236-SE24"/>
    <n v="1"/>
    <n v="41414809"/>
    <d v="2026-11-01T00:00:00"/>
    <x v="0"/>
    <x v="0"/>
  </r>
  <r>
    <s v="SERVICIO DE SALUD OSORNO"/>
    <s v="Bienes y Servicios"/>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n v="1"/>
    <s v="Tarjeta"/>
    <n v="1"/>
    <n v="1"/>
    <n v="1491521358"/>
    <n v="41414809"/>
    <x v="2"/>
    <x v="3"/>
    <x v="6"/>
    <x v="9"/>
    <s v="64-335780-"/>
    <s v="JORGE.OYARZUNS@REDSALUD.GOB.CL"/>
    <x v="4"/>
    <d v="2024-07-05T00:00:00"/>
    <n v="14"/>
    <s v="1057532-4087-SE25"/>
    <n v="1"/>
    <n v="41414809"/>
    <d v="2026-01-01T00:00:00"/>
    <x v="0"/>
    <x v="0"/>
  </r>
  <r>
    <s v="SERVICIO DE SALUD OSORNO"/>
    <s v="Bienes y Servicios"/>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n v="1"/>
    <s v="Tarjeta"/>
    <n v="1"/>
    <n v="1"/>
    <n v="1491521358"/>
    <n v="41414809"/>
    <x v="2"/>
    <x v="3"/>
    <x v="6"/>
    <x v="9"/>
    <s v="64-335780-"/>
    <s v="JORGE.OYARZUNS@REDSALUD.GOB.CL"/>
    <x v="4"/>
    <d v="2024-07-05T00:00:00"/>
    <n v="14"/>
    <s v="1057532-131-SE25"/>
    <n v="1"/>
    <n v="41414809"/>
    <d v="2026-07-01T00:00:00"/>
    <x v="0"/>
    <x v="0"/>
  </r>
  <r>
    <s v="SERVICIO DE SALUD OSORNO"/>
    <s v="Bienes y Servicios"/>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n v="1"/>
    <s v="Tarjeta"/>
    <n v="1"/>
    <n v="1"/>
    <n v="1491521358"/>
    <n v="41414809"/>
    <x v="2"/>
    <x v="3"/>
    <x v="6"/>
    <x v="9"/>
    <s v="64-335780-"/>
    <s v="JORGE.OYARZUNS@REDSALUD.GOB.CL"/>
    <x v="4"/>
    <d v="2024-07-05T00:00:00"/>
    <n v="14"/>
    <s v="1057532-1236-SE24"/>
    <n v="1"/>
    <n v="41414809"/>
    <d v="2026-07-01T00:00:00"/>
    <x v="0"/>
    <x v="0"/>
  </r>
  <r>
    <s v="SERVICIO DE SALUD OSORNO"/>
    <s v="Bienes y Servicios"/>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n v="1"/>
    <s v="Tarjeta"/>
    <n v="1"/>
    <n v="1"/>
    <n v="1491521358"/>
    <n v="41414809"/>
    <x v="2"/>
    <x v="3"/>
    <x v="6"/>
    <x v="9"/>
    <s v="64-335780-"/>
    <s v="JORGE.OYARZUNS@REDSALUD.GOB.CL"/>
    <x v="4"/>
    <d v="2024-07-05T00:00:00"/>
    <n v="14"/>
    <s v="1057532-4087-SE25"/>
    <n v="1"/>
    <n v="41414809"/>
    <d v="2026-05-01T00:00:00"/>
    <x v="0"/>
    <x v="0"/>
  </r>
  <r>
    <s v="SERVICIO DE SALUD OSORNO"/>
    <s v="Bienes y Servicios"/>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n v="1"/>
    <s v="Tarjeta"/>
    <n v="1"/>
    <n v="1"/>
    <n v="1491521358"/>
    <n v="41414809"/>
    <x v="2"/>
    <x v="3"/>
    <x v="6"/>
    <x v="9"/>
    <s v="64-335780-"/>
    <s v="JORGE.OYARZUNS@REDSALUD.GOB.CL"/>
    <x v="4"/>
    <d v="2024-07-05T00:00:00"/>
    <n v="14"/>
    <s v="1057532-131-SE25"/>
    <n v="1"/>
    <n v="41414809"/>
    <d v="2026-04-01T00:00:00"/>
    <x v="0"/>
    <x v="0"/>
  </r>
  <r>
    <s v="SERVICIO DE SALUD OSORNO"/>
    <s v="Bienes y Servicios"/>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n v="1"/>
    <s v="Tarjeta"/>
    <n v="1"/>
    <n v="1"/>
    <n v="1491521358"/>
    <n v="41414809"/>
    <x v="2"/>
    <x v="3"/>
    <x v="6"/>
    <x v="9"/>
    <s v="64-335780-"/>
    <s v="JORGE.OYARZUNS@REDSALUD.GOB.CL"/>
    <x v="4"/>
    <d v="2024-07-05T00:00:00"/>
    <n v="14"/>
    <s v="1057532-1236-SE24"/>
    <n v="1"/>
    <n v="41414809"/>
    <d v="2026-05-01T00:00:00"/>
    <x v="0"/>
    <x v="0"/>
  </r>
  <r>
    <s v="SERVICIO DE SALUD OSORNO"/>
    <s v="Bienes y Servicios"/>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n v="1"/>
    <s v="Tarjeta"/>
    <n v="1"/>
    <n v="1"/>
    <n v="1491521358"/>
    <n v="41414809"/>
    <x v="2"/>
    <x v="3"/>
    <x v="6"/>
    <x v="9"/>
    <s v="64-335780-"/>
    <s v="JORGE.OYARZUNS@REDSALUD.GOB.CL"/>
    <x v="4"/>
    <d v="2024-07-05T00:00:00"/>
    <n v="14"/>
    <s v="1057532-1236-SE24"/>
    <n v="1"/>
    <n v="41414809"/>
    <d v="2026-04-01T00:00:00"/>
    <x v="0"/>
    <x v="0"/>
  </r>
  <r>
    <s v="SERVICIO DE SALUD OSORNO"/>
    <s v="Bienes y Servicios"/>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n v="1"/>
    <s v="Tarjeta"/>
    <n v="1"/>
    <n v="1"/>
    <n v="1491521358"/>
    <n v="41414809"/>
    <x v="2"/>
    <x v="3"/>
    <x v="6"/>
    <x v="9"/>
    <s v="64-335780-"/>
    <s v="JORGE.OYARZUNS@REDSALUD.GOB.CL"/>
    <x v="4"/>
    <d v="2024-07-05T00:00:00"/>
    <n v="14"/>
    <s v="1057532-131-SE25"/>
    <n v="1"/>
    <n v="41414809"/>
    <d v="2026-01-01T00:00:00"/>
    <x v="0"/>
    <x v="0"/>
  </r>
  <r>
    <s v="SERVICIO DE SALUD OSORNO"/>
    <s v="Bienes y Servicios"/>
    <x v="10"/>
    <s v="Proyecto operacional"/>
    <s v="Publicado"/>
    <s v="22.01.001.002"/>
    <x v="10"/>
    <s v="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
    <n v="1"/>
    <s v="Tarjeta"/>
    <n v="1"/>
    <n v="1"/>
    <n v="1491521358"/>
    <n v="41414809"/>
    <x v="2"/>
    <x v="3"/>
    <x v="6"/>
    <x v="9"/>
    <s v="64-335780-"/>
    <s v="JORGE.OYARZUNS@REDSALUD.GOB.CL"/>
    <x v="4"/>
    <d v="2024-07-05T00:00:00"/>
    <n v="14"/>
    <s v="1057532-1236-SE24"/>
    <n v="1"/>
    <n v="41414809"/>
    <d v="2026-02-01T00:00:00"/>
    <x v="0"/>
    <x v="0"/>
  </r>
  <r>
    <s v="SERVICIO DE SALUD OSORNO"/>
    <s v="Bienes y Servicios"/>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n v="1"/>
    <s v="Suministro Oxigeno"/>
    <n v="1"/>
    <n v="1"/>
    <n v="236000000"/>
    <n v="9833333"/>
    <x v="1"/>
    <x v="2"/>
    <x v="7"/>
    <x v="10"/>
    <s v="64-335809-"/>
    <s v="mario.aburto@redsalud.gov.cl"/>
    <x v="3"/>
    <d v="2024-07-05T00:00:00"/>
    <n v="23"/>
    <s v="1057532-5543-SE25"/>
    <n v="1"/>
    <n v="9833333"/>
    <d v="2026-06-01T00:00:00"/>
    <x v="0"/>
    <x v="0"/>
  </r>
  <r>
    <s v="SERVICIO DE SALUD OSORNO"/>
    <s v="Bienes y Servicios"/>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n v="1"/>
    <s v="Suministro Oxigeno"/>
    <n v="1"/>
    <n v="1"/>
    <n v="236000000"/>
    <n v="9833333"/>
    <x v="1"/>
    <x v="2"/>
    <x v="7"/>
    <x v="10"/>
    <s v="64-335809-"/>
    <s v="mario.aburto@redsalud.gov.cl"/>
    <x v="3"/>
    <d v="2024-07-05T00:00:00"/>
    <n v="23"/>
    <s v="1057532-4736-SE25"/>
    <n v="1"/>
    <n v="9833333"/>
    <d v="2026-05-01T00:00:00"/>
    <x v="0"/>
    <x v="0"/>
  </r>
  <r>
    <s v="SERVICIO DE SALUD OSORNO"/>
    <s v="Bienes y Servicios"/>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n v="1"/>
    <s v="Suministro Oxigeno"/>
    <n v="1"/>
    <n v="1"/>
    <n v="236000000"/>
    <n v="9833333"/>
    <x v="1"/>
    <x v="2"/>
    <x v="7"/>
    <x v="10"/>
    <s v="64-335809-"/>
    <s v="mario.aburto@redsalud.gov.cl"/>
    <x v="3"/>
    <d v="2024-07-05T00:00:00"/>
    <n v="23"/>
    <s v="1057532-5012-SE25"/>
    <n v="1"/>
    <n v="9833333"/>
    <d v="2026-11-01T00:00:00"/>
    <x v="0"/>
    <x v="0"/>
  </r>
  <r>
    <s v="SERVICIO DE SALUD OSORNO"/>
    <s v="Bienes y Servicios"/>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n v="1"/>
    <s v="Suministro Oxigeno"/>
    <n v="1"/>
    <n v="1"/>
    <n v="236000000"/>
    <n v="9833334"/>
    <x v="1"/>
    <x v="2"/>
    <x v="7"/>
    <x v="10"/>
    <s v="64-335809-"/>
    <s v="mario.aburto@redsalud.gov.cl"/>
    <x v="3"/>
    <d v="2024-07-05T00:00:00"/>
    <n v="23"/>
    <s v="1057532-4671-SE25"/>
    <n v="1"/>
    <n v="9833341"/>
    <d v="2026-12-01T00:00:00"/>
    <x v="0"/>
    <x v="0"/>
  </r>
  <r>
    <s v="SERVICIO DE SALUD OSORNO"/>
    <s v="Bienes y Servicios"/>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n v="1"/>
    <s v="Suministro Oxigeno"/>
    <n v="1"/>
    <n v="1"/>
    <n v="236000000"/>
    <n v="9833333"/>
    <x v="1"/>
    <x v="2"/>
    <x v="7"/>
    <x v="10"/>
    <s v="64-335809-"/>
    <s v="mario.aburto@redsalud.gov.cl"/>
    <x v="3"/>
    <d v="2024-07-05T00:00:00"/>
    <n v="23"/>
    <s v="1057532-4671-SE25"/>
    <n v="1"/>
    <n v="9833333"/>
    <d v="2026-08-01T00:00:00"/>
    <x v="0"/>
    <x v="0"/>
  </r>
  <r>
    <s v="SERVICIO DE SALUD OSORNO"/>
    <s v="Bienes y Servicios"/>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n v="1"/>
    <s v="Suministro Oxigeno"/>
    <n v="1"/>
    <n v="1"/>
    <n v="236000000"/>
    <n v="9833333"/>
    <x v="1"/>
    <x v="2"/>
    <x v="7"/>
    <x v="10"/>
    <s v="64-335809-"/>
    <s v="mario.aburto@redsalud.gov.cl"/>
    <x v="3"/>
    <d v="2024-07-05T00:00:00"/>
    <n v="23"/>
    <s v="1057532-5098-SE25"/>
    <n v="1"/>
    <n v="9833333"/>
    <d v="2026-09-01T00:00:00"/>
    <x v="0"/>
    <x v="0"/>
  </r>
  <r>
    <s v="SERVICIO DE SALUD OSORNO"/>
    <s v="Bienes y Servicios"/>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n v="1"/>
    <s v="Suministro Oxigeno"/>
    <n v="1"/>
    <n v="1"/>
    <n v="236000000"/>
    <n v="9833333"/>
    <x v="1"/>
    <x v="2"/>
    <x v="7"/>
    <x v="10"/>
    <s v="64-335809-"/>
    <s v="mario.aburto@redsalud.gov.cl"/>
    <x v="3"/>
    <d v="2024-07-05T00:00:00"/>
    <n v="23"/>
    <s v="1057532-5144-SE25"/>
    <n v="1"/>
    <n v="9833333"/>
    <d v="2026-01-01T00:00:00"/>
    <x v="0"/>
    <x v="0"/>
  </r>
  <r>
    <s v="SERVICIO DE SALUD OSORNO"/>
    <s v="Bienes y Servicios"/>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n v="1"/>
    <s v="Suministro Oxigeno"/>
    <n v="1"/>
    <n v="1"/>
    <n v="236000000"/>
    <n v="9833333"/>
    <x v="1"/>
    <x v="2"/>
    <x v="7"/>
    <x v="10"/>
    <s v="64-335809-"/>
    <s v="mario.aburto@redsalud.gov.cl"/>
    <x v="3"/>
    <d v="2024-07-05T00:00:00"/>
    <n v="23"/>
    <s v="1057532-5655-SE25"/>
    <n v="1"/>
    <n v="9833333"/>
    <d v="2026-05-01T00:00:00"/>
    <x v="0"/>
    <x v="0"/>
  </r>
  <r>
    <s v="SERVICIO DE SALUD OSORNO"/>
    <s v="Bienes y Servicios"/>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n v="1"/>
    <s v="Suministro Oxigeno"/>
    <n v="1"/>
    <n v="1"/>
    <n v="236000000"/>
    <n v="9833333"/>
    <x v="1"/>
    <x v="2"/>
    <x v="7"/>
    <x v="10"/>
    <s v="64-335809-"/>
    <s v="mario.aburto@redsalud.gov.cl"/>
    <x v="3"/>
    <d v="2024-07-05T00:00:00"/>
    <n v="23"/>
    <s v="1057532-5543-SE25"/>
    <n v="1"/>
    <n v="9833333"/>
    <d v="2026-07-01T00:00:00"/>
    <x v="0"/>
    <x v="0"/>
  </r>
  <r>
    <s v="SERVICIO DE SALUD OSORNO"/>
    <s v="Bienes y Servicios"/>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n v="1"/>
    <s v="Suministro Oxigeno"/>
    <n v="1"/>
    <n v="1"/>
    <n v="236000000"/>
    <n v="9833333"/>
    <x v="1"/>
    <x v="2"/>
    <x v="7"/>
    <x v="10"/>
    <s v="64-335809-"/>
    <s v="mario.aburto@redsalud.gov.cl"/>
    <x v="3"/>
    <d v="2024-07-05T00:00:00"/>
    <n v="23"/>
    <s v="1057532-5098-SE25"/>
    <n v="1"/>
    <n v="9833333"/>
    <d v="2026-10-01T00:00:00"/>
    <x v="0"/>
    <x v="0"/>
  </r>
  <r>
    <s v="SERVICIO DE SALUD OSORNO"/>
    <s v="Bienes y Servicios"/>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n v="1"/>
    <s v="Suministro Oxigeno"/>
    <n v="1"/>
    <n v="1"/>
    <n v="236000000"/>
    <n v="9833333"/>
    <x v="1"/>
    <x v="2"/>
    <x v="7"/>
    <x v="10"/>
    <s v="64-335809-"/>
    <s v="mario.aburto@redsalud.gov.cl"/>
    <x v="3"/>
    <d v="2024-07-05T00:00:00"/>
    <n v="23"/>
    <s v="1057532-5098-SE25"/>
    <n v="1"/>
    <n v="9833333"/>
    <d v="2026-02-01T00:00:00"/>
    <x v="0"/>
    <x v="0"/>
  </r>
  <r>
    <s v="SERVICIO DE SALUD OSORNO"/>
    <s v="Bienes y Servicios"/>
    <x v="11"/>
    <s v="Proyecto operacional"/>
    <s v="Publicado"/>
    <s v="22.04.003.001"/>
    <x v="11"/>
    <s v="Contrato suministro de oxígeno medicinal para la Red de Hospitales de Baja y Mediana Complejidad así como para Base SAMU dependiente del Servicio Salud Osorno, en formato de cilindros de 0,4 m3 - 0,7 m3 - 6 m3 y 10 m3."/>
    <n v="1"/>
    <s v="Suministro Oxigeno"/>
    <n v="1"/>
    <n v="1"/>
    <n v="236000000"/>
    <n v="9833340"/>
    <x v="1"/>
    <x v="2"/>
    <x v="7"/>
    <x v="10"/>
    <s v="64-335809-"/>
    <s v="mario.aburto@redsalud.gov.cl"/>
    <x v="3"/>
    <d v="2024-07-05T00:00:00"/>
    <n v="23"/>
    <s v="1057532-5207-SE25"/>
    <n v="1"/>
    <n v="9833341"/>
    <d v="2026-12-01T00:00:00"/>
    <x v="0"/>
    <x v="0"/>
  </r>
  <r>
    <s v="SERVICIO DE SALUD OSORNO"/>
    <s v="Bienes y Servicios"/>
    <x v="12"/>
    <s v="Proyecto operacional"/>
    <s v="Publicado"/>
    <s v="22.05.008"/>
    <x v="12"/>
    <s v="Aquisición de Soporte y mantenimiento de Sistema de repetición VHF del Servicio de Salud osorno, para el periodo 2025 - 2026."/>
    <n v="1"/>
    <s v="Servicio"/>
    <n v="1"/>
    <n v="1"/>
    <n v="20000000"/>
    <n v="833333"/>
    <x v="1"/>
    <x v="2"/>
    <x v="8"/>
    <x v="3"/>
    <s v="64-337728-"/>
    <s v="CATALINA.VERAC@REDSALUD.GOB.CL"/>
    <x v="4"/>
    <d v="2024-07-05T00:00:00"/>
    <n v="16"/>
    <s v="1057532-4665-TD25"/>
    <n v="1"/>
    <n v="833333"/>
    <d v="2026-07-01T00:00:00"/>
    <x v="0"/>
    <x v="0"/>
  </r>
  <r>
    <s v="SERVICIO DE SALUD OSORNO"/>
    <s v="Bienes y Servicios"/>
    <x v="12"/>
    <s v="Proyecto operacional"/>
    <s v="Publicado"/>
    <s v="22.05.008"/>
    <x v="12"/>
    <s v="Aquisición de Soporte y mantenimiento de Sistema de repetición VHF del Servicio de Salud osorno, para el periodo 2025 - 2026."/>
    <n v="1"/>
    <s v="Servicio"/>
    <n v="1"/>
    <n v="1"/>
    <n v="20000000"/>
    <n v="833333"/>
    <x v="1"/>
    <x v="2"/>
    <x v="8"/>
    <x v="3"/>
    <s v="64-337728-"/>
    <s v="CATALINA.VERAC@REDSALUD.GOB.CL"/>
    <x v="4"/>
    <d v="2024-07-05T00:00:00"/>
    <n v="16"/>
    <s v="1057532-5093-TD25"/>
    <n v="1"/>
    <n v="833333"/>
    <d v="2026-06-01T00:00:00"/>
    <x v="0"/>
    <x v="0"/>
  </r>
  <r>
    <s v="SERVICIO DE SALUD OSORNO"/>
    <s v="Bienes y Servicios"/>
    <x v="12"/>
    <s v="Proyecto operacional"/>
    <s v="Publicado"/>
    <s v="22.05.008"/>
    <x v="12"/>
    <s v="Aquisición de Soporte y mantenimiento de Sistema de repetición VHF del Servicio de Salud osorno, para el periodo 2025 - 2026."/>
    <n v="1"/>
    <s v="Servicio"/>
    <n v="1"/>
    <n v="1"/>
    <n v="20000000"/>
    <n v="833333"/>
    <x v="1"/>
    <x v="2"/>
    <x v="8"/>
    <x v="3"/>
    <s v="64-337728-"/>
    <s v="CATALINA.VERAC@REDSALUD.GOB.CL"/>
    <x v="4"/>
    <d v="2024-07-05T00:00:00"/>
    <n v="16"/>
    <s v="1057532-5273-TD25"/>
    <n v="1"/>
    <n v="833333"/>
    <d v="2026-03-01T00:00:00"/>
    <x v="0"/>
    <x v="0"/>
  </r>
  <r>
    <s v="SERVICIO DE SALUD OSORNO"/>
    <s v="Bienes y Servicios"/>
    <x v="12"/>
    <s v="Proyecto operacional"/>
    <s v="Publicado"/>
    <s v="22.05.008"/>
    <x v="12"/>
    <s v="Aquisición de Soporte y mantenimiento de Sistema de repetición VHF del Servicio de Salud osorno, para el periodo 2025 - 2026."/>
    <n v="1"/>
    <s v="Servicio"/>
    <n v="1"/>
    <n v="1"/>
    <n v="20000000"/>
    <n v="833333"/>
    <x v="1"/>
    <x v="2"/>
    <x v="8"/>
    <x v="3"/>
    <s v="64-337728-"/>
    <s v="CATALINA.VERAC@REDSALUD.GOB.CL"/>
    <x v="4"/>
    <d v="2024-07-05T00:00:00"/>
    <n v="16"/>
    <s v="1057532-4472-AG25"/>
    <n v="1"/>
    <n v="833333"/>
    <d v="2026-06-01T00:00:00"/>
    <x v="0"/>
    <x v="0"/>
  </r>
  <r>
    <s v="SERVICIO DE SALUD OSORNO"/>
    <s v="Bienes y Servicios"/>
    <x v="12"/>
    <s v="Proyecto operacional"/>
    <s v="Publicado"/>
    <s v="22.05.008"/>
    <x v="12"/>
    <s v="Aquisición de Soporte y mantenimiento de Sistema de repetición VHF del Servicio de Salud osorno, para el periodo 2025 - 2026."/>
    <n v="1"/>
    <s v="Servicio"/>
    <n v="1"/>
    <n v="1"/>
    <n v="20000000"/>
    <n v="833333"/>
    <x v="1"/>
    <x v="2"/>
    <x v="8"/>
    <x v="3"/>
    <s v="64-337728-"/>
    <s v="CATALINA.VERAC@REDSALUD.GOB.CL"/>
    <x v="4"/>
    <d v="2024-07-05T00:00:00"/>
    <n v="16"/>
    <s v="1057532-5045-TD25"/>
    <n v="1"/>
    <n v="833333"/>
    <d v="2026-09-01T00:00:00"/>
    <x v="0"/>
    <x v="0"/>
  </r>
  <r>
    <s v="SERVICIO DE SALUD OSORNO"/>
    <s v="Bienes y Servicios"/>
    <x v="12"/>
    <s v="Proyecto operacional"/>
    <s v="Publicado"/>
    <s v="22.05.008"/>
    <x v="12"/>
    <s v="Aquisición de Soporte y mantenimiento de Sistema de repetición VHF del Servicio de Salud osorno, para el periodo 2025 - 2026."/>
    <n v="1"/>
    <s v="Servicio"/>
    <n v="1"/>
    <n v="1"/>
    <n v="20000000"/>
    <n v="833334"/>
    <x v="1"/>
    <x v="2"/>
    <x v="8"/>
    <x v="3"/>
    <s v="64-337728-"/>
    <s v="CATALINA.VERAC@REDSALUD.GOB.CL"/>
    <x v="4"/>
    <d v="2024-07-05T00:00:00"/>
    <n v="16"/>
    <s v="1057532-5093-TD25"/>
    <n v="1"/>
    <n v="833341"/>
    <d v="2026-12-01T00:00:00"/>
    <x v="0"/>
    <x v="0"/>
  </r>
  <r>
    <s v="SERVICIO DE SALUD OSORNO"/>
    <s v="Bienes y Servicios"/>
    <x v="12"/>
    <s v="Proyecto operacional"/>
    <s v="Publicado"/>
    <s v="22.05.008"/>
    <x v="12"/>
    <s v="Aquisición de Soporte y mantenimiento de Sistema de repetición VHF del Servicio de Salud osorno, para el periodo 2025 - 2026."/>
    <n v="1"/>
    <s v="Servicio"/>
    <n v="1"/>
    <n v="1"/>
    <n v="20000000"/>
    <n v="833333"/>
    <x v="1"/>
    <x v="2"/>
    <x v="8"/>
    <x v="3"/>
    <s v="64-337728-"/>
    <s v="CATALINA.VERAC@REDSALUD.GOB.CL"/>
    <x v="4"/>
    <d v="2024-07-05T00:00:00"/>
    <n v="16"/>
    <s v="1057532-4618-TD25"/>
    <n v="1"/>
    <n v="833333"/>
    <d v="2026-01-01T00:00:00"/>
    <x v="0"/>
    <x v="0"/>
  </r>
  <r>
    <s v="SERVICIO DE SALUD OSORNO"/>
    <s v="Bienes y Servicios"/>
    <x v="12"/>
    <s v="Proyecto operacional"/>
    <s v="Publicado"/>
    <s v="22.05.008"/>
    <x v="12"/>
    <s v="Aquisición de Soporte y mantenimiento de Sistema de repetición VHF del Servicio de Salud osorno, para el periodo 2025 - 2026."/>
    <n v="1"/>
    <s v="Servicio"/>
    <n v="1"/>
    <n v="1"/>
    <n v="20000000"/>
    <n v="833333"/>
    <x v="1"/>
    <x v="2"/>
    <x v="8"/>
    <x v="3"/>
    <s v="64-337728-"/>
    <s v="CATALINA.VERAC@REDSALUD.GOB.CL"/>
    <x v="4"/>
    <d v="2024-07-05T00:00:00"/>
    <n v="16"/>
    <s v="1057532-4618-TD25"/>
    <n v="1"/>
    <n v="833333"/>
    <d v="2026-11-01T00:00:00"/>
    <x v="0"/>
    <x v="0"/>
  </r>
  <r>
    <s v="SERVICIO DE SALUD OSORNO"/>
    <s v="Bienes y Servicios"/>
    <x v="12"/>
    <s v="Proyecto operacional"/>
    <s v="Publicado"/>
    <s v="22.05.008"/>
    <x v="12"/>
    <s v="Aquisición de Soporte y mantenimiento de Sistema de repetición VHF del Servicio de Salud osorno, para el periodo 2025 - 2026."/>
    <n v="1"/>
    <s v="Servicio"/>
    <n v="1"/>
    <n v="1"/>
    <n v="20000000"/>
    <n v="833340"/>
    <x v="1"/>
    <x v="2"/>
    <x v="8"/>
    <x v="3"/>
    <s v="64-337728-"/>
    <s v="CATALINA.VERAC@REDSALUD.GOB.CL"/>
    <x v="4"/>
    <d v="2024-07-05T00:00:00"/>
    <n v="16"/>
    <s v="1057532-4472-AG25"/>
    <n v="1"/>
    <n v="833341"/>
    <d v="2026-12-01T00:00:00"/>
    <x v="0"/>
    <x v="0"/>
  </r>
  <r>
    <s v="SERVICIO DE SALUD OSORNO"/>
    <s v="Bienes y Servicios"/>
    <x v="12"/>
    <s v="Proyecto operacional"/>
    <s v="Publicado"/>
    <s v="22.05.008"/>
    <x v="12"/>
    <s v="Aquisición de Soporte y mantenimiento de Sistema de repetición VHF del Servicio de Salud osorno, para el periodo 2025 - 2026."/>
    <n v="1"/>
    <s v="Servicio"/>
    <n v="1"/>
    <n v="1"/>
    <n v="20000000"/>
    <n v="833333"/>
    <x v="1"/>
    <x v="2"/>
    <x v="8"/>
    <x v="3"/>
    <s v="64-337728-"/>
    <s v="CATALINA.VERAC@REDSALUD.GOB.CL"/>
    <x v="4"/>
    <d v="2024-07-05T00:00:00"/>
    <n v="16"/>
    <s v="1057532-4242-TD25"/>
    <n v="1"/>
    <n v="833333"/>
    <d v="2026-10-01T00:00:00"/>
    <x v="0"/>
    <x v="0"/>
  </r>
  <r>
    <s v="SERVICIO DE SALUD OSORNO"/>
    <s v="Bienes y Servicios"/>
    <x v="12"/>
    <s v="Proyecto operacional"/>
    <s v="Publicado"/>
    <s v="22.05.008"/>
    <x v="12"/>
    <s v="Aquisición de Soporte y mantenimiento de Sistema de repetición VHF del Servicio de Salud osorno, para el periodo 2025 - 2026."/>
    <n v="1"/>
    <s v="Servicio"/>
    <n v="1"/>
    <n v="1"/>
    <n v="20000000"/>
    <n v="833333"/>
    <x v="1"/>
    <x v="2"/>
    <x v="8"/>
    <x v="3"/>
    <s v="64-337728-"/>
    <s v="CATALINA.VERAC@REDSALUD.GOB.CL"/>
    <x v="4"/>
    <d v="2024-07-05T00:00:00"/>
    <n v="16"/>
    <s v="1057532-4242-TD25"/>
    <n v="1"/>
    <n v="833333"/>
    <d v="2026-05-01T00:00:00"/>
    <x v="0"/>
    <x v="0"/>
  </r>
  <r>
    <s v="SERVICIO DE SALUD OSORNO"/>
    <s v="Bienes y Servicios"/>
    <x v="12"/>
    <s v="Proyecto operacional"/>
    <s v="Publicado"/>
    <s v="22.05.008"/>
    <x v="12"/>
    <s v="Aquisición de Soporte y mantenimiento de Sistema de repetición VHF del Servicio de Salud osorno, para el periodo 2025 - 2026."/>
    <n v="1"/>
    <s v="Servicio"/>
    <n v="1"/>
    <n v="1"/>
    <n v="20000000"/>
    <n v="833333"/>
    <x v="1"/>
    <x v="2"/>
    <x v="8"/>
    <x v="3"/>
    <s v="64-337728-"/>
    <s v="CATALINA.VERAC@REDSALUD.GOB.CL"/>
    <x v="4"/>
    <d v="2024-07-05T00:00:00"/>
    <n v="16"/>
    <s v="1057532-4665-TD25"/>
    <n v="1"/>
    <n v="833333"/>
    <d v="2026-03-01T00:00:00"/>
    <x v="0"/>
    <x v="0"/>
  </r>
  <r>
    <s v="SERVICIO DE SALUD OSORNO"/>
    <s v="Bienes y Servicios"/>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n v="1"/>
    <s v="Servicio de guardias"/>
    <n v="1"/>
    <n v="1"/>
    <n v="1810393810"/>
    <n v="75433075"/>
    <x v="1"/>
    <x v="2"/>
    <x v="9"/>
    <x v="11"/>
    <s v="64-2567381-"/>
    <s v="lorena.torresc@redsalud.gob.cl"/>
    <x v="4"/>
    <d v="2024-07-05T00:00:00"/>
    <n v="46"/>
    <s v="1057532-205-SE25"/>
    <n v="1"/>
    <n v="75433075"/>
    <d v="2026-08-01T00:00:00"/>
    <x v="0"/>
    <x v="0"/>
  </r>
  <r>
    <s v="SERVICIO DE SALUD OSORNO"/>
    <s v="Bienes y Servicios"/>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n v="1"/>
    <s v="Servicio de guardias"/>
    <n v="1"/>
    <n v="1"/>
    <n v="1810393810"/>
    <n v="75433075"/>
    <x v="1"/>
    <x v="2"/>
    <x v="9"/>
    <x v="11"/>
    <s v="64-2567381-"/>
    <s v="lorena.torresc@redsalud.gob.cl"/>
    <x v="4"/>
    <d v="2024-07-05T00:00:00"/>
    <n v="46"/>
    <s v="1057532-205-SE25"/>
    <n v="1"/>
    <n v="75433075"/>
    <d v="2026-11-01T00:00:00"/>
    <x v="0"/>
    <x v="0"/>
  </r>
  <r>
    <s v="SERVICIO DE SALUD OSORNO"/>
    <s v="Bienes y Servicios"/>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n v="1"/>
    <s v="Servicio de guardias"/>
    <n v="1"/>
    <n v="1"/>
    <n v="1810393810"/>
    <n v="75433075"/>
    <x v="1"/>
    <x v="2"/>
    <x v="9"/>
    <x v="11"/>
    <s v="64-2567381-"/>
    <s v="lorena.torresc@redsalud.gob.cl"/>
    <x v="4"/>
    <d v="2024-07-05T00:00:00"/>
    <n v="46"/>
    <s v="1057532-205-SE25"/>
    <n v="1"/>
    <n v="75433075"/>
    <d v="2026-03-01T00:00:00"/>
    <x v="0"/>
    <x v="0"/>
  </r>
  <r>
    <s v="SERVICIO DE SALUD OSORNO"/>
    <s v="Bienes y Servicios"/>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n v="1"/>
    <s v="Servicio de guardias"/>
    <n v="1"/>
    <n v="1"/>
    <n v="1810393810"/>
    <n v="75433075"/>
    <x v="1"/>
    <x v="2"/>
    <x v="9"/>
    <x v="11"/>
    <s v="64-2567381-"/>
    <s v="lorena.torresc@redsalud.gob.cl"/>
    <x v="4"/>
    <d v="2024-07-05T00:00:00"/>
    <n v="46"/>
    <s v="1057532-205-SE25"/>
    <n v="1"/>
    <n v="75433075"/>
    <d v="2026-01-01T00:00:00"/>
    <x v="0"/>
    <x v="0"/>
  </r>
  <r>
    <s v="SERVICIO DE SALUD OSORNO"/>
    <s v="Bienes y Servicios"/>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n v="1"/>
    <s v="Servicio de guardias"/>
    <n v="1"/>
    <n v="1"/>
    <n v="1810393810"/>
    <n v="75433075"/>
    <x v="1"/>
    <x v="2"/>
    <x v="9"/>
    <x v="11"/>
    <s v="64-2567381-"/>
    <s v="lorena.torresc@redsalud.gob.cl"/>
    <x v="4"/>
    <d v="2024-07-05T00:00:00"/>
    <n v="46"/>
    <s v="1057532-4654-TD25"/>
    <n v="1"/>
    <n v="75433075"/>
    <d v="2026-01-01T00:00:00"/>
    <x v="0"/>
    <x v="0"/>
  </r>
  <r>
    <s v="SERVICIO DE SALUD OSORNO"/>
    <s v="Bienes y Servicios"/>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n v="1"/>
    <s v="Servicio de guardias"/>
    <n v="1"/>
    <n v="1"/>
    <n v="1810393810"/>
    <n v="75433075"/>
    <x v="1"/>
    <x v="2"/>
    <x v="9"/>
    <x v="11"/>
    <s v="64-2567381-"/>
    <s v="lorena.torresc@redsalud.gob.cl"/>
    <x v="4"/>
    <d v="2024-07-05T00:00:00"/>
    <n v="46"/>
    <s v="1057532-4651-TD25"/>
    <n v="1"/>
    <n v="75433075"/>
    <d v="2026-05-01T00:00:00"/>
    <x v="0"/>
    <x v="0"/>
  </r>
  <r>
    <s v="SERVICIO DE SALUD OSORNO"/>
    <s v="Bienes y Servicios"/>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n v="1"/>
    <s v="Servicio de guardias"/>
    <n v="1"/>
    <n v="1"/>
    <n v="1810393810"/>
    <n v="75433075"/>
    <x v="1"/>
    <x v="2"/>
    <x v="9"/>
    <x v="11"/>
    <s v="64-2567381-"/>
    <s v="lorena.torresc@redsalud.gob.cl"/>
    <x v="4"/>
    <d v="2024-07-05T00:00:00"/>
    <n v="46"/>
    <s v="1057532-205-SE25"/>
    <n v="1"/>
    <n v="75433075"/>
    <d v="2026-07-01T00:00:00"/>
    <x v="0"/>
    <x v="0"/>
  </r>
  <r>
    <s v="SERVICIO DE SALUD OSORNO"/>
    <s v="Bienes y Servicios"/>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n v="1"/>
    <s v="Servicio de guardias"/>
    <n v="1"/>
    <n v="1"/>
    <n v="1810393810"/>
    <n v="75433075"/>
    <x v="1"/>
    <x v="2"/>
    <x v="9"/>
    <x v="11"/>
    <s v="64-2567381-"/>
    <s v="lorena.torresc@redsalud.gob.cl"/>
    <x v="4"/>
    <d v="2024-07-05T00:00:00"/>
    <n v="46"/>
    <s v="1057532-4651-TD25"/>
    <n v="1"/>
    <n v="75433075"/>
    <d v="2026-11-01T00:00:00"/>
    <x v="0"/>
    <x v="0"/>
  </r>
  <r>
    <s v="SERVICIO DE SALUD OSORNO"/>
    <s v="Bienes y Servicios"/>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n v="1"/>
    <s v="Servicio de guardias"/>
    <n v="1"/>
    <n v="1"/>
    <n v="1810393810"/>
    <n v="75433075"/>
    <x v="1"/>
    <x v="2"/>
    <x v="9"/>
    <x v="11"/>
    <s v="64-2567381-"/>
    <s v="lorena.torresc@redsalud.gob.cl"/>
    <x v="4"/>
    <d v="2024-07-05T00:00:00"/>
    <n v="46"/>
    <s v="1057532-4651-TD25"/>
    <n v="1"/>
    <n v="75433075"/>
    <d v="2026-06-01T00:00:00"/>
    <x v="0"/>
    <x v="0"/>
  </r>
  <r>
    <s v="SERVICIO DE SALUD OSORNO"/>
    <s v="Bienes y Servicios"/>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n v="1"/>
    <s v="Servicio de guardias"/>
    <n v="1"/>
    <n v="1"/>
    <n v="1810393810"/>
    <n v="75433075"/>
    <x v="1"/>
    <x v="2"/>
    <x v="9"/>
    <x v="11"/>
    <s v="64-2567381-"/>
    <s v="lorena.torresc@redsalud.gob.cl"/>
    <x v="4"/>
    <d v="2024-07-05T00:00:00"/>
    <n v="46"/>
    <s v="1057532-4264-TD25"/>
    <n v="1"/>
    <n v="75433075"/>
    <d v="2026-06-01T00:00:00"/>
    <x v="0"/>
    <x v="0"/>
  </r>
  <r>
    <s v="SERVICIO DE SALUD OSORNO"/>
    <s v="Bienes y Servicios"/>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n v="1"/>
    <s v="Servicio de guardias"/>
    <n v="1"/>
    <n v="1"/>
    <n v="1810393810"/>
    <n v="75433075"/>
    <x v="1"/>
    <x v="2"/>
    <x v="9"/>
    <x v="11"/>
    <s v="64-2567381-"/>
    <s v="lorena.torresc@redsalud.gob.cl"/>
    <x v="4"/>
    <d v="2024-07-05T00:00:00"/>
    <n v="46"/>
    <s v="1057532-205-SE25"/>
    <n v="1"/>
    <n v="75433075"/>
    <d v="2026-04-01T00:00:00"/>
    <x v="0"/>
    <x v="0"/>
  </r>
  <r>
    <s v="SERVICIO DE SALUD OSORNO"/>
    <s v="Bienes y Servicios"/>
    <x v="13"/>
    <s v="Proyecto operacional"/>
    <s v="Publicado"/>
    <s v="22.08"/>
    <x v="13"/>
    <s v="Se requiere la contratación de un convenio de servicio de guardias para la DSSO y sus establecimientos y dispositivos dependientes, cumpliendo los estándares requeridos en concordancia con las bases administrativas, especificaciones técnicas, por un período de 24 meses."/>
    <n v="1"/>
    <s v="Servicio de guardias"/>
    <n v="1"/>
    <n v="1"/>
    <n v="1810393810"/>
    <n v="75433085"/>
    <x v="1"/>
    <x v="2"/>
    <x v="9"/>
    <x v="11"/>
    <s v="64-2567381-"/>
    <s v="lorena.torresc@redsalud.gob.cl"/>
    <x v="4"/>
    <d v="2024-07-05T00:00:00"/>
    <n v="46"/>
    <s v="1057532-4652-TD25"/>
    <n v="1"/>
    <n v="75433075"/>
    <d v="2026-07-01T00:00:00"/>
    <x v="0"/>
    <x v="0"/>
  </r>
  <r>
    <s v="SERVICIO DE SALUD OSORNO"/>
    <s v="Bienes y Servicios"/>
    <x v="14"/>
    <s v="Proyecto operacional"/>
    <s v="Publicado"/>
    <s v="22.09.006"/>
    <x v="14"/>
    <s v="Licitar en modalidad el servicio de arriendo equipos computacionales PC AIO con licenciamiento de Sistema Operativo (Windows), Office 365 y antivirus."/>
    <n v="2"/>
    <s v="Insumos"/>
    <n v="4"/>
    <n v="159"/>
    <n v="2096280"/>
    <n v="9258570"/>
    <x v="3"/>
    <x v="4"/>
    <x v="10"/>
    <x v="12"/>
    <s v="64-2335838-"/>
    <s v="alvaro.montecinos@redsalud.gob.cl"/>
    <x v="6"/>
    <d v="2025-08-20T00:00:00"/>
    <n v="0"/>
    <m/>
    <n v="1"/>
    <n v="9258570"/>
    <d v="2026-08-01T00:00:00"/>
    <x v="0"/>
    <x v="0"/>
  </r>
  <r>
    <s v="SERVICIO DE SALUD OSORNO"/>
    <s v="Bienes y Servicios"/>
    <x v="14"/>
    <s v="Proyecto operacional"/>
    <s v="Publicado"/>
    <s v="22.09.006"/>
    <x v="15"/>
    <s v="Licitar en modalidad el servicio de arriendo equipos computacionales PC AIO con licenciamiento de Sistema Operativo (Windows), Office 365 y antivirus."/>
    <n v="2"/>
    <s v="Insumos"/>
    <n v="4"/>
    <n v="159"/>
    <n v="2096280"/>
    <n v="9258570"/>
    <x v="4"/>
    <x v="4"/>
    <x v="10"/>
    <x v="12"/>
    <s v="64-2335838-"/>
    <s v="alvaro.montecinos@redsalud.gob.cl"/>
    <x v="7"/>
    <d v="2025-08-20T00:00:00"/>
    <n v="0"/>
    <m/>
    <n v="1"/>
    <n v="9258570"/>
    <d v="2026-06-01T00:00:00"/>
    <x v="0"/>
    <x v="0"/>
  </r>
  <r>
    <s v="SERVICIO DE SALUD OSORNO"/>
    <s v="Bienes y Servicios"/>
    <x v="14"/>
    <s v="Proyecto operacional"/>
    <s v="Publicado"/>
    <s v="22.09.006"/>
    <x v="14"/>
    <s v="Licitar en modalidad el servicio de arriendo equipos computacionales PC AIO con licenciamiento de Sistema Operativo (Windows), Office 365 y antivirus."/>
    <n v="2"/>
    <s v="Insumos"/>
    <n v="4"/>
    <n v="159"/>
    <n v="2096280"/>
    <n v="9258570"/>
    <x v="3"/>
    <x v="4"/>
    <x v="10"/>
    <x v="12"/>
    <s v="64-2335838-"/>
    <s v="alvaro.montecinos@redsalud.gob.cl"/>
    <x v="6"/>
    <d v="2025-08-20T00:00:00"/>
    <n v="0"/>
    <m/>
    <n v="1"/>
    <n v="9258570"/>
    <d v="2026-07-01T00:00:00"/>
    <x v="0"/>
    <x v="0"/>
  </r>
  <r>
    <s v="SERVICIO DE SALUD OSORNO"/>
    <s v="Bienes y Servicios"/>
    <x v="14"/>
    <s v="Proyecto operacional"/>
    <s v="Publicado"/>
    <s v="22.09.006"/>
    <x v="14"/>
    <s v="Licitar en modalidad el servicio de arriendo equipos computacionales PC AIO con licenciamiento de Sistema Operativo (Windows), Office 365 y antivirus."/>
    <n v="2"/>
    <s v="Insumos"/>
    <n v="4"/>
    <n v="159"/>
    <n v="2096280"/>
    <n v="9258570"/>
    <x v="3"/>
    <x v="4"/>
    <x v="10"/>
    <x v="12"/>
    <s v="64-2335838-"/>
    <s v="alvaro.montecinos@redsalud.gob.cl"/>
    <x v="6"/>
    <d v="2025-08-20T00:00:00"/>
    <n v="0"/>
    <m/>
    <n v="1"/>
    <n v="9258570"/>
    <d v="2026-01-01T00:00:00"/>
    <x v="0"/>
    <x v="0"/>
  </r>
  <r>
    <s v="SERVICIO DE SALUD OSORNO"/>
    <s v="Bienes y Servicios"/>
    <x v="14"/>
    <s v="Proyecto operacional"/>
    <s v="Publicado"/>
    <s v="22.09.006"/>
    <x v="15"/>
    <s v="Licitar en modalidad el servicio de arriendo equipos computacionales PC AIO con licenciamiento de Sistema Operativo (Windows), Office 365 y antivirus."/>
    <n v="2"/>
    <s v="Insumos"/>
    <n v="4"/>
    <n v="159"/>
    <n v="2096280"/>
    <n v="9258570"/>
    <x v="4"/>
    <x v="4"/>
    <x v="10"/>
    <x v="12"/>
    <s v="64-2335838-"/>
    <s v="alvaro.montecinos@redsalud.gob.cl"/>
    <x v="7"/>
    <d v="2025-08-20T00:00:00"/>
    <n v="0"/>
    <m/>
    <n v="1"/>
    <n v="9258570"/>
    <d v="2026-01-01T00:00:00"/>
    <x v="0"/>
    <x v="0"/>
  </r>
  <r>
    <s v="SERVICIO DE SALUD OSORNO"/>
    <s v="Bienes y Servicios"/>
    <x v="14"/>
    <s v="Proyecto operacional"/>
    <s v="Publicado"/>
    <s v="22.09.006"/>
    <x v="15"/>
    <s v="Licitar en modalidad el servicio de arriendo equipos computacionales PC AIO con licenciamiento de Sistema Operativo (Windows), Office 365 y antivirus."/>
    <n v="2"/>
    <s v="Insumos"/>
    <n v="4"/>
    <n v="159"/>
    <n v="2096280"/>
    <n v="9258570"/>
    <x v="4"/>
    <x v="4"/>
    <x v="10"/>
    <x v="12"/>
    <s v="64-2335838-"/>
    <s v="alvaro.montecinos@redsalud.gob.cl"/>
    <x v="7"/>
    <d v="2025-08-20T00:00:00"/>
    <n v="0"/>
    <m/>
    <n v="1"/>
    <n v="9258570"/>
    <d v="2026-05-01T00:00:00"/>
    <x v="0"/>
    <x v="0"/>
  </r>
  <r>
    <s v="SERVICIO DE SALUD OSORNO"/>
    <s v="Bienes y Servicios"/>
    <x v="14"/>
    <s v="Proyecto operacional"/>
    <s v="Publicado"/>
    <s v="22.09.006"/>
    <x v="15"/>
    <s v="Licitar en modalidad el servicio de arriendo equipos computacionales PC AIO con licenciamiento de Sistema Operativo (Windows), Office 365 y antivirus."/>
    <n v="2"/>
    <s v="Insumos"/>
    <n v="4"/>
    <n v="159"/>
    <n v="2096280"/>
    <n v="9258570"/>
    <x v="4"/>
    <x v="4"/>
    <x v="10"/>
    <x v="12"/>
    <s v="64-2335838-"/>
    <s v="alvaro.montecinos@redsalud.gob.cl"/>
    <x v="7"/>
    <d v="2025-08-20T00:00:00"/>
    <n v="0"/>
    <m/>
    <n v="1"/>
    <n v="9258570"/>
    <d v="2026-04-01T00:00:00"/>
    <x v="0"/>
    <x v="0"/>
  </r>
  <r>
    <s v="SERVICIO DE SALUD OSORNO"/>
    <s v="Bienes y Servicios"/>
    <x v="14"/>
    <s v="Proyecto operacional"/>
    <s v="Publicado"/>
    <s v="22.09.006"/>
    <x v="15"/>
    <s v="Licitar en modalidad el servicio de arriendo equipos computacionales PC AIO con licenciamiento de Sistema Operativo (Windows), Office 365 y antivirus."/>
    <n v="2"/>
    <s v="Insumos"/>
    <n v="4"/>
    <n v="159"/>
    <n v="2096280"/>
    <n v="9258570"/>
    <x v="4"/>
    <x v="4"/>
    <x v="10"/>
    <x v="12"/>
    <s v="64-2335838-"/>
    <s v="alvaro.montecinos@redsalud.gob.cl"/>
    <x v="7"/>
    <d v="2025-08-20T00:00:00"/>
    <n v="0"/>
    <m/>
    <n v="1"/>
    <n v="9258570"/>
    <d v="2026-12-01T00:00:00"/>
    <x v="0"/>
    <x v="0"/>
  </r>
  <r>
    <s v="SERVICIO DE SALUD OSORNO"/>
    <s v="Bienes y Servicios"/>
    <x v="14"/>
    <s v="Proyecto operacional"/>
    <s v="Publicado"/>
    <s v="22.09.006"/>
    <x v="15"/>
    <s v="Licitar en modalidad el servicio de arriendo equipos computacionales PC AIO con licenciamiento de Sistema Operativo (Windows), Office 365 y antivirus."/>
    <n v="2"/>
    <s v="Insumos"/>
    <n v="4"/>
    <n v="159"/>
    <n v="2096280"/>
    <n v="9258570"/>
    <x v="4"/>
    <x v="4"/>
    <x v="10"/>
    <x v="12"/>
    <s v="64-2335838-"/>
    <s v="alvaro.montecinos@redsalud.gob.cl"/>
    <x v="7"/>
    <d v="2025-08-20T00:00:00"/>
    <n v="0"/>
    <m/>
    <n v="1"/>
    <n v="9258570"/>
    <d v="2026-03-01T00:00:00"/>
    <x v="0"/>
    <x v="0"/>
  </r>
  <r>
    <s v="SERVICIO DE SALUD OSORNO"/>
    <s v="Bienes y Servicios"/>
    <x v="14"/>
    <s v="Proyecto operacional"/>
    <s v="Publicado"/>
    <s v="22.09.006"/>
    <x v="15"/>
    <s v="Licitar en modalidad el servicio de arriendo equipos computacionales PC AIO con licenciamiento de Sistema Operativo (Windows), Office 365 y antivirus."/>
    <n v="2"/>
    <s v="Insumos"/>
    <n v="4"/>
    <n v="159"/>
    <n v="2096280"/>
    <n v="9258570"/>
    <x v="4"/>
    <x v="4"/>
    <x v="10"/>
    <x v="12"/>
    <s v="64-2335838-"/>
    <s v="alvaro.montecinos@redsalud.gob.cl"/>
    <x v="7"/>
    <d v="2025-08-20T00:00:00"/>
    <n v="0"/>
    <m/>
    <n v="1"/>
    <n v="9258570"/>
    <d v="2026-02-01T00:00:00"/>
    <x v="0"/>
    <x v="0"/>
  </r>
  <r>
    <s v="SERVICIO DE SALUD OSORNO"/>
    <s v="Bienes y Servicios"/>
    <x v="14"/>
    <s v="Proyecto operacional"/>
    <s v="Publicado"/>
    <s v="22.09.006"/>
    <x v="14"/>
    <s v="Licitar en modalidad el servicio de arriendo equipos computacionales PC AIO con licenciamiento de Sistema Operativo (Windows), Office 365 y antivirus."/>
    <n v="2"/>
    <s v="Insumos"/>
    <n v="4"/>
    <n v="159"/>
    <n v="2096280"/>
    <n v="9258570"/>
    <x v="3"/>
    <x v="4"/>
    <x v="10"/>
    <x v="12"/>
    <s v="64-2335838-"/>
    <s v="alvaro.montecinos@redsalud.gob.cl"/>
    <x v="6"/>
    <d v="2025-08-20T00:00:00"/>
    <n v="0"/>
    <m/>
    <n v="1"/>
    <n v="9258570"/>
    <d v="2026-09-01T00:00:00"/>
    <x v="0"/>
    <x v="0"/>
  </r>
  <r>
    <s v="SERVICIO DE SALUD OSORNO"/>
    <s v="Bienes y Servicios"/>
    <x v="14"/>
    <s v="Proyecto operacional"/>
    <s v="Publicado"/>
    <s v="22.09.006"/>
    <x v="15"/>
    <s v="Licitar en modalidad el servicio de arriendo equipos computacionales PC AIO con licenciamiento de Sistema Operativo (Windows), Office 365 y antivirus."/>
    <n v="2"/>
    <s v="Insumos"/>
    <n v="4"/>
    <n v="159"/>
    <n v="2096280"/>
    <n v="9258570"/>
    <x v="4"/>
    <x v="4"/>
    <x v="10"/>
    <x v="12"/>
    <s v="64-2335838-"/>
    <s v="alvaro.montecinos@redsalud.gob.cl"/>
    <x v="7"/>
    <d v="2025-08-20T00:00:00"/>
    <n v="0"/>
    <m/>
    <n v="1"/>
    <n v="9258570"/>
    <d v="2026-11-01T00:00:00"/>
    <x v="0"/>
    <x v="0"/>
  </r>
  <r>
    <s v="SERVICIO DE SALUD OSORNO"/>
    <s v="Bienes y Servicios"/>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n v="2"/>
    <s v="Aseo"/>
    <n v="4"/>
    <n v="54"/>
    <n v="1953705"/>
    <n v="5861115"/>
    <x v="5"/>
    <x v="5"/>
    <x v="9"/>
    <x v="11"/>
    <s v="64-2337381-"/>
    <s v="lorena.torresc@redsalud.gob.cl"/>
    <x v="8"/>
    <d v="2025-08-20T00:00:00"/>
    <n v="16"/>
    <s v="1057532-4942-SE25"/>
    <n v="1"/>
    <n v="5861115"/>
    <d v="2026-01-01T00:00:00"/>
    <x v="0"/>
    <x v="0"/>
  </r>
  <r>
    <s v="SERVICIO DE SALUD OSORNO"/>
    <s v="Bienes y Servicios"/>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n v="2"/>
    <s v="Aseo"/>
    <n v="4"/>
    <n v="54"/>
    <n v="1953705"/>
    <n v="5861115"/>
    <x v="5"/>
    <x v="5"/>
    <x v="9"/>
    <x v="11"/>
    <s v="64-2337381-"/>
    <s v="lorena.torresc@redsalud.gob.cl"/>
    <x v="8"/>
    <d v="2025-08-20T00:00:00"/>
    <n v="16"/>
    <s v="1057532-4948-SE25"/>
    <n v="1"/>
    <n v="5861115"/>
    <d v="2026-01-01T00:00:00"/>
    <x v="0"/>
    <x v="0"/>
  </r>
  <r>
    <s v="SERVICIO DE SALUD OSORNO"/>
    <s v="Bienes y Servicios"/>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n v="2"/>
    <s v="Aseo"/>
    <n v="4"/>
    <n v="54"/>
    <n v="1953705"/>
    <n v="5861115"/>
    <x v="5"/>
    <x v="5"/>
    <x v="9"/>
    <x v="11"/>
    <s v="64-2337381-"/>
    <s v="lorena.torresc@redsalud.gob.cl"/>
    <x v="8"/>
    <d v="2025-08-20T00:00:00"/>
    <n v="16"/>
    <s v="1057532-4604-SE25"/>
    <n v="1"/>
    <n v="5861115"/>
    <d v="2026-01-01T00:00:00"/>
    <x v="0"/>
    <x v="0"/>
  </r>
  <r>
    <s v="SERVICIO DE SALUD OSORNO"/>
    <s v="Bienes y Servicios"/>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n v="2"/>
    <s v="Aseo"/>
    <n v="4"/>
    <n v="54"/>
    <n v="1953705"/>
    <n v="5861115"/>
    <x v="5"/>
    <x v="5"/>
    <x v="9"/>
    <x v="11"/>
    <s v="64-2337381-"/>
    <s v="lorena.torresc@redsalud.gob.cl"/>
    <x v="8"/>
    <d v="2025-08-20T00:00:00"/>
    <n v="16"/>
    <s v="1057532-4942-SE25"/>
    <n v="1"/>
    <n v="5861115"/>
    <d v="2026-05-01T00:00:00"/>
    <x v="0"/>
    <x v="0"/>
  </r>
  <r>
    <s v="SERVICIO DE SALUD OSORNO"/>
    <s v="Bienes y Servicios"/>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n v="2"/>
    <s v="Aseo"/>
    <n v="4"/>
    <n v="54"/>
    <n v="1953705"/>
    <n v="5861115"/>
    <x v="5"/>
    <x v="5"/>
    <x v="9"/>
    <x v="11"/>
    <s v="64-2337381-"/>
    <s v="lorena.torresc@redsalud.gob.cl"/>
    <x v="8"/>
    <d v="2025-08-20T00:00:00"/>
    <n v="16"/>
    <s v="1057532-4604-SE25"/>
    <n v="1"/>
    <n v="5861115"/>
    <d v="2026-02-01T00:00:00"/>
    <x v="0"/>
    <x v="0"/>
  </r>
  <r>
    <s v="SERVICIO DE SALUD OSORNO"/>
    <s v="Bienes y Servicios"/>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n v="2"/>
    <s v="Aseo"/>
    <n v="4"/>
    <n v="54"/>
    <n v="1953705"/>
    <n v="5861115"/>
    <x v="5"/>
    <x v="5"/>
    <x v="9"/>
    <x v="11"/>
    <s v="64-2337381-"/>
    <s v="lorena.torresc@redsalud.gob.cl"/>
    <x v="8"/>
    <d v="2025-08-20T00:00:00"/>
    <n v="16"/>
    <s v="1057532-5193-SE25"/>
    <n v="1"/>
    <n v="5861115"/>
    <d v="2026-12-01T00:00:00"/>
    <x v="0"/>
    <x v="0"/>
  </r>
  <r>
    <s v="SERVICIO DE SALUD OSORNO"/>
    <s v="Bienes y Servicios"/>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n v="2"/>
    <s v="Aseo"/>
    <n v="4"/>
    <n v="54"/>
    <n v="1953705"/>
    <n v="5861115"/>
    <x v="5"/>
    <x v="5"/>
    <x v="9"/>
    <x v="11"/>
    <s v="64-2337381-"/>
    <s v="lorena.torresc@redsalud.gob.cl"/>
    <x v="8"/>
    <d v="2025-08-20T00:00:00"/>
    <n v="16"/>
    <s v="1057532-4942-SE25"/>
    <n v="1"/>
    <n v="5861115"/>
    <d v="2026-04-01T00:00:00"/>
    <x v="0"/>
    <x v="0"/>
  </r>
  <r>
    <s v="SERVICIO DE SALUD OSORNO"/>
    <s v="Bienes y Servicios"/>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n v="2"/>
    <s v="Aseo"/>
    <n v="4"/>
    <n v="54"/>
    <n v="1953705"/>
    <n v="5861115"/>
    <x v="5"/>
    <x v="5"/>
    <x v="9"/>
    <x v="11"/>
    <s v="64-2337381-"/>
    <s v="lorena.torresc@redsalud.gob.cl"/>
    <x v="8"/>
    <d v="2025-08-20T00:00:00"/>
    <n v="16"/>
    <s v="1057532-4942-SE25"/>
    <n v="1"/>
    <n v="5861115"/>
    <d v="2026-02-01T00:00:00"/>
    <x v="0"/>
    <x v="0"/>
  </r>
  <r>
    <s v="SERVICIO DE SALUD OSORNO"/>
    <s v="Bienes y Servicios"/>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n v="2"/>
    <s v="Aseo"/>
    <n v="4"/>
    <n v="54"/>
    <n v="1953705"/>
    <n v="5861115"/>
    <x v="5"/>
    <x v="5"/>
    <x v="9"/>
    <x v="11"/>
    <s v="64-2337381-"/>
    <s v="lorena.torresc@redsalud.gob.cl"/>
    <x v="8"/>
    <d v="2025-08-20T00:00:00"/>
    <n v="16"/>
    <s v="1057532-5191-SE25"/>
    <n v="1"/>
    <n v="5861115"/>
    <d v="2026-02-01T00:00:00"/>
    <x v="0"/>
    <x v="0"/>
  </r>
  <r>
    <s v="SERVICIO DE SALUD OSORNO"/>
    <s v="Bienes y Servicios"/>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n v="2"/>
    <s v="Aseo"/>
    <n v="4"/>
    <n v="54"/>
    <n v="1953705"/>
    <n v="5861115"/>
    <x v="5"/>
    <x v="5"/>
    <x v="9"/>
    <x v="11"/>
    <s v="64-2337381-"/>
    <s v="lorena.torresc@redsalud.gob.cl"/>
    <x v="8"/>
    <d v="2025-08-20T00:00:00"/>
    <n v="16"/>
    <s v="1057532-4604-SE25"/>
    <n v="1"/>
    <n v="5861115"/>
    <d v="2026-05-01T00:00:00"/>
    <x v="0"/>
    <x v="0"/>
  </r>
  <r>
    <s v="SERVICIO DE SALUD OSORNO"/>
    <s v="Bienes y Servicios"/>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n v="2"/>
    <s v="Aseo"/>
    <n v="4"/>
    <n v="54"/>
    <n v="1953705"/>
    <n v="5861115"/>
    <x v="5"/>
    <x v="5"/>
    <x v="9"/>
    <x v="11"/>
    <s v="64-2337381-"/>
    <s v="lorena.torresc@redsalud.gob.cl"/>
    <x v="8"/>
    <d v="2025-08-20T00:00:00"/>
    <n v="16"/>
    <s v="1057532-4942-SE25"/>
    <n v="1"/>
    <n v="5861115"/>
    <d v="2026-06-01T00:00:00"/>
    <x v="0"/>
    <x v="0"/>
  </r>
  <r>
    <s v="SERVICIO DE SALUD OSORNO"/>
    <s v="Bienes y Servicios"/>
    <x v="15"/>
    <s v="Proyecto operacional"/>
    <s v="Publicado"/>
    <s v="22.08.001"/>
    <x v="16"/>
    <s v="Se requiere contar con servicios de aseo en los Edificios Plaza Sur, Manuel Rodriguez y Base SAMU, dependientes de la Dirección del Servicio de Salud Osorno. Todo lo anterior, por un periodo de 18 meses (desde el 01 de julio 2025 hasta el 31 de diciembre del 2026)"/>
    <n v="2"/>
    <s v="Aseo"/>
    <n v="4"/>
    <n v="54"/>
    <n v="1953705"/>
    <n v="5861115"/>
    <x v="5"/>
    <x v="5"/>
    <x v="9"/>
    <x v="11"/>
    <s v="64-2337381-"/>
    <s v="lorena.torresc@redsalud.gob.cl"/>
    <x v="8"/>
    <d v="2025-08-20T00:00:00"/>
    <n v="16"/>
    <s v="1057532-4604-SE25"/>
    <n v="1"/>
    <n v="5861115"/>
    <d v="2026-12-01T00:00:00"/>
    <x v="0"/>
    <x v="0"/>
  </r>
  <r>
    <s v="SERVICIO DE SALUD OSORNO"/>
    <s v="Bienes y Servicios"/>
    <x v="16"/>
    <s v="Proyecto operacional"/>
    <s v="Publicado"/>
    <s v="22.06.001"/>
    <x v="17"/>
    <s v="ADQUISICION SERVICIO DE SOPORTE Y MANTENIMIENTO DE LOS DOS SITIOS DE REPETICION VHF DE EMERGENCIAS, SERVICIO DE SALUD OSORNO (COMPRA ENERO A MARZO 2025)"/>
    <n v="2"/>
    <s v="Mantenimiento"/>
    <n v="4"/>
    <n v="1"/>
    <n v="12500000"/>
    <n v="520341"/>
    <x v="1"/>
    <x v="2"/>
    <x v="11"/>
    <x v="13"/>
    <s v="64-2335606-"/>
    <s v="ESTEBAN.ALARCONB@REDSALUD.GOB.CL"/>
    <x v="8"/>
    <d v="2025-08-20T00:00:00"/>
    <n v="0"/>
    <m/>
    <n v="1"/>
    <n v="520341"/>
    <d v="2026-08-01T00:00:00"/>
    <x v="0"/>
    <x v="0"/>
  </r>
  <r>
    <s v="SERVICIO DE SALUD OSORNO"/>
    <s v="Bienes y Servicios"/>
    <x v="16"/>
    <s v="Proyecto operacional"/>
    <s v="Publicado"/>
    <s v="22.06.001"/>
    <x v="17"/>
    <s v="ADQUISICION SERVICIO DE SOPORTE Y MANTENIMIENTO DE LOS DOS SITIOS DE REPETICION VHF DE EMERGENCIAS, SERVICIO DE SALUD OSORNO (COMPRA ENERO A MARZO 2025)"/>
    <n v="2"/>
    <s v="Mantenimiento"/>
    <n v="4"/>
    <n v="1"/>
    <n v="12500000"/>
    <n v="520333"/>
    <x v="1"/>
    <x v="2"/>
    <x v="11"/>
    <x v="13"/>
    <s v="64-2335606-"/>
    <s v="ESTEBAN.ALARCONB@REDSALUD.GOB.CL"/>
    <x v="8"/>
    <d v="2025-08-20T00:00:00"/>
    <n v="0"/>
    <m/>
    <n v="1"/>
    <n v="520333"/>
    <d v="2026-05-01T00:00:00"/>
    <x v="0"/>
    <x v="0"/>
  </r>
  <r>
    <s v="SERVICIO DE SALUD OSORNO"/>
    <s v="Bienes y Servicios"/>
    <x v="16"/>
    <s v="Proyecto operacional"/>
    <s v="Publicado"/>
    <s v="22.06.001"/>
    <x v="17"/>
    <s v="ADQUISICION SERVICIO DE SOPORTE Y MANTENIMIENTO DE LOS DOS SITIOS DE REPETICION VHF DE EMERGENCIAS, SERVICIO DE SALUD OSORNO (COMPRA ENERO A MARZO 2025)"/>
    <n v="2"/>
    <s v="Mantenimiento"/>
    <n v="4"/>
    <n v="1"/>
    <n v="12500000"/>
    <n v="530333"/>
    <x v="1"/>
    <x v="2"/>
    <x v="11"/>
    <x v="13"/>
    <s v="64-2335606-"/>
    <s v="ESTEBAN.ALARCONB@REDSALUD.GOB.CL"/>
    <x v="8"/>
    <d v="2025-08-20T00:00:00"/>
    <n v="0"/>
    <m/>
    <n v="1"/>
    <n v="530333"/>
    <d v="2026-12-01T00:00:00"/>
    <x v="0"/>
    <x v="0"/>
  </r>
  <r>
    <s v="SERVICIO DE SALUD OSORNO"/>
    <s v="Bienes y Servicios"/>
    <x v="16"/>
    <s v="Proyecto operacional"/>
    <s v="Publicado"/>
    <s v="22.06.001"/>
    <x v="17"/>
    <s v="ADQUISICION SERVICIO DE SOPORTE Y MANTENIMIENTO DE LOS DOS SITIOS DE REPETICION VHF DE EMERGENCIAS, SERVICIO DE SALUD OSORNO (COMPRA ENERO A MARZO 2025)"/>
    <n v="2"/>
    <s v="Mantenimiento"/>
    <n v="4"/>
    <n v="1"/>
    <n v="12500000"/>
    <n v="520333"/>
    <x v="1"/>
    <x v="2"/>
    <x v="11"/>
    <x v="13"/>
    <s v="64-2335606-"/>
    <s v="ESTEBAN.ALARCONB@REDSALUD.GOB.CL"/>
    <x v="8"/>
    <d v="2025-08-20T00:00:00"/>
    <n v="0"/>
    <m/>
    <n v="1"/>
    <n v="520333"/>
    <d v="2026-03-01T00:00:00"/>
    <x v="0"/>
    <x v="0"/>
  </r>
  <r>
    <s v="SERVICIO DE SALUD OSORNO"/>
    <s v="Bienes y Servicios"/>
    <x v="16"/>
    <s v="Proyecto operacional"/>
    <s v="Publicado"/>
    <s v="22.06.001"/>
    <x v="17"/>
    <s v="ADQUISICION SERVICIO DE SOPORTE Y MANTENIMIENTO DE LOS DOS SITIOS DE REPETICION VHF DE EMERGENCIAS, SERVICIO DE SALUD OSORNO (COMPRA ENERO A MARZO 2025)"/>
    <n v="2"/>
    <s v="Mantenimiento"/>
    <n v="4"/>
    <n v="1"/>
    <n v="12500000"/>
    <n v="520333"/>
    <x v="1"/>
    <x v="2"/>
    <x v="11"/>
    <x v="13"/>
    <s v="64-2335606-"/>
    <s v="ESTEBAN.ALARCONB@REDSALUD.GOB.CL"/>
    <x v="8"/>
    <d v="2025-08-20T00:00:00"/>
    <n v="0"/>
    <m/>
    <n v="1"/>
    <n v="520333"/>
    <d v="2026-02-01T00:00:00"/>
    <x v="0"/>
    <x v="0"/>
  </r>
  <r>
    <s v="SERVICIO DE SALUD OSORNO"/>
    <s v="Bienes y Servicios"/>
    <x v="16"/>
    <s v="Proyecto operacional"/>
    <s v="Publicado"/>
    <s v="22.06.001"/>
    <x v="17"/>
    <s v="ADQUISICION SERVICIO DE SOPORTE Y MANTENIMIENTO DE LOS DOS SITIOS DE REPETICION VHF DE EMERGENCIAS, SERVICIO DE SALUD OSORNO (COMPRA ENERO A MARZO 2025)"/>
    <n v="2"/>
    <s v="Mantenimiento"/>
    <n v="4"/>
    <n v="1"/>
    <n v="12500000"/>
    <n v="521333"/>
    <x v="1"/>
    <x v="2"/>
    <x v="11"/>
    <x v="13"/>
    <s v="64-2335606-"/>
    <s v="ESTEBAN.ALARCONB@REDSALUD.GOB.CL"/>
    <x v="8"/>
    <d v="2025-08-20T00:00:00"/>
    <n v="0"/>
    <m/>
    <n v="1"/>
    <n v="521333"/>
    <d v="2026-11-01T00:00:00"/>
    <x v="0"/>
    <x v="0"/>
  </r>
  <r>
    <s v="SERVICIO DE SALUD OSORNO"/>
    <s v="Bienes y Servicios"/>
    <x v="16"/>
    <s v="Proyecto operacional"/>
    <s v="Publicado"/>
    <s v="22.06.001"/>
    <x v="17"/>
    <s v="ADQUISICION SERVICIO DE SOPORTE Y MANTENIMIENTO DE LOS DOS SITIOS DE REPETICION VHF DE EMERGENCIAS, SERVICIO DE SALUD OSORNO (COMPRA ENERO A MARZO 2025)"/>
    <n v="2"/>
    <s v="Mantenimiento"/>
    <n v="4"/>
    <n v="1"/>
    <n v="12500000"/>
    <n v="520333"/>
    <x v="1"/>
    <x v="2"/>
    <x v="11"/>
    <x v="13"/>
    <s v="64-2335606-"/>
    <s v="ESTEBAN.ALARCONB@REDSALUD.GOB.CL"/>
    <x v="8"/>
    <d v="2025-08-20T00:00:00"/>
    <n v="0"/>
    <m/>
    <n v="1"/>
    <n v="520333"/>
    <d v="2026-01-01T00:00:00"/>
    <x v="0"/>
    <x v="0"/>
  </r>
  <r>
    <s v="SERVICIO DE SALUD OSORNO"/>
    <s v="Bienes y Servicios"/>
    <x v="16"/>
    <s v="Proyecto operacional"/>
    <s v="Publicado"/>
    <s v="22.06.001"/>
    <x v="17"/>
    <s v="ADQUISICION SERVICIO DE SOPORTE Y MANTENIMIENTO DE LOS DOS SITIOS DE REPETICION VHF DE EMERGENCIAS, SERVICIO DE SALUD OSORNO (COMPRA ENERO A MARZO 2025)"/>
    <n v="2"/>
    <s v="Mantenimiento"/>
    <n v="4"/>
    <n v="1"/>
    <n v="12500000"/>
    <n v="520333"/>
    <x v="1"/>
    <x v="2"/>
    <x v="11"/>
    <x v="13"/>
    <s v="64-2335606-"/>
    <s v="ESTEBAN.ALARCONB@REDSALUD.GOB.CL"/>
    <x v="8"/>
    <d v="2025-08-20T00:00:00"/>
    <n v="0"/>
    <m/>
    <n v="1"/>
    <n v="520333"/>
    <d v="2026-06-01T00:00:00"/>
    <x v="0"/>
    <x v="0"/>
  </r>
  <r>
    <s v="SERVICIO DE SALUD OSORNO"/>
    <s v="Bienes y Servicios"/>
    <x v="16"/>
    <s v="Proyecto operacional"/>
    <s v="Publicado"/>
    <s v="22.06.001"/>
    <x v="17"/>
    <s v="ADQUISICION SERVICIO DE SOPORTE Y MANTENIMIENTO DE LOS DOS SITIOS DE REPETICION VHF DE EMERGENCIAS, SERVICIO DE SALUD OSORNO (COMPRA ENERO A MARZO 2025)"/>
    <n v="2"/>
    <s v="Mantenimiento"/>
    <n v="4"/>
    <n v="1"/>
    <n v="12500000"/>
    <n v="520333"/>
    <x v="1"/>
    <x v="2"/>
    <x v="11"/>
    <x v="13"/>
    <s v="64-2335606-"/>
    <s v="ESTEBAN.ALARCONB@REDSALUD.GOB.CL"/>
    <x v="8"/>
    <d v="2025-08-20T00:00:00"/>
    <n v="0"/>
    <m/>
    <n v="1"/>
    <n v="520333"/>
    <d v="2026-04-01T00:00:00"/>
    <x v="0"/>
    <x v="0"/>
  </r>
  <r>
    <s v="SERVICIO DE SALUD OSORNO"/>
    <s v="Bienes y Servicios"/>
    <x v="16"/>
    <s v="Proyecto operacional"/>
    <s v="Publicado"/>
    <s v="22.06.001"/>
    <x v="17"/>
    <s v="ADQUISICION SERVICIO DE SOPORTE Y MANTENIMIENTO DE LOS DOS SITIOS DE REPETICION VHF DE EMERGENCIAS, SERVICIO DE SALUD OSORNO (COMPRA ENERO A MARZO 2025)"/>
    <n v="2"/>
    <s v="Mantenimiento"/>
    <n v="4"/>
    <n v="1"/>
    <n v="12500000"/>
    <n v="520333"/>
    <x v="1"/>
    <x v="2"/>
    <x v="11"/>
    <x v="13"/>
    <s v="64-2335606-"/>
    <s v="ESTEBAN.ALARCONB@REDSALUD.GOB.CL"/>
    <x v="8"/>
    <d v="2025-08-20T00:00:00"/>
    <n v="0"/>
    <m/>
    <n v="1"/>
    <n v="520333"/>
    <d v="2026-07-01T00:00:00"/>
    <x v="0"/>
    <x v="0"/>
  </r>
  <r>
    <s v="SERVICIO DE SALUD OSORNO"/>
    <s v="Bienes y Servicios"/>
    <x v="16"/>
    <s v="Proyecto operacional"/>
    <s v="Publicado"/>
    <s v="22.06.001"/>
    <x v="17"/>
    <s v="ADQUISICION SERVICIO DE SOPORTE Y MANTENIMIENTO DE LOS DOS SITIOS DE REPETICION VHF DE EMERGENCIAS, SERVICIO DE SALUD OSORNO (COMPRA ENERO A MARZO 2025)"/>
    <n v="2"/>
    <s v="Mantenimiento"/>
    <n v="4"/>
    <n v="1"/>
    <n v="12500000"/>
    <n v="520833"/>
    <x v="1"/>
    <x v="2"/>
    <x v="11"/>
    <x v="13"/>
    <s v="64-2335606-"/>
    <s v="ESTEBAN.ALARCONB@REDSALUD.GOB.CL"/>
    <x v="8"/>
    <d v="2025-08-20T00:00:00"/>
    <n v="0"/>
    <m/>
    <n v="1"/>
    <n v="520833"/>
    <d v="2026-09-01T00:00:00"/>
    <x v="0"/>
    <x v="0"/>
  </r>
  <r>
    <s v="SERVICIO DE SALUD OSORNO"/>
    <s v="Bienes y Servicios"/>
    <x v="16"/>
    <s v="Proyecto operacional"/>
    <s v="Publicado"/>
    <s v="22.06.001"/>
    <x v="17"/>
    <s v="ADQUISICION SERVICIO DE SOPORTE Y MANTENIMIENTO DE LOS DOS SITIOS DE REPETICION VHF DE EMERGENCIAS, SERVICIO DE SALUD OSORNO (COMPRA ENERO A MARZO 2025)"/>
    <n v="2"/>
    <s v="Mantenimiento"/>
    <n v="4"/>
    <n v="1"/>
    <n v="12500000"/>
    <n v="520333"/>
    <x v="1"/>
    <x v="2"/>
    <x v="11"/>
    <x v="13"/>
    <s v="64-2335606-"/>
    <s v="ESTEBAN.ALARCONB@REDSALUD.GOB.CL"/>
    <x v="8"/>
    <d v="2025-08-20T00:00:00"/>
    <n v="0"/>
    <m/>
    <n v="1"/>
    <n v="520333"/>
    <d v="2026-10-01T00:00:00"/>
    <x v="0"/>
    <x v="0"/>
  </r>
  <r>
    <s v="SERVICIO DE SALUD OSORNO"/>
    <s v="Bienes y Servicios"/>
    <x v="17"/>
    <s v="Proyecto operacional"/>
    <s v="Publicado"/>
    <s v="22.12.999"/>
    <x v="18"/>
    <s v="Se requiere la contratación del servicio denominado Residencia Protegida (beneficiarios 3 usuarios) para usuarios/as por un periodo de 24 meses. Modificando PAC ID: 1057532-188-PC23"/>
    <n v="2"/>
    <s v="Servicio Residencial"/>
    <n v="4"/>
    <n v="3"/>
    <n v="32076748"/>
    <n v="4009593"/>
    <x v="1"/>
    <x v="2"/>
    <x v="12"/>
    <x v="14"/>
    <s v="64-2335813-"/>
    <s v="angelo.palma@redsalud.gob.cl"/>
    <x v="8"/>
    <d v="2025-08-20T00:00:00"/>
    <n v="11"/>
    <s v="1057532-4191-SE25"/>
    <n v="1"/>
    <n v="4009593"/>
    <d v="2026-02-01T00:00:00"/>
    <x v="0"/>
    <x v="0"/>
  </r>
  <r>
    <s v="SERVICIO DE SALUD OSORNO"/>
    <s v="Bienes y Servicios"/>
    <x v="17"/>
    <s v="Proyecto operacional"/>
    <s v="Publicado"/>
    <s v="22.12.999"/>
    <x v="18"/>
    <s v="Se requiere la contratación del servicio denominado Residencia Protegida (beneficiarios 3 usuarios) para usuarios/as por un periodo de 24 meses. Modificando PAC ID: 1057532-188-PC23"/>
    <n v="2"/>
    <s v="Servicio Residencial"/>
    <n v="4"/>
    <n v="3"/>
    <n v="32076748"/>
    <n v="4009593"/>
    <x v="1"/>
    <x v="2"/>
    <x v="12"/>
    <x v="14"/>
    <s v="64-2335813-"/>
    <s v="angelo.palma@redsalud.gob.cl"/>
    <x v="8"/>
    <d v="2025-08-20T00:00:00"/>
    <n v="11"/>
    <s v="1057532-4191-SE25"/>
    <n v="1"/>
    <n v="4009593"/>
    <d v="2026-07-01T00:00:00"/>
    <x v="0"/>
    <x v="0"/>
  </r>
  <r>
    <s v="SERVICIO DE SALUD OSORNO"/>
    <s v="Bienes y Servicios"/>
    <x v="17"/>
    <s v="Proyecto operacional"/>
    <s v="Publicado"/>
    <s v="22.12.999"/>
    <x v="18"/>
    <s v="Se requiere la contratación del servicio denominado Residencia Protegida (beneficiarios 3 usuarios) para usuarios/as por un periodo de 24 meses. Modificando PAC ID: 1057532-188-PC23"/>
    <n v="2"/>
    <s v="Servicio Residencial"/>
    <n v="4"/>
    <n v="3"/>
    <n v="32076748"/>
    <n v="4009593"/>
    <x v="1"/>
    <x v="2"/>
    <x v="12"/>
    <x v="14"/>
    <s v="64-2335813-"/>
    <s v="angelo.palma@redsalud.gob.cl"/>
    <x v="8"/>
    <d v="2025-08-20T00:00:00"/>
    <n v="11"/>
    <s v="1057532-274-SE25"/>
    <n v="1"/>
    <n v="4009593"/>
    <d v="2026-07-01T00:00:00"/>
    <x v="0"/>
    <x v="0"/>
  </r>
  <r>
    <s v="SERVICIO DE SALUD OSORNO"/>
    <s v="Bienes y Servicios"/>
    <x v="17"/>
    <s v="Proyecto operacional"/>
    <s v="Publicado"/>
    <s v="22.12.999"/>
    <x v="18"/>
    <s v="Se requiere la contratación del servicio denominado Residencia Protegida (beneficiarios 3 usuarios) para usuarios/as por un periodo de 24 meses. Modificando PAC ID: 1057532-188-PC23"/>
    <n v="2"/>
    <s v="Servicio Residencial"/>
    <n v="4"/>
    <n v="3"/>
    <n v="32076748"/>
    <n v="4009593"/>
    <x v="1"/>
    <x v="2"/>
    <x v="12"/>
    <x v="14"/>
    <s v="64-2335813-"/>
    <s v="angelo.palma@redsalud.gob.cl"/>
    <x v="8"/>
    <d v="2025-08-20T00:00:00"/>
    <n v="11"/>
    <s v="1057532-4423-SE25"/>
    <n v="1"/>
    <n v="4009593"/>
    <d v="2026-05-01T00:00:00"/>
    <x v="0"/>
    <x v="0"/>
  </r>
  <r>
    <s v="SERVICIO DE SALUD OSORNO"/>
    <s v="Bienes y Servicios"/>
    <x v="17"/>
    <s v="Proyecto operacional"/>
    <s v="Publicado"/>
    <s v="22.12.999"/>
    <x v="18"/>
    <s v="Se requiere la contratación del servicio denominado Residencia Protegida (beneficiarios 3 usuarios) para usuarios/as por un periodo de 24 meses. Modificando PAC ID: 1057532-188-PC23"/>
    <n v="2"/>
    <s v="Servicio Residencial"/>
    <n v="4"/>
    <n v="3"/>
    <n v="32076748"/>
    <n v="4009593"/>
    <x v="1"/>
    <x v="2"/>
    <x v="12"/>
    <x v="14"/>
    <s v="64-2335813-"/>
    <s v="angelo.palma@redsalud.gob.cl"/>
    <x v="8"/>
    <d v="2025-08-20T00:00:00"/>
    <n v="11"/>
    <s v="1057532-4746-SE25"/>
    <n v="1"/>
    <n v="4009593"/>
    <d v="2026-10-01T00:00:00"/>
    <x v="0"/>
    <x v="0"/>
  </r>
  <r>
    <s v="SERVICIO DE SALUD OSORNO"/>
    <s v="Bienes y Servicios"/>
    <x v="17"/>
    <s v="Proyecto operacional"/>
    <s v="Publicado"/>
    <s v="22.12.999"/>
    <x v="18"/>
    <s v="Se requiere la contratación del servicio denominado Residencia Protegida (beneficiarios 3 usuarios) para usuarios/as por un periodo de 24 meses. Modificando PAC ID: 1057532-188-PC23"/>
    <n v="2"/>
    <s v="Servicio Residencial"/>
    <n v="4"/>
    <n v="3"/>
    <n v="32076748"/>
    <n v="4009593"/>
    <x v="1"/>
    <x v="2"/>
    <x v="12"/>
    <x v="14"/>
    <s v="64-2335813-"/>
    <s v="angelo.palma@redsalud.gob.cl"/>
    <x v="8"/>
    <d v="2025-08-20T00:00:00"/>
    <n v="11"/>
    <s v="1057532-3967-SE25"/>
    <n v="1"/>
    <n v="4009593"/>
    <d v="2026-09-01T00:00:00"/>
    <x v="0"/>
    <x v="0"/>
  </r>
  <r>
    <s v="SERVICIO DE SALUD OSORNO"/>
    <s v="Bienes y Servicios"/>
    <x v="17"/>
    <s v="Proyecto operacional"/>
    <s v="Publicado"/>
    <s v="22.12.999"/>
    <x v="18"/>
    <s v="Se requiere la contratación del servicio denominado Residencia Protegida (beneficiarios 3 usuarios) para usuarios/as por un periodo de 24 meses. Modificando PAC ID: 1057532-188-PC23"/>
    <n v="2"/>
    <s v="Servicio Residencial"/>
    <n v="4"/>
    <n v="3"/>
    <n v="32076748"/>
    <n v="4009593"/>
    <x v="1"/>
    <x v="2"/>
    <x v="12"/>
    <x v="14"/>
    <s v="64-2335813-"/>
    <s v="angelo.palma@redsalud.gob.cl"/>
    <x v="8"/>
    <d v="2025-08-20T00:00:00"/>
    <n v="11"/>
    <s v="1057532-4746-SE25"/>
    <n v="1"/>
    <n v="4009593"/>
    <d v="2026-05-01T00:00:00"/>
    <x v="0"/>
    <x v="0"/>
  </r>
  <r>
    <s v="SERVICIO DE SALUD OSORNO"/>
    <s v="Bienes y Servicios"/>
    <x v="17"/>
    <s v="Proyecto operacional"/>
    <s v="Publicado"/>
    <s v="22.12.999"/>
    <x v="18"/>
    <s v="Se requiere la contratación del servicio denominado Residencia Protegida (beneficiarios 3 usuarios) para usuarios/as por un periodo de 24 meses. Modificando PAC ID: 1057532-188-PC23"/>
    <n v="2"/>
    <s v="Servicio Residencial"/>
    <n v="4"/>
    <n v="3"/>
    <n v="32076748"/>
    <n v="4009593"/>
    <x v="1"/>
    <x v="2"/>
    <x v="12"/>
    <x v="14"/>
    <s v="64-2335813-"/>
    <s v="angelo.palma@redsalud.gob.cl"/>
    <x v="8"/>
    <d v="2025-08-20T00:00:00"/>
    <n v="11"/>
    <s v="1057532-4423-SE25"/>
    <n v="1"/>
    <n v="4009593"/>
    <d v="2026-07-01T00:00:00"/>
    <x v="0"/>
    <x v="0"/>
  </r>
  <r>
    <s v="SERVICIO DE SALUD OSORNO"/>
    <s v="Bienes y Servicios"/>
    <x v="17"/>
    <s v="Proyecto operacional"/>
    <s v="Publicado"/>
    <s v="22.12.999"/>
    <x v="18"/>
    <s v="Se requiere la contratación del servicio denominado Residencia Protegida (beneficiarios 3 usuarios) para usuarios/as por un periodo de 24 meses. Modificando PAC ID: 1057532-188-PC23"/>
    <n v="2"/>
    <s v="Servicio Residencial"/>
    <n v="4"/>
    <n v="3"/>
    <n v="32076748"/>
    <n v="4009593"/>
    <x v="1"/>
    <x v="2"/>
    <x v="12"/>
    <x v="14"/>
    <s v="64-2335813-"/>
    <s v="angelo.palma@redsalud.gob.cl"/>
    <x v="8"/>
    <d v="2025-08-20T00:00:00"/>
    <n v="11"/>
    <s v="1057532-4551-SE25"/>
    <n v="1"/>
    <n v="4009593"/>
    <d v="2026-11-01T00:00:00"/>
    <x v="0"/>
    <x v="0"/>
  </r>
  <r>
    <s v="SERVICIO DE SALUD OSORNO"/>
    <s v="Bienes y Servicios"/>
    <x v="17"/>
    <s v="Proyecto operacional"/>
    <s v="Publicado"/>
    <s v="22.12.999"/>
    <x v="18"/>
    <s v="Se requiere la contratación del servicio denominado Residencia Protegida (beneficiarios 3 usuarios) para usuarios/as por un periodo de 24 meses. Modificando PAC ID: 1057532-188-PC23"/>
    <n v="2"/>
    <s v="Servicio Residencial"/>
    <n v="4"/>
    <n v="3"/>
    <n v="32076748"/>
    <n v="4009593"/>
    <x v="1"/>
    <x v="2"/>
    <x v="12"/>
    <x v="14"/>
    <s v="64-2335813-"/>
    <s v="angelo.palma@redsalud.gob.cl"/>
    <x v="8"/>
    <d v="2025-08-20T00:00:00"/>
    <n v="11"/>
    <s v="1057532-5466-SE25"/>
    <n v="1"/>
    <n v="4009593"/>
    <d v="2026-06-01T00:00:00"/>
    <x v="0"/>
    <x v="0"/>
  </r>
  <r>
    <s v="SERVICIO DE SALUD OSORNO"/>
    <s v="Bienes y Servicios"/>
    <x v="17"/>
    <s v="Proyecto operacional"/>
    <s v="Publicado"/>
    <s v="22.12.999"/>
    <x v="18"/>
    <s v="Se requiere la contratación del servicio denominado Residencia Protegida (beneficiarios 3 usuarios) para usuarios/as por un periodo de 24 meses. Modificando PAC ID: 1057532-188-PC23"/>
    <n v="2"/>
    <s v="Servicio Residencial"/>
    <n v="4"/>
    <n v="3"/>
    <n v="32076748"/>
    <n v="4009593"/>
    <x v="1"/>
    <x v="2"/>
    <x v="12"/>
    <x v="14"/>
    <s v="64-2335813-"/>
    <s v="angelo.palma@redsalud.gob.cl"/>
    <x v="8"/>
    <d v="2025-08-20T00:00:00"/>
    <n v="11"/>
    <s v="1057532-3967-SE25"/>
    <n v="1"/>
    <n v="4009593"/>
    <d v="2026-01-01T00:00:00"/>
    <x v="0"/>
    <x v="0"/>
  </r>
  <r>
    <s v="SERVICIO DE SALUD OSORNO"/>
    <s v="Bienes y Servicios"/>
    <x v="17"/>
    <s v="Proyecto operacional"/>
    <s v="Publicado"/>
    <s v="22.12.999"/>
    <x v="18"/>
    <s v="Se requiere la contratación del servicio denominado Residencia Protegida (beneficiarios 3 usuarios) para usuarios/as por un periodo de 24 meses. Modificando PAC ID: 1057532-188-PC23"/>
    <n v="2"/>
    <s v="Servicio Residencial"/>
    <n v="4"/>
    <n v="3"/>
    <n v="32076748"/>
    <n v="4009605"/>
    <x v="1"/>
    <x v="2"/>
    <x v="12"/>
    <x v="14"/>
    <s v="64-2335813-"/>
    <s v="angelo.palma@redsalud.gob.cl"/>
    <x v="8"/>
    <d v="2025-08-20T00:00:00"/>
    <n v="11"/>
    <s v="1057532-4746-SE25"/>
    <n v="1"/>
    <n v="4009605"/>
    <d v="2026-12-01T00:00:00"/>
    <x v="0"/>
    <x v="0"/>
  </r>
  <r>
    <s v="SERVICIO DE SALUD OSORNO"/>
    <s v="Bienes y Servicios"/>
    <x v="18"/>
    <s v="Proyecto operacional"/>
    <s v="Publicado"/>
    <s v="22.12.999"/>
    <x v="19"/>
    <s v="Se requiere la contratación del servicio denominado Residencia Protegida (beneficiarios 12 usuarios) para usuarios/as por un periodo de 24 meses."/>
    <n v="2"/>
    <s v="Servicio Residencial"/>
    <n v="4"/>
    <n v="12"/>
    <n v="39525850"/>
    <n v="19762925"/>
    <x v="1"/>
    <x v="2"/>
    <x v="12"/>
    <x v="14"/>
    <s v="64-2335813-"/>
    <s v="angelo.palma@redsalud.gob.cl"/>
    <x v="8"/>
    <d v="2025-08-20T00:00:00"/>
    <n v="12"/>
    <s v="1057532-4430-SE25"/>
    <n v="1"/>
    <n v="19762925"/>
    <d v="2026-05-01T00:00:00"/>
    <x v="0"/>
    <x v="0"/>
  </r>
  <r>
    <s v="SERVICIO DE SALUD OSORNO"/>
    <s v="Bienes y Servicios"/>
    <x v="18"/>
    <s v="Proyecto operacional"/>
    <s v="Publicado"/>
    <s v="22.12.999"/>
    <x v="19"/>
    <s v="Se requiere la contratación del servicio denominado Residencia Protegida (beneficiarios 12 usuarios) para usuarios/as por un periodo de 24 meses."/>
    <n v="2"/>
    <s v="Servicio Residencial"/>
    <n v="4"/>
    <n v="12"/>
    <n v="39525850"/>
    <n v="19762925"/>
    <x v="1"/>
    <x v="2"/>
    <x v="12"/>
    <x v="14"/>
    <s v="64-2335813-"/>
    <s v="angelo.palma@redsalud.gob.cl"/>
    <x v="8"/>
    <d v="2025-08-20T00:00:00"/>
    <n v="12"/>
    <s v="1057532-4430-SE25"/>
    <n v="1"/>
    <n v="19762925"/>
    <d v="2026-04-01T00:00:00"/>
    <x v="0"/>
    <x v="0"/>
  </r>
  <r>
    <s v="SERVICIO DE SALUD OSORNO"/>
    <s v="Bienes y Servicios"/>
    <x v="18"/>
    <s v="Proyecto operacional"/>
    <s v="Publicado"/>
    <s v="22.12.999"/>
    <x v="19"/>
    <s v="Se requiere la contratación del servicio denominado Residencia Protegida (beneficiarios 12 usuarios) para usuarios/as por un periodo de 24 meses."/>
    <n v="2"/>
    <s v="Servicio Residencial"/>
    <n v="4"/>
    <n v="12"/>
    <n v="39525850"/>
    <n v="19762925"/>
    <x v="1"/>
    <x v="2"/>
    <x v="12"/>
    <x v="14"/>
    <s v="64-2335813-"/>
    <s v="angelo.palma@redsalud.gob.cl"/>
    <x v="8"/>
    <d v="2025-08-20T00:00:00"/>
    <n v="12"/>
    <s v="1057532-4137-TD25"/>
    <n v="1"/>
    <n v="19762925"/>
    <d v="2026-09-01T00:00:00"/>
    <x v="0"/>
    <x v="0"/>
  </r>
  <r>
    <s v="SERVICIO DE SALUD OSORNO"/>
    <s v="Bienes y Servicios"/>
    <x v="18"/>
    <s v="Proyecto operacional"/>
    <s v="Publicado"/>
    <s v="22.12.999"/>
    <x v="19"/>
    <s v="Se requiere la contratación del servicio denominado Residencia Protegida (beneficiarios 12 usuarios) para usuarios/as por un periodo de 24 meses."/>
    <n v="2"/>
    <s v="Servicio Residencial"/>
    <n v="4"/>
    <n v="12"/>
    <n v="39525850"/>
    <n v="19762925"/>
    <x v="1"/>
    <x v="2"/>
    <x v="12"/>
    <x v="14"/>
    <s v="64-2335813-"/>
    <s v="angelo.palma@redsalud.gob.cl"/>
    <x v="8"/>
    <d v="2025-08-20T00:00:00"/>
    <n v="12"/>
    <s v="1057532-4210-SE25"/>
    <n v="1"/>
    <n v="19762925"/>
    <d v="2026-04-01T00:00:00"/>
    <x v="0"/>
    <x v="0"/>
  </r>
  <r>
    <s v="SERVICIO DE SALUD OSORNO"/>
    <s v="Bienes y Servicios"/>
    <x v="18"/>
    <s v="Proyecto operacional"/>
    <s v="Publicado"/>
    <s v="22.12.999"/>
    <x v="19"/>
    <s v="Se requiere la contratación del servicio denominado Residencia Protegida (beneficiarios 12 usuarios) para usuarios/as por un periodo de 24 meses."/>
    <n v="2"/>
    <s v="Servicio Residencial"/>
    <n v="4"/>
    <n v="12"/>
    <n v="39525850"/>
    <n v="19762925"/>
    <x v="1"/>
    <x v="2"/>
    <x v="12"/>
    <x v="14"/>
    <s v="64-2335813-"/>
    <s v="angelo.palma@redsalud.gob.cl"/>
    <x v="8"/>
    <d v="2025-08-20T00:00:00"/>
    <n v="12"/>
    <s v="1057532-4137-TD25"/>
    <n v="1"/>
    <n v="19762925"/>
    <d v="2026-06-01T00:00:00"/>
    <x v="0"/>
    <x v="0"/>
  </r>
  <r>
    <s v="SERVICIO DE SALUD OSORNO"/>
    <s v="Bienes y Servicios"/>
    <x v="18"/>
    <s v="Proyecto operacional"/>
    <s v="Publicado"/>
    <s v="22.12.999"/>
    <x v="19"/>
    <s v="Se requiere la contratación del servicio denominado Residencia Protegida (beneficiarios 12 usuarios) para usuarios/as por un periodo de 24 meses."/>
    <n v="2"/>
    <s v="Servicio Residencial"/>
    <n v="4"/>
    <n v="12"/>
    <n v="39525850"/>
    <n v="19762925"/>
    <x v="1"/>
    <x v="2"/>
    <x v="12"/>
    <x v="14"/>
    <s v="64-2335813-"/>
    <s v="angelo.palma@redsalud.gob.cl"/>
    <x v="8"/>
    <d v="2025-08-20T00:00:00"/>
    <n v="12"/>
    <s v="1057532-4210-SE25"/>
    <n v="1"/>
    <n v="19762925"/>
    <d v="2026-12-01T00:00:00"/>
    <x v="0"/>
    <x v="0"/>
  </r>
  <r>
    <s v="SERVICIO DE SALUD OSORNO"/>
    <s v="Bienes y Servicios"/>
    <x v="18"/>
    <s v="Proyecto operacional"/>
    <s v="Publicado"/>
    <s v="22.12.999"/>
    <x v="19"/>
    <s v="Se requiere la contratación del servicio denominado Residencia Protegida (beneficiarios 12 usuarios) para usuarios/as por un periodo de 24 meses."/>
    <n v="2"/>
    <s v="Servicio Residencial"/>
    <n v="4"/>
    <n v="12"/>
    <n v="39525850"/>
    <n v="19762925"/>
    <x v="1"/>
    <x v="2"/>
    <x v="12"/>
    <x v="14"/>
    <s v="64-2335813-"/>
    <s v="angelo.palma@redsalud.gob.cl"/>
    <x v="8"/>
    <d v="2025-08-20T00:00:00"/>
    <n v="12"/>
    <s v="1057532-4137-TD25"/>
    <n v="1"/>
    <n v="19762925"/>
    <d v="2026-03-01T00:00:00"/>
    <x v="0"/>
    <x v="0"/>
  </r>
  <r>
    <s v="SERVICIO DE SALUD OSORNO"/>
    <s v="Bienes y Servicios"/>
    <x v="18"/>
    <s v="Proyecto operacional"/>
    <s v="Publicado"/>
    <s v="22.12.999"/>
    <x v="19"/>
    <s v="Se requiere la contratación del servicio denominado Residencia Protegida (beneficiarios 12 usuarios) para usuarios/as por un periodo de 24 meses."/>
    <n v="2"/>
    <s v="Servicio Residencial"/>
    <n v="4"/>
    <n v="12"/>
    <n v="39525850"/>
    <n v="19762925"/>
    <x v="1"/>
    <x v="2"/>
    <x v="12"/>
    <x v="14"/>
    <s v="64-2335813-"/>
    <s v="angelo.palma@redsalud.gob.cl"/>
    <x v="8"/>
    <d v="2025-08-20T00:00:00"/>
    <n v="12"/>
    <s v="1057532-4137-TD25"/>
    <n v="1"/>
    <n v="19762925"/>
    <d v="2026-12-01T00:00:00"/>
    <x v="0"/>
    <x v="0"/>
  </r>
  <r>
    <s v="SERVICIO DE SALUD OSORNO"/>
    <s v="Bienes y Servicios"/>
    <x v="18"/>
    <s v="Proyecto operacional"/>
    <s v="Publicado"/>
    <s v="22.12.999"/>
    <x v="19"/>
    <s v="Se requiere la contratación del servicio denominado Residencia Protegida (beneficiarios 12 usuarios) para usuarios/as por un periodo de 24 meses."/>
    <n v="2"/>
    <s v="Servicio Residencial"/>
    <n v="4"/>
    <n v="12"/>
    <n v="39525850"/>
    <n v="19762925"/>
    <x v="1"/>
    <x v="2"/>
    <x v="12"/>
    <x v="14"/>
    <s v="64-2335813-"/>
    <s v="angelo.palma@redsalud.gob.cl"/>
    <x v="8"/>
    <d v="2025-08-20T00:00:00"/>
    <n v="12"/>
    <s v="1057532-4137-TD25"/>
    <n v="1"/>
    <n v="19762925"/>
    <d v="2026-05-01T00:00:00"/>
    <x v="0"/>
    <x v="0"/>
  </r>
  <r>
    <s v="SERVICIO DE SALUD OSORNO"/>
    <s v="Bienes y Servicios"/>
    <x v="18"/>
    <s v="Proyecto operacional"/>
    <s v="Publicado"/>
    <s v="22.12.999"/>
    <x v="19"/>
    <s v="Se requiere la contratación del servicio denominado Residencia Protegida (beneficiarios 12 usuarios) para usuarios/as por un periodo de 24 meses."/>
    <n v="2"/>
    <s v="Servicio Residencial"/>
    <n v="4"/>
    <n v="12"/>
    <n v="39525850"/>
    <n v="19762925"/>
    <x v="1"/>
    <x v="2"/>
    <x v="12"/>
    <x v="14"/>
    <s v="64-2335813-"/>
    <s v="angelo.palma@redsalud.gob.cl"/>
    <x v="8"/>
    <d v="2025-08-20T00:00:00"/>
    <n v="12"/>
    <s v="1057532-4430-SE25"/>
    <n v="1"/>
    <n v="19762925"/>
    <d v="2026-03-01T00:00:00"/>
    <x v="0"/>
    <x v="0"/>
  </r>
  <r>
    <s v="SERVICIO DE SALUD OSORNO"/>
    <s v="Bienes y Servicios"/>
    <x v="18"/>
    <s v="Proyecto operacional"/>
    <s v="Publicado"/>
    <s v="22.12.999"/>
    <x v="19"/>
    <s v="Se requiere la contratación del servicio denominado Residencia Protegida (beneficiarios 12 usuarios) para usuarios/as por un periodo de 24 meses."/>
    <n v="2"/>
    <s v="Servicio Residencial"/>
    <n v="4"/>
    <n v="12"/>
    <n v="39525850"/>
    <n v="19762925"/>
    <x v="1"/>
    <x v="2"/>
    <x v="12"/>
    <x v="14"/>
    <s v="64-2335813-"/>
    <s v="angelo.palma@redsalud.gob.cl"/>
    <x v="8"/>
    <d v="2025-08-20T00:00:00"/>
    <n v="12"/>
    <s v="1057532-4137-TD25"/>
    <n v="1"/>
    <n v="19762925"/>
    <d v="2026-04-01T00:00:00"/>
    <x v="0"/>
    <x v="0"/>
  </r>
  <r>
    <s v="SERVICIO DE SALUD OSORNO"/>
    <s v="Bienes y Servicios"/>
    <x v="18"/>
    <s v="Proyecto operacional"/>
    <s v="Publicado"/>
    <s v="22.12.999"/>
    <x v="19"/>
    <s v="Se requiere la contratación del servicio denominado Residencia Protegida (beneficiarios 12 usuarios) para usuarios/as por un periodo de 24 meses."/>
    <n v="2"/>
    <s v="Servicio Residencial"/>
    <n v="4"/>
    <n v="12"/>
    <n v="39525850"/>
    <n v="19762925"/>
    <x v="1"/>
    <x v="2"/>
    <x v="12"/>
    <x v="14"/>
    <s v="64-2335813-"/>
    <s v="angelo.palma@redsalud.gob.cl"/>
    <x v="8"/>
    <d v="2025-08-20T00:00:00"/>
    <n v="12"/>
    <s v="1057532-4210-SE25"/>
    <n v="1"/>
    <n v="19762925"/>
    <d v="2026-07-01T00:00:00"/>
    <x v="0"/>
    <x v="0"/>
  </r>
  <r>
    <s v="SERVICIO DE SALUD OSORNO"/>
    <s v="Bienes y Servicios"/>
    <x v="19"/>
    <s v="Proyecto operacional"/>
    <s v="Publicado"/>
    <s v="22.12.999"/>
    <x v="20"/>
    <s v="Se requiere la contratación del servicio denominado Residencia Protegida alta complejidad (beneficiarios 10 usuarios) para usuarios/as por un periodo de 24 meses."/>
    <n v="2"/>
    <s v="Servicio Residencial"/>
    <n v="4"/>
    <n v="10"/>
    <n v="56940000"/>
    <n v="23725000"/>
    <x v="1"/>
    <x v="2"/>
    <x v="12"/>
    <x v="14"/>
    <s v="64-2335813-"/>
    <s v="angelo.palma@redsalud.gob.cl"/>
    <x v="8"/>
    <d v="2025-08-20T00:00:00"/>
    <n v="10"/>
    <s v="1057532-4192-SE25"/>
    <n v="1"/>
    <n v="23725000"/>
    <d v="2026-03-01T00:00:00"/>
    <x v="0"/>
    <x v="0"/>
  </r>
  <r>
    <s v="SERVICIO DE SALUD OSORNO"/>
    <s v="Bienes y Servicios"/>
    <x v="19"/>
    <s v="Proyecto operacional"/>
    <s v="Publicado"/>
    <s v="22.12.999"/>
    <x v="20"/>
    <s v="Se requiere la contratación del servicio denominado Residencia Protegida alta complejidad (beneficiarios 10 usuarios) para usuarios/as por un periodo de 24 meses."/>
    <n v="2"/>
    <s v="Servicio Residencial"/>
    <n v="4"/>
    <n v="10"/>
    <n v="56940000"/>
    <n v="23725000"/>
    <x v="1"/>
    <x v="2"/>
    <x v="12"/>
    <x v="14"/>
    <s v="64-2335813-"/>
    <s v="angelo.palma@redsalud.gob.cl"/>
    <x v="8"/>
    <d v="2025-08-20T00:00:00"/>
    <n v="10"/>
    <s v="1057532-4192-SE25"/>
    <n v="1"/>
    <n v="23725000"/>
    <d v="2026-11-01T00:00:00"/>
    <x v="0"/>
    <x v="0"/>
  </r>
  <r>
    <s v="SERVICIO DE SALUD OSORNO"/>
    <s v="Bienes y Servicios"/>
    <x v="19"/>
    <s v="Proyecto operacional"/>
    <s v="Publicado"/>
    <s v="22.12.999"/>
    <x v="20"/>
    <s v="Se requiere la contratación del servicio denominado Residencia Protegida alta complejidad (beneficiarios 10 usuarios) para usuarios/as por un periodo de 24 meses."/>
    <n v="2"/>
    <s v="Servicio Residencial"/>
    <n v="4"/>
    <n v="10"/>
    <n v="56940000"/>
    <n v="23725000"/>
    <x v="1"/>
    <x v="2"/>
    <x v="12"/>
    <x v="14"/>
    <s v="64-2335813-"/>
    <s v="angelo.palma@redsalud.gob.cl"/>
    <x v="8"/>
    <d v="2025-08-20T00:00:00"/>
    <n v="10"/>
    <s v="1057532-4505-SE25"/>
    <n v="1"/>
    <n v="23725000"/>
    <d v="2026-03-01T00:00:00"/>
    <x v="0"/>
    <x v="0"/>
  </r>
  <r>
    <s v="SERVICIO DE SALUD OSORNO"/>
    <s v="Bienes y Servicios"/>
    <x v="19"/>
    <s v="Proyecto operacional"/>
    <s v="Publicado"/>
    <s v="22.12.999"/>
    <x v="20"/>
    <s v="Se requiere la contratación del servicio denominado Residencia Protegida alta complejidad (beneficiarios 10 usuarios) para usuarios/as por un periodo de 24 meses."/>
    <n v="2"/>
    <s v="Servicio Residencial"/>
    <n v="4"/>
    <n v="10"/>
    <n v="56940000"/>
    <n v="23725000"/>
    <x v="1"/>
    <x v="2"/>
    <x v="12"/>
    <x v="14"/>
    <s v="64-2335813-"/>
    <s v="angelo.palma@redsalud.gob.cl"/>
    <x v="8"/>
    <d v="2025-08-20T00:00:00"/>
    <n v="10"/>
    <s v="1057532-4347-SE25"/>
    <n v="1"/>
    <n v="23725000"/>
    <d v="2026-04-01T00:00:00"/>
    <x v="0"/>
    <x v="0"/>
  </r>
  <r>
    <s v="SERVICIO DE SALUD OSORNO"/>
    <s v="Bienes y Servicios"/>
    <x v="19"/>
    <s v="Proyecto operacional"/>
    <s v="Publicado"/>
    <s v="22.12.999"/>
    <x v="20"/>
    <s v="Se requiere la contratación del servicio denominado Residencia Protegida alta complejidad (beneficiarios 10 usuarios) para usuarios/as por un periodo de 24 meses."/>
    <n v="2"/>
    <s v="Servicio Residencial"/>
    <n v="4"/>
    <n v="10"/>
    <n v="56940000"/>
    <n v="23725000"/>
    <x v="1"/>
    <x v="2"/>
    <x v="12"/>
    <x v="14"/>
    <s v="64-2335813-"/>
    <s v="angelo.palma@redsalud.gob.cl"/>
    <x v="8"/>
    <d v="2025-08-20T00:00:00"/>
    <n v="10"/>
    <s v="1057532-4505-SE25"/>
    <n v="1"/>
    <n v="23725000"/>
    <d v="2026-04-01T00:00:00"/>
    <x v="0"/>
    <x v="0"/>
  </r>
  <r>
    <s v="SERVICIO DE SALUD OSORNO"/>
    <s v="Bienes y Servicios"/>
    <x v="19"/>
    <s v="Proyecto operacional"/>
    <s v="Publicado"/>
    <s v="22.12.999"/>
    <x v="20"/>
    <s v="Se requiere la contratación del servicio denominado Residencia Protegida alta complejidad (beneficiarios 10 usuarios) para usuarios/as por un periodo de 24 meses."/>
    <n v="2"/>
    <s v="Servicio Residencial"/>
    <n v="4"/>
    <n v="10"/>
    <n v="56940000"/>
    <n v="23725000"/>
    <x v="1"/>
    <x v="2"/>
    <x v="12"/>
    <x v="14"/>
    <s v="64-2335813-"/>
    <s v="angelo.palma@redsalud.gob.cl"/>
    <x v="8"/>
    <d v="2025-08-20T00:00:00"/>
    <n v="10"/>
    <s v="1057532-4347-SE25"/>
    <n v="1"/>
    <n v="23725000"/>
    <d v="2026-01-01T00:00:00"/>
    <x v="0"/>
    <x v="0"/>
  </r>
  <r>
    <s v="SERVICIO DE SALUD OSORNO"/>
    <s v="Bienes y Servicios"/>
    <x v="19"/>
    <s v="Proyecto operacional"/>
    <s v="Publicado"/>
    <s v="22.12.999"/>
    <x v="20"/>
    <s v="Se requiere la contratación del servicio denominado Residencia Protegida alta complejidad (beneficiarios 10 usuarios) para usuarios/as por un periodo de 24 meses."/>
    <n v="2"/>
    <s v="Servicio Residencial"/>
    <n v="4"/>
    <n v="10"/>
    <n v="56940000"/>
    <n v="23725000"/>
    <x v="1"/>
    <x v="2"/>
    <x v="12"/>
    <x v="14"/>
    <s v="64-2335813-"/>
    <s v="angelo.palma@redsalud.gob.cl"/>
    <x v="8"/>
    <d v="2025-08-20T00:00:00"/>
    <n v="10"/>
    <s v="1057532-4347-SE25"/>
    <n v="1"/>
    <n v="23725000"/>
    <d v="2026-07-01T00:00:00"/>
    <x v="0"/>
    <x v="0"/>
  </r>
  <r>
    <s v="SERVICIO DE SALUD OSORNO"/>
    <s v="Bienes y Servicios"/>
    <x v="19"/>
    <s v="Proyecto operacional"/>
    <s v="Publicado"/>
    <s v="22.12.999"/>
    <x v="20"/>
    <s v="Se requiere la contratación del servicio denominado Residencia Protegida alta complejidad (beneficiarios 10 usuarios) para usuarios/as por un periodo de 24 meses."/>
    <n v="2"/>
    <s v="Servicio Residencial"/>
    <n v="4"/>
    <n v="10"/>
    <n v="56940000"/>
    <n v="23725000"/>
    <x v="1"/>
    <x v="2"/>
    <x v="12"/>
    <x v="14"/>
    <s v="64-2335813-"/>
    <s v="angelo.palma@redsalud.gob.cl"/>
    <x v="8"/>
    <d v="2025-08-20T00:00:00"/>
    <n v="10"/>
    <s v="1057532-4347-SE25"/>
    <n v="1"/>
    <n v="23725000"/>
    <d v="2026-02-01T00:00:00"/>
    <x v="0"/>
    <x v="0"/>
  </r>
  <r>
    <s v="SERVICIO DE SALUD OSORNO"/>
    <s v="Bienes y Servicios"/>
    <x v="19"/>
    <s v="Proyecto operacional"/>
    <s v="Publicado"/>
    <s v="22.12.999"/>
    <x v="20"/>
    <s v="Se requiere la contratación del servicio denominado Residencia Protegida alta complejidad (beneficiarios 10 usuarios) para usuarios/as por un periodo de 24 meses."/>
    <n v="2"/>
    <s v="Servicio Residencial"/>
    <n v="4"/>
    <n v="10"/>
    <n v="56940000"/>
    <n v="23725000"/>
    <x v="1"/>
    <x v="2"/>
    <x v="12"/>
    <x v="14"/>
    <s v="64-2335813-"/>
    <s v="angelo.palma@redsalud.gob.cl"/>
    <x v="8"/>
    <d v="2025-08-20T00:00:00"/>
    <n v="10"/>
    <s v="1057532-4192-SE25"/>
    <n v="1"/>
    <n v="23725000"/>
    <d v="2026-07-01T00:00:00"/>
    <x v="0"/>
    <x v="0"/>
  </r>
  <r>
    <s v="SERVICIO DE SALUD OSORNO"/>
    <s v="Bienes y Servicios"/>
    <x v="19"/>
    <s v="Proyecto operacional"/>
    <s v="Publicado"/>
    <s v="22.12.999"/>
    <x v="20"/>
    <s v="Se requiere la contratación del servicio denominado Residencia Protegida alta complejidad (beneficiarios 10 usuarios) para usuarios/as por un periodo de 24 meses."/>
    <n v="2"/>
    <s v="Servicio Residencial"/>
    <n v="4"/>
    <n v="10"/>
    <n v="56940000"/>
    <n v="23725000"/>
    <x v="1"/>
    <x v="2"/>
    <x v="12"/>
    <x v="14"/>
    <s v="64-2335813-"/>
    <s v="angelo.palma@redsalud.gob.cl"/>
    <x v="8"/>
    <d v="2025-08-20T00:00:00"/>
    <n v="10"/>
    <s v="1057532-4347-SE25"/>
    <n v="1"/>
    <n v="23725000"/>
    <d v="2026-05-01T00:00:00"/>
    <x v="0"/>
    <x v="0"/>
  </r>
  <r>
    <s v="SERVICIO DE SALUD OSORNO"/>
    <s v="Bienes y Servicios"/>
    <x v="19"/>
    <s v="Proyecto operacional"/>
    <s v="Publicado"/>
    <s v="22.12.999"/>
    <x v="20"/>
    <s v="Se requiere la contratación del servicio denominado Residencia Protegida alta complejidad (beneficiarios 10 usuarios) para usuarios/as por un periodo de 24 meses."/>
    <n v="2"/>
    <s v="Servicio Residencial"/>
    <n v="4"/>
    <n v="10"/>
    <n v="56940000"/>
    <n v="23725000"/>
    <x v="1"/>
    <x v="2"/>
    <x v="12"/>
    <x v="14"/>
    <s v="64-2335813-"/>
    <s v="angelo.palma@redsalud.gob.cl"/>
    <x v="8"/>
    <d v="2025-08-20T00:00:00"/>
    <n v="10"/>
    <s v="1057532-4192-SE25"/>
    <n v="1"/>
    <n v="23725000"/>
    <d v="2026-04-01T00:00:00"/>
    <x v="0"/>
    <x v="0"/>
  </r>
  <r>
    <s v="SERVICIO DE SALUD OSORNO"/>
    <s v="Bienes y Servicios"/>
    <x v="19"/>
    <s v="Proyecto operacional"/>
    <s v="Publicado"/>
    <s v="22.12.999"/>
    <x v="20"/>
    <s v="Se requiere la contratación del servicio denominado Residencia Protegida alta complejidad (beneficiarios 10 usuarios) para usuarios/as por un periodo de 24 meses."/>
    <n v="2"/>
    <s v="Servicio Residencial"/>
    <n v="4"/>
    <n v="10"/>
    <n v="56940000"/>
    <n v="23725000"/>
    <x v="1"/>
    <x v="2"/>
    <x v="12"/>
    <x v="14"/>
    <s v="64-2335813-"/>
    <s v="angelo.palma@redsalud.gob.cl"/>
    <x v="8"/>
    <d v="2025-08-20T00:00:00"/>
    <n v="10"/>
    <s v="1057532-4859-SE25"/>
    <n v="1"/>
    <n v="23725000"/>
    <d v="2026-02-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Equipos Lavanderia"/>
    <n v="4"/>
    <n v="100"/>
    <n v="416000"/>
    <n v="10400000"/>
    <x v="6"/>
    <x v="6"/>
    <x v="13"/>
    <x v="15"/>
    <s v="64-2337431-"/>
    <s v="khris.silva@redsalud.gob.cl"/>
    <x v="9"/>
    <d v="2025-08-20T00:00:00"/>
    <n v="0"/>
    <m/>
    <n v="1"/>
    <n v="10400000"/>
    <d v="2026-12-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Equipos Lavanderia"/>
    <n v="4"/>
    <n v="100"/>
    <n v="416000"/>
    <n v="10400000"/>
    <x v="6"/>
    <x v="6"/>
    <x v="13"/>
    <x v="15"/>
    <s v="64-2337431-"/>
    <s v="khris.silva@redsalud.gob.cl"/>
    <x v="9"/>
    <d v="2025-08-20T00:00:00"/>
    <n v="0"/>
    <m/>
    <n v="1"/>
    <n v="10400000"/>
    <d v="2026-06-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Equipo Calderas"/>
    <n v="4"/>
    <n v="100"/>
    <n v="1438000"/>
    <n v="35950000"/>
    <x v="7"/>
    <x v="7"/>
    <x v="13"/>
    <x v="15"/>
    <s v="64-2337431-"/>
    <s v="khris.silva@redsalud.gob.cl"/>
    <x v="9"/>
    <d v="2025-08-20T00:00:00"/>
    <n v="0"/>
    <m/>
    <n v="1"/>
    <n v="35950000"/>
    <d v="2026-03-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Equipo Calderas"/>
    <n v="4"/>
    <n v="100"/>
    <n v="1438000"/>
    <n v="35950000"/>
    <x v="7"/>
    <x v="7"/>
    <x v="13"/>
    <x v="15"/>
    <s v="64-2337431-"/>
    <s v="khris.silva@redsalud.gob.cl"/>
    <x v="9"/>
    <d v="2025-08-20T00:00:00"/>
    <n v="0"/>
    <m/>
    <n v="1"/>
    <n v="35950000"/>
    <d v="2026-12-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Equipo Aire Acondicionado"/>
    <n v="4"/>
    <n v="100"/>
    <n v="140000"/>
    <n v="7000000"/>
    <x v="8"/>
    <x v="8"/>
    <x v="13"/>
    <x v="15"/>
    <s v="64-2337431-"/>
    <s v="khris.silva@redsalud.gob.cl"/>
    <x v="9"/>
    <d v="2025-08-20T00:00:00"/>
    <n v="0"/>
    <m/>
    <n v="1"/>
    <n v="7000000"/>
    <d v="2026-10-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Grupo Electrogenos"/>
    <n v="4"/>
    <n v="100"/>
    <n v="903000"/>
    <n v="45150000"/>
    <x v="8"/>
    <x v="9"/>
    <x v="13"/>
    <x v="15"/>
    <s v="64-2337431-"/>
    <s v="khris.silva@redsalud.gob.cl"/>
    <x v="9"/>
    <d v="2025-08-20T00:00:00"/>
    <n v="0"/>
    <m/>
    <n v="1"/>
    <n v="45150000"/>
    <d v="2026-07-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Equipos Criticos"/>
    <n v="4"/>
    <n v="100"/>
    <n v="496400"/>
    <n v="12410000"/>
    <x v="7"/>
    <x v="10"/>
    <x v="13"/>
    <x v="15"/>
    <s v="64-2337431-"/>
    <s v="khris.silva@redsalud.gob.cl"/>
    <x v="9"/>
    <d v="2025-08-20T00:00:00"/>
    <n v="0"/>
    <m/>
    <n v="1"/>
    <n v="12410000"/>
    <d v="2026-03-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Equipos Criticos"/>
    <n v="4"/>
    <n v="100"/>
    <n v="496400"/>
    <n v="12410000"/>
    <x v="7"/>
    <x v="10"/>
    <x v="13"/>
    <x v="15"/>
    <s v="64-2337431-"/>
    <s v="khris.silva@redsalud.gob.cl"/>
    <x v="9"/>
    <d v="2025-08-20T00:00:00"/>
    <n v="0"/>
    <m/>
    <n v="1"/>
    <n v="12410000"/>
    <d v="2026-09-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Imagenelogia"/>
    <n v="4"/>
    <n v="100"/>
    <n v="464000"/>
    <n v="7733333"/>
    <x v="9"/>
    <x v="11"/>
    <x v="13"/>
    <x v="15"/>
    <s v="64-2337431-"/>
    <s v="khris.silva@redsalud.gob.cl"/>
    <x v="9"/>
    <d v="2025-08-20T00:00:00"/>
    <n v="0"/>
    <m/>
    <n v="1"/>
    <n v="7733333"/>
    <d v="2026-06-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Imagenelogia"/>
    <n v="4"/>
    <n v="100"/>
    <n v="464000"/>
    <n v="7733335"/>
    <x v="9"/>
    <x v="11"/>
    <x v="13"/>
    <x v="15"/>
    <s v="64-2337431-"/>
    <s v="khris.silva@redsalud.gob.cl"/>
    <x v="9"/>
    <d v="2025-08-20T00:00:00"/>
    <n v="0"/>
    <m/>
    <n v="1"/>
    <n v="7733335"/>
    <d v="2026-12-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Imagenelogia"/>
    <n v="4"/>
    <n v="100"/>
    <n v="464000"/>
    <n v="7733333"/>
    <x v="9"/>
    <x v="11"/>
    <x v="13"/>
    <x v="15"/>
    <s v="64-2337431-"/>
    <s v="khris.silva@redsalud.gob.cl"/>
    <x v="9"/>
    <d v="2025-08-20T00:00:00"/>
    <n v="0"/>
    <m/>
    <n v="1"/>
    <n v="7733333"/>
    <d v="2026-11-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mografia"/>
    <n v="4"/>
    <n v="100"/>
    <n v="1630000"/>
    <n v="40750000"/>
    <x v="7"/>
    <x v="6"/>
    <x v="13"/>
    <x v="15"/>
    <s v="64-2337431-"/>
    <s v="khris.silva@redsalud.gob.cl"/>
    <x v="9"/>
    <d v="2025-08-20T00:00:00"/>
    <n v="0"/>
    <m/>
    <n v="1"/>
    <n v="40750000"/>
    <d v="2026-12-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mografia"/>
    <n v="4"/>
    <n v="100"/>
    <n v="1630000"/>
    <n v="40750000"/>
    <x v="7"/>
    <x v="6"/>
    <x v="13"/>
    <x v="15"/>
    <s v="64-2337431-"/>
    <s v="khris.silva@redsalud.gob.cl"/>
    <x v="9"/>
    <d v="2025-08-20T00:00:00"/>
    <n v="0"/>
    <m/>
    <n v="1"/>
    <n v="40750000"/>
    <d v="2026-06-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Equipos Medicos"/>
    <n v="4"/>
    <n v="100"/>
    <n v="279000"/>
    <n v="3487500"/>
    <x v="10"/>
    <x v="12"/>
    <x v="13"/>
    <x v="15"/>
    <s v="64-2337431-"/>
    <s v="khris.silva@redsalud.gob.cl"/>
    <x v="9"/>
    <d v="2025-08-20T00:00:00"/>
    <n v="1"/>
    <s v="1057532-5462-SE25"/>
    <n v="1"/>
    <n v="3487500"/>
    <d v="2026-08-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Equipos Medicos"/>
    <n v="4"/>
    <n v="100"/>
    <n v="279000"/>
    <n v="3487500"/>
    <x v="10"/>
    <x v="12"/>
    <x v="13"/>
    <x v="15"/>
    <s v="64-2337431-"/>
    <s v="khris.silva@redsalud.gob.cl"/>
    <x v="9"/>
    <d v="2025-08-20T00:00:00"/>
    <n v="1"/>
    <s v="1057532-5462-SE25"/>
    <n v="1"/>
    <n v="3487500"/>
    <d v="2026-05-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Equipos Medicos"/>
    <n v="4"/>
    <n v="100"/>
    <n v="279000"/>
    <n v="3487500"/>
    <x v="10"/>
    <x v="12"/>
    <x v="13"/>
    <x v="15"/>
    <s v="64-2337431-"/>
    <s v="khris.silva@redsalud.gob.cl"/>
    <x v="9"/>
    <d v="2025-08-20T00:00:00"/>
    <n v="1"/>
    <s v="1057532-5462-SE25"/>
    <n v="1"/>
    <n v="3487500"/>
    <d v="2026-04-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Equipos Medicos"/>
    <n v="4"/>
    <n v="100"/>
    <n v="279000"/>
    <n v="3487500"/>
    <x v="10"/>
    <x v="12"/>
    <x v="13"/>
    <x v="15"/>
    <s v="64-2337431-"/>
    <s v="khris.silva@redsalud.gob.cl"/>
    <x v="9"/>
    <d v="2025-08-20T00:00:00"/>
    <n v="1"/>
    <s v="1057532-5462-SE25"/>
    <n v="1"/>
    <n v="3487500"/>
    <d v="2026-10-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Auto Claves"/>
    <n v="4"/>
    <n v="100"/>
    <n v="916000"/>
    <n v="11450000"/>
    <x v="10"/>
    <x v="13"/>
    <x v="13"/>
    <x v="15"/>
    <s v="64-2337431-"/>
    <s v="khris.silva@redsalud.gob.cl"/>
    <x v="9"/>
    <d v="2025-08-20T00:00:00"/>
    <n v="0"/>
    <m/>
    <n v="1"/>
    <n v="11450000"/>
    <d v="2026-08-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Auto Claves"/>
    <n v="4"/>
    <n v="100"/>
    <n v="916000"/>
    <n v="11450000"/>
    <x v="10"/>
    <x v="13"/>
    <x v="13"/>
    <x v="15"/>
    <s v="64-2337431-"/>
    <s v="khris.silva@redsalud.gob.cl"/>
    <x v="9"/>
    <d v="2025-08-20T00:00:00"/>
    <n v="0"/>
    <m/>
    <n v="1"/>
    <n v="11450000"/>
    <d v="2026-02-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Auto Claves"/>
    <n v="4"/>
    <n v="100"/>
    <n v="916000"/>
    <n v="11450000"/>
    <x v="10"/>
    <x v="13"/>
    <x v="13"/>
    <x v="15"/>
    <s v="64-2337431-"/>
    <s v="khris.silva@redsalud.gob.cl"/>
    <x v="9"/>
    <d v="2025-08-20T00:00:00"/>
    <n v="0"/>
    <m/>
    <n v="1"/>
    <n v="11450000"/>
    <d v="2026-05-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Auto Claves"/>
    <n v="4"/>
    <n v="100"/>
    <n v="916000"/>
    <n v="11450000"/>
    <x v="10"/>
    <x v="13"/>
    <x v="13"/>
    <x v="15"/>
    <s v="64-2337431-"/>
    <s v="khris.silva@redsalud.gob.cl"/>
    <x v="9"/>
    <d v="2025-08-20T00:00:00"/>
    <n v="0"/>
    <m/>
    <n v="1"/>
    <n v="11450000"/>
    <d v="2026-11-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Preventiva Equipos"/>
    <n v="4"/>
    <n v="100"/>
    <n v="425600"/>
    <n v="1773333"/>
    <x v="1"/>
    <x v="14"/>
    <x v="13"/>
    <x v="15"/>
    <s v="64-2337431-"/>
    <s v="khris.silva@redsalud.gob.cl"/>
    <x v="9"/>
    <d v="2025-08-20T00:00:00"/>
    <n v="2"/>
    <s v="1057532-4799-AG25"/>
    <n v="1"/>
    <n v="1773333"/>
    <d v="2026-08-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Preventiva Equipos"/>
    <n v="4"/>
    <n v="100"/>
    <n v="425600"/>
    <n v="1773333"/>
    <x v="1"/>
    <x v="14"/>
    <x v="13"/>
    <x v="15"/>
    <s v="64-2337431-"/>
    <s v="khris.silva@redsalud.gob.cl"/>
    <x v="9"/>
    <d v="2025-08-20T00:00:00"/>
    <n v="2"/>
    <s v="1057532-5363-AG25"/>
    <n v="1"/>
    <n v="1773333"/>
    <d v="2026-01-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Preventiva Equipos"/>
    <n v="4"/>
    <n v="100"/>
    <n v="425600"/>
    <n v="1773333"/>
    <x v="1"/>
    <x v="14"/>
    <x v="13"/>
    <x v="15"/>
    <s v="64-2337431-"/>
    <s v="khris.silva@redsalud.gob.cl"/>
    <x v="9"/>
    <d v="2025-08-20T00:00:00"/>
    <n v="2"/>
    <s v="1057532-5363-AG25"/>
    <n v="1"/>
    <n v="1773333"/>
    <d v="2026-04-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Preventiva Equipos"/>
    <n v="4"/>
    <n v="100"/>
    <n v="425600"/>
    <n v="1773333"/>
    <x v="1"/>
    <x v="14"/>
    <x v="13"/>
    <x v="15"/>
    <s v="64-2337431-"/>
    <s v="khris.silva@redsalud.gob.cl"/>
    <x v="9"/>
    <d v="2025-08-20T00:00:00"/>
    <n v="2"/>
    <s v="1057532-5363-AG25"/>
    <n v="1"/>
    <n v="1773333"/>
    <d v="2026-02-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Preventiva Equipos"/>
    <n v="4"/>
    <n v="100"/>
    <n v="425600"/>
    <n v="1773333"/>
    <x v="1"/>
    <x v="14"/>
    <x v="13"/>
    <x v="15"/>
    <s v="64-2337431-"/>
    <s v="khris.silva@redsalud.gob.cl"/>
    <x v="9"/>
    <d v="2025-08-20T00:00:00"/>
    <n v="2"/>
    <s v="1057532-5363-AG25"/>
    <n v="1"/>
    <n v="1773333"/>
    <d v="2026-06-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Preventiva Equipos"/>
    <n v="4"/>
    <n v="100"/>
    <n v="425600"/>
    <n v="1773333"/>
    <x v="1"/>
    <x v="14"/>
    <x v="13"/>
    <x v="15"/>
    <s v="64-2337431-"/>
    <s v="khris.silva@redsalud.gob.cl"/>
    <x v="9"/>
    <d v="2025-08-20T00:00:00"/>
    <n v="2"/>
    <s v="1057532-4799-AG25"/>
    <n v="1"/>
    <n v="1773333"/>
    <d v="2026-03-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Preventiva Equipos"/>
    <n v="4"/>
    <n v="100"/>
    <n v="425600"/>
    <n v="1773333"/>
    <x v="1"/>
    <x v="14"/>
    <x v="13"/>
    <x v="15"/>
    <s v="64-2337431-"/>
    <s v="khris.silva@redsalud.gob.cl"/>
    <x v="9"/>
    <d v="2025-08-20T00:00:00"/>
    <n v="2"/>
    <s v="1057532-4799-AG25"/>
    <n v="1"/>
    <n v="1773333"/>
    <d v="2026-07-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Preventiva Equipos"/>
    <n v="4"/>
    <n v="100"/>
    <n v="425600"/>
    <n v="1773333"/>
    <x v="1"/>
    <x v="14"/>
    <x v="13"/>
    <x v="15"/>
    <s v="64-2337431-"/>
    <s v="khris.silva@redsalud.gob.cl"/>
    <x v="9"/>
    <d v="2025-08-20T00:00:00"/>
    <n v="2"/>
    <s v="1057532-4799-AG25"/>
    <n v="1"/>
    <n v="1773333"/>
    <d v="2026-01-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Preventiva Equipos"/>
    <n v="4"/>
    <n v="100"/>
    <n v="425600"/>
    <n v="1773333"/>
    <x v="1"/>
    <x v="14"/>
    <x v="13"/>
    <x v="15"/>
    <s v="64-2337431-"/>
    <s v="khris.silva@redsalud.gob.cl"/>
    <x v="9"/>
    <d v="2025-08-20T00:00:00"/>
    <n v="2"/>
    <s v="1057532-4799-AG25"/>
    <n v="1"/>
    <n v="1773333"/>
    <d v="2026-05-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Preventiva Equipos"/>
    <n v="4"/>
    <n v="100"/>
    <n v="425600"/>
    <n v="1773333"/>
    <x v="1"/>
    <x v="14"/>
    <x v="13"/>
    <x v="15"/>
    <s v="64-2337431-"/>
    <s v="khris.silva@redsalud.gob.cl"/>
    <x v="9"/>
    <d v="2025-08-20T00:00:00"/>
    <n v="2"/>
    <s v="1057532-4799-AG25"/>
    <n v="1"/>
    <n v="1773333"/>
    <d v="2026-06-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Preventiva Equipos"/>
    <n v="4"/>
    <n v="100"/>
    <n v="425600"/>
    <n v="1773333"/>
    <x v="1"/>
    <x v="14"/>
    <x v="13"/>
    <x v="15"/>
    <s v="64-2337431-"/>
    <s v="khris.silva@redsalud.gob.cl"/>
    <x v="9"/>
    <d v="2025-08-20T00:00:00"/>
    <n v="2"/>
    <s v="1057532-4799-AG25"/>
    <n v="1"/>
    <n v="1773333"/>
    <d v="2026-12-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Preventiva Equipos"/>
    <n v="4"/>
    <n v="100"/>
    <n v="425600"/>
    <n v="1773333"/>
    <x v="1"/>
    <x v="14"/>
    <x v="13"/>
    <x v="15"/>
    <s v="64-2337431-"/>
    <s v="khris.silva@redsalud.gob.cl"/>
    <x v="9"/>
    <d v="2025-08-20T00:00:00"/>
    <n v="2"/>
    <s v="1057532-4799-AG25"/>
    <n v="1"/>
    <n v="1773333"/>
    <d v="2026-04-01T00:00:00"/>
    <x v="0"/>
    <x v="0"/>
  </r>
  <r>
    <s v="SERVICIO DE SALUD OSORNO"/>
    <s v="Bienes y Servicios"/>
    <x v="20"/>
    <s v="Proyecto operacional"/>
    <s v="Publicado"/>
    <s v="22.06.005"/>
    <x v="21"/>
    <s v="Dar cobertura a las necesidades de mantención de Equipos Médicos e Industriales de los establecimientos de la Red del Servicio de Salud Osorno."/>
    <n v="14"/>
    <s v="Mantención Otros"/>
    <n v="4"/>
    <n v="100"/>
    <n v="4500"/>
    <n v="225000"/>
    <x v="8"/>
    <x v="15"/>
    <x v="13"/>
    <x v="15"/>
    <s v="64-2337431-"/>
    <s v="khris.silva@redsalud.gob.cl"/>
    <x v="10"/>
    <d v="2025-08-20T00:00:00"/>
    <n v="1"/>
    <s v="1057532-4785-AG25"/>
    <n v="1"/>
    <n v="225000"/>
    <d v="2026-03-01T00:00:00"/>
    <x v="0"/>
    <x v="0"/>
  </r>
  <r>
    <s v="SERVICIO DE SALUD OSORNO"/>
    <s v="Bienes y Servicios"/>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n v="1"/>
    <s v="Medicamentos"/>
    <n v="4"/>
    <n v="1"/>
    <n v="150000000"/>
    <n v="6250000"/>
    <x v="1"/>
    <x v="16"/>
    <x v="14"/>
    <x v="16"/>
    <s v="64-335811-"/>
    <s v="eleuterio.roman@redsalud.gob.cl"/>
    <x v="11"/>
    <d v="2025-08-20T00:00:00"/>
    <n v="12"/>
    <s v="1057532-5204-SE25"/>
    <n v="1"/>
    <n v="6250000"/>
    <d v="2026-09-01T00:00:00"/>
    <x v="0"/>
    <x v="0"/>
  </r>
  <r>
    <s v="SERVICIO DE SALUD OSORNO"/>
    <s v="Bienes y Servicios"/>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n v="1"/>
    <s v="Medicamentos"/>
    <n v="4"/>
    <n v="1"/>
    <n v="150000000"/>
    <n v="6250000"/>
    <x v="1"/>
    <x v="16"/>
    <x v="14"/>
    <x v="16"/>
    <s v="64-335811-"/>
    <s v="eleuterio.roman@redsalud.gob.cl"/>
    <x v="11"/>
    <d v="2025-08-20T00:00:00"/>
    <n v="12"/>
    <s v="1057532-5140-SE25"/>
    <n v="1"/>
    <n v="6250000"/>
    <d v="2026-01-01T00:00:00"/>
    <x v="0"/>
    <x v="0"/>
  </r>
  <r>
    <s v="SERVICIO DE SALUD OSORNO"/>
    <s v="Bienes y Servicios"/>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n v="1"/>
    <s v="Medicamentos"/>
    <n v="4"/>
    <n v="1"/>
    <n v="150000000"/>
    <n v="6250000"/>
    <x v="1"/>
    <x v="16"/>
    <x v="14"/>
    <x v="16"/>
    <s v="64-335811-"/>
    <s v="eleuterio.roman@redsalud.gob.cl"/>
    <x v="11"/>
    <d v="2025-08-20T00:00:00"/>
    <n v="12"/>
    <s v="1057532-5140-SE25"/>
    <n v="1"/>
    <n v="6250000"/>
    <d v="2026-08-01T00:00:00"/>
    <x v="0"/>
    <x v="0"/>
  </r>
  <r>
    <s v="SERVICIO DE SALUD OSORNO"/>
    <s v="Bienes y Servicios"/>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n v="1"/>
    <s v="Medicamentos"/>
    <n v="4"/>
    <n v="1"/>
    <n v="150000000"/>
    <n v="6250000"/>
    <x v="1"/>
    <x v="16"/>
    <x v="14"/>
    <x v="16"/>
    <s v="64-335811-"/>
    <s v="eleuterio.roman@redsalud.gob.cl"/>
    <x v="11"/>
    <d v="2025-08-20T00:00:00"/>
    <n v="12"/>
    <s v="1057532-5140-SE25"/>
    <n v="1"/>
    <n v="6250000"/>
    <d v="2026-07-01T00:00:00"/>
    <x v="0"/>
    <x v="0"/>
  </r>
  <r>
    <s v="SERVICIO DE SALUD OSORNO"/>
    <s v="Bienes y Servicios"/>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n v="1"/>
    <s v="Medicamentos"/>
    <n v="4"/>
    <n v="1"/>
    <n v="150000000"/>
    <n v="6250000"/>
    <x v="1"/>
    <x v="16"/>
    <x v="14"/>
    <x v="16"/>
    <s v="64-335811-"/>
    <s v="eleuterio.roman@redsalud.gob.cl"/>
    <x v="11"/>
    <d v="2025-08-20T00:00:00"/>
    <n v="12"/>
    <s v="1057532-5140-SE25"/>
    <n v="1"/>
    <n v="6250000"/>
    <d v="2026-02-01T00:00:00"/>
    <x v="0"/>
    <x v="0"/>
  </r>
  <r>
    <s v="SERVICIO DE SALUD OSORNO"/>
    <s v="Bienes y Servicios"/>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n v="1"/>
    <s v="Medicamentos"/>
    <n v="4"/>
    <n v="1"/>
    <n v="150000000"/>
    <n v="6250000"/>
    <x v="1"/>
    <x v="16"/>
    <x v="14"/>
    <x v="16"/>
    <s v="64-335811-"/>
    <s v="eleuterio.roman@redsalud.gob.cl"/>
    <x v="11"/>
    <d v="2025-08-20T00:00:00"/>
    <n v="12"/>
    <s v="1057532-5140-SE25"/>
    <n v="1"/>
    <n v="6250000"/>
    <d v="2026-05-01T00:00:00"/>
    <x v="0"/>
    <x v="0"/>
  </r>
  <r>
    <s v="SERVICIO DE SALUD OSORNO"/>
    <s v="Bienes y Servicios"/>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n v="1"/>
    <s v="Medicamentos"/>
    <n v="4"/>
    <n v="1"/>
    <n v="150000000"/>
    <n v="6250000"/>
    <x v="1"/>
    <x v="16"/>
    <x v="14"/>
    <x v="16"/>
    <s v="64-335811-"/>
    <s v="eleuterio.roman@redsalud.gob.cl"/>
    <x v="11"/>
    <d v="2025-08-20T00:00:00"/>
    <n v="12"/>
    <s v="1057532-5140-SE25"/>
    <n v="1"/>
    <n v="6250000"/>
    <d v="2026-03-01T00:00:00"/>
    <x v="0"/>
    <x v="0"/>
  </r>
  <r>
    <s v="SERVICIO DE SALUD OSORNO"/>
    <s v="Bienes y Servicios"/>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n v="1"/>
    <s v="Medicamentos"/>
    <n v="4"/>
    <n v="1"/>
    <n v="150000000"/>
    <n v="6250000"/>
    <x v="1"/>
    <x v="16"/>
    <x v="14"/>
    <x v="16"/>
    <s v="64-335811-"/>
    <s v="eleuterio.roman@redsalud.gob.cl"/>
    <x v="11"/>
    <d v="2025-08-20T00:00:00"/>
    <n v="12"/>
    <s v="1057532-5142-SE25"/>
    <n v="1"/>
    <n v="6250000"/>
    <d v="2026-05-01T00:00:00"/>
    <x v="0"/>
    <x v="0"/>
  </r>
  <r>
    <s v="SERVICIO DE SALUD OSORNO"/>
    <s v="Bienes y Servicios"/>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n v="1"/>
    <s v="Medicamentos"/>
    <n v="4"/>
    <n v="1"/>
    <n v="150000000"/>
    <n v="6250000"/>
    <x v="1"/>
    <x v="16"/>
    <x v="14"/>
    <x v="16"/>
    <s v="64-335811-"/>
    <s v="eleuterio.roman@redsalud.gob.cl"/>
    <x v="11"/>
    <d v="2025-08-20T00:00:00"/>
    <n v="12"/>
    <s v="1057532-5148-SE25"/>
    <n v="1"/>
    <n v="6250000"/>
    <d v="2026-03-01T00:00:00"/>
    <x v="0"/>
    <x v="0"/>
  </r>
  <r>
    <s v="SERVICIO DE SALUD OSORNO"/>
    <s v="Bienes y Servicios"/>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n v="1"/>
    <s v="Medicamentos"/>
    <n v="4"/>
    <n v="1"/>
    <n v="150000000"/>
    <n v="6250000"/>
    <x v="1"/>
    <x v="16"/>
    <x v="14"/>
    <x v="16"/>
    <s v="64-335811-"/>
    <s v="eleuterio.roman@redsalud.gob.cl"/>
    <x v="11"/>
    <d v="2025-08-20T00:00:00"/>
    <n v="12"/>
    <s v="1057532-5204-SE25"/>
    <n v="1"/>
    <n v="6250000"/>
    <d v="2026-08-01T00:00:00"/>
    <x v="0"/>
    <x v="0"/>
  </r>
  <r>
    <s v="SERVICIO DE SALUD OSORNO"/>
    <s v="Bienes y Servicios"/>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n v="1"/>
    <s v="Medicamentos"/>
    <n v="4"/>
    <n v="1"/>
    <n v="150000000"/>
    <n v="6250000"/>
    <x v="1"/>
    <x v="16"/>
    <x v="14"/>
    <x v="16"/>
    <s v="64-335811-"/>
    <s v="eleuterio.roman@redsalud.gob.cl"/>
    <x v="11"/>
    <d v="2025-08-20T00:00:00"/>
    <n v="12"/>
    <s v="1057532-5204-SE25"/>
    <n v="1"/>
    <n v="6250000"/>
    <d v="2026-06-01T00:00:00"/>
    <x v="0"/>
    <x v="0"/>
  </r>
  <r>
    <s v="SERVICIO DE SALUD OSORNO"/>
    <s v="Bienes y Servicios"/>
    <x v="21"/>
    <s v="Proyecto estratégico"/>
    <s v="Publicado"/>
    <s v="22.04.004"/>
    <x v="22"/>
    <s v="Abril 2025. Convenio de suministro a iniciar en abril 2025 con duración de 2 años calendario para licitar listado de 353 productos de los arsenales farmacológicos de la Red que se envian en archivo adjunto para efectos de licitación."/>
    <n v="1"/>
    <s v="Medicamentos"/>
    <n v="4"/>
    <n v="1"/>
    <n v="150000000"/>
    <n v="6250000"/>
    <x v="1"/>
    <x v="16"/>
    <x v="14"/>
    <x v="16"/>
    <s v="64-335811-"/>
    <s v="eleuterio.roman@redsalud.gob.cl"/>
    <x v="11"/>
    <d v="2025-08-20T00:00:00"/>
    <n v="12"/>
    <s v="1057532-5140-SE25"/>
    <n v="1"/>
    <n v="6250000"/>
    <d v="2026-04-01T00:00:00"/>
    <x v="0"/>
    <x v="0"/>
  </r>
  <r>
    <s v="SERVICIO DE SALUD OSORNO"/>
    <s v="Bienes y Servicios"/>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n v="1"/>
    <s v="Aseo"/>
    <n v="4"/>
    <n v="1"/>
    <n v="216000000"/>
    <n v="12000000"/>
    <x v="5"/>
    <x v="5"/>
    <x v="9"/>
    <x v="17"/>
    <s v="64-337381-"/>
    <s v="lorena.torresc@redsalud.gob.cl"/>
    <x v="12"/>
    <d v="2025-08-20T00:00:00"/>
    <n v="0"/>
    <m/>
    <n v="1"/>
    <n v="12000000"/>
    <d v="2026-12-01T00:00:00"/>
    <x v="0"/>
    <x v="0"/>
  </r>
  <r>
    <s v="SERVICIO DE SALUD OSORNO"/>
    <s v="Bienes y Servicios"/>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n v="1"/>
    <s v="Aseo"/>
    <n v="4"/>
    <n v="1"/>
    <n v="216000000"/>
    <n v="12000000"/>
    <x v="5"/>
    <x v="5"/>
    <x v="9"/>
    <x v="17"/>
    <s v="64-337381-"/>
    <s v="lorena.torresc@redsalud.gob.cl"/>
    <x v="12"/>
    <d v="2025-08-20T00:00:00"/>
    <n v="0"/>
    <m/>
    <n v="1"/>
    <n v="12000000"/>
    <d v="2026-06-01T00:00:00"/>
    <x v="0"/>
    <x v="0"/>
  </r>
  <r>
    <s v="SERVICIO DE SALUD OSORNO"/>
    <s v="Bienes y Servicios"/>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n v="1"/>
    <s v="Aseo"/>
    <n v="4"/>
    <n v="1"/>
    <n v="216000000"/>
    <n v="12000000"/>
    <x v="5"/>
    <x v="5"/>
    <x v="9"/>
    <x v="17"/>
    <s v="64-337381-"/>
    <s v="lorena.torresc@redsalud.gob.cl"/>
    <x v="12"/>
    <d v="2025-08-20T00:00:00"/>
    <n v="0"/>
    <m/>
    <n v="1"/>
    <n v="12000000"/>
    <d v="2026-02-01T00:00:00"/>
    <x v="0"/>
    <x v="0"/>
  </r>
  <r>
    <s v="SERVICIO DE SALUD OSORNO"/>
    <s v="Bienes y Servicios"/>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n v="1"/>
    <s v="Aseo"/>
    <n v="4"/>
    <n v="1"/>
    <n v="216000000"/>
    <n v="12000000"/>
    <x v="5"/>
    <x v="5"/>
    <x v="9"/>
    <x v="17"/>
    <s v="64-337381-"/>
    <s v="lorena.torresc@redsalud.gob.cl"/>
    <x v="12"/>
    <d v="2025-08-20T00:00:00"/>
    <n v="0"/>
    <m/>
    <n v="1"/>
    <n v="12000000"/>
    <d v="2026-01-01T00:00:00"/>
    <x v="0"/>
    <x v="0"/>
  </r>
  <r>
    <s v="SERVICIO DE SALUD OSORNO"/>
    <s v="Bienes y Servicios"/>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n v="1"/>
    <s v="Aseo"/>
    <n v="4"/>
    <n v="1"/>
    <n v="216000000"/>
    <n v="12000000"/>
    <x v="5"/>
    <x v="5"/>
    <x v="9"/>
    <x v="17"/>
    <s v="64-337381-"/>
    <s v="lorena.torresc@redsalud.gob.cl"/>
    <x v="12"/>
    <d v="2025-08-20T00:00:00"/>
    <n v="0"/>
    <m/>
    <n v="1"/>
    <n v="12000000"/>
    <d v="2026-07-01T00:00:00"/>
    <x v="0"/>
    <x v="0"/>
  </r>
  <r>
    <s v="SERVICIO DE SALUD OSORNO"/>
    <s v="Bienes y Servicios"/>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n v="1"/>
    <s v="Aseo"/>
    <n v="4"/>
    <n v="1"/>
    <n v="216000000"/>
    <n v="12000000"/>
    <x v="5"/>
    <x v="5"/>
    <x v="9"/>
    <x v="17"/>
    <s v="64-337381-"/>
    <s v="lorena.torresc@redsalud.gob.cl"/>
    <x v="12"/>
    <d v="2025-08-20T00:00:00"/>
    <n v="0"/>
    <m/>
    <n v="1"/>
    <n v="12000000"/>
    <d v="2026-03-01T00:00:00"/>
    <x v="0"/>
    <x v="0"/>
  </r>
  <r>
    <s v="SERVICIO DE SALUD OSORNO"/>
    <s v="Bienes y Servicios"/>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n v="1"/>
    <s v="Aseo"/>
    <n v="4"/>
    <n v="1"/>
    <n v="216000000"/>
    <n v="12000000"/>
    <x v="5"/>
    <x v="5"/>
    <x v="9"/>
    <x v="17"/>
    <s v="64-337381-"/>
    <s v="lorena.torresc@redsalud.gob.cl"/>
    <x v="12"/>
    <d v="2025-08-20T00:00:00"/>
    <n v="0"/>
    <m/>
    <n v="1"/>
    <n v="12000000"/>
    <d v="2026-11-01T00:00:00"/>
    <x v="0"/>
    <x v="0"/>
  </r>
  <r>
    <s v="SERVICIO DE SALUD OSORNO"/>
    <s v="Bienes y Servicios"/>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n v="1"/>
    <s v="Aseo"/>
    <n v="4"/>
    <n v="1"/>
    <n v="216000000"/>
    <n v="12000000"/>
    <x v="5"/>
    <x v="5"/>
    <x v="9"/>
    <x v="17"/>
    <s v="64-337381-"/>
    <s v="lorena.torresc@redsalud.gob.cl"/>
    <x v="12"/>
    <d v="2025-08-20T00:00:00"/>
    <n v="0"/>
    <m/>
    <n v="1"/>
    <n v="12000000"/>
    <d v="2026-04-01T00:00:00"/>
    <x v="0"/>
    <x v="0"/>
  </r>
  <r>
    <s v="SERVICIO DE SALUD OSORNO"/>
    <s v="Bienes y Servicios"/>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n v="1"/>
    <s v="Aseo"/>
    <n v="4"/>
    <n v="1"/>
    <n v="216000000"/>
    <n v="12000000"/>
    <x v="5"/>
    <x v="5"/>
    <x v="9"/>
    <x v="17"/>
    <s v="64-337381-"/>
    <s v="lorena.torresc@redsalud.gob.cl"/>
    <x v="12"/>
    <d v="2025-08-20T00:00:00"/>
    <n v="0"/>
    <m/>
    <n v="1"/>
    <n v="12000000"/>
    <d v="2026-09-01T00:00:00"/>
    <x v="0"/>
    <x v="0"/>
  </r>
  <r>
    <s v="SERVICIO DE SALUD OSORNO"/>
    <s v="Bienes y Servicios"/>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n v="1"/>
    <s v="Aseo"/>
    <n v="4"/>
    <n v="1"/>
    <n v="216000000"/>
    <n v="12000000"/>
    <x v="5"/>
    <x v="5"/>
    <x v="9"/>
    <x v="17"/>
    <s v="64-337381-"/>
    <s v="lorena.torresc@redsalud.gob.cl"/>
    <x v="12"/>
    <d v="2025-08-20T00:00:00"/>
    <n v="0"/>
    <m/>
    <n v="1"/>
    <n v="12000000"/>
    <d v="2026-10-01T00:00:00"/>
    <x v="0"/>
    <x v="0"/>
  </r>
  <r>
    <s v="SERVICIO DE SALUD OSORNO"/>
    <s v="Bienes y Servicios"/>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n v="1"/>
    <s v="Aseo"/>
    <n v="4"/>
    <n v="1"/>
    <n v="216000000"/>
    <n v="12000000"/>
    <x v="5"/>
    <x v="5"/>
    <x v="9"/>
    <x v="17"/>
    <s v="64-337381-"/>
    <s v="lorena.torresc@redsalud.gob.cl"/>
    <x v="12"/>
    <d v="2025-08-20T00:00:00"/>
    <n v="0"/>
    <m/>
    <n v="1"/>
    <n v="12000000"/>
    <d v="2026-08-01T00:00:00"/>
    <x v="0"/>
    <x v="0"/>
  </r>
  <r>
    <s v="SERVICIO DE SALUD OSORNO"/>
    <s v="Bienes y Servicios"/>
    <x v="22"/>
    <s v="Proyecto operacional"/>
    <s v="Publicado"/>
    <s v="22.04.005.003"/>
    <x v="23"/>
    <s v="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
    <n v="1"/>
    <s v="Aseo"/>
    <n v="4"/>
    <n v="1"/>
    <n v="216000000"/>
    <n v="12000000"/>
    <x v="5"/>
    <x v="5"/>
    <x v="9"/>
    <x v="17"/>
    <s v="64-337381-"/>
    <s v="lorena.torresc@redsalud.gob.cl"/>
    <x v="12"/>
    <d v="2025-08-20T00:00:00"/>
    <n v="0"/>
    <m/>
    <n v="1"/>
    <n v="12000000"/>
    <d v="2026-05-01T00:00:00"/>
    <x v="0"/>
    <x v="0"/>
  </r>
  <r>
    <s v="SERVICIO DE SALUD OSORNO"/>
    <s v="Bienes y Servicios"/>
    <x v="23"/>
    <s v="Proyecto operacional"/>
    <s v="Publicado"/>
    <s v="22.04.005.003"/>
    <x v="24"/>
    <s v="INSUMOS PARA EXAMENES DE LABORATORIO TIPO POC, CON ARRIENDO DE EQUIPOS (HOSPITAL RIO NEGRO, HOSPITAL PUERTO OCTAY, HOSPITAL PU MULEN QUILACAHUIN, HOSPITAL FUKA SRUKA LAWENCHE KUNKO MAPU MO, CESFAM PUYEHUE)."/>
    <n v="1"/>
    <s v="Equipo"/>
    <n v="4"/>
    <n v="1"/>
    <n v="70000000"/>
    <n v="5833333"/>
    <x v="11"/>
    <x v="17"/>
    <x v="15"/>
    <x v="18"/>
    <s v="64-335827-"/>
    <s v="sofiav.reyes@redsalud.gob.cl"/>
    <x v="12"/>
    <d v="2025-08-20T00:00:00"/>
    <n v="0"/>
    <m/>
    <n v="1"/>
    <n v="5833333"/>
    <d v="2026-05-01T00:00:00"/>
    <x v="0"/>
    <x v="0"/>
  </r>
  <r>
    <s v="SERVICIO DE SALUD OSORNO"/>
    <s v="Bienes y Servicios"/>
    <x v="23"/>
    <s v="Proyecto operacional"/>
    <s v="Publicado"/>
    <s v="22.04.005.003"/>
    <x v="24"/>
    <s v="INSUMOS PARA EXAMENES DE LABORATORIO TIPO POC, CON ARRIENDO DE EQUIPOS (HOSPITAL RIO NEGRO, HOSPITAL PUERTO OCTAY, HOSPITAL PU MULEN QUILACAHUIN, HOSPITAL FUKA SRUKA LAWENCHE KUNKO MAPU MO, CESFAM PUYEHUE)."/>
    <n v="1"/>
    <s v="Equipo"/>
    <n v="4"/>
    <n v="1"/>
    <n v="70000000"/>
    <n v="5833333"/>
    <x v="11"/>
    <x v="17"/>
    <x v="15"/>
    <x v="18"/>
    <s v="64-335827-"/>
    <s v="sofiav.reyes@redsalud.gob.cl"/>
    <x v="12"/>
    <d v="2025-08-20T00:00:00"/>
    <n v="0"/>
    <m/>
    <n v="1"/>
    <n v="5833333"/>
    <d v="2026-02-01T00:00:00"/>
    <x v="0"/>
    <x v="0"/>
  </r>
  <r>
    <s v="SERVICIO DE SALUD OSORNO"/>
    <s v="Bienes y Servicios"/>
    <x v="23"/>
    <s v="Proyecto operacional"/>
    <s v="Publicado"/>
    <s v="22.04.005.003"/>
    <x v="24"/>
    <s v="INSUMOS PARA EXAMENES DE LABORATORIO TIPO POC, CON ARRIENDO DE EQUIPOS (HOSPITAL RIO NEGRO, HOSPITAL PUERTO OCTAY, HOSPITAL PU MULEN QUILACAHUIN, HOSPITAL FUKA SRUKA LAWENCHE KUNKO MAPU MO, CESFAM PUYEHUE)."/>
    <n v="1"/>
    <s v="Equipo"/>
    <n v="4"/>
    <n v="1"/>
    <n v="70000000"/>
    <n v="5833333"/>
    <x v="11"/>
    <x v="17"/>
    <x v="15"/>
    <x v="18"/>
    <s v="64-335827-"/>
    <s v="sofiav.reyes@redsalud.gob.cl"/>
    <x v="12"/>
    <d v="2025-08-20T00:00:00"/>
    <n v="0"/>
    <m/>
    <n v="1"/>
    <n v="5833333"/>
    <d v="2026-01-01T00:00:00"/>
    <x v="0"/>
    <x v="0"/>
  </r>
  <r>
    <s v="SERVICIO DE SALUD OSORNO"/>
    <s v="Bienes y Servicios"/>
    <x v="23"/>
    <s v="Proyecto operacional"/>
    <s v="Publicado"/>
    <s v="22.04.005.003"/>
    <x v="24"/>
    <s v="INSUMOS PARA EXAMENES DE LABORATORIO TIPO POC, CON ARRIENDO DE EQUIPOS (HOSPITAL RIO NEGRO, HOSPITAL PUERTO OCTAY, HOSPITAL PU MULEN QUILACAHUIN, HOSPITAL FUKA SRUKA LAWENCHE KUNKO MAPU MO, CESFAM PUYEHUE)."/>
    <n v="1"/>
    <s v="Equipo"/>
    <n v="4"/>
    <n v="1"/>
    <n v="70000000"/>
    <n v="5833333"/>
    <x v="11"/>
    <x v="17"/>
    <x v="15"/>
    <x v="18"/>
    <s v="64-335827-"/>
    <s v="sofiav.reyes@redsalud.gob.cl"/>
    <x v="12"/>
    <d v="2025-08-20T00:00:00"/>
    <n v="0"/>
    <m/>
    <n v="1"/>
    <n v="5833333"/>
    <d v="2026-04-01T00:00:00"/>
    <x v="0"/>
    <x v="0"/>
  </r>
  <r>
    <s v="SERVICIO DE SALUD OSORNO"/>
    <s v="Bienes y Servicios"/>
    <x v="23"/>
    <s v="Proyecto operacional"/>
    <s v="Publicado"/>
    <s v="22.04.005.003"/>
    <x v="24"/>
    <s v="INSUMOS PARA EXAMENES DE LABORATORIO TIPO POC, CON ARRIENDO DE EQUIPOS (HOSPITAL RIO NEGRO, HOSPITAL PUERTO OCTAY, HOSPITAL PU MULEN QUILACAHUIN, HOSPITAL FUKA SRUKA LAWENCHE KUNKO MAPU MO, CESFAM PUYEHUE)."/>
    <n v="1"/>
    <s v="Equipo"/>
    <n v="4"/>
    <n v="1"/>
    <n v="70000000"/>
    <n v="5833337"/>
    <x v="11"/>
    <x v="17"/>
    <x v="15"/>
    <x v="18"/>
    <s v="64-335827-"/>
    <s v="sofiav.reyes@redsalud.gob.cl"/>
    <x v="12"/>
    <d v="2025-08-20T00:00:00"/>
    <n v="0"/>
    <m/>
    <n v="1"/>
    <n v="5833337"/>
    <d v="2026-07-01T00:00:00"/>
    <x v="0"/>
    <x v="0"/>
  </r>
  <r>
    <s v="SERVICIO DE SALUD OSORNO"/>
    <s v="Bienes y Servicios"/>
    <x v="23"/>
    <s v="Proyecto operacional"/>
    <s v="Publicado"/>
    <s v="22.04.005.003"/>
    <x v="24"/>
    <s v="INSUMOS PARA EXAMENES DE LABORATORIO TIPO POC, CON ARRIENDO DE EQUIPOS (HOSPITAL RIO NEGRO, HOSPITAL PUERTO OCTAY, HOSPITAL PU MULEN QUILACAHUIN, HOSPITAL FUKA SRUKA LAWENCHE KUNKO MAPU MO, CESFAM PUYEHUE)."/>
    <n v="1"/>
    <s v="Equipo"/>
    <n v="4"/>
    <n v="1"/>
    <n v="70000000"/>
    <n v="5833333"/>
    <x v="11"/>
    <x v="17"/>
    <x v="15"/>
    <x v="18"/>
    <s v="64-335827-"/>
    <s v="sofiav.reyes@redsalud.gob.cl"/>
    <x v="12"/>
    <d v="2025-08-20T00:00:00"/>
    <n v="0"/>
    <m/>
    <n v="1"/>
    <n v="5833333"/>
    <d v="2026-03-01T00:00:00"/>
    <x v="0"/>
    <x v="0"/>
  </r>
  <r>
    <s v="SERVICIO DE SALUD OSORNO"/>
    <s v="Bienes y Servicios"/>
    <x v="23"/>
    <s v="Proyecto operacional"/>
    <s v="Publicado"/>
    <s v="22.04.005.003"/>
    <x v="24"/>
    <s v="INSUMOS PARA EXAMENES DE LABORATORIO TIPO POC, CON ARRIENDO DE EQUIPOS (HOSPITAL RIO NEGRO, HOSPITAL PUERTO OCTAY, HOSPITAL PU MULEN QUILACAHUIN, HOSPITAL FUKA SRUKA LAWENCHE KUNKO MAPU MO, CESFAM PUYEHUE)."/>
    <n v="1"/>
    <s v="Equipo"/>
    <n v="4"/>
    <n v="1"/>
    <n v="70000000"/>
    <n v="5833333"/>
    <x v="11"/>
    <x v="17"/>
    <x v="15"/>
    <x v="18"/>
    <s v="64-335827-"/>
    <s v="sofiav.reyes@redsalud.gob.cl"/>
    <x v="12"/>
    <d v="2025-08-20T00:00:00"/>
    <n v="0"/>
    <m/>
    <n v="1"/>
    <n v="5833333"/>
    <d v="2026-06-01T00:00:00"/>
    <x v="0"/>
    <x v="0"/>
  </r>
  <r>
    <s v="SERVICIO DE SALUD OSORNO"/>
    <s v="Bienes y Servicios"/>
    <x v="24"/>
    <s v="Proyecto operacional"/>
    <s v="Publicado"/>
    <s v="22.08.007"/>
    <x v="25"/>
    <s v="Movilización para el traslado de usuarios y funcionarios CDR adulto mayor Kumelen de la Comuna de Osorno. Inicio de servicio 01/01/2026."/>
    <n v="1"/>
    <s v="Movilizacion Kumelen"/>
    <n v="4"/>
    <n v="1"/>
    <n v="39500000"/>
    <n v="3291667"/>
    <x v="11"/>
    <x v="18"/>
    <x v="16"/>
    <x v="19"/>
    <s v="64-647366-"/>
    <s v="luis.floresme@redsalud.gob.cl"/>
    <x v="12"/>
    <d v="2025-08-20T00:00:00"/>
    <n v="0"/>
    <m/>
    <n v="1"/>
    <n v="3291667"/>
    <d v="2026-08-01T00:00:00"/>
    <x v="0"/>
    <x v="0"/>
  </r>
  <r>
    <s v="SERVICIO DE SALUD OSORNO"/>
    <s v="Bienes y Servicios"/>
    <x v="24"/>
    <s v="Proyecto operacional"/>
    <s v="Publicado"/>
    <s v="22.08.007"/>
    <x v="25"/>
    <s v="Movilización para el traslado de usuarios y funcionarios CDR adulto mayor Kumelen de la Comuna de Osorno. Inicio de servicio 01/01/2026."/>
    <n v="1"/>
    <s v="Movilizacion Kumelen"/>
    <n v="4"/>
    <n v="1"/>
    <n v="39500000"/>
    <n v="3291667"/>
    <x v="11"/>
    <x v="18"/>
    <x v="16"/>
    <x v="19"/>
    <s v="64-647366-"/>
    <s v="luis.floresme@redsalud.gob.cl"/>
    <x v="12"/>
    <d v="2025-08-20T00:00:00"/>
    <n v="0"/>
    <m/>
    <n v="1"/>
    <n v="3291667"/>
    <d v="2026-06-01T00:00:00"/>
    <x v="0"/>
    <x v="0"/>
  </r>
  <r>
    <s v="SERVICIO DE SALUD OSORNO"/>
    <s v="Bienes y Servicios"/>
    <x v="24"/>
    <s v="Proyecto operacional"/>
    <s v="Publicado"/>
    <s v="22.08.007"/>
    <x v="25"/>
    <s v="Movilización para el traslado de usuarios y funcionarios CDR adulto mayor Kumelen de la Comuna de Osorno. Inicio de servicio 01/01/2026."/>
    <n v="1"/>
    <s v="Movilizacion Kumelen"/>
    <n v="4"/>
    <n v="1"/>
    <n v="39500000"/>
    <n v="3291667"/>
    <x v="11"/>
    <x v="18"/>
    <x v="16"/>
    <x v="19"/>
    <s v="64-647366-"/>
    <s v="luis.floresme@redsalud.gob.cl"/>
    <x v="12"/>
    <d v="2025-08-20T00:00:00"/>
    <n v="0"/>
    <m/>
    <n v="1"/>
    <n v="3291667"/>
    <d v="2026-03-01T00:00:00"/>
    <x v="0"/>
    <x v="0"/>
  </r>
  <r>
    <s v="SERVICIO DE SALUD OSORNO"/>
    <s v="Bienes y Servicios"/>
    <x v="24"/>
    <s v="Proyecto operacional"/>
    <s v="Publicado"/>
    <s v="22.08.007"/>
    <x v="25"/>
    <s v="Movilización para el traslado de usuarios y funcionarios CDR adulto mayor Kumelen de la Comuna de Osorno. Inicio de servicio 01/01/2026."/>
    <n v="1"/>
    <s v="Movilizacion Kumelen"/>
    <n v="4"/>
    <n v="1"/>
    <n v="39500000"/>
    <n v="3291667"/>
    <x v="11"/>
    <x v="18"/>
    <x v="16"/>
    <x v="19"/>
    <s v="64-647366-"/>
    <s v="luis.floresme@redsalud.gob.cl"/>
    <x v="12"/>
    <d v="2025-08-20T00:00:00"/>
    <n v="0"/>
    <m/>
    <n v="1"/>
    <n v="3291667"/>
    <d v="2026-10-01T00:00:00"/>
    <x v="0"/>
    <x v="0"/>
  </r>
  <r>
    <s v="SERVICIO DE SALUD OSORNO"/>
    <s v="Bienes y Servicios"/>
    <x v="24"/>
    <s v="Proyecto operacional"/>
    <s v="Publicado"/>
    <s v="22.08.007"/>
    <x v="25"/>
    <s v="Movilización para el traslado de usuarios y funcionarios CDR adulto mayor Kumelen de la Comuna de Osorno. Inicio de servicio 01/01/2026."/>
    <n v="1"/>
    <s v="Movilizacion Kumelen"/>
    <n v="4"/>
    <n v="1"/>
    <n v="39500000"/>
    <n v="3291667"/>
    <x v="11"/>
    <x v="18"/>
    <x v="16"/>
    <x v="19"/>
    <s v="64-647366-"/>
    <s v="luis.floresme@redsalud.gob.cl"/>
    <x v="12"/>
    <d v="2025-08-20T00:00:00"/>
    <n v="0"/>
    <m/>
    <n v="1"/>
    <n v="3291667"/>
    <d v="2026-11-01T00:00:00"/>
    <x v="0"/>
    <x v="0"/>
  </r>
  <r>
    <s v="SERVICIO DE SALUD OSORNO"/>
    <s v="Bienes y Servicios"/>
    <x v="24"/>
    <s v="Proyecto operacional"/>
    <s v="Publicado"/>
    <s v="22.08.007"/>
    <x v="25"/>
    <s v="Movilización para el traslado de usuarios y funcionarios CDR adulto mayor Kumelen de la Comuna de Osorno. Inicio de servicio 01/01/2026."/>
    <n v="1"/>
    <s v="Movilizacion Kumelen"/>
    <n v="4"/>
    <n v="1"/>
    <n v="39500000"/>
    <n v="3291667"/>
    <x v="11"/>
    <x v="18"/>
    <x v="16"/>
    <x v="19"/>
    <s v="64-647366-"/>
    <s v="luis.floresme@redsalud.gob.cl"/>
    <x v="12"/>
    <d v="2025-08-20T00:00:00"/>
    <n v="0"/>
    <m/>
    <n v="1"/>
    <n v="3291667"/>
    <d v="2026-05-01T00:00:00"/>
    <x v="0"/>
    <x v="0"/>
  </r>
  <r>
    <s v="SERVICIO DE SALUD OSORNO"/>
    <s v="Bienes y Servicios"/>
    <x v="24"/>
    <s v="Proyecto operacional"/>
    <s v="Publicado"/>
    <s v="22.08.007"/>
    <x v="25"/>
    <s v="Movilización para el traslado de usuarios y funcionarios CDR adulto mayor Kumelen de la Comuna de Osorno. Inicio de servicio 01/01/2026."/>
    <n v="1"/>
    <s v="Movilizacion Kumelen"/>
    <n v="4"/>
    <n v="1"/>
    <n v="39500000"/>
    <n v="3291667"/>
    <x v="11"/>
    <x v="18"/>
    <x v="16"/>
    <x v="19"/>
    <s v="64-647366-"/>
    <s v="luis.floresme@redsalud.gob.cl"/>
    <x v="12"/>
    <d v="2025-08-20T00:00:00"/>
    <n v="0"/>
    <m/>
    <n v="1"/>
    <n v="3291667"/>
    <d v="2026-04-01T00:00:00"/>
    <x v="0"/>
    <x v="0"/>
  </r>
  <r>
    <s v="SERVICIO DE SALUD OSORNO"/>
    <s v="Bienes y Servicios"/>
    <x v="24"/>
    <s v="Proyecto operacional"/>
    <s v="Publicado"/>
    <s v="22.08.007"/>
    <x v="25"/>
    <s v="Movilización para el traslado de usuarios y funcionarios CDR adulto mayor Kumelen de la Comuna de Osorno. Inicio de servicio 01/01/2026."/>
    <n v="1"/>
    <s v="Movilizacion Kumelen"/>
    <n v="4"/>
    <n v="1"/>
    <n v="39500000"/>
    <n v="3291667"/>
    <x v="11"/>
    <x v="18"/>
    <x v="16"/>
    <x v="19"/>
    <s v="64-647366-"/>
    <s v="luis.floresme@redsalud.gob.cl"/>
    <x v="12"/>
    <d v="2025-08-20T00:00:00"/>
    <n v="0"/>
    <m/>
    <n v="1"/>
    <n v="3291667"/>
    <d v="2026-07-01T00:00:00"/>
    <x v="0"/>
    <x v="0"/>
  </r>
  <r>
    <s v="SERVICIO DE SALUD OSORNO"/>
    <s v="Bienes y Servicios"/>
    <x v="24"/>
    <s v="Proyecto operacional"/>
    <s v="Publicado"/>
    <s v="22.08.007"/>
    <x v="25"/>
    <s v="Movilización para el traslado de usuarios y funcionarios CDR adulto mayor Kumelen de la Comuna de Osorno. Inicio de servicio 01/01/2026."/>
    <n v="1"/>
    <s v="Movilizacion Kumelen"/>
    <n v="4"/>
    <n v="1"/>
    <n v="39500000"/>
    <n v="3291667"/>
    <x v="11"/>
    <x v="18"/>
    <x v="16"/>
    <x v="19"/>
    <s v="64-647366-"/>
    <s v="luis.floresme@redsalud.gob.cl"/>
    <x v="12"/>
    <d v="2025-08-20T00:00:00"/>
    <n v="0"/>
    <m/>
    <n v="1"/>
    <n v="3291667"/>
    <d v="2026-12-01T00:00:00"/>
    <x v="0"/>
    <x v="0"/>
  </r>
  <r>
    <s v="SERVICIO DE SALUD OSORNO"/>
    <s v="Bienes y Servicios"/>
    <x v="24"/>
    <s v="Proyecto operacional"/>
    <s v="Publicado"/>
    <s v="22.08.007"/>
    <x v="25"/>
    <s v="Movilización para el traslado de usuarios y funcionarios CDR adulto mayor Kumelen de la Comuna de Osorno. Inicio de servicio 01/01/2026."/>
    <n v="1"/>
    <s v="Movilizacion Kumelen"/>
    <n v="4"/>
    <n v="1"/>
    <n v="39500000"/>
    <n v="3291667"/>
    <x v="11"/>
    <x v="18"/>
    <x v="16"/>
    <x v="19"/>
    <s v="64-647366-"/>
    <s v="luis.floresme@redsalud.gob.cl"/>
    <x v="12"/>
    <d v="2025-08-20T00:00:00"/>
    <n v="0"/>
    <m/>
    <n v="1"/>
    <n v="3291667"/>
    <d v="2026-09-01T00:00:00"/>
    <x v="0"/>
    <x v="0"/>
  </r>
  <r>
    <s v="SERVICIO DE SALUD OSORNO"/>
    <s v="Bienes y Servicios"/>
    <x v="24"/>
    <s v="Proyecto operacional"/>
    <s v="Publicado"/>
    <s v="22.08.007"/>
    <x v="25"/>
    <s v="Movilización para el traslado de usuarios y funcionarios CDR adulto mayor Kumelen de la Comuna de Osorno. Inicio de servicio 01/01/2026."/>
    <n v="1"/>
    <s v="Movilizacion Kumelen"/>
    <n v="4"/>
    <n v="1"/>
    <n v="39500000"/>
    <n v="3291667"/>
    <x v="11"/>
    <x v="18"/>
    <x v="16"/>
    <x v="19"/>
    <s v="64-647366-"/>
    <s v="luis.floresme@redsalud.gob.cl"/>
    <x v="12"/>
    <d v="2025-08-20T00:00:00"/>
    <n v="0"/>
    <m/>
    <n v="1"/>
    <n v="3291667"/>
    <d v="2026-02-01T00:00:00"/>
    <x v="0"/>
    <x v="0"/>
  </r>
  <r>
    <s v="SERVICIO DE SALUD OSORNO"/>
    <s v="Bienes y Servicios"/>
    <x v="25"/>
    <s v="Proyecto operacional"/>
    <s v="Publicado"/>
    <s v="22.08.007"/>
    <x v="26"/>
    <s v="Servicio de Movilizacion para Funcionarios CDR Adulto Mayor Kumelen,Vencimiento del contrato actual finaliza el 31/12/2025. Inicio del servicio 01/01/2026."/>
    <n v="1"/>
    <s v="Movilizacion"/>
    <n v="4"/>
    <n v="1"/>
    <n v="31500000"/>
    <n v="2625000"/>
    <x v="11"/>
    <x v="18"/>
    <x v="16"/>
    <x v="19"/>
    <s v="64-2647366-"/>
    <s v="luis.floresme@redsalud.gob.cl"/>
    <x v="7"/>
    <d v="2025-08-20T00:00:00"/>
    <n v="0"/>
    <m/>
    <n v="1"/>
    <n v="2625000"/>
    <d v="2026-11-01T00:00:00"/>
    <x v="0"/>
    <x v="0"/>
  </r>
  <r>
    <s v="SERVICIO DE SALUD OSORNO"/>
    <s v="Bienes y Servicios"/>
    <x v="25"/>
    <s v="Proyecto operacional"/>
    <s v="Publicado"/>
    <s v="22.08.007"/>
    <x v="26"/>
    <s v="Servicio de Movilizacion para Funcionarios CDR Adulto Mayor Kumelen,Vencimiento del contrato actual finaliza el 31/12/2025. Inicio del servicio 01/01/2026."/>
    <n v="1"/>
    <s v="Movilizacion"/>
    <n v="4"/>
    <n v="1"/>
    <n v="31500000"/>
    <n v="2625000"/>
    <x v="11"/>
    <x v="18"/>
    <x v="16"/>
    <x v="19"/>
    <s v="64-2647366-"/>
    <s v="luis.floresme@redsalud.gob.cl"/>
    <x v="7"/>
    <d v="2025-08-20T00:00:00"/>
    <n v="0"/>
    <m/>
    <n v="1"/>
    <n v="2625000"/>
    <d v="2026-03-01T00:00:00"/>
    <x v="0"/>
    <x v="0"/>
  </r>
  <r>
    <s v="SERVICIO DE SALUD OSORNO"/>
    <s v="Bienes y Servicios"/>
    <x v="25"/>
    <s v="Proyecto operacional"/>
    <s v="Publicado"/>
    <s v="22.08.007"/>
    <x v="26"/>
    <s v="Servicio de Movilizacion para Funcionarios CDR Adulto Mayor Kumelen,Vencimiento del contrato actual finaliza el 31/12/2025. Inicio del servicio 01/01/2026."/>
    <n v="1"/>
    <s v="Movilizacion"/>
    <n v="4"/>
    <n v="1"/>
    <n v="31500000"/>
    <n v="2625000"/>
    <x v="11"/>
    <x v="18"/>
    <x v="16"/>
    <x v="19"/>
    <s v="64-2647366-"/>
    <s v="luis.floresme@redsalud.gob.cl"/>
    <x v="7"/>
    <d v="2025-08-20T00:00:00"/>
    <n v="0"/>
    <m/>
    <n v="1"/>
    <n v="2625000"/>
    <d v="2026-02-01T00:00:00"/>
    <x v="0"/>
    <x v="0"/>
  </r>
  <r>
    <s v="SERVICIO DE SALUD OSORNO"/>
    <s v="Bienes y Servicios"/>
    <x v="25"/>
    <s v="Proyecto operacional"/>
    <s v="Publicado"/>
    <s v="22.08.007"/>
    <x v="26"/>
    <s v="Servicio de Movilizacion para Funcionarios CDR Adulto Mayor Kumelen,Vencimiento del contrato actual finaliza el 31/12/2025. Inicio del servicio 01/01/2026."/>
    <n v="1"/>
    <s v="Movilizacion"/>
    <n v="4"/>
    <n v="1"/>
    <n v="31500000"/>
    <n v="2625000"/>
    <x v="11"/>
    <x v="18"/>
    <x v="16"/>
    <x v="19"/>
    <s v="64-2647366-"/>
    <s v="luis.floresme@redsalud.gob.cl"/>
    <x v="7"/>
    <d v="2025-08-20T00:00:00"/>
    <n v="0"/>
    <m/>
    <n v="1"/>
    <n v="2625000"/>
    <d v="2026-12-01T00:00:00"/>
    <x v="0"/>
    <x v="0"/>
  </r>
  <r>
    <s v="SERVICIO DE SALUD OSORNO"/>
    <s v="Bienes y Servicios"/>
    <x v="25"/>
    <s v="Proyecto operacional"/>
    <s v="Publicado"/>
    <s v="22.08.007"/>
    <x v="26"/>
    <s v="Servicio de Movilizacion para Funcionarios CDR Adulto Mayor Kumelen,Vencimiento del contrato actual finaliza el 31/12/2025. Inicio del servicio 01/01/2026."/>
    <n v="1"/>
    <s v="Movilizacion"/>
    <n v="4"/>
    <n v="1"/>
    <n v="31500000"/>
    <n v="2625000"/>
    <x v="11"/>
    <x v="18"/>
    <x v="16"/>
    <x v="19"/>
    <s v="64-2647366-"/>
    <s v="luis.floresme@redsalud.gob.cl"/>
    <x v="7"/>
    <d v="2025-08-20T00:00:00"/>
    <n v="0"/>
    <m/>
    <n v="1"/>
    <n v="2625000"/>
    <d v="2026-05-01T00:00:00"/>
    <x v="0"/>
    <x v="0"/>
  </r>
  <r>
    <s v="SERVICIO DE SALUD OSORNO"/>
    <s v="Bienes y Servicios"/>
    <x v="25"/>
    <s v="Proyecto operacional"/>
    <s v="Publicado"/>
    <s v="22.08.007"/>
    <x v="26"/>
    <s v="Servicio de Movilizacion para Funcionarios CDR Adulto Mayor Kumelen,Vencimiento del contrato actual finaliza el 31/12/2025. Inicio del servicio 01/01/2026."/>
    <n v="1"/>
    <s v="Movilizacion"/>
    <n v="4"/>
    <n v="1"/>
    <n v="31500000"/>
    <n v="2625000"/>
    <x v="11"/>
    <x v="18"/>
    <x v="16"/>
    <x v="19"/>
    <s v="64-2647366-"/>
    <s v="luis.floresme@redsalud.gob.cl"/>
    <x v="7"/>
    <d v="2025-08-20T00:00:00"/>
    <n v="0"/>
    <m/>
    <n v="1"/>
    <n v="2625000"/>
    <d v="2026-06-01T00:00:00"/>
    <x v="0"/>
    <x v="0"/>
  </r>
  <r>
    <s v="SERVICIO DE SALUD OSORNO"/>
    <s v="Bienes y Servicios"/>
    <x v="25"/>
    <s v="Proyecto operacional"/>
    <s v="Publicado"/>
    <s v="22.08.007"/>
    <x v="26"/>
    <s v="Servicio de Movilizacion para Funcionarios CDR Adulto Mayor Kumelen,Vencimiento del contrato actual finaliza el 31/12/2025. Inicio del servicio 01/01/2026."/>
    <n v="1"/>
    <s v="Movilizacion"/>
    <n v="4"/>
    <n v="1"/>
    <n v="31500000"/>
    <n v="2625000"/>
    <x v="11"/>
    <x v="18"/>
    <x v="16"/>
    <x v="19"/>
    <s v="64-2647366-"/>
    <s v="luis.floresme@redsalud.gob.cl"/>
    <x v="7"/>
    <d v="2025-08-20T00:00:00"/>
    <n v="0"/>
    <m/>
    <n v="1"/>
    <n v="2625000"/>
    <d v="2026-08-01T00:00:00"/>
    <x v="0"/>
    <x v="0"/>
  </r>
  <r>
    <s v="SERVICIO DE SALUD OSORNO"/>
    <s v="Bienes y Servicios"/>
    <x v="25"/>
    <s v="Proyecto operacional"/>
    <s v="Publicado"/>
    <s v="22.08.007"/>
    <x v="26"/>
    <s v="Servicio de Movilizacion para Funcionarios CDR Adulto Mayor Kumelen,Vencimiento del contrato actual finaliza el 31/12/2025. Inicio del servicio 01/01/2026."/>
    <n v="1"/>
    <s v="Movilizacion"/>
    <n v="4"/>
    <n v="1"/>
    <n v="31500000"/>
    <n v="2625000"/>
    <x v="11"/>
    <x v="18"/>
    <x v="16"/>
    <x v="19"/>
    <s v="64-2647366-"/>
    <s v="luis.floresme@redsalud.gob.cl"/>
    <x v="7"/>
    <d v="2025-08-20T00:00:00"/>
    <n v="0"/>
    <m/>
    <n v="1"/>
    <n v="2625000"/>
    <d v="2026-07-01T00:00:00"/>
    <x v="0"/>
    <x v="0"/>
  </r>
  <r>
    <s v="SERVICIO DE SALUD OSORNO"/>
    <s v="Bienes y Servicios"/>
    <x v="25"/>
    <s v="Proyecto operacional"/>
    <s v="Publicado"/>
    <s v="22.08.007"/>
    <x v="26"/>
    <s v="Servicio de Movilizacion para Funcionarios CDR Adulto Mayor Kumelen,Vencimiento del contrato actual finaliza el 31/12/2025. Inicio del servicio 01/01/2026."/>
    <n v="1"/>
    <s v="Movilizacion"/>
    <n v="4"/>
    <n v="1"/>
    <n v="31500000"/>
    <n v="2625000"/>
    <x v="11"/>
    <x v="18"/>
    <x v="16"/>
    <x v="19"/>
    <s v="64-2647366-"/>
    <s v="luis.floresme@redsalud.gob.cl"/>
    <x v="7"/>
    <d v="2025-08-20T00:00:00"/>
    <n v="0"/>
    <m/>
    <n v="1"/>
    <n v="2625000"/>
    <d v="2026-04-01T00:00:00"/>
    <x v="0"/>
    <x v="0"/>
  </r>
  <r>
    <s v="SERVICIO DE SALUD OSORNO"/>
    <s v="Bienes y Servicios"/>
    <x v="25"/>
    <s v="Proyecto operacional"/>
    <s v="Publicado"/>
    <s v="22.08.007"/>
    <x v="26"/>
    <s v="Servicio de Movilizacion para Funcionarios CDR Adulto Mayor Kumelen,Vencimiento del contrato actual finaliza el 31/12/2025. Inicio del servicio 01/01/2026."/>
    <n v="1"/>
    <s v="Movilizacion"/>
    <n v="4"/>
    <n v="1"/>
    <n v="31500000"/>
    <n v="2625000"/>
    <x v="11"/>
    <x v="18"/>
    <x v="16"/>
    <x v="19"/>
    <s v="64-2647366-"/>
    <s v="luis.floresme@redsalud.gob.cl"/>
    <x v="7"/>
    <d v="2025-08-20T00:00:00"/>
    <n v="0"/>
    <m/>
    <n v="1"/>
    <n v="2625000"/>
    <d v="2026-09-01T00:00:00"/>
    <x v="0"/>
    <x v="0"/>
  </r>
  <r>
    <s v="SERVICIO DE SALUD OSORNO"/>
    <s v="Bienes y Servicios"/>
    <x v="25"/>
    <s v="Proyecto operacional"/>
    <s v="Publicado"/>
    <s v="22.08.007"/>
    <x v="26"/>
    <s v="Servicio de Movilizacion para Funcionarios CDR Adulto Mayor Kumelen,Vencimiento del contrato actual finaliza el 31/12/2025. Inicio del servicio 01/01/2026."/>
    <n v="1"/>
    <s v="Movilizacion"/>
    <n v="4"/>
    <n v="1"/>
    <n v="31500000"/>
    <n v="2625000"/>
    <x v="11"/>
    <x v="18"/>
    <x v="16"/>
    <x v="19"/>
    <s v="64-2647366-"/>
    <s v="luis.floresme@redsalud.gob.cl"/>
    <x v="7"/>
    <d v="2025-08-20T00:00:00"/>
    <n v="0"/>
    <m/>
    <n v="1"/>
    <n v="2625000"/>
    <d v="2026-10-01T00:00:00"/>
    <x v="0"/>
    <x v="0"/>
  </r>
  <r>
    <s v="SERVICIO DE SALUD OSORNO"/>
    <s v="Bienes y Servicios"/>
    <x v="26"/>
    <s v="Proyecto operacional"/>
    <s v="Publicado"/>
    <s v="22.04.005.003"/>
    <x v="27"/>
    <s v="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
    <n v="1"/>
    <s v="Suministro KIT Point"/>
    <n v="4"/>
    <n v="1"/>
    <n v="90000000"/>
    <n v="7500000"/>
    <x v="11"/>
    <x v="17"/>
    <x v="17"/>
    <x v="20"/>
    <s v="64-2567046-"/>
    <s v="nicolas.asencio@redsalud.gob.cl"/>
    <x v="12"/>
    <d v="2025-08-20T00:00:00"/>
    <n v="3"/>
    <s v="1057532-4808-AG25"/>
    <n v="1"/>
    <n v="7500000"/>
    <d v="2026-06-01T00:00:00"/>
    <x v="0"/>
    <x v="0"/>
  </r>
  <r>
    <s v="SERVICIO DE SALUD OSORNO"/>
    <s v="Bienes y Servicios"/>
    <x v="26"/>
    <s v="Proyecto operacional"/>
    <s v="Publicado"/>
    <s v="22.04.005.003"/>
    <x v="27"/>
    <s v="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
    <n v="1"/>
    <s v="Suministro KIT Point"/>
    <n v="4"/>
    <n v="1"/>
    <n v="90000000"/>
    <n v="7500000"/>
    <x v="11"/>
    <x v="17"/>
    <x v="17"/>
    <x v="20"/>
    <s v="64-2567046-"/>
    <s v="nicolas.asencio@redsalud.gob.cl"/>
    <x v="12"/>
    <d v="2025-08-20T00:00:00"/>
    <n v="3"/>
    <s v="1057532-4808-AG25"/>
    <n v="1"/>
    <n v="7500000"/>
    <d v="2026-03-01T00:00:00"/>
    <x v="0"/>
    <x v="0"/>
  </r>
  <r>
    <s v="SERVICIO DE SALUD OSORNO"/>
    <s v="Bienes y Servicios"/>
    <x v="26"/>
    <s v="Proyecto operacional"/>
    <s v="Publicado"/>
    <s v="22.04.005.003"/>
    <x v="27"/>
    <s v="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
    <n v="1"/>
    <s v="Suministro KIT Point"/>
    <n v="4"/>
    <n v="1"/>
    <n v="90000000"/>
    <n v="7500000"/>
    <x v="11"/>
    <x v="17"/>
    <x v="17"/>
    <x v="20"/>
    <s v="64-2567046-"/>
    <s v="nicolas.asencio@redsalud.gob.cl"/>
    <x v="12"/>
    <d v="2025-08-20T00:00:00"/>
    <n v="3"/>
    <s v="1057532-4808-AG25"/>
    <n v="1"/>
    <n v="7500000"/>
    <d v="2026-07-01T00:00:00"/>
    <x v="0"/>
    <x v="0"/>
  </r>
  <r>
    <s v="SERVICIO DE SALUD OSORNO"/>
    <s v="Bienes y Servicios"/>
    <x v="26"/>
    <s v="Proyecto operacional"/>
    <s v="Publicado"/>
    <s v="22.04.005.003"/>
    <x v="27"/>
    <s v="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
    <n v="1"/>
    <s v="Suministro KIT Point"/>
    <n v="4"/>
    <n v="1"/>
    <n v="90000000"/>
    <n v="7500000"/>
    <x v="11"/>
    <x v="17"/>
    <x v="17"/>
    <x v="20"/>
    <s v="64-2567046-"/>
    <s v="nicolas.asencio@redsalud.gob.cl"/>
    <x v="12"/>
    <d v="2025-08-20T00:00:00"/>
    <n v="3"/>
    <s v="1057532-4808-AG25"/>
    <n v="1"/>
    <n v="7500000"/>
    <d v="2026-02-01T00:00:00"/>
    <x v="0"/>
    <x v="0"/>
  </r>
  <r>
    <s v="SERVICIO DE SALUD OSORNO"/>
    <s v="Bienes y Servicios"/>
    <x v="26"/>
    <s v="Proyecto operacional"/>
    <s v="Publicado"/>
    <s v="22.04.005.003"/>
    <x v="27"/>
    <s v="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
    <n v="1"/>
    <s v="Suministro KIT Point"/>
    <n v="4"/>
    <n v="1"/>
    <n v="90000000"/>
    <n v="7500000"/>
    <x v="11"/>
    <x v="17"/>
    <x v="17"/>
    <x v="20"/>
    <s v="64-2567046-"/>
    <s v="nicolas.asencio@redsalud.gob.cl"/>
    <x v="12"/>
    <d v="2025-08-20T00:00:00"/>
    <n v="3"/>
    <s v="1057532-4808-AG25"/>
    <n v="1"/>
    <n v="7500000"/>
    <d v="2026-01-01T00:00:00"/>
    <x v="0"/>
    <x v="0"/>
  </r>
  <r>
    <s v="SERVICIO DE SALUD OSORNO"/>
    <s v="Bienes y Servicios"/>
    <x v="26"/>
    <s v="Proyecto operacional"/>
    <s v="Publicado"/>
    <s v="22.04.005.003"/>
    <x v="27"/>
    <s v="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
    <n v="1"/>
    <s v="Suministro KIT Point"/>
    <n v="4"/>
    <n v="1"/>
    <n v="90000000"/>
    <n v="7500000"/>
    <x v="11"/>
    <x v="17"/>
    <x v="17"/>
    <x v="20"/>
    <s v="64-2567046-"/>
    <s v="nicolas.asencio@redsalud.gob.cl"/>
    <x v="12"/>
    <d v="2025-08-20T00:00:00"/>
    <n v="3"/>
    <s v="1057532-5641-SE25"/>
    <n v="1"/>
    <n v="7500000"/>
    <d v="2026-01-01T00:00:00"/>
    <x v="0"/>
    <x v="0"/>
  </r>
  <r>
    <s v="SERVICIO DE SALUD OSORNO"/>
    <s v="Bienes y Servicios"/>
    <x v="26"/>
    <s v="Proyecto operacional"/>
    <s v="Publicado"/>
    <s v="22.04.005.003"/>
    <x v="27"/>
    <s v="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
    <n v="1"/>
    <s v="Suministro KIT Point"/>
    <n v="4"/>
    <n v="1"/>
    <n v="90000000"/>
    <n v="7500000"/>
    <x v="11"/>
    <x v="17"/>
    <x v="17"/>
    <x v="20"/>
    <s v="64-2567046-"/>
    <s v="nicolas.asencio@redsalud.gob.cl"/>
    <x v="12"/>
    <d v="2025-08-20T00:00:00"/>
    <n v="3"/>
    <s v="1057532-4808-AG25"/>
    <n v="1"/>
    <n v="7500000"/>
    <d v="2026-04-01T00:00:00"/>
    <x v="0"/>
    <x v="0"/>
  </r>
  <r>
    <s v="SERVICIO DE SALUD OSORNO"/>
    <s v="Bienes y Servicios"/>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n v="1"/>
    <s v="Pasajes"/>
    <n v="5"/>
    <n v="1"/>
    <n v="16500000"/>
    <n v="916666"/>
    <x v="5"/>
    <x v="5"/>
    <x v="18"/>
    <x v="21"/>
    <s v="64-2565594-"/>
    <s v="sandra.espinoza@redsalud.gob.cl"/>
    <x v="10"/>
    <d v="2025-08-20T00:00:00"/>
    <n v="27"/>
    <s v="1057532-4762-SE25"/>
    <n v="1"/>
    <n v="916666"/>
    <d v="2026-11-01T00:00:00"/>
    <x v="0"/>
    <x v="0"/>
  </r>
  <r>
    <s v="SERVICIO DE SALUD OSORNO"/>
    <s v="Bienes y Servicios"/>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n v="1"/>
    <s v="Pasajes"/>
    <n v="5"/>
    <n v="1"/>
    <n v="16500000"/>
    <n v="916666"/>
    <x v="5"/>
    <x v="5"/>
    <x v="18"/>
    <x v="21"/>
    <s v="64-2565594-"/>
    <s v="sandra.espinoza@redsalud.gob.cl"/>
    <x v="10"/>
    <d v="2025-08-20T00:00:00"/>
    <n v="27"/>
    <s v="1057532-5096-CM25"/>
    <n v="1"/>
    <n v="916666"/>
    <d v="2026-11-01T00:00:00"/>
    <x v="0"/>
    <x v="0"/>
  </r>
  <r>
    <s v="SERVICIO DE SALUD OSORNO"/>
    <s v="Bienes y Servicios"/>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n v="1"/>
    <s v="Pasajes"/>
    <n v="5"/>
    <n v="1"/>
    <n v="16500000"/>
    <n v="916666"/>
    <x v="5"/>
    <x v="5"/>
    <x v="18"/>
    <x v="21"/>
    <s v="64-2565594-"/>
    <s v="sandra.espinoza@redsalud.gob.cl"/>
    <x v="10"/>
    <d v="2025-08-20T00:00:00"/>
    <n v="27"/>
    <s v="1057532-5070-CM25"/>
    <n v="1"/>
    <n v="916666"/>
    <d v="2026-03-01T00:00:00"/>
    <x v="0"/>
    <x v="0"/>
  </r>
  <r>
    <s v="SERVICIO DE SALUD OSORNO"/>
    <s v="Bienes y Servicios"/>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n v="1"/>
    <s v="Pasajes"/>
    <n v="5"/>
    <n v="1"/>
    <n v="16500000"/>
    <n v="916666"/>
    <x v="5"/>
    <x v="5"/>
    <x v="18"/>
    <x v="21"/>
    <s v="64-2565594-"/>
    <s v="sandra.espinoza@redsalud.gob.cl"/>
    <x v="10"/>
    <d v="2025-08-20T00:00:00"/>
    <n v="27"/>
    <s v="1057532-4720-CM25"/>
    <n v="1"/>
    <n v="916666"/>
    <d v="2026-03-01T00:00:00"/>
    <x v="0"/>
    <x v="0"/>
  </r>
  <r>
    <s v="SERVICIO DE SALUD OSORNO"/>
    <s v="Bienes y Servicios"/>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n v="1"/>
    <s v="Pasajes"/>
    <n v="5"/>
    <n v="1"/>
    <n v="16500000"/>
    <n v="916666"/>
    <x v="5"/>
    <x v="5"/>
    <x v="18"/>
    <x v="21"/>
    <s v="64-2565594-"/>
    <s v="sandra.espinoza@redsalud.gob.cl"/>
    <x v="10"/>
    <d v="2025-08-20T00:00:00"/>
    <n v="27"/>
    <s v="1057532-5352-CM25"/>
    <n v="1"/>
    <n v="916666"/>
    <d v="2026-11-01T00:00:00"/>
    <x v="0"/>
    <x v="0"/>
  </r>
  <r>
    <s v="SERVICIO DE SALUD OSORNO"/>
    <s v="Bienes y Servicios"/>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n v="1"/>
    <s v="Pasajes"/>
    <n v="5"/>
    <n v="1"/>
    <n v="16500000"/>
    <n v="916666"/>
    <x v="5"/>
    <x v="5"/>
    <x v="18"/>
    <x v="21"/>
    <s v="64-2565594-"/>
    <s v="sandra.espinoza@redsalud.gob.cl"/>
    <x v="10"/>
    <d v="2025-08-20T00:00:00"/>
    <n v="27"/>
    <s v="1057532-5335-CM25"/>
    <n v="1"/>
    <n v="916666"/>
    <d v="2026-08-01T00:00:00"/>
    <x v="0"/>
    <x v="0"/>
  </r>
  <r>
    <s v="SERVICIO DE SALUD OSORNO"/>
    <s v="Bienes y Servicios"/>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n v="1"/>
    <s v="Pasajes"/>
    <n v="5"/>
    <n v="1"/>
    <n v="16500000"/>
    <n v="916666"/>
    <x v="5"/>
    <x v="5"/>
    <x v="18"/>
    <x v="21"/>
    <s v="64-2565594-"/>
    <s v="sandra.espinoza@redsalud.gob.cl"/>
    <x v="10"/>
    <d v="2025-08-20T00:00:00"/>
    <n v="27"/>
    <s v="1057532-4899-CM25"/>
    <n v="1"/>
    <n v="916666"/>
    <d v="2026-06-01T00:00:00"/>
    <x v="0"/>
    <x v="0"/>
  </r>
  <r>
    <s v="SERVICIO DE SALUD OSORNO"/>
    <s v="Bienes y Servicios"/>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n v="1"/>
    <s v="Pasajes"/>
    <n v="5"/>
    <n v="1"/>
    <n v="16500000"/>
    <n v="916666"/>
    <x v="5"/>
    <x v="5"/>
    <x v="18"/>
    <x v="21"/>
    <s v="64-2565594-"/>
    <s v="sandra.espinoza@redsalud.gob.cl"/>
    <x v="10"/>
    <d v="2025-08-20T00:00:00"/>
    <n v="27"/>
    <s v="1057532-5599-CM25"/>
    <n v="1"/>
    <n v="916666"/>
    <d v="2026-01-01T00:00:00"/>
    <x v="0"/>
    <x v="0"/>
  </r>
  <r>
    <s v="SERVICIO DE SALUD OSORNO"/>
    <s v="Bienes y Servicios"/>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n v="1"/>
    <s v="Pasajes"/>
    <n v="5"/>
    <n v="1"/>
    <n v="16500000"/>
    <n v="916666"/>
    <x v="5"/>
    <x v="5"/>
    <x v="18"/>
    <x v="21"/>
    <s v="64-2565594-"/>
    <s v="sandra.espinoza@redsalud.gob.cl"/>
    <x v="10"/>
    <d v="2025-08-20T00:00:00"/>
    <n v="27"/>
    <s v="1057532-5071-CM25"/>
    <n v="1"/>
    <n v="916666"/>
    <d v="2026-03-01T00:00:00"/>
    <x v="0"/>
    <x v="0"/>
  </r>
  <r>
    <s v="SERVICIO DE SALUD OSORNO"/>
    <s v="Bienes y Servicios"/>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n v="1"/>
    <s v="Pasajes"/>
    <n v="5"/>
    <n v="1"/>
    <n v="16500000"/>
    <n v="916666"/>
    <x v="5"/>
    <x v="5"/>
    <x v="18"/>
    <x v="21"/>
    <s v="64-2565594-"/>
    <s v="sandra.espinoza@redsalud.gob.cl"/>
    <x v="10"/>
    <d v="2025-08-20T00:00:00"/>
    <n v="27"/>
    <s v="1057532-4899-CM25"/>
    <n v="1"/>
    <n v="916666"/>
    <d v="2026-01-01T00:00:00"/>
    <x v="0"/>
    <x v="0"/>
  </r>
  <r>
    <s v="SERVICIO DE SALUD OSORNO"/>
    <s v="Bienes y Servicios"/>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n v="1"/>
    <s v="Pasajes"/>
    <n v="5"/>
    <n v="1"/>
    <n v="16500000"/>
    <n v="916666"/>
    <x v="5"/>
    <x v="5"/>
    <x v="18"/>
    <x v="21"/>
    <s v="64-2565594-"/>
    <s v="sandra.espinoza@redsalud.gob.cl"/>
    <x v="10"/>
    <d v="2025-08-20T00:00:00"/>
    <n v="27"/>
    <s v="1057532-5335-CM25"/>
    <n v="1"/>
    <n v="916666"/>
    <d v="2026-02-01T00:00:00"/>
    <x v="0"/>
    <x v="0"/>
  </r>
  <r>
    <s v="SERVICIO DE SALUD OSORNO"/>
    <s v="Bienes y Servicios"/>
    <x v="27"/>
    <s v="Proyecto operacional"/>
    <s v="Publicado"/>
    <s v="22.08.007"/>
    <x v="28"/>
    <s v="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
    <n v="1"/>
    <s v="Pasajes"/>
    <n v="5"/>
    <n v="1"/>
    <n v="16500000"/>
    <n v="916678"/>
    <x v="5"/>
    <x v="5"/>
    <x v="18"/>
    <x v="21"/>
    <s v="64-2565594-"/>
    <s v="sandra.espinoza@redsalud.gob.cl"/>
    <x v="10"/>
    <d v="2025-08-20T00:00:00"/>
    <n v="27"/>
    <s v="1057532-4718-CM25"/>
    <n v="1"/>
    <n v="916678"/>
    <d v="2026-12-01T00:00:00"/>
    <x v="0"/>
    <x v="0"/>
  </r>
  <r>
    <s v="SERVICIO DE SALUD OSORNO"/>
    <s v="Bienes y Servicios"/>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n v="1"/>
    <s v="Alimentación"/>
    <n v="4"/>
    <n v="12"/>
    <n v="2750000"/>
    <n v="2750000"/>
    <x v="11"/>
    <x v="18"/>
    <x v="19"/>
    <x v="22"/>
    <s v="64-2565492-"/>
    <s v="mariaines.asenjo@redsalud.gob.cl"/>
    <x v="7"/>
    <d v="2025-08-20T00:00:00"/>
    <n v="2"/>
    <s v="1057532-5735-AG25"/>
    <n v="1"/>
    <n v="2750000"/>
    <d v="2026-04-01T00:00:00"/>
    <x v="0"/>
    <x v="0"/>
  </r>
  <r>
    <s v="SERVICIO DE SALUD OSORNO"/>
    <s v="Bienes y Servicios"/>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n v="1"/>
    <s v="Alimentación"/>
    <n v="4"/>
    <n v="12"/>
    <n v="2750000"/>
    <n v="2750000"/>
    <x v="11"/>
    <x v="18"/>
    <x v="19"/>
    <x v="22"/>
    <s v="64-2565492-"/>
    <s v="mariaines.asenjo@redsalud.gob.cl"/>
    <x v="7"/>
    <d v="2025-08-20T00:00:00"/>
    <n v="2"/>
    <s v="1057532-5735-AG25"/>
    <n v="1"/>
    <n v="2750000"/>
    <d v="2026-02-01T00:00:00"/>
    <x v="0"/>
    <x v="0"/>
  </r>
  <r>
    <s v="SERVICIO DE SALUD OSORNO"/>
    <s v="Bienes y Servicios"/>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n v="1"/>
    <s v="Alimentación"/>
    <n v="4"/>
    <n v="12"/>
    <n v="2750000"/>
    <n v="2750000"/>
    <x v="11"/>
    <x v="18"/>
    <x v="19"/>
    <x v="22"/>
    <s v="64-2565492-"/>
    <s v="mariaines.asenjo@redsalud.gob.cl"/>
    <x v="7"/>
    <d v="2025-08-20T00:00:00"/>
    <n v="2"/>
    <s v="1057532-5735-AG25"/>
    <n v="1"/>
    <n v="2750000"/>
    <d v="2026-07-01T00:00:00"/>
    <x v="0"/>
    <x v="0"/>
  </r>
  <r>
    <s v="SERVICIO DE SALUD OSORNO"/>
    <s v="Bienes y Servicios"/>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n v="1"/>
    <s v="Alimentación"/>
    <n v="4"/>
    <n v="12"/>
    <n v="2750000"/>
    <n v="2750000"/>
    <x v="11"/>
    <x v="18"/>
    <x v="19"/>
    <x v="22"/>
    <s v="64-2565492-"/>
    <s v="mariaines.asenjo@redsalud.gob.cl"/>
    <x v="7"/>
    <d v="2025-08-20T00:00:00"/>
    <n v="2"/>
    <s v="1057532-5735-AG25"/>
    <n v="1"/>
    <n v="2750000"/>
    <d v="2026-05-01T00:00:00"/>
    <x v="0"/>
    <x v="0"/>
  </r>
  <r>
    <s v="SERVICIO DE SALUD OSORNO"/>
    <s v="Bienes y Servicios"/>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n v="1"/>
    <s v="Alimentación"/>
    <n v="4"/>
    <n v="12"/>
    <n v="2750000"/>
    <n v="2750000"/>
    <x v="11"/>
    <x v="18"/>
    <x v="19"/>
    <x v="22"/>
    <s v="64-2565492-"/>
    <s v="mariaines.asenjo@redsalud.gob.cl"/>
    <x v="7"/>
    <d v="2025-08-20T00:00:00"/>
    <n v="2"/>
    <s v="1057532-5753-AG25"/>
    <n v="1"/>
    <n v="2750000"/>
    <d v="2026-12-01T00:00:00"/>
    <x v="0"/>
    <x v="0"/>
  </r>
  <r>
    <s v="SERVICIO DE SALUD OSORNO"/>
    <s v="Bienes y Servicios"/>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n v="1"/>
    <s v="Alimentación"/>
    <n v="4"/>
    <n v="12"/>
    <n v="2750000"/>
    <n v="2750000"/>
    <x v="11"/>
    <x v="18"/>
    <x v="19"/>
    <x v="22"/>
    <s v="64-2565492-"/>
    <s v="mariaines.asenjo@redsalud.gob.cl"/>
    <x v="7"/>
    <d v="2025-08-20T00:00:00"/>
    <n v="2"/>
    <s v="1057532-5735-AG25"/>
    <n v="1"/>
    <n v="2750000"/>
    <d v="2026-08-01T00:00:00"/>
    <x v="0"/>
    <x v="0"/>
  </r>
  <r>
    <s v="SERVICIO DE SALUD OSORNO"/>
    <s v="Bienes y Servicios"/>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n v="1"/>
    <s v="Alimentación"/>
    <n v="4"/>
    <n v="12"/>
    <n v="2750000"/>
    <n v="2750000"/>
    <x v="11"/>
    <x v="18"/>
    <x v="19"/>
    <x v="22"/>
    <s v="64-2565492-"/>
    <s v="mariaines.asenjo@redsalud.gob.cl"/>
    <x v="7"/>
    <d v="2025-08-20T00:00:00"/>
    <n v="2"/>
    <s v="1057532-5735-AG25"/>
    <n v="1"/>
    <n v="2750000"/>
    <d v="2026-03-01T00:00:00"/>
    <x v="0"/>
    <x v="0"/>
  </r>
  <r>
    <s v="SERVICIO DE SALUD OSORNO"/>
    <s v="Bienes y Servicios"/>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n v="1"/>
    <s v="Alimentación"/>
    <n v="4"/>
    <n v="12"/>
    <n v="2750000"/>
    <n v="2750000"/>
    <x v="11"/>
    <x v="18"/>
    <x v="19"/>
    <x v="22"/>
    <s v="64-2565492-"/>
    <s v="mariaines.asenjo@redsalud.gob.cl"/>
    <x v="7"/>
    <d v="2025-08-20T00:00:00"/>
    <n v="2"/>
    <s v="1057532-5735-AG25"/>
    <n v="1"/>
    <n v="2750000"/>
    <d v="2026-12-01T00:00:00"/>
    <x v="0"/>
    <x v="0"/>
  </r>
  <r>
    <s v="SERVICIO DE SALUD OSORNO"/>
    <s v="Bienes y Servicios"/>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n v="1"/>
    <s v="Alimentación"/>
    <n v="4"/>
    <n v="12"/>
    <n v="2750000"/>
    <n v="2750000"/>
    <x v="11"/>
    <x v="18"/>
    <x v="19"/>
    <x v="22"/>
    <s v="64-2565492-"/>
    <s v="mariaines.asenjo@redsalud.gob.cl"/>
    <x v="7"/>
    <d v="2025-08-20T00:00:00"/>
    <n v="2"/>
    <s v="1057532-5735-AG25"/>
    <n v="1"/>
    <n v="2750000"/>
    <d v="2026-10-01T00:00:00"/>
    <x v="0"/>
    <x v="0"/>
  </r>
  <r>
    <s v="SERVICIO DE SALUD OSORNO"/>
    <s v="Bienes y Servicios"/>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n v="1"/>
    <s v="Alimentación"/>
    <n v="4"/>
    <n v="12"/>
    <n v="2750000"/>
    <n v="2750000"/>
    <x v="11"/>
    <x v="18"/>
    <x v="19"/>
    <x v="22"/>
    <s v="64-2565492-"/>
    <s v="mariaines.asenjo@redsalud.gob.cl"/>
    <x v="7"/>
    <d v="2025-08-20T00:00:00"/>
    <n v="2"/>
    <s v="1057532-5753-AG25"/>
    <n v="1"/>
    <n v="2750000"/>
    <d v="2026-02-01T00:00:00"/>
    <x v="0"/>
    <x v="0"/>
  </r>
  <r>
    <s v="SERVICIO DE SALUD OSORNO"/>
    <s v="Bienes y Servicios"/>
    <x v="28"/>
    <s v="Proyecto operacional"/>
    <s v="Publicado"/>
    <s v="22.01.001.001"/>
    <x v="29"/>
    <s v="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
    <n v="1"/>
    <s v="Alimentación"/>
    <n v="4"/>
    <n v="12"/>
    <n v="2750000"/>
    <n v="2750000"/>
    <x v="11"/>
    <x v="18"/>
    <x v="19"/>
    <x v="22"/>
    <s v="64-2565492-"/>
    <s v="mariaines.asenjo@redsalud.gob.cl"/>
    <x v="7"/>
    <d v="2025-08-20T00:00:00"/>
    <n v="2"/>
    <s v="1057532-5735-AG25"/>
    <n v="1"/>
    <n v="2750000"/>
    <d v="2026-09-01T00:00:00"/>
    <x v="0"/>
    <x v="0"/>
  </r>
  <r>
    <s v="SERVICIO DE SALUD OSORNO"/>
    <s v="Bienes y Servicios"/>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n v="1"/>
    <s v="Cafeteria"/>
    <n v="4"/>
    <n v="1"/>
    <n v="80000000"/>
    <n v="6666300"/>
    <x v="11"/>
    <x v="19"/>
    <x v="18"/>
    <x v="23"/>
    <s v="64-2565594-"/>
    <s v="sandra.espinoza@redsalud.gob.cl"/>
    <x v="7"/>
    <d v="2025-08-20T00:00:00"/>
    <n v="1"/>
    <s v="1057532-5233-SE25"/>
    <n v="1"/>
    <n v="6666300"/>
    <d v="2026-01-01T00:00:00"/>
    <x v="0"/>
    <x v="0"/>
  </r>
  <r>
    <s v="SERVICIO DE SALUD OSORNO"/>
    <s v="Bienes y Servicios"/>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n v="1"/>
    <s v="Cafeteria"/>
    <n v="4"/>
    <n v="1"/>
    <n v="80000000"/>
    <n v="6666700"/>
    <x v="11"/>
    <x v="19"/>
    <x v="18"/>
    <x v="23"/>
    <s v="64-2565594-"/>
    <s v="sandra.espinoza@redsalud.gob.cl"/>
    <x v="7"/>
    <d v="2025-08-20T00:00:00"/>
    <n v="1"/>
    <s v="1057532-5233-SE25"/>
    <n v="1"/>
    <n v="6666700"/>
    <d v="2026-03-01T00:00:00"/>
    <x v="0"/>
    <x v="0"/>
  </r>
  <r>
    <s v="SERVICIO DE SALUD OSORNO"/>
    <s v="Bienes y Servicios"/>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n v="1"/>
    <s v="Cafeteria"/>
    <n v="4"/>
    <n v="1"/>
    <n v="80000000"/>
    <n v="6666700"/>
    <x v="11"/>
    <x v="19"/>
    <x v="18"/>
    <x v="23"/>
    <s v="64-2565594-"/>
    <s v="sandra.espinoza@redsalud.gob.cl"/>
    <x v="7"/>
    <d v="2025-08-20T00:00:00"/>
    <n v="1"/>
    <s v="1057532-5233-SE25"/>
    <n v="1"/>
    <n v="6666700"/>
    <d v="2026-07-01T00:00:00"/>
    <x v="0"/>
    <x v="0"/>
  </r>
  <r>
    <s v="SERVICIO DE SALUD OSORNO"/>
    <s v="Bienes y Servicios"/>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n v="1"/>
    <s v="Cafeteria"/>
    <n v="4"/>
    <n v="1"/>
    <n v="80000000"/>
    <n v="6666700"/>
    <x v="11"/>
    <x v="19"/>
    <x v="18"/>
    <x v="23"/>
    <s v="64-2565594-"/>
    <s v="sandra.espinoza@redsalud.gob.cl"/>
    <x v="7"/>
    <d v="2025-08-20T00:00:00"/>
    <n v="1"/>
    <s v="1057532-5233-SE25"/>
    <n v="1"/>
    <n v="6666700"/>
    <d v="2026-11-01T00:00:00"/>
    <x v="0"/>
    <x v="0"/>
  </r>
  <r>
    <s v="SERVICIO DE SALUD OSORNO"/>
    <s v="Bienes y Servicios"/>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n v="1"/>
    <s v="Cafeteria"/>
    <n v="4"/>
    <n v="1"/>
    <n v="80000000"/>
    <n v="6666700"/>
    <x v="11"/>
    <x v="19"/>
    <x v="18"/>
    <x v="23"/>
    <s v="64-2565594-"/>
    <s v="sandra.espinoza@redsalud.gob.cl"/>
    <x v="7"/>
    <d v="2025-08-20T00:00:00"/>
    <n v="1"/>
    <s v="1057532-5233-SE25"/>
    <n v="1"/>
    <n v="6666700"/>
    <d v="2026-05-01T00:00:00"/>
    <x v="0"/>
    <x v="0"/>
  </r>
  <r>
    <s v="SERVICIO DE SALUD OSORNO"/>
    <s v="Bienes y Servicios"/>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n v="1"/>
    <s v="Cafeteria"/>
    <n v="4"/>
    <n v="1"/>
    <n v="80000000"/>
    <n v="6666700"/>
    <x v="11"/>
    <x v="19"/>
    <x v="18"/>
    <x v="23"/>
    <s v="64-2565594-"/>
    <s v="sandra.espinoza@redsalud.gob.cl"/>
    <x v="7"/>
    <d v="2025-08-20T00:00:00"/>
    <n v="1"/>
    <s v="1057532-5233-SE25"/>
    <n v="1"/>
    <n v="6666700"/>
    <d v="2026-08-01T00:00:00"/>
    <x v="0"/>
    <x v="0"/>
  </r>
  <r>
    <s v="SERVICIO DE SALUD OSORNO"/>
    <s v="Bienes y Servicios"/>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n v="1"/>
    <s v="Cafeteria"/>
    <n v="4"/>
    <n v="1"/>
    <n v="80000000"/>
    <n v="6666700"/>
    <x v="11"/>
    <x v="19"/>
    <x v="18"/>
    <x v="23"/>
    <s v="64-2565594-"/>
    <s v="sandra.espinoza@redsalud.gob.cl"/>
    <x v="7"/>
    <d v="2025-08-20T00:00:00"/>
    <n v="1"/>
    <s v="1057532-5233-SE25"/>
    <n v="1"/>
    <n v="6666700"/>
    <d v="2026-04-01T00:00:00"/>
    <x v="0"/>
    <x v="0"/>
  </r>
  <r>
    <s v="SERVICIO DE SALUD OSORNO"/>
    <s v="Bienes y Servicios"/>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n v="1"/>
    <s v="Cafeteria"/>
    <n v="4"/>
    <n v="1"/>
    <n v="80000000"/>
    <n v="6666700"/>
    <x v="11"/>
    <x v="19"/>
    <x v="18"/>
    <x v="23"/>
    <s v="64-2565594-"/>
    <s v="sandra.espinoza@redsalud.gob.cl"/>
    <x v="7"/>
    <d v="2025-08-20T00:00:00"/>
    <n v="1"/>
    <s v="1057532-5233-SE25"/>
    <n v="1"/>
    <n v="6666700"/>
    <d v="2026-02-01T00:00:00"/>
    <x v="0"/>
    <x v="0"/>
  </r>
  <r>
    <s v="SERVICIO DE SALUD OSORNO"/>
    <s v="Bienes y Servicios"/>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n v="1"/>
    <s v="Cafeteria"/>
    <n v="4"/>
    <n v="1"/>
    <n v="80000000"/>
    <n v="6666700"/>
    <x v="11"/>
    <x v="19"/>
    <x v="18"/>
    <x v="23"/>
    <s v="64-2565594-"/>
    <s v="sandra.espinoza@redsalud.gob.cl"/>
    <x v="7"/>
    <d v="2025-08-20T00:00:00"/>
    <n v="1"/>
    <s v="1057532-5233-SE25"/>
    <n v="1"/>
    <n v="6666700"/>
    <d v="2026-06-01T00:00:00"/>
    <x v="0"/>
    <x v="0"/>
  </r>
  <r>
    <s v="SERVICIO DE SALUD OSORNO"/>
    <s v="Bienes y Servicios"/>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n v="1"/>
    <s v="Cafeteria"/>
    <n v="4"/>
    <n v="1"/>
    <n v="80000000"/>
    <n v="6666700"/>
    <x v="11"/>
    <x v="19"/>
    <x v="18"/>
    <x v="23"/>
    <s v="64-2565594-"/>
    <s v="sandra.espinoza@redsalud.gob.cl"/>
    <x v="7"/>
    <d v="2025-08-20T00:00:00"/>
    <n v="1"/>
    <s v="1057532-5233-SE25"/>
    <n v="1"/>
    <n v="6666700"/>
    <d v="2026-12-01T00:00:00"/>
    <x v="0"/>
    <x v="0"/>
  </r>
  <r>
    <s v="SERVICIO DE SALUD OSORNO"/>
    <s v="Bienes y Servicios"/>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n v="1"/>
    <s v="Cafeteria"/>
    <n v="4"/>
    <n v="1"/>
    <n v="80000000"/>
    <n v="6666700"/>
    <x v="11"/>
    <x v="19"/>
    <x v="18"/>
    <x v="23"/>
    <s v="64-2565594-"/>
    <s v="sandra.espinoza@redsalud.gob.cl"/>
    <x v="7"/>
    <d v="2025-08-20T00:00:00"/>
    <n v="1"/>
    <s v="1057532-5233-SE25"/>
    <n v="1"/>
    <n v="6666700"/>
    <d v="2026-09-01T00:00:00"/>
    <x v="0"/>
    <x v="0"/>
  </r>
  <r>
    <s v="SERVICIO DE SALUD OSORNO"/>
    <s v="Bienes y Servicios"/>
    <x v="29"/>
    <s v="Proyecto operacional"/>
    <s v="Publicado"/>
    <s v="22.01.001.003"/>
    <x v="30"/>
    <s v="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
    <n v="1"/>
    <s v="Cafeteria"/>
    <n v="4"/>
    <n v="1"/>
    <n v="80000000"/>
    <n v="6666700"/>
    <x v="11"/>
    <x v="19"/>
    <x v="18"/>
    <x v="23"/>
    <s v="64-2565594-"/>
    <s v="sandra.espinoza@redsalud.gob.cl"/>
    <x v="7"/>
    <d v="2025-08-20T00:00:00"/>
    <n v="1"/>
    <s v="1057532-5233-SE25"/>
    <n v="1"/>
    <n v="6666700"/>
    <d v="2026-10-01T00:00:00"/>
    <x v="0"/>
    <x v="0"/>
  </r>
  <r>
    <s v="SERVICIO DE SALUD OSORNO"/>
    <s v="Administración de Fondos"/>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n v="1"/>
    <s v="Movilizacion"/>
    <n v="4"/>
    <n v="1"/>
    <n v="19000000"/>
    <n v="1583333"/>
    <x v="11"/>
    <x v="18"/>
    <x v="20"/>
    <x v="22"/>
    <s v="64-2565555-"/>
    <s v="yuvit.garciachacur@redsalud.gob.cl"/>
    <x v="12"/>
    <d v="2025-08-20T00:00:00"/>
    <n v="0"/>
    <m/>
    <n v="1"/>
    <n v="1583333"/>
    <d v="2026-12-01T00:00:00"/>
    <x v="0"/>
    <x v="0"/>
  </r>
  <r>
    <s v="SERVICIO DE SALUD OSORNO"/>
    <s v="Administración de Fondos"/>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n v="1"/>
    <s v="Movilizacion"/>
    <n v="4"/>
    <n v="1"/>
    <n v="19000000"/>
    <n v="1583333"/>
    <x v="11"/>
    <x v="18"/>
    <x v="20"/>
    <x v="22"/>
    <s v="64-2565555-"/>
    <s v="yuvit.garciachacur@redsalud.gob.cl"/>
    <x v="12"/>
    <d v="2025-08-20T00:00:00"/>
    <n v="0"/>
    <m/>
    <n v="1"/>
    <n v="1583333"/>
    <d v="2026-10-01T00:00:00"/>
    <x v="0"/>
    <x v="0"/>
  </r>
  <r>
    <s v="SERVICIO DE SALUD OSORNO"/>
    <s v="Administración de Fondos"/>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n v="1"/>
    <s v="Movilizacion"/>
    <n v="4"/>
    <n v="1"/>
    <n v="19000000"/>
    <n v="1583333"/>
    <x v="11"/>
    <x v="18"/>
    <x v="20"/>
    <x v="22"/>
    <s v="64-2565555-"/>
    <s v="yuvit.garciachacur@redsalud.gob.cl"/>
    <x v="12"/>
    <d v="2025-08-20T00:00:00"/>
    <n v="0"/>
    <m/>
    <n v="1"/>
    <n v="1583333"/>
    <d v="2026-04-01T00:00:00"/>
    <x v="0"/>
    <x v="0"/>
  </r>
  <r>
    <s v="SERVICIO DE SALUD OSORNO"/>
    <s v="Administración de Fondos"/>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n v="1"/>
    <s v="Movilizacion"/>
    <n v="4"/>
    <n v="1"/>
    <n v="19000000"/>
    <n v="1583333"/>
    <x v="11"/>
    <x v="18"/>
    <x v="20"/>
    <x v="22"/>
    <s v="64-2565555-"/>
    <s v="yuvit.garciachacur@redsalud.gob.cl"/>
    <x v="12"/>
    <d v="2025-08-20T00:00:00"/>
    <n v="0"/>
    <m/>
    <n v="1"/>
    <n v="1583333"/>
    <d v="2026-11-01T00:00:00"/>
    <x v="0"/>
    <x v="0"/>
  </r>
  <r>
    <s v="SERVICIO DE SALUD OSORNO"/>
    <s v="Administración de Fondos"/>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n v="1"/>
    <s v="Movilizacion"/>
    <n v="4"/>
    <n v="1"/>
    <n v="19000000"/>
    <n v="1583333"/>
    <x v="11"/>
    <x v="18"/>
    <x v="20"/>
    <x v="22"/>
    <s v="64-2565555-"/>
    <s v="yuvit.garciachacur@redsalud.gob.cl"/>
    <x v="12"/>
    <d v="2025-08-20T00:00:00"/>
    <n v="0"/>
    <m/>
    <n v="1"/>
    <n v="1583333"/>
    <d v="2026-02-01T00:00:00"/>
    <x v="0"/>
    <x v="0"/>
  </r>
  <r>
    <s v="SERVICIO DE SALUD OSORNO"/>
    <s v="Administración de Fondos"/>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n v="1"/>
    <s v="Movilizacion"/>
    <n v="4"/>
    <n v="1"/>
    <n v="19000000"/>
    <n v="1583333"/>
    <x v="11"/>
    <x v="18"/>
    <x v="20"/>
    <x v="22"/>
    <s v="64-2565555-"/>
    <s v="yuvit.garciachacur@redsalud.gob.cl"/>
    <x v="12"/>
    <d v="2025-08-20T00:00:00"/>
    <n v="0"/>
    <m/>
    <n v="1"/>
    <n v="1583333"/>
    <d v="2026-06-01T00:00:00"/>
    <x v="0"/>
    <x v="0"/>
  </r>
  <r>
    <s v="SERVICIO DE SALUD OSORNO"/>
    <s v="Administración de Fondos"/>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n v="1"/>
    <s v="Movilizacion"/>
    <n v="4"/>
    <n v="1"/>
    <n v="19000000"/>
    <n v="1583333"/>
    <x v="11"/>
    <x v="18"/>
    <x v="20"/>
    <x v="22"/>
    <s v="64-2565555-"/>
    <s v="yuvit.garciachacur@redsalud.gob.cl"/>
    <x v="12"/>
    <d v="2025-08-20T00:00:00"/>
    <n v="0"/>
    <m/>
    <n v="1"/>
    <n v="1583333"/>
    <d v="2026-05-01T00:00:00"/>
    <x v="0"/>
    <x v="0"/>
  </r>
  <r>
    <s v="SERVICIO DE SALUD OSORNO"/>
    <s v="Administración de Fondos"/>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n v="1"/>
    <s v="Movilizacion"/>
    <n v="4"/>
    <n v="1"/>
    <n v="19000000"/>
    <n v="1583333"/>
    <x v="11"/>
    <x v="18"/>
    <x v="20"/>
    <x v="22"/>
    <s v="64-2565555-"/>
    <s v="yuvit.garciachacur@redsalud.gob.cl"/>
    <x v="12"/>
    <d v="2025-08-20T00:00:00"/>
    <n v="0"/>
    <m/>
    <n v="1"/>
    <n v="1583333"/>
    <d v="2026-03-01T00:00:00"/>
    <x v="0"/>
    <x v="0"/>
  </r>
  <r>
    <s v="SERVICIO DE SALUD OSORNO"/>
    <s v="Administración de Fondos"/>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n v="1"/>
    <s v="Movilizacion"/>
    <n v="4"/>
    <n v="1"/>
    <n v="19000000"/>
    <n v="1583333"/>
    <x v="11"/>
    <x v="18"/>
    <x v="20"/>
    <x v="22"/>
    <s v="64-2565555-"/>
    <s v="yuvit.garciachacur@redsalud.gob.cl"/>
    <x v="12"/>
    <d v="2025-08-20T00:00:00"/>
    <n v="0"/>
    <m/>
    <n v="1"/>
    <n v="1583333"/>
    <d v="2026-07-01T00:00:00"/>
    <x v="0"/>
    <x v="0"/>
  </r>
  <r>
    <s v="SERVICIO DE SALUD OSORNO"/>
    <s v="Administración de Fondos"/>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n v="1"/>
    <s v="Movilizacion"/>
    <n v="4"/>
    <n v="1"/>
    <n v="19000000"/>
    <n v="1583333"/>
    <x v="11"/>
    <x v="18"/>
    <x v="20"/>
    <x v="22"/>
    <s v="64-2565555-"/>
    <s v="yuvit.garciachacur@redsalud.gob.cl"/>
    <x v="12"/>
    <d v="2025-08-20T00:00:00"/>
    <n v="0"/>
    <m/>
    <n v="1"/>
    <n v="1583333"/>
    <d v="2026-08-01T00:00:00"/>
    <x v="0"/>
    <x v="0"/>
  </r>
  <r>
    <s v="SERVICIO DE SALUD OSORNO"/>
    <s v="Administración de Fondos"/>
    <x v="30"/>
    <s v="Proyecto operacional"/>
    <s v="Publicado"/>
    <s v="22.08.007"/>
    <x v="31"/>
    <s v="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
    <n v="1"/>
    <s v="Movilizacion"/>
    <n v="4"/>
    <n v="1"/>
    <n v="19000000"/>
    <n v="1583333"/>
    <x v="11"/>
    <x v="18"/>
    <x v="20"/>
    <x v="22"/>
    <s v="64-2565555-"/>
    <s v="yuvit.garciachacur@redsalud.gob.cl"/>
    <x v="12"/>
    <d v="2025-08-20T00:00:00"/>
    <n v="0"/>
    <m/>
    <n v="1"/>
    <n v="1583333"/>
    <d v="2026-09-01T00:00:00"/>
    <x v="0"/>
    <x v="0"/>
  </r>
  <r>
    <s v="SERVICIO DE SALUD OSORNO"/>
    <s v="Bienes y Servicios"/>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n v="1"/>
    <s v="Movilizacion"/>
    <n v="4"/>
    <n v="1"/>
    <n v="17500000"/>
    <n v="1458333"/>
    <x v="11"/>
    <x v="18"/>
    <x v="21"/>
    <x v="24"/>
    <s v="64-2565610-"/>
    <s v="pedro.fritz@redsalud.gob.cl"/>
    <x v="7"/>
    <d v="2025-08-20T00:00:00"/>
    <n v="0"/>
    <m/>
    <n v="1"/>
    <n v="1458333"/>
    <d v="2026-11-01T00:00:00"/>
    <x v="0"/>
    <x v="0"/>
  </r>
  <r>
    <s v="SERVICIO DE SALUD OSORNO"/>
    <s v="Bienes y Servicios"/>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n v="1"/>
    <s v="Movilizacion"/>
    <n v="4"/>
    <n v="1"/>
    <n v="17500000"/>
    <n v="1458333"/>
    <x v="11"/>
    <x v="18"/>
    <x v="21"/>
    <x v="24"/>
    <s v="64-2565610-"/>
    <s v="pedro.fritz@redsalud.gob.cl"/>
    <x v="7"/>
    <d v="2025-08-20T00:00:00"/>
    <n v="0"/>
    <m/>
    <n v="1"/>
    <n v="1458333"/>
    <d v="2026-12-01T00:00:00"/>
    <x v="0"/>
    <x v="0"/>
  </r>
  <r>
    <s v="SERVICIO DE SALUD OSORNO"/>
    <s v="Bienes y Servicios"/>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n v="1"/>
    <s v="Movilizacion"/>
    <n v="4"/>
    <n v="1"/>
    <n v="17500000"/>
    <n v="1458333"/>
    <x v="11"/>
    <x v="18"/>
    <x v="21"/>
    <x v="24"/>
    <s v="64-2565610-"/>
    <s v="pedro.fritz@redsalud.gob.cl"/>
    <x v="7"/>
    <d v="2025-08-20T00:00:00"/>
    <n v="0"/>
    <m/>
    <n v="1"/>
    <n v="1458333"/>
    <d v="2026-04-01T00:00:00"/>
    <x v="0"/>
    <x v="0"/>
  </r>
  <r>
    <s v="SERVICIO DE SALUD OSORNO"/>
    <s v="Bienes y Servicios"/>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n v="1"/>
    <s v="Movilizacion"/>
    <n v="4"/>
    <n v="1"/>
    <n v="17500000"/>
    <n v="1458333"/>
    <x v="11"/>
    <x v="18"/>
    <x v="21"/>
    <x v="24"/>
    <s v="64-2565610-"/>
    <s v="pedro.fritz@redsalud.gob.cl"/>
    <x v="7"/>
    <d v="2025-08-20T00:00:00"/>
    <n v="0"/>
    <m/>
    <n v="1"/>
    <n v="1458333"/>
    <d v="2026-07-01T00:00:00"/>
    <x v="0"/>
    <x v="0"/>
  </r>
  <r>
    <s v="SERVICIO DE SALUD OSORNO"/>
    <s v="Bienes y Servicios"/>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n v="1"/>
    <s v="Movilizacion"/>
    <n v="4"/>
    <n v="1"/>
    <n v="17500000"/>
    <n v="1458333"/>
    <x v="11"/>
    <x v="18"/>
    <x v="21"/>
    <x v="24"/>
    <s v="64-2565610-"/>
    <s v="pedro.fritz@redsalud.gob.cl"/>
    <x v="7"/>
    <d v="2025-08-20T00:00:00"/>
    <n v="0"/>
    <m/>
    <n v="1"/>
    <n v="1458333"/>
    <d v="2026-06-01T00:00:00"/>
    <x v="0"/>
    <x v="0"/>
  </r>
  <r>
    <s v="SERVICIO DE SALUD OSORNO"/>
    <s v="Bienes y Servicios"/>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n v="1"/>
    <s v="Movilizacion"/>
    <n v="4"/>
    <n v="1"/>
    <n v="17500000"/>
    <n v="1458333"/>
    <x v="11"/>
    <x v="18"/>
    <x v="21"/>
    <x v="24"/>
    <s v="64-2565610-"/>
    <s v="pedro.fritz@redsalud.gob.cl"/>
    <x v="7"/>
    <d v="2025-08-20T00:00:00"/>
    <n v="0"/>
    <m/>
    <n v="1"/>
    <n v="1458333"/>
    <d v="2026-02-01T00:00:00"/>
    <x v="0"/>
    <x v="0"/>
  </r>
  <r>
    <s v="SERVICIO DE SALUD OSORNO"/>
    <s v="Bienes y Servicios"/>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n v="1"/>
    <s v="Movilizacion"/>
    <n v="4"/>
    <n v="1"/>
    <n v="17500000"/>
    <n v="1458333"/>
    <x v="11"/>
    <x v="18"/>
    <x v="21"/>
    <x v="24"/>
    <s v="64-2565610-"/>
    <s v="pedro.fritz@redsalud.gob.cl"/>
    <x v="7"/>
    <d v="2025-08-20T00:00:00"/>
    <n v="0"/>
    <m/>
    <n v="1"/>
    <n v="1458333"/>
    <d v="2026-10-01T00:00:00"/>
    <x v="0"/>
    <x v="0"/>
  </r>
  <r>
    <s v="SERVICIO DE SALUD OSORNO"/>
    <s v="Bienes y Servicios"/>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n v="1"/>
    <s v="Movilizacion"/>
    <n v="4"/>
    <n v="1"/>
    <n v="17500000"/>
    <n v="1458333"/>
    <x v="11"/>
    <x v="18"/>
    <x v="21"/>
    <x v="24"/>
    <s v="64-2565610-"/>
    <s v="pedro.fritz@redsalud.gob.cl"/>
    <x v="7"/>
    <d v="2025-08-20T00:00:00"/>
    <n v="0"/>
    <m/>
    <n v="1"/>
    <n v="1458333"/>
    <d v="2026-05-01T00:00:00"/>
    <x v="0"/>
    <x v="0"/>
  </r>
  <r>
    <s v="SERVICIO DE SALUD OSORNO"/>
    <s v="Bienes y Servicios"/>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n v="1"/>
    <s v="Movilizacion"/>
    <n v="4"/>
    <n v="1"/>
    <n v="17500000"/>
    <n v="1458333"/>
    <x v="11"/>
    <x v="18"/>
    <x v="21"/>
    <x v="24"/>
    <s v="64-2565610-"/>
    <s v="pedro.fritz@redsalud.gob.cl"/>
    <x v="7"/>
    <d v="2025-08-20T00:00:00"/>
    <n v="0"/>
    <m/>
    <n v="1"/>
    <n v="1458333"/>
    <d v="2026-03-01T00:00:00"/>
    <x v="0"/>
    <x v="0"/>
  </r>
  <r>
    <s v="SERVICIO DE SALUD OSORNO"/>
    <s v="Bienes y Servicios"/>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n v="1"/>
    <s v="Movilizacion"/>
    <n v="4"/>
    <n v="1"/>
    <n v="17500000"/>
    <n v="1458333"/>
    <x v="11"/>
    <x v="18"/>
    <x v="21"/>
    <x v="24"/>
    <s v="64-2565610-"/>
    <s v="pedro.fritz@redsalud.gob.cl"/>
    <x v="7"/>
    <d v="2025-08-20T00:00:00"/>
    <n v="0"/>
    <m/>
    <n v="1"/>
    <n v="1458333"/>
    <d v="2026-09-01T00:00:00"/>
    <x v="0"/>
    <x v="0"/>
  </r>
  <r>
    <s v="SERVICIO DE SALUD OSORNO"/>
    <s v="Bienes y Servicios"/>
    <x v="31"/>
    <s v="Proyecto operacional"/>
    <s v="Publicado"/>
    <s v="22.08.007"/>
    <x v="32"/>
    <s v="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
    <n v="1"/>
    <s v="Movilizacion"/>
    <n v="4"/>
    <n v="1"/>
    <n v="17500000"/>
    <n v="1458333"/>
    <x v="11"/>
    <x v="18"/>
    <x v="21"/>
    <x v="24"/>
    <s v="64-2565610-"/>
    <s v="pedro.fritz@redsalud.gob.cl"/>
    <x v="7"/>
    <d v="2025-08-20T00:00:00"/>
    <n v="0"/>
    <m/>
    <n v="1"/>
    <n v="1458333"/>
    <d v="2026-08-01T00:00:00"/>
    <x v="0"/>
    <x v="0"/>
  </r>
  <r>
    <s v="SERVICIO DE SALUD OSORNO"/>
    <s v="Bienes y Servicios"/>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n v="1"/>
    <s v="Movilizacion"/>
    <n v="4"/>
    <n v="1"/>
    <n v="18000000"/>
    <n v="1500000"/>
    <x v="11"/>
    <x v="18"/>
    <x v="20"/>
    <x v="22"/>
    <s v="64-2565555-"/>
    <s v="yuvit.garciachacur@redsalud.gob.cl"/>
    <x v="7"/>
    <d v="2025-08-20T00:00:00"/>
    <n v="0"/>
    <m/>
    <n v="1"/>
    <n v="1500000"/>
    <d v="2026-03-01T00:00:00"/>
    <x v="0"/>
    <x v="0"/>
  </r>
  <r>
    <s v="SERVICIO DE SALUD OSORNO"/>
    <s v="Bienes y Servicios"/>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n v="1"/>
    <s v="Movilizacion"/>
    <n v="4"/>
    <n v="1"/>
    <n v="18000000"/>
    <n v="1500000"/>
    <x v="11"/>
    <x v="18"/>
    <x v="20"/>
    <x v="22"/>
    <s v="64-2565555-"/>
    <s v="yuvit.garciachacur@redsalud.gob.cl"/>
    <x v="7"/>
    <d v="2025-08-20T00:00:00"/>
    <n v="0"/>
    <m/>
    <n v="1"/>
    <n v="1500000"/>
    <d v="2026-07-01T00:00:00"/>
    <x v="0"/>
    <x v="0"/>
  </r>
  <r>
    <s v="SERVICIO DE SALUD OSORNO"/>
    <s v="Bienes y Servicios"/>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n v="1"/>
    <s v="Movilizacion"/>
    <n v="4"/>
    <n v="1"/>
    <n v="18000000"/>
    <n v="1500000"/>
    <x v="11"/>
    <x v="18"/>
    <x v="20"/>
    <x v="22"/>
    <s v="64-2565555-"/>
    <s v="yuvit.garciachacur@redsalud.gob.cl"/>
    <x v="7"/>
    <d v="2025-08-20T00:00:00"/>
    <n v="0"/>
    <m/>
    <n v="1"/>
    <n v="1500000"/>
    <d v="2026-05-01T00:00:00"/>
    <x v="0"/>
    <x v="0"/>
  </r>
  <r>
    <s v="SERVICIO DE SALUD OSORNO"/>
    <s v="Bienes y Servicios"/>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n v="1"/>
    <s v="Movilizacion"/>
    <n v="4"/>
    <n v="1"/>
    <n v="18000000"/>
    <n v="1500000"/>
    <x v="11"/>
    <x v="18"/>
    <x v="20"/>
    <x v="22"/>
    <s v="64-2565555-"/>
    <s v="yuvit.garciachacur@redsalud.gob.cl"/>
    <x v="7"/>
    <d v="2025-08-20T00:00:00"/>
    <n v="0"/>
    <m/>
    <n v="1"/>
    <n v="1500000"/>
    <d v="2026-11-01T00:00:00"/>
    <x v="0"/>
    <x v="0"/>
  </r>
  <r>
    <s v="SERVICIO DE SALUD OSORNO"/>
    <s v="Bienes y Servicios"/>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n v="1"/>
    <s v="Movilizacion"/>
    <n v="4"/>
    <n v="1"/>
    <n v="18000000"/>
    <n v="1500000"/>
    <x v="11"/>
    <x v="18"/>
    <x v="20"/>
    <x v="22"/>
    <s v="64-2565555-"/>
    <s v="yuvit.garciachacur@redsalud.gob.cl"/>
    <x v="7"/>
    <d v="2025-08-20T00:00:00"/>
    <n v="0"/>
    <m/>
    <n v="1"/>
    <n v="1500000"/>
    <d v="2026-08-01T00:00:00"/>
    <x v="0"/>
    <x v="0"/>
  </r>
  <r>
    <s v="SERVICIO DE SALUD OSORNO"/>
    <s v="Bienes y Servicios"/>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n v="1"/>
    <s v="Movilizacion"/>
    <n v="4"/>
    <n v="1"/>
    <n v="18000000"/>
    <n v="1500000"/>
    <x v="11"/>
    <x v="18"/>
    <x v="20"/>
    <x v="22"/>
    <s v="64-2565555-"/>
    <s v="yuvit.garciachacur@redsalud.gob.cl"/>
    <x v="7"/>
    <d v="2025-08-20T00:00:00"/>
    <n v="0"/>
    <m/>
    <n v="1"/>
    <n v="1500000"/>
    <d v="2026-06-01T00:00:00"/>
    <x v="0"/>
    <x v="0"/>
  </r>
  <r>
    <s v="SERVICIO DE SALUD OSORNO"/>
    <s v="Bienes y Servicios"/>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n v="1"/>
    <s v="Movilizacion"/>
    <n v="4"/>
    <n v="1"/>
    <n v="18000000"/>
    <n v="1500000"/>
    <x v="11"/>
    <x v="18"/>
    <x v="20"/>
    <x v="22"/>
    <s v="64-2565555-"/>
    <s v="yuvit.garciachacur@redsalud.gob.cl"/>
    <x v="7"/>
    <d v="2025-08-20T00:00:00"/>
    <n v="0"/>
    <m/>
    <n v="1"/>
    <n v="1500000"/>
    <d v="2026-02-01T00:00:00"/>
    <x v="0"/>
    <x v="0"/>
  </r>
  <r>
    <s v="SERVICIO DE SALUD OSORNO"/>
    <s v="Bienes y Servicios"/>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n v="1"/>
    <s v="Movilizacion"/>
    <n v="4"/>
    <n v="1"/>
    <n v="18000000"/>
    <n v="1500000"/>
    <x v="11"/>
    <x v="18"/>
    <x v="20"/>
    <x v="22"/>
    <s v="64-2565555-"/>
    <s v="yuvit.garciachacur@redsalud.gob.cl"/>
    <x v="7"/>
    <d v="2025-08-20T00:00:00"/>
    <n v="0"/>
    <m/>
    <n v="1"/>
    <n v="1500000"/>
    <d v="2026-04-01T00:00:00"/>
    <x v="0"/>
    <x v="0"/>
  </r>
  <r>
    <s v="SERVICIO DE SALUD OSORNO"/>
    <s v="Bienes y Servicios"/>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n v="1"/>
    <s v="Movilizacion"/>
    <n v="4"/>
    <n v="1"/>
    <n v="18000000"/>
    <n v="1500000"/>
    <x v="11"/>
    <x v="18"/>
    <x v="20"/>
    <x v="22"/>
    <s v="64-2565555-"/>
    <s v="yuvit.garciachacur@redsalud.gob.cl"/>
    <x v="7"/>
    <d v="2025-08-20T00:00:00"/>
    <n v="0"/>
    <m/>
    <n v="1"/>
    <n v="1500000"/>
    <d v="2026-12-01T00:00:00"/>
    <x v="0"/>
    <x v="0"/>
  </r>
  <r>
    <s v="SERVICIO DE SALUD OSORNO"/>
    <s v="Bienes y Servicios"/>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n v="1"/>
    <s v="Movilizacion"/>
    <n v="4"/>
    <n v="1"/>
    <n v="18000000"/>
    <n v="1500000"/>
    <x v="11"/>
    <x v="18"/>
    <x v="20"/>
    <x v="22"/>
    <s v="64-2565555-"/>
    <s v="yuvit.garciachacur@redsalud.gob.cl"/>
    <x v="7"/>
    <d v="2025-08-20T00:00:00"/>
    <n v="0"/>
    <m/>
    <n v="1"/>
    <n v="1500000"/>
    <d v="2026-09-01T00:00:00"/>
    <x v="0"/>
    <x v="0"/>
  </r>
  <r>
    <s v="SERVICIO DE SALUD OSORNO"/>
    <s v="Bienes y Servicios"/>
    <x v="32"/>
    <s v="Proyecto operacional"/>
    <s v="Publicado"/>
    <s v="22.08.007"/>
    <x v="33"/>
    <s v="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
    <n v="1"/>
    <s v="Movilizacion"/>
    <n v="4"/>
    <n v="1"/>
    <n v="18000000"/>
    <n v="1500000"/>
    <x v="11"/>
    <x v="18"/>
    <x v="20"/>
    <x v="22"/>
    <s v="64-2565555-"/>
    <s v="yuvit.garciachacur@redsalud.gob.cl"/>
    <x v="7"/>
    <d v="2025-08-20T00:00:00"/>
    <n v="0"/>
    <m/>
    <n v="1"/>
    <n v="1500000"/>
    <d v="2026-10-01T00:00:00"/>
    <x v="0"/>
    <x v="0"/>
  </r>
  <r>
    <s v="SERVICIO DE SALUD OSORNO"/>
    <s v="Bienes y Servicios"/>
    <x v="33"/>
    <s v="Proyecto operacional"/>
    <s v="Publicado"/>
    <s v="22.08.007"/>
    <x v="34"/>
    <s v="ejecución de la compra mes julio año 2025, duración del convenio corresponde a los meses de enero a diciembre 2026"/>
    <n v="1"/>
    <s v="Movilizacion"/>
    <n v="4"/>
    <n v="1"/>
    <n v="19000000"/>
    <n v="1583333"/>
    <x v="11"/>
    <x v="18"/>
    <x v="22"/>
    <x v="25"/>
    <s v="64-2567766-"/>
    <s v="camila.roa@redsalud.gob.cl"/>
    <x v="7"/>
    <d v="2025-08-20T00:00:00"/>
    <n v="0"/>
    <m/>
    <n v="1"/>
    <n v="1583333"/>
    <d v="2026-05-01T00:00:00"/>
    <x v="0"/>
    <x v="0"/>
  </r>
  <r>
    <s v="SERVICIO DE SALUD OSORNO"/>
    <s v="Bienes y Servicios"/>
    <x v="33"/>
    <s v="Proyecto operacional"/>
    <s v="Publicado"/>
    <s v="22.08.007"/>
    <x v="34"/>
    <s v="ejecución de la compra mes julio año 2025, duración del convenio corresponde a los meses de enero a diciembre 2026"/>
    <n v="1"/>
    <s v="Movilizacion"/>
    <n v="4"/>
    <n v="1"/>
    <n v="19000000"/>
    <n v="1583333"/>
    <x v="11"/>
    <x v="18"/>
    <x v="22"/>
    <x v="25"/>
    <s v="64-2567766-"/>
    <s v="camila.roa@redsalud.gob.cl"/>
    <x v="7"/>
    <d v="2025-08-20T00:00:00"/>
    <n v="0"/>
    <m/>
    <n v="1"/>
    <n v="1583333"/>
    <d v="2026-02-01T00:00:00"/>
    <x v="0"/>
    <x v="0"/>
  </r>
  <r>
    <s v="SERVICIO DE SALUD OSORNO"/>
    <s v="Bienes y Servicios"/>
    <x v="33"/>
    <s v="Proyecto operacional"/>
    <s v="Publicado"/>
    <s v="22.08.007"/>
    <x v="34"/>
    <s v="ejecución de la compra mes julio año 2025, duración del convenio corresponde a los meses de enero a diciembre 2026"/>
    <n v="1"/>
    <s v="Movilizacion"/>
    <n v="4"/>
    <n v="1"/>
    <n v="19000000"/>
    <n v="1583333"/>
    <x v="11"/>
    <x v="18"/>
    <x v="22"/>
    <x v="25"/>
    <s v="64-2567766-"/>
    <s v="camila.roa@redsalud.gob.cl"/>
    <x v="7"/>
    <d v="2025-08-20T00:00:00"/>
    <n v="0"/>
    <m/>
    <n v="1"/>
    <n v="1583333"/>
    <d v="2026-12-01T00:00:00"/>
    <x v="0"/>
    <x v="0"/>
  </r>
  <r>
    <s v="SERVICIO DE SALUD OSORNO"/>
    <s v="Bienes y Servicios"/>
    <x v="33"/>
    <s v="Proyecto operacional"/>
    <s v="Publicado"/>
    <s v="22.08.007"/>
    <x v="34"/>
    <s v="ejecución de la compra mes julio año 2025, duración del convenio corresponde a los meses de enero a diciembre 2026"/>
    <n v="1"/>
    <s v="Movilizacion"/>
    <n v="4"/>
    <n v="1"/>
    <n v="19000000"/>
    <n v="1583333"/>
    <x v="11"/>
    <x v="18"/>
    <x v="22"/>
    <x v="25"/>
    <s v="64-2567766-"/>
    <s v="camila.roa@redsalud.gob.cl"/>
    <x v="7"/>
    <d v="2025-08-20T00:00:00"/>
    <n v="0"/>
    <m/>
    <n v="1"/>
    <n v="1583333"/>
    <d v="2026-04-01T00:00:00"/>
    <x v="0"/>
    <x v="0"/>
  </r>
  <r>
    <s v="SERVICIO DE SALUD OSORNO"/>
    <s v="Bienes y Servicios"/>
    <x v="33"/>
    <s v="Proyecto operacional"/>
    <s v="Publicado"/>
    <s v="22.08.007"/>
    <x v="34"/>
    <s v="ejecución de la compra mes julio año 2025, duración del convenio corresponde a los meses de enero a diciembre 2026"/>
    <n v="1"/>
    <s v="Movilizacion"/>
    <n v="4"/>
    <n v="1"/>
    <n v="19000000"/>
    <n v="1583333"/>
    <x v="11"/>
    <x v="18"/>
    <x v="22"/>
    <x v="25"/>
    <s v="64-2567766-"/>
    <s v="camila.roa@redsalud.gob.cl"/>
    <x v="7"/>
    <d v="2025-08-20T00:00:00"/>
    <n v="0"/>
    <m/>
    <n v="1"/>
    <n v="1583333"/>
    <d v="2026-08-01T00:00:00"/>
    <x v="0"/>
    <x v="0"/>
  </r>
  <r>
    <s v="SERVICIO DE SALUD OSORNO"/>
    <s v="Bienes y Servicios"/>
    <x v="33"/>
    <s v="Proyecto operacional"/>
    <s v="Publicado"/>
    <s v="22.08.007"/>
    <x v="34"/>
    <s v="ejecución de la compra mes julio año 2025, duración del convenio corresponde a los meses de enero a diciembre 2026"/>
    <n v="1"/>
    <s v="Movilizacion"/>
    <n v="4"/>
    <n v="1"/>
    <n v="19000000"/>
    <n v="1583333"/>
    <x v="11"/>
    <x v="18"/>
    <x v="22"/>
    <x v="25"/>
    <s v="64-2567766-"/>
    <s v="camila.roa@redsalud.gob.cl"/>
    <x v="7"/>
    <d v="2025-08-20T00:00:00"/>
    <n v="0"/>
    <m/>
    <n v="1"/>
    <n v="1583333"/>
    <d v="2026-10-01T00:00:00"/>
    <x v="0"/>
    <x v="0"/>
  </r>
  <r>
    <s v="SERVICIO DE SALUD OSORNO"/>
    <s v="Bienes y Servicios"/>
    <x v="33"/>
    <s v="Proyecto operacional"/>
    <s v="Publicado"/>
    <s v="22.08.007"/>
    <x v="34"/>
    <s v="ejecución de la compra mes julio año 2025, duración del convenio corresponde a los meses de enero a diciembre 2026"/>
    <n v="1"/>
    <s v="Movilizacion"/>
    <n v="4"/>
    <n v="1"/>
    <n v="19000000"/>
    <n v="1583333"/>
    <x v="11"/>
    <x v="18"/>
    <x v="22"/>
    <x v="25"/>
    <s v="64-2567766-"/>
    <s v="camila.roa@redsalud.gob.cl"/>
    <x v="7"/>
    <d v="2025-08-20T00:00:00"/>
    <n v="0"/>
    <m/>
    <n v="1"/>
    <n v="1583333"/>
    <d v="2026-06-01T00:00:00"/>
    <x v="0"/>
    <x v="0"/>
  </r>
  <r>
    <s v="SERVICIO DE SALUD OSORNO"/>
    <s v="Bienes y Servicios"/>
    <x v="33"/>
    <s v="Proyecto operacional"/>
    <s v="Publicado"/>
    <s v="22.08.007"/>
    <x v="34"/>
    <s v="ejecución de la compra mes julio año 2025, duración del convenio corresponde a los meses de enero a diciembre 2026"/>
    <n v="1"/>
    <s v="Movilizacion"/>
    <n v="4"/>
    <n v="1"/>
    <n v="19000000"/>
    <n v="1583333"/>
    <x v="11"/>
    <x v="18"/>
    <x v="22"/>
    <x v="25"/>
    <s v="64-2567766-"/>
    <s v="camila.roa@redsalud.gob.cl"/>
    <x v="7"/>
    <d v="2025-08-20T00:00:00"/>
    <n v="0"/>
    <m/>
    <n v="1"/>
    <n v="1583333"/>
    <d v="2026-11-01T00:00:00"/>
    <x v="0"/>
    <x v="0"/>
  </r>
  <r>
    <s v="SERVICIO DE SALUD OSORNO"/>
    <s v="Bienes y Servicios"/>
    <x v="33"/>
    <s v="Proyecto operacional"/>
    <s v="Publicado"/>
    <s v="22.08.007"/>
    <x v="34"/>
    <s v="ejecución de la compra mes julio año 2025, duración del convenio corresponde a los meses de enero a diciembre 2026"/>
    <n v="1"/>
    <s v="Movilizacion"/>
    <n v="4"/>
    <n v="1"/>
    <n v="19000000"/>
    <n v="1583333"/>
    <x v="11"/>
    <x v="18"/>
    <x v="22"/>
    <x v="25"/>
    <s v="64-2567766-"/>
    <s v="camila.roa@redsalud.gob.cl"/>
    <x v="7"/>
    <d v="2025-08-20T00:00:00"/>
    <n v="0"/>
    <m/>
    <n v="1"/>
    <n v="1583333"/>
    <d v="2026-03-01T00:00:00"/>
    <x v="0"/>
    <x v="0"/>
  </r>
  <r>
    <s v="SERVICIO DE SALUD OSORNO"/>
    <s v="Bienes y Servicios"/>
    <x v="33"/>
    <s v="Proyecto operacional"/>
    <s v="Publicado"/>
    <s v="22.08.007"/>
    <x v="34"/>
    <s v="ejecución de la compra mes julio año 2025, duración del convenio corresponde a los meses de enero a diciembre 2026"/>
    <n v="1"/>
    <s v="Movilizacion"/>
    <n v="4"/>
    <n v="1"/>
    <n v="19000000"/>
    <n v="1583333"/>
    <x v="11"/>
    <x v="18"/>
    <x v="22"/>
    <x v="25"/>
    <s v="64-2567766-"/>
    <s v="camila.roa@redsalud.gob.cl"/>
    <x v="7"/>
    <d v="2025-08-20T00:00:00"/>
    <n v="0"/>
    <m/>
    <n v="1"/>
    <n v="1583333"/>
    <d v="2026-07-01T00:00:00"/>
    <x v="0"/>
    <x v="0"/>
  </r>
  <r>
    <s v="SERVICIO DE SALUD OSORNO"/>
    <s v="Bienes y Servicios"/>
    <x v="33"/>
    <s v="Proyecto operacional"/>
    <s v="Publicado"/>
    <s v="22.08.007"/>
    <x v="34"/>
    <s v="ejecución de la compra mes julio año 2025, duración del convenio corresponde a los meses de enero a diciembre 2026"/>
    <n v="1"/>
    <s v="Movilizacion"/>
    <n v="4"/>
    <n v="1"/>
    <n v="19000000"/>
    <n v="1583333"/>
    <x v="11"/>
    <x v="18"/>
    <x v="22"/>
    <x v="25"/>
    <s v="64-2567766-"/>
    <s v="camila.roa@redsalud.gob.cl"/>
    <x v="7"/>
    <d v="2025-08-20T00:00:00"/>
    <n v="0"/>
    <m/>
    <n v="1"/>
    <n v="1583333"/>
    <d v="2026-09-01T00:00:00"/>
    <x v="0"/>
    <x v="0"/>
  </r>
  <r>
    <s v="SERVICIO DE SALUD OSORNO"/>
    <s v="Bienes y Servicios"/>
    <x v="34"/>
    <s v="Proyecto operacional"/>
    <s v="Publicado"/>
    <s v="22.08.007"/>
    <x v="35"/>
    <s v="Cumplir con los requerimientos GES 85 Enfemedad de"/>
    <n v="1"/>
    <s v="Movilizacion"/>
    <n v="4"/>
    <n v="1"/>
    <n v="31500000"/>
    <n v="2625000"/>
    <x v="11"/>
    <x v="18"/>
    <x v="23"/>
    <x v="19"/>
    <s v="64-2567363-"/>
    <s v="ximena.campos@redsalud.gob.cl"/>
    <x v="7"/>
    <d v="2025-08-20T00:00:00"/>
    <n v="0"/>
    <m/>
    <n v="1"/>
    <n v="2625000"/>
    <d v="2026-07-01T00:00:00"/>
    <x v="0"/>
    <x v="0"/>
  </r>
  <r>
    <s v="SERVICIO DE SALUD OSORNO"/>
    <s v="Bienes y Servicios"/>
    <x v="34"/>
    <s v="Proyecto operacional"/>
    <s v="Publicado"/>
    <s v="22.08.007"/>
    <x v="35"/>
    <s v="Cumplir con los requerimientos GES 85 Enfemedad de"/>
    <n v="1"/>
    <s v="Movilizacion"/>
    <n v="4"/>
    <n v="1"/>
    <n v="31500000"/>
    <n v="2625000"/>
    <x v="11"/>
    <x v="18"/>
    <x v="23"/>
    <x v="19"/>
    <s v="64-2567363-"/>
    <s v="ximena.campos@redsalud.gob.cl"/>
    <x v="7"/>
    <d v="2025-08-20T00:00:00"/>
    <n v="0"/>
    <m/>
    <n v="1"/>
    <n v="2625000"/>
    <d v="2026-12-01T00:00:00"/>
    <x v="0"/>
    <x v="0"/>
  </r>
  <r>
    <s v="SERVICIO DE SALUD OSORNO"/>
    <s v="Bienes y Servicios"/>
    <x v="34"/>
    <s v="Proyecto operacional"/>
    <s v="Publicado"/>
    <s v="22.08.007"/>
    <x v="35"/>
    <s v="Cumplir con los requerimientos GES 85 Enfemedad de"/>
    <n v="1"/>
    <s v="Movilizacion"/>
    <n v="4"/>
    <n v="1"/>
    <n v="31500000"/>
    <n v="2625000"/>
    <x v="11"/>
    <x v="18"/>
    <x v="23"/>
    <x v="19"/>
    <s v="64-2567363-"/>
    <s v="ximena.campos@redsalud.gob.cl"/>
    <x v="7"/>
    <d v="2025-08-20T00:00:00"/>
    <n v="0"/>
    <m/>
    <n v="1"/>
    <n v="2625000"/>
    <d v="2026-08-01T00:00:00"/>
    <x v="0"/>
    <x v="0"/>
  </r>
  <r>
    <s v="SERVICIO DE SALUD OSORNO"/>
    <s v="Bienes y Servicios"/>
    <x v="34"/>
    <s v="Proyecto operacional"/>
    <s v="Publicado"/>
    <s v="22.08.007"/>
    <x v="35"/>
    <s v="Cumplir con los requerimientos GES 85 Enfemedad de"/>
    <n v="1"/>
    <s v="Movilizacion"/>
    <n v="4"/>
    <n v="1"/>
    <n v="31500000"/>
    <n v="2625000"/>
    <x v="11"/>
    <x v="18"/>
    <x v="23"/>
    <x v="19"/>
    <s v="64-2567363-"/>
    <s v="ximena.campos@redsalud.gob.cl"/>
    <x v="7"/>
    <d v="2025-08-20T00:00:00"/>
    <n v="0"/>
    <m/>
    <n v="1"/>
    <n v="2625000"/>
    <d v="2026-05-01T00:00:00"/>
    <x v="0"/>
    <x v="0"/>
  </r>
  <r>
    <s v="SERVICIO DE SALUD OSORNO"/>
    <s v="Bienes y Servicios"/>
    <x v="34"/>
    <s v="Proyecto operacional"/>
    <s v="Publicado"/>
    <s v="22.08.007"/>
    <x v="35"/>
    <s v="Cumplir con los requerimientos GES 85 Enfemedad de"/>
    <n v="1"/>
    <s v="Movilizacion"/>
    <n v="4"/>
    <n v="1"/>
    <n v="31500000"/>
    <n v="2625000"/>
    <x v="11"/>
    <x v="18"/>
    <x v="23"/>
    <x v="19"/>
    <s v="64-2567363-"/>
    <s v="ximena.campos@redsalud.gob.cl"/>
    <x v="7"/>
    <d v="2025-08-20T00:00:00"/>
    <n v="0"/>
    <m/>
    <n v="1"/>
    <n v="2625000"/>
    <d v="2026-09-01T00:00:00"/>
    <x v="0"/>
    <x v="0"/>
  </r>
  <r>
    <s v="SERVICIO DE SALUD OSORNO"/>
    <s v="Bienes y Servicios"/>
    <x v="34"/>
    <s v="Proyecto operacional"/>
    <s v="Publicado"/>
    <s v="22.08.007"/>
    <x v="35"/>
    <s v="Cumplir con los requerimientos GES 85 Enfemedad de"/>
    <n v="1"/>
    <s v="Movilizacion"/>
    <n v="4"/>
    <n v="1"/>
    <n v="31500000"/>
    <n v="2625000"/>
    <x v="11"/>
    <x v="18"/>
    <x v="23"/>
    <x v="19"/>
    <s v="64-2567363-"/>
    <s v="ximena.campos@redsalud.gob.cl"/>
    <x v="7"/>
    <d v="2025-08-20T00:00:00"/>
    <n v="0"/>
    <m/>
    <n v="1"/>
    <n v="2625000"/>
    <d v="2026-11-01T00:00:00"/>
    <x v="0"/>
    <x v="0"/>
  </r>
  <r>
    <s v="SERVICIO DE SALUD OSORNO"/>
    <s v="Bienes y Servicios"/>
    <x v="34"/>
    <s v="Proyecto operacional"/>
    <s v="Publicado"/>
    <s v="22.08.007"/>
    <x v="35"/>
    <s v="Cumplir con los requerimientos GES 85 Enfemedad de"/>
    <n v="1"/>
    <s v="Movilizacion"/>
    <n v="4"/>
    <n v="1"/>
    <n v="31500000"/>
    <n v="2625000"/>
    <x v="11"/>
    <x v="18"/>
    <x v="23"/>
    <x v="19"/>
    <s v="64-2567363-"/>
    <s v="ximena.campos@redsalud.gob.cl"/>
    <x v="7"/>
    <d v="2025-08-20T00:00:00"/>
    <n v="0"/>
    <m/>
    <n v="1"/>
    <n v="2625000"/>
    <d v="2026-02-01T00:00:00"/>
    <x v="0"/>
    <x v="0"/>
  </r>
  <r>
    <s v="SERVICIO DE SALUD OSORNO"/>
    <s v="Bienes y Servicios"/>
    <x v="34"/>
    <s v="Proyecto operacional"/>
    <s v="Publicado"/>
    <s v="22.08.007"/>
    <x v="35"/>
    <s v="Cumplir con los requerimientos GES 85 Enfemedad de"/>
    <n v="1"/>
    <s v="Movilizacion"/>
    <n v="4"/>
    <n v="1"/>
    <n v="31500000"/>
    <n v="2625000"/>
    <x v="11"/>
    <x v="18"/>
    <x v="23"/>
    <x v="19"/>
    <s v="64-2567363-"/>
    <s v="ximena.campos@redsalud.gob.cl"/>
    <x v="7"/>
    <d v="2025-08-20T00:00:00"/>
    <n v="0"/>
    <m/>
    <n v="1"/>
    <n v="2625000"/>
    <d v="2026-06-01T00:00:00"/>
    <x v="0"/>
    <x v="0"/>
  </r>
  <r>
    <s v="SERVICIO DE SALUD OSORNO"/>
    <s v="Bienes y Servicios"/>
    <x v="34"/>
    <s v="Proyecto operacional"/>
    <s v="Publicado"/>
    <s v="22.08.007"/>
    <x v="35"/>
    <s v="Cumplir con los requerimientos GES 85 Enfemedad de"/>
    <n v="1"/>
    <s v="Movilizacion"/>
    <n v="4"/>
    <n v="1"/>
    <n v="31500000"/>
    <n v="2625000"/>
    <x v="11"/>
    <x v="18"/>
    <x v="23"/>
    <x v="19"/>
    <s v="64-2567363-"/>
    <s v="ximena.campos@redsalud.gob.cl"/>
    <x v="7"/>
    <d v="2025-08-20T00:00:00"/>
    <n v="0"/>
    <m/>
    <n v="1"/>
    <n v="2625000"/>
    <d v="2026-03-01T00:00:00"/>
    <x v="0"/>
    <x v="0"/>
  </r>
  <r>
    <s v="SERVICIO DE SALUD OSORNO"/>
    <s v="Bienes y Servicios"/>
    <x v="34"/>
    <s v="Proyecto operacional"/>
    <s v="Publicado"/>
    <s v="22.08.007"/>
    <x v="35"/>
    <s v="Cumplir con los requerimientos GES 85 Enfemedad de"/>
    <n v="1"/>
    <s v="Movilizacion"/>
    <n v="4"/>
    <n v="1"/>
    <n v="31500000"/>
    <n v="2625000"/>
    <x v="11"/>
    <x v="18"/>
    <x v="23"/>
    <x v="19"/>
    <s v="64-2567363-"/>
    <s v="ximena.campos@redsalud.gob.cl"/>
    <x v="7"/>
    <d v="2025-08-20T00:00:00"/>
    <n v="0"/>
    <m/>
    <n v="1"/>
    <n v="2625000"/>
    <d v="2026-04-01T00:00:00"/>
    <x v="0"/>
    <x v="0"/>
  </r>
  <r>
    <s v="SERVICIO DE SALUD OSORNO"/>
    <s v="Bienes y Servicios"/>
    <x v="34"/>
    <s v="Proyecto operacional"/>
    <s v="Publicado"/>
    <s v="22.08.007"/>
    <x v="35"/>
    <s v="Cumplir con los requerimientos GES 85 Enfemedad de"/>
    <n v="1"/>
    <s v="Movilizacion"/>
    <n v="4"/>
    <n v="1"/>
    <n v="31500000"/>
    <n v="2625000"/>
    <x v="11"/>
    <x v="18"/>
    <x v="23"/>
    <x v="19"/>
    <s v="64-2567363-"/>
    <s v="ximena.campos@redsalud.gob.cl"/>
    <x v="7"/>
    <d v="2025-08-20T00:00:00"/>
    <n v="0"/>
    <m/>
    <n v="1"/>
    <n v="2625000"/>
    <d v="2026-10-01T00:00:00"/>
    <x v="0"/>
    <x v="0"/>
  </r>
  <r>
    <s v="SERVICIO DE SALUD OSORNO"/>
    <s v="Bienes y Servicios"/>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n v="1"/>
    <s v="Movilizacion"/>
    <n v="4"/>
    <n v="1"/>
    <n v="26000000"/>
    <n v="2166667"/>
    <x v="11"/>
    <x v="18"/>
    <x v="19"/>
    <x v="22"/>
    <s v="64-2565492-"/>
    <s v="mariaines.asenjo@redsalud.gob.cl"/>
    <x v="7"/>
    <d v="2025-08-20T00:00:00"/>
    <n v="0"/>
    <m/>
    <n v="1"/>
    <n v="2166667"/>
    <d v="2026-03-01T00:00:00"/>
    <x v="0"/>
    <x v="0"/>
  </r>
  <r>
    <s v="SERVICIO DE SALUD OSORNO"/>
    <s v="Bienes y Servicios"/>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n v="1"/>
    <s v="Movilizacion"/>
    <n v="4"/>
    <n v="1"/>
    <n v="26000000"/>
    <n v="2166667"/>
    <x v="11"/>
    <x v="18"/>
    <x v="19"/>
    <x v="22"/>
    <s v="64-2565492-"/>
    <s v="mariaines.asenjo@redsalud.gob.cl"/>
    <x v="7"/>
    <d v="2025-08-20T00:00:00"/>
    <n v="0"/>
    <m/>
    <n v="1"/>
    <n v="2166667"/>
    <d v="2026-08-01T00:00:00"/>
    <x v="0"/>
    <x v="0"/>
  </r>
  <r>
    <s v="SERVICIO DE SALUD OSORNO"/>
    <s v="Bienes y Servicios"/>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n v="1"/>
    <s v="Movilizacion"/>
    <n v="4"/>
    <n v="1"/>
    <n v="26000000"/>
    <n v="2166667"/>
    <x v="11"/>
    <x v="18"/>
    <x v="19"/>
    <x v="22"/>
    <s v="64-2565492-"/>
    <s v="mariaines.asenjo@redsalud.gob.cl"/>
    <x v="7"/>
    <d v="2025-08-20T00:00:00"/>
    <n v="0"/>
    <m/>
    <n v="1"/>
    <n v="2166667"/>
    <d v="2026-02-01T00:00:00"/>
    <x v="0"/>
    <x v="0"/>
  </r>
  <r>
    <s v="SERVICIO DE SALUD OSORNO"/>
    <s v="Bienes y Servicios"/>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n v="1"/>
    <s v="Movilizacion"/>
    <n v="4"/>
    <n v="1"/>
    <n v="26000000"/>
    <n v="2166667"/>
    <x v="11"/>
    <x v="18"/>
    <x v="19"/>
    <x v="22"/>
    <s v="64-2565492-"/>
    <s v="mariaines.asenjo@redsalud.gob.cl"/>
    <x v="7"/>
    <d v="2025-08-20T00:00:00"/>
    <n v="0"/>
    <m/>
    <n v="1"/>
    <n v="2166667"/>
    <d v="2026-04-01T00:00:00"/>
    <x v="0"/>
    <x v="0"/>
  </r>
  <r>
    <s v="SERVICIO DE SALUD OSORNO"/>
    <s v="Bienes y Servicios"/>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n v="1"/>
    <s v="Movilizacion"/>
    <n v="4"/>
    <n v="1"/>
    <n v="26000000"/>
    <n v="2166667"/>
    <x v="11"/>
    <x v="18"/>
    <x v="19"/>
    <x v="22"/>
    <s v="64-2565492-"/>
    <s v="mariaines.asenjo@redsalud.gob.cl"/>
    <x v="7"/>
    <d v="2025-08-20T00:00:00"/>
    <n v="0"/>
    <m/>
    <n v="1"/>
    <n v="2166667"/>
    <d v="2026-10-01T00:00:00"/>
    <x v="0"/>
    <x v="0"/>
  </r>
  <r>
    <s v="SERVICIO DE SALUD OSORNO"/>
    <s v="Bienes y Servicios"/>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n v="1"/>
    <s v="Movilizacion"/>
    <n v="4"/>
    <n v="1"/>
    <n v="26000000"/>
    <n v="2166667"/>
    <x v="11"/>
    <x v="18"/>
    <x v="19"/>
    <x v="22"/>
    <s v="64-2565492-"/>
    <s v="mariaines.asenjo@redsalud.gob.cl"/>
    <x v="7"/>
    <d v="2025-08-20T00:00:00"/>
    <n v="0"/>
    <m/>
    <n v="1"/>
    <n v="2166667"/>
    <d v="2026-05-01T00:00:00"/>
    <x v="0"/>
    <x v="0"/>
  </r>
  <r>
    <s v="SERVICIO DE SALUD OSORNO"/>
    <s v="Bienes y Servicios"/>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n v="1"/>
    <s v="Movilizacion"/>
    <n v="4"/>
    <n v="1"/>
    <n v="26000000"/>
    <n v="2166667"/>
    <x v="11"/>
    <x v="18"/>
    <x v="19"/>
    <x v="22"/>
    <s v="64-2565492-"/>
    <s v="mariaines.asenjo@redsalud.gob.cl"/>
    <x v="7"/>
    <d v="2025-08-20T00:00:00"/>
    <n v="0"/>
    <m/>
    <n v="1"/>
    <n v="2166667"/>
    <d v="2026-06-01T00:00:00"/>
    <x v="0"/>
    <x v="0"/>
  </r>
  <r>
    <s v="SERVICIO DE SALUD OSORNO"/>
    <s v="Bienes y Servicios"/>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n v="1"/>
    <s v="Movilizacion"/>
    <n v="4"/>
    <n v="1"/>
    <n v="26000000"/>
    <n v="2166667"/>
    <x v="11"/>
    <x v="18"/>
    <x v="19"/>
    <x v="22"/>
    <s v="64-2565492-"/>
    <s v="mariaines.asenjo@redsalud.gob.cl"/>
    <x v="7"/>
    <d v="2025-08-20T00:00:00"/>
    <n v="0"/>
    <m/>
    <n v="1"/>
    <n v="2166667"/>
    <d v="2026-11-01T00:00:00"/>
    <x v="0"/>
    <x v="0"/>
  </r>
  <r>
    <s v="SERVICIO DE SALUD OSORNO"/>
    <s v="Bienes y Servicios"/>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n v="1"/>
    <s v="Movilizacion"/>
    <n v="4"/>
    <n v="1"/>
    <n v="26000000"/>
    <n v="2166667"/>
    <x v="11"/>
    <x v="18"/>
    <x v="19"/>
    <x v="22"/>
    <s v="64-2565492-"/>
    <s v="mariaines.asenjo@redsalud.gob.cl"/>
    <x v="7"/>
    <d v="2025-08-20T00:00:00"/>
    <n v="0"/>
    <m/>
    <n v="1"/>
    <n v="2166667"/>
    <d v="2026-12-01T00:00:00"/>
    <x v="0"/>
    <x v="0"/>
  </r>
  <r>
    <s v="SERVICIO DE SALUD OSORNO"/>
    <s v="Bienes y Servicios"/>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n v="1"/>
    <s v="Movilizacion"/>
    <n v="4"/>
    <n v="1"/>
    <n v="26000000"/>
    <n v="2166667"/>
    <x v="11"/>
    <x v="18"/>
    <x v="19"/>
    <x v="22"/>
    <s v="64-2565492-"/>
    <s v="mariaines.asenjo@redsalud.gob.cl"/>
    <x v="7"/>
    <d v="2025-08-20T00:00:00"/>
    <n v="0"/>
    <m/>
    <n v="1"/>
    <n v="2166667"/>
    <d v="2026-07-01T00:00:00"/>
    <x v="0"/>
    <x v="0"/>
  </r>
  <r>
    <s v="SERVICIO DE SALUD OSORNO"/>
    <s v="Bienes y Servicios"/>
    <x v="35"/>
    <s v="Proyecto operacional"/>
    <s v="Publicado"/>
    <s v="22.08.007"/>
    <x v="36"/>
    <s v="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
    <n v="1"/>
    <s v="Movilizacion"/>
    <n v="4"/>
    <n v="1"/>
    <n v="26000000"/>
    <n v="2166667"/>
    <x v="11"/>
    <x v="18"/>
    <x v="19"/>
    <x v="22"/>
    <s v="64-2565492-"/>
    <s v="mariaines.asenjo@redsalud.gob.cl"/>
    <x v="7"/>
    <d v="2025-08-20T00:00:00"/>
    <n v="0"/>
    <m/>
    <n v="1"/>
    <n v="2166667"/>
    <d v="2026-09-01T00:00:00"/>
    <x v="0"/>
    <x v="0"/>
  </r>
  <r>
    <s v="SERVICIO DE SALUD OSORNO"/>
    <s v="Bienes y Servicios"/>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n v="1"/>
    <s v="Servicio Medico"/>
    <n v="4"/>
    <n v="1"/>
    <n v="500000000"/>
    <n v="41666666"/>
    <x v="11"/>
    <x v="20"/>
    <x v="24"/>
    <x v="26"/>
    <s v="64-2565810-"/>
    <s v="consuelo.cordova@redsalud.gob.cl"/>
    <x v="7"/>
    <d v="2025-08-20T00:00:00"/>
    <n v="0"/>
    <m/>
    <n v="1"/>
    <n v="41666666"/>
    <d v="2026-06-01T00:00:00"/>
    <x v="0"/>
    <x v="0"/>
  </r>
  <r>
    <s v="SERVICIO DE SALUD OSORNO"/>
    <s v="Bienes y Servicios"/>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n v="1"/>
    <s v="Servicio Medico"/>
    <n v="4"/>
    <n v="1"/>
    <n v="500000000"/>
    <n v="41666666"/>
    <x v="11"/>
    <x v="20"/>
    <x v="24"/>
    <x v="26"/>
    <s v="64-2565810-"/>
    <s v="consuelo.cordova@redsalud.gob.cl"/>
    <x v="7"/>
    <d v="2025-08-20T00:00:00"/>
    <n v="0"/>
    <m/>
    <n v="1"/>
    <n v="41666666"/>
    <d v="2026-11-01T00:00:00"/>
    <x v="0"/>
    <x v="0"/>
  </r>
  <r>
    <s v="SERVICIO DE SALUD OSORNO"/>
    <s v="Bienes y Servicios"/>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n v="1"/>
    <s v="Servicio Medico"/>
    <n v="4"/>
    <n v="1"/>
    <n v="500000000"/>
    <n v="41666666"/>
    <x v="11"/>
    <x v="20"/>
    <x v="24"/>
    <x v="26"/>
    <s v="64-2565810-"/>
    <s v="consuelo.cordova@redsalud.gob.cl"/>
    <x v="7"/>
    <d v="2025-08-20T00:00:00"/>
    <n v="0"/>
    <m/>
    <n v="1"/>
    <n v="41666666"/>
    <d v="2026-04-01T00:00:00"/>
    <x v="0"/>
    <x v="0"/>
  </r>
  <r>
    <s v="SERVICIO DE SALUD OSORNO"/>
    <s v="Bienes y Servicios"/>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n v="1"/>
    <s v="Servicio Medico"/>
    <n v="4"/>
    <n v="1"/>
    <n v="500000000"/>
    <n v="41666666"/>
    <x v="11"/>
    <x v="20"/>
    <x v="24"/>
    <x v="26"/>
    <s v="64-2565810-"/>
    <s v="consuelo.cordova@redsalud.gob.cl"/>
    <x v="7"/>
    <d v="2025-08-20T00:00:00"/>
    <n v="0"/>
    <m/>
    <n v="1"/>
    <n v="41666666"/>
    <d v="2026-01-01T00:00:00"/>
    <x v="0"/>
    <x v="0"/>
  </r>
  <r>
    <s v="SERVICIO DE SALUD OSORNO"/>
    <s v="Bienes y Servicios"/>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n v="1"/>
    <s v="Servicio Medico"/>
    <n v="4"/>
    <n v="1"/>
    <n v="500000000"/>
    <n v="41666666"/>
    <x v="11"/>
    <x v="20"/>
    <x v="24"/>
    <x v="26"/>
    <s v="64-2565810-"/>
    <s v="consuelo.cordova@redsalud.gob.cl"/>
    <x v="7"/>
    <d v="2025-08-20T00:00:00"/>
    <n v="0"/>
    <m/>
    <n v="1"/>
    <n v="41666666"/>
    <d v="2026-10-01T00:00:00"/>
    <x v="0"/>
    <x v="0"/>
  </r>
  <r>
    <s v="SERVICIO DE SALUD OSORNO"/>
    <s v="Bienes y Servicios"/>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n v="1"/>
    <s v="Servicio Medico"/>
    <n v="4"/>
    <n v="1"/>
    <n v="500000000"/>
    <n v="41666666"/>
    <x v="11"/>
    <x v="20"/>
    <x v="24"/>
    <x v="26"/>
    <s v="64-2565810-"/>
    <s v="consuelo.cordova@redsalud.gob.cl"/>
    <x v="7"/>
    <d v="2025-08-20T00:00:00"/>
    <n v="0"/>
    <m/>
    <n v="1"/>
    <n v="41666666"/>
    <d v="2026-08-01T00:00:00"/>
    <x v="0"/>
    <x v="0"/>
  </r>
  <r>
    <s v="SERVICIO DE SALUD OSORNO"/>
    <s v="Bienes y Servicios"/>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n v="1"/>
    <s v="Servicio Medico"/>
    <n v="4"/>
    <n v="1"/>
    <n v="500000000"/>
    <n v="41666666"/>
    <x v="11"/>
    <x v="20"/>
    <x v="24"/>
    <x v="26"/>
    <s v="64-2565810-"/>
    <s v="consuelo.cordova@redsalud.gob.cl"/>
    <x v="7"/>
    <d v="2025-08-20T00:00:00"/>
    <n v="0"/>
    <m/>
    <n v="1"/>
    <n v="41666666"/>
    <d v="2026-02-01T00:00:00"/>
    <x v="0"/>
    <x v="0"/>
  </r>
  <r>
    <s v="SERVICIO DE SALUD OSORNO"/>
    <s v="Bienes y Servicios"/>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n v="1"/>
    <s v="Servicio Medico"/>
    <n v="4"/>
    <n v="1"/>
    <n v="500000000"/>
    <n v="41666666"/>
    <x v="11"/>
    <x v="20"/>
    <x v="24"/>
    <x v="26"/>
    <s v="64-2565810-"/>
    <s v="consuelo.cordova@redsalud.gob.cl"/>
    <x v="7"/>
    <d v="2025-08-20T00:00:00"/>
    <n v="0"/>
    <m/>
    <n v="1"/>
    <n v="41666666"/>
    <d v="2026-05-01T00:00:00"/>
    <x v="0"/>
    <x v="0"/>
  </r>
  <r>
    <s v="SERVICIO DE SALUD OSORNO"/>
    <s v="Bienes y Servicios"/>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n v="1"/>
    <s v="Servicio Medico"/>
    <n v="4"/>
    <n v="1"/>
    <n v="500000000"/>
    <n v="41666666"/>
    <x v="11"/>
    <x v="20"/>
    <x v="24"/>
    <x v="26"/>
    <s v="64-2565810-"/>
    <s v="consuelo.cordova@redsalud.gob.cl"/>
    <x v="7"/>
    <d v="2025-08-20T00:00:00"/>
    <n v="0"/>
    <m/>
    <n v="1"/>
    <n v="41666666"/>
    <d v="2026-07-01T00:00:00"/>
    <x v="0"/>
    <x v="0"/>
  </r>
  <r>
    <s v="SERVICIO DE SALUD OSORNO"/>
    <s v="Bienes y Servicios"/>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n v="1"/>
    <s v="Servicio Medico"/>
    <n v="4"/>
    <n v="1"/>
    <n v="500000000"/>
    <n v="41666674"/>
    <x v="11"/>
    <x v="20"/>
    <x v="24"/>
    <x v="26"/>
    <s v="64-2565810-"/>
    <s v="consuelo.cordova@redsalud.gob.cl"/>
    <x v="7"/>
    <d v="2025-08-20T00:00:00"/>
    <n v="0"/>
    <m/>
    <n v="1"/>
    <n v="41666674"/>
    <d v="2026-12-01T00:00:00"/>
    <x v="0"/>
    <x v="0"/>
  </r>
  <r>
    <s v="SERVICIO DE SALUD OSORNO"/>
    <s v="Bienes y Servicios"/>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n v="1"/>
    <s v="Servicio Medico"/>
    <n v="4"/>
    <n v="1"/>
    <n v="500000000"/>
    <n v="41666666"/>
    <x v="11"/>
    <x v="20"/>
    <x v="24"/>
    <x v="26"/>
    <s v="64-2565810-"/>
    <s v="consuelo.cordova@redsalud.gob.cl"/>
    <x v="7"/>
    <d v="2025-08-20T00:00:00"/>
    <n v="0"/>
    <m/>
    <n v="1"/>
    <n v="41666666"/>
    <d v="2026-09-01T00:00:00"/>
    <x v="0"/>
    <x v="0"/>
  </r>
  <r>
    <s v="SERVICIO DE SALUD OSORNO"/>
    <s v="Bienes y Servicios"/>
    <x v="36"/>
    <s v="Proyecto operacional"/>
    <s v="Publicado"/>
    <s v="22.12.999.002.01"/>
    <x v="37"/>
    <s v="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
    <n v="1"/>
    <s v="Servicio Medico"/>
    <n v="4"/>
    <n v="1"/>
    <n v="500000000"/>
    <n v="41666666"/>
    <x v="11"/>
    <x v="20"/>
    <x v="24"/>
    <x v="26"/>
    <s v="64-2565810-"/>
    <s v="consuelo.cordova@redsalud.gob.cl"/>
    <x v="7"/>
    <d v="2025-08-20T00:00:00"/>
    <n v="0"/>
    <m/>
    <n v="1"/>
    <n v="41666666"/>
    <d v="2026-03-01T00:00:00"/>
    <x v="0"/>
    <x v="0"/>
  </r>
  <r>
    <s v="SERVICIO DE SALUD OSORNO"/>
    <s v="Bienes y Servicios"/>
    <x v="37"/>
    <s v="Proyecto operacional"/>
    <s v="Publicado"/>
    <s v="22.08.001"/>
    <x v="38"/>
    <s v="El servicio requerido consta de la sanitización de baños, desratización y desinsectación de todos los hospitales de la red y establecimientos dependientes del SSO"/>
    <n v="1"/>
    <s v="Convenio Desratización"/>
    <n v="4"/>
    <n v="1"/>
    <n v="95481792"/>
    <n v="7956816"/>
    <x v="11"/>
    <x v="18"/>
    <x v="25"/>
    <x v="27"/>
    <s v="64-2567030-"/>
    <s v="carlos.lopez@redsalud.gob.cl"/>
    <x v="7"/>
    <d v="2025-08-20T00:00:00"/>
    <n v="0"/>
    <m/>
    <n v="1"/>
    <n v="7956816"/>
    <d v="2026-03-01T00:00:00"/>
    <x v="0"/>
    <x v="0"/>
  </r>
  <r>
    <s v="SERVICIO DE SALUD OSORNO"/>
    <s v="Bienes y Servicios"/>
    <x v="37"/>
    <s v="Proyecto operacional"/>
    <s v="Publicado"/>
    <s v="22.08.001"/>
    <x v="38"/>
    <s v="El servicio requerido consta de la sanitización de baños, desratización y desinsectación de todos los hospitales de la red y establecimientos dependientes del SSO"/>
    <n v="1"/>
    <s v="Convenio Desratización"/>
    <n v="4"/>
    <n v="1"/>
    <n v="95481792"/>
    <n v="7956816"/>
    <x v="11"/>
    <x v="18"/>
    <x v="25"/>
    <x v="27"/>
    <s v="64-2567030-"/>
    <s v="carlos.lopez@redsalud.gob.cl"/>
    <x v="7"/>
    <d v="2025-08-20T00:00:00"/>
    <n v="0"/>
    <m/>
    <n v="1"/>
    <n v="7956816"/>
    <d v="2026-08-01T00:00:00"/>
    <x v="0"/>
    <x v="0"/>
  </r>
  <r>
    <s v="SERVICIO DE SALUD OSORNO"/>
    <s v="Bienes y Servicios"/>
    <x v="37"/>
    <s v="Proyecto operacional"/>
    <s v="Publicado"/>
    <s v="22.08.001"/>
    <x v="38"/>
    <s v="El servicio requerido consta de la sanitización de baños, desratización y desinsectación de todos los hospitales de la red y establecimientos dependientes del SSO"/>
    <n v="1"/>
    <s v="Convenio Desratización"/>
    <n v="4"/>
    <n v="1"/>
    <n v="95481792"/>
    <n v="7956816"/>
    <x v="11"/>
    <x v="18"/>
    <x v="25"/>
    <x v="27"/>
    <s v="64-2567030-"/>
    <s v="carlos.lopez@redsalud.gob.cl"/>
    <x v="7"/>
    <d v="2025-08-20T00:00:00"/>
    <n v="0"/>
    <m/>
    <n v="1"/>
    <n v="7956816"/>
    <d v="2026-12-01T00:00:00"/>
    <x v="0"/>
    <x v="0"/>
  </r>
  <r>
    <s v="SERVICIO DE SALUD OSORNO"/>
    <s v="Bienes y Servicios"/>
    <x v="37"/>
    <s v="Proyecto operacional"/>
    <s v="Publicado"/>
    <s v="22.08.001"/>
    <x v="38"/>
    <s v="El servicio requerido consta de la sanitización de baños, desratización y desinsectación de todos los hospitales de la red y establecimientos dependientes del SSO"/>
    <n v="1"/>
    <s v="Convenio Desratización"/>
    <n v="4"/>
    <n v="1"/>
    <n v="95481792"/>
    <n v="7956816"/>
    <x v="11"/>
    <x v="18"/>
    <x v="25"/>
    <x v="27"/>
    <s v="64-2567030-"/>
    <s v="carlos.lopez@redsalud.gob.cl"/>
    <x v="7"/>
    <d v="2025-08-20T00:00:00"/>
    <n v="0"/>
    <m/>
    <n v="1"/>
    <n v="7956816"/>
    <d v="2026-04-01T00:00:00"/>
    <x v="0"/>
    <x v="0"/>
  </r>
  <r>
    <s v="SERVICIO DE SALUD OSORNO"/>
    <s v="Bienes y Servicios"/>
    <x v="37"/>
    <s v="Proyecto operacional"/>
    <s v="Publicado"/>
    <s v="22.08.001"/>
    <x v="38"/>
    <s v="El servicio requerido consta de la sanitización de baños, desratización y desinsectación de todos los hospitales de la red y establecimientos dependientes del SSO"/>
    <n v="1"/>
    <s v="Convenio Desratización"/>
    <n v="4"/>
    <n v="1"/>
    <n v="95481792"/>
    <n v="7956816"/>
    <x v="11"/>
    <x v="18"/>
    <x v="25"/>
    <x v="27"/>
    <s v="64-2567030-"/>
    <s v="carlos.lopez@redsalud.gob.cl"/>
    <x v="7"/>
    <d v="2025-08-20T00:00:00"/>
    <n v="0"/>
    <m/>
    <n v="1"/>
    <n v="7956816"/>
    <d v="2026-07-01T00:00:00"/>
    <x v="0"/>
    <x v="0"/>
  </r>
  <r>
    <s v="SERVICIO DE SALUD OSORNO"/>
    <s v="Bienes y Servicios"/>
    <x v="37"/>
    <s v="Proyecto operacional"/>
    <s v="Publicado"/>
    <s v="22.08.001"/>
    <x v="38"/>
    <s v="El servicio requerido consta de la sanitización de baños, desratización y desinsectación de todos los hospitales de la red y establecimientos dependientes del SSO"/>
    <n v="1"/>
    <s v="Convenio Desratización"/>
    <n v="4"/>
    <n v="1"/>
    <n v="95481792"/>
    <n v="7956816"/>
    <x v="11"/>
    <x v="18"/>
    <x v="25"/>
    <x v="27"/>
    <s v="64-2567030-"/>
    <s v="carlos.lopez@redsalud.gob.cl"/>
    <x v="7"/>
    <d v="2025-08-20T00:00:00"/>
    <n v="0"/>
    <m/>
    <n v="1"/>
    <n v="7956816"/>
    <d v="2026-02-01T00:00:00"/>
    <x v="0"/>
    <x v="0"/>
  </r>
  <r>
    <s v="SERVICIO DE SALUD OSORNO"/>
    <s v="Bienes y Servicios"/>
    <x v="37"/>
    <s v="Proyecto operacional"/>
    <s v="Publicado"/>
    <s v="22.08.001"/>
    <x v="38"/>
    <s v="El servicio requerido consta de la sanitización de baños, desratización y desinsectación de todos los hospitales de la red y establecimientos dependientes del SSO"/>
    <n v="1"/>
    <s v="Convenio Desratización"/>
    <n v="4"/>
    <n v="1"/>
    <n v="95481792"/>
    <n v="7956816"/>
    <x v="11"/>
    <x v="18"/>
    <x v="25"/>
    <x v="27"/>
    <s v="64-2567030-"/>
    <s v="carlos.lopez@redsalud.gob.cl"/>
    <x v="7"/>
    <d v="2025-08-20T00:00:00"/>
    <n v="0"/>
    <m/>
    <n v="1"/>
    <n v="7956816"/>
    <d v="2026-05-01T00:00:00"/>
    <x v="0"/>
    <x v="0"/>
  </r>
  <r>
    <s v="SERVICIO DE SALUD OSORNO"/>
    <s v="Bienes y Servicios"/>
    <x v="37"/>
    <s v="Proyecto operacional"/>
    <s v="Publicado"/>
    <s v="22.08.001"/>
    <x v="38"/>
    <s v="El servicio requerido consta de la sanitización de baños, desratización y desinsectación de todos los hospitales de la red y establecimientos dependientes del SSO"/>
    <n v="1"/>
    <s v="Convenio Desratización"/>
    <n v="4"/>
    <n v="1"/>
    <n v="95481792"/>
    <n v="7956816"/>
    <x v="11"/>
    <x v="18"/>
    <x v="25"/>
    <x v="27"/>
    <s v="64-2567030-"/>
    <s v="carlos.lopez@redsalud.gob.cl"/>
    <x v="7"/>
    <d v="2025-08-20T00:00:00"/>
    <n v="0"/>
    <m/>
    <n v="1"/>
    <n v="7956816"/>
    <d v="2026-11-01T00:00:00"/>
    <x v="0"/>
    <x v="0"/>
  </r>
  <r>
    <s v="SERVICIO DE SALUD OSORNO"/>
    <s v="Bienes y Servicios"/>
    <x v="37"/>
    <s v="Proyecto operacional"/>
    <s v="Publicado"/>
    <s v="22.08.001"/>
    <x v="38"/>
    <s v="El servicio requerido consta de la sanitización de baños, desratización y desinsectación de todos los hospitales de la red y establecimientos dependientes del SSO"/>
    <n v="1"/>
    <s v="Convenio Desratización"/>
    <n v="4"/>
    <n v="1"/>
    <n v="95481792"/>
    <n v="7956816"/>
    <x v="11"/>
    <x v="18"/>
    <x v="25"/>
    <x v="27"/>
    <s v="64-2567030-"/>
    <s v="carlos.lopez@redsalud.gob.cl"/>
    <x v="7"/>
    <d v="2025-08-20T00:00:00"/>
    <n v="0"/>
    <m/>
    <n v="1"/>
    <n v="7956816"/>
    <d v="2026-10-01T00:00:00"/>
    <x v="0"/>
    <x v="0"/>
  </r>
  <r>
    <s v="SERVICIO DE SALUD OSORNO"/>
    <s v="Bienes y Servicios"/>
    <x v="37"/>
    <s v="Proyecto operacional"/>
    <s v="Publicado"/>
    <s v="22.08.001"/>
    <x v="38"/>
    <s v="El servicio requerido consta de la sanitización de baños, desratización y desinsectación de todos los hospitales de la red y establecimientos dependientes del SSO"/>
    <n v="1"/>
    <s v="Convenio Desratización"/>
    <n v="4"/>
    <n v="1"/>
    <n v="95481792"/>
    <n v="7956816"/>
    <x v="11"/>
    <x v="18"/>
    <x v="25"/>
    <x v="27"/>
    <s v="64-2567030-"/>
    <s v="carlos.lopez@redsalud.gob.cl"/>
    <x v="7"/>
    <d v="2025-08-20T00:00:00"/>
    <n v="0"/>
    <m/>
    <n v="1"/>
    <n v="7956816"/>
    <d v="2026-06-01T00:00:00"/>
    <x v="0"/>
    <x v="0"/>
  </r>
  <r>
    <s v="SERVICIO DE SALUD OSORNO"/>
    <s v="Bienes y Servicios"/>
    <x v="37"/>
    <s v="Proyecto operacional"/>
    <s v="Publicado"/>
    <s v="22.08.001"/>
    <x v="38"/>
    <s v="El servicio requerido consta de la sanitización de baños, desratización y desinsectación de todos los hospitales de la red y establecimientos dependientes del SSO"/>
    <n v="1"/>
    <s v="Convenio Desratización"/>
    <n v="4"/>
    <n v="1"/>
    <n v="95481792"/>
    <n v="7956816"/>
    <x v="11"/>
    <x v="18"/>
    <x v="25"/>
    <x v="27"/>
    <s v="64-2567030-"/>
    <s v="carlos.lopez@redsalud.gob.cl"/>
    <x v="7"/>
    <d v="2025-08-20T00:00:00"/>
    <n v="0"/>
    <m/>
    <n v="1"/>
    <n v="7956816"/>
    <d v="2026-09-01T00:00:00"/>
    <x v="0"/>
    <x v="0"/>
  </r>
  <r>
    <s v="SERVICIO DE SALUD OSORNO"/>
    <s v="Bienes y Servicios"/>
    <x v="38"/>
    <s v="Proyecto operacional"/>
    <s v="Publicado"/>
    <s v="22.04.003.002"/>
    <x v="39"/>
    <s v="Adquirir kit de detección de VPH y arriendo de equipo."/>
    <n v="1"/>
    <s v="Servicio Medico"/>
    <n v="4"/>
    <n v="3500"/>
    <n v="15143"/>
    <n v="4416666"/>
    <x v="11"/>
    <x v="18"/>
    <x v="26"/>
    <x v="28"/>
    <s v="64-2565818-"/>
    <s v="Javiera.gajardom@redsalud.gob.cl"/>
    <x v="7"/>
    <d v="2025-08-20T00:00:00"/>
    <n v="0"/>
    <m/>
    <n v="1"/>
    <n v="4416666"/>
    <d v="2026-05-01T00:00:00"/>
    <x v="0"/>
    <x v="0"/>
  </r>
  <r>
    <s v="SERVICIO DE SALUD OSORNO"/>
    <s v="Bienes y Servicios"/>
    <x v="38"/>
    <s v="Proyecto operacional"/>
    <s v="Publicado"/>
    <s v="22.04.003.002"/>
    <x v="39"/>
    <s v="Adquirir kit de detección de VPH y arriendo de equipo."/>
    <n v="1"/>
    <s v="Servicio Medico"/>
    <n v="4"/>
    <n v="3500"/>
    <n v="15143"/>
    <n v="4416666"/>
    <x v="11"/>
    <x v="18"/>
    <x v="26"/>
    <x v="28"/>
    <s v="64-2565818-"/>
    <s v="Javiera.gajardom@redsalud.gob.cl"/>
    <x v="7"/>
    <d v="2025-08-20T00:00:00"/>
    <n v="0"/>
    <m/>
    <n v="1"/>
    <n v="4416666"/>
    <d v="2026-06-01T00:00:00"/>
    <x v="0"/>
    <x v="0"/>
  </r>
  <r>
    <s v="SERVICIO DE SALUD OSORNO"/>
    <s v="Bienes y Servicios"/>
    <x v="38"/>
    <s v="Proyecto operacional"/>
    <s v="Publicado"/>
    <s v="22.04.003.002"/>
    <x v="39"/>
    <s v="Adquirir kit de detección de VPH y arriendo de equipo."/>
    <n v="1"/>
    <s v="Servicio Medico"/>
    <n v="4"/>
    <n v="3500"/>
    <n v="15143"/>
    <n v="4416666"/>
    <x v="11"/>
    <x v="18"/>
    <x v="26"/>
    <x v="28"/>
    <s v="64-2565818-"/>
    <s v="Javiera.gajardom@redsalud.gob.cl"/>
    <x v="7"/>
    <d v="2025-08-20T00:00:00"/>
    <n v="0"/>
    <m/>
    <n v="1"/>
    <n v="4416666"/>
    <d v="2026-11-01T00:00:00"/>
    <x v="0"/>
    <x v="0"/>
  </r>
  <r>
    <s v="SERVICIO DE SALUD OSORNO"/>
    <s v="Bienes y Servicios"/>
    <x v="38"/>
    <s v="Proyecto operacional"/>
    <s v="Publicado"/>
    <s v="22.04.003.002"/>
    <x v="39"/>
    <s v="Adquirir kit de detección de VPH y arriendo de equipo."/>
    <n v="1"/>
    <s v="Servicio Medico"/>
    <n v="4"/>
    <n v="3500"/>
    <n v="15143"/>
    <n v="4416666"/>
    <x v="11"/>
    <x v="18"/>
    <x v="26"/>
    <x v="28"/>
    <s v="64-2565818-"/>
    <s v="Javiera.gajardom@redsalud.gob.cl"/>
    <x v="7"/>
    <d v="2025-08-20T00:00:00"/>
    <n v="0"/>
    <m/>
    <n v="1"/>
    <n v="4416666"/>
    <d v="2026-04-01T00:00:00"/>
    <x v="0"/>
    <x v="0"/>
  </r>
  <r>
    <s v="SERVICIO DE SALUD OSORNO"/>
    <s v="Bienes y Servicios"/>
    <x v="38"/>
    <s v="Proyecto operacional"/>
    <s v="Publicado"/>
    <s v="22.04.003.002"/>
    <x v="39"/>
    <s v="Adquirir kit de detección de VPH y arriendo de equipo."/>
    <n v="1"/>
    <s v="Servicio Medico"/>
    <n v="4"/>
    <n v="3500"/>
    <n v="15143"/>
    <n v="4416666"/>
    <x v="11"/>
    <x v="18"/>
    <x v="26"/>
    <x v="28"/>
    <s v="64-2565818-"/>
    <s v="Javiera.gajardom@redsalud.gob.cl"/>
    <x v="7"/>
    <d v="2025-08-20T00:00:00"/>
    <n v="0"/>
    <m/>
    <n v="1"/>
    <n v="4416666"/>
    <d v="2026-02-01T00:00:00"/>
    <x v="0"/>
    <x v="0"/>
  </r>
  <r>
    <s v="SERVICIO DE SALUD OSORNO"/>
    <s v="Bienes y Servicios"/>
    <x v="38"/>
    <s v="Proyecto operacional"/>
    <s v="Publicado"/>
    <s v="22.04.003.002"/>
    <x v="39"/>
    <s v="Adquirir kit de detección de VPH y arriendo de equipo."/>
    <n v="1"/>
    <s v="Servicio Medico"/>
    <n v="4"/>
    <n v="3500"/>
    <n v="15143"/>
    <n v="4416666"/>
    <x v="11"/>
    <x v="18"/>
    <x v="26"/>
    <x v="28"/>
    <s v="64-2565818-"/>
    <s v="Javiera.gajardom@redsalud.gob.cl"/>
    <x v="7"/>
    <d v="2025-08-20T00:00:00"/>
    <n v="0"/>
    <m/>
    <n v="1"/>
    <n v="4416666"/>
    <d v="2026-10-01T00:00:00"/>
    <x v="0"/>
    <x v="0"/>
  </r>
  <r>
    <s v="SERVICIO DE SALUD OSORNO"/>
    <s v="Bienes y Servicios"/>
    <x v="38"/>
    <s v="Proyecto operacional"/>
    <s v="Publicado"/>
    <s v="22.04.003.002"/>
    <x v="39"/>
    <s v="Adquirir kit de detección de VPH y arriendo de equipo."/>
    <n v="1"/>
    <s v="Servicio Medico"/>
    <n v="4"/>
    <n v="3500"/>
    <n v="15143"/>
    <n v="4416666"/>
    <x v="11"/>
    <x v="18"/>
    <x v="26"/>
    <x v="28"/>
    <s v="64-2565818-"/>
    <s v="Javiera.gajardom@redsalud.gob.cl"/>
    <x v="7"/>
    <d v="2025-08-20T00:00:00"/>
    <n v="0"/>
    <m/>
    <n v="1"/>
    <n v="4416666"/>
    <d v="2026-07-01T00:00:00"/>
    <x v="0"/>
    <x v="0"/>
  </r>
  <r>
    <s v="SERVICIO DE SALUD OSORNO"/>
    <s v="Bienes y Servicios"/>
    <x v="38"/>
    <s v="Proyecto operacional"/>
    <s v="Publicado"/>
    <s v="22.04.003.002"/>
    <x v="39"/>
    <s v="Adquirir kit de detección de VPH y arriendo de equipo."/>
    <n v="1"/>
    <s v="Servicio Medico"/>
    <n v="4"/>
    <n v="3500"/>
    <n v="15143"/>
    <n v="4416666"/>
    <x v="11"/>
    <x v="18"/>
    <x v="26"/>
    <x v="28"/>
    <s v="64-2565818-"/>
    <s v="Javiera.gajardom@redsalud.gob.cl"/>
    <x v="7"/>
    <d v="2025-08-20T00:00:00"/>
    <n v="0"/>
    <m/>
    <n v="1"/>
    <n v="4416666"/>
    <d v="2026-09-01T00:00:00"/>
    <x v="0"/>
    <x v="0"/>
  </r>
  <r>
    <s v="SERVICIO DE SALUD OSORNO"/>
    <s v="Bienes y Servicios"/>
    <x v="38"/>
    <s v="Proyecto operacional"/>
    <s v="Publicado"/>
    <s v="22.04.003.002"/>
    <x v="39"/>
    <s v="Adquirir kit de detección de VPH y arriendo de equipo."/>
    <n v="1"/>
    <s v="Servicio Medico"/>
    <n v="4"/>
    <n v="3500"/>
    <n v="15143"/>
    <n v="4416666"/>
    <x v="11"/>
    <x v="18"/>
    <x v="26"/>
    <x v="28"/>
    <s v="64-2565818-"/>
    <s v="Javiera.gajardom@redsalud.gob.cl"/>
    <x v="7"/>
    <d v="2025-08-20T00:00:00"/>
    <n v="0"/>
    <m/>
    <n v="1"/>
    <n v="4416666"/>
    <d v="2026-12-01T00:00:00"/>
    <x v="0"/>
    <x v="0"/>
  </r>
  <r>
    <s v="SERVICIO DE SALUD OSORNO"/>
    <s v="Bienes y Servicios"/>
    <x v="38"/>
    <s v="Proyecto operacional"/>
    <s v="Publicado"/>
    <s v="22.04.003.002"/>
    <x v="39"/>
    <s v="Adquirir kit de detección de VPH y arriendo de equipo."/>
    <n v="1"/>
    <s v="Servicio Medico"/>
    <n v="4"/>
    <n v="3500"/>
    <n v="15143"/>
    <n v="4416666"/>
    <x v="11"/>
    <x v="18"/>
    <x v="26"/>
    <x v="28"/>
    <s v="64-2565818-"/>
    <s v="Javiera.gajardom@redsalud.gob.cl"/>
    <x v="7"/>
    <d v="2025-08-20T00:00:00"/>
    <n v="0"/>
    <m/>
    <n v="1"/>
    <n v="4416666"/>
    <d v="2026-03-01T00:00:00"/>
    <x v="0"/>
    <x v="0"/>
  </r>
  <r>
    <s v="SERVICIO DE SALUD OSORNO"/>
    <s v="Bienes y Servicios"/>
    <x v="38"/>
    <s v="Proyecto operacional"/>
    <s v="Publicado"/>
    <s v="22.04.003.002"/>
    <x v="39"/>
    <s v="Adquirir kit de detección de VPH y arriendo de equipo."/>
    <n v="1"/>
    <s v="Servicio Medico"/>
    <n v="4"/>
    <n v="3500"/>
    <n v="15143"/>
    <n v="4416666"/>
    <x v="11"/>
    <x v="18"/>
    <x v="26"/>
    <x v="28"/>
    <s v="64-2565818-"/>
    <s v="Javiera.gajardom@redsalud.gob.cl"/>
    <x v="7"/>
    <d v="2025-08-20T00:00:00"/>
    <n v="0"/>
    <m/>
    <n v="1"/>
    <n v="4416666"/>
    <d v="2026-08-01T00:00:00"/>
    <x v="0"/>
    <x v="0"/>
  </r>
  <r>
    <s v="SERVICIO DE SALUD OSORNO"/>
    <s v="Bienes y Servicios"/>
    <x v="39"/>
    <s v="Proyecto operacional"/>
    <s v="Publicado"/>
    <s v="22.01.001.001"/>
    <x v="40"/>
    <s v="Servicio de alimentación CDR Kumelen para usuarios que participan en talleres de lunes a viernes. Proceso licitatorio año 2025 finaliza 31/12/2025. Iniciar con Servicio 01/01/2026."/>
    <n v="1"/>
    <s v="Alimentación"/>
    <n v="4"/>
    <n v="1"/>
    <n v="80000000"/>
    <n v="6666666"/>
    <x v="11"/>
    <x v="18"/>
    <x v="16"/>
    <x v="19"/>
    <s v="64-2567366-"/>
    <s v="luis.floresme@redsalud.gob.cl"/>
    <x v="7"/>
    <d v="2025-08-20T00:00:00"/>
    <n v="0"/>
    <m/>
    <n v="1"/>
    <n v="6666666"/>
    <d v="2026-03-01T00:00:00"/>
    <x v="0"/>
    <x v="0"/>
  </r>
  <r>
    <s v="SERVICIO DE SALUD OSORNO"/>
    <s v="Bienes y Servicios"/>
    <x v="39"/>
    <s v="Proyecto operacional"/>
    <s v="Publicado"/>
    <s v="22.01.001.001"/>
    <x v="40"/>
    <s v="Servicio de alimentación CDR Kumelen para usuarios que participan en talleres de lunes a viernes. Proceso licitatorio año 2025 finaliza 31/12/2025. Iniciar con Servicio 01/01/2026."/>
    <n v="1"/>
    <s v="Alimentación"/>
    <n v="4"/>
    <n v="1"/>
    <n v="80000000"/>
    <n v="6666666"/>
    <x v="11"/>
    <x v="18"/>
    <x v="16"/>
    <x v="19"/>
    <s v="64-2567366-"/>
    <s v="luis.floresme@redsalud.gob.cl"/>
    <x v="7"/>
    <d v="2025-08-20T00:00:00"/>
    <n v="0"/>
    <m/>
    <n v="1"/>
    <n v="6666666"/>
    <d v="2026-04-01T00:00:00"/>
    <x v="0"/>
    <x v="0"/>
  </r>
  <r>
    <s v="SERVICIO DE SALUD OSORNO"/>
    <s v="Bienes y Servicios"/>
    <x v="39"/>
    <s v="Proyecto operacional"/>
    <s v="Publicado"/>
    <s v="22.01.001.001"/>
    <x v="40"/>
    <s v="Servicio de alimentación CDR Kumelen para usuarios que participan en talleres de lunes a viernes. Proceso licitatorio año 2025 finaliza 31/12/2025. Iniciar con Servicio 01/01/2026."/>
    <n v="1"/>
    <s v="Alimentación"/>
    <n v="4"/>
    <n v="1"/>
    <n v="80000000"/>
    <n v="6666666"/>
    <x v="11"/>
    <x v="18"/>
    <x v="16"/>
    <x v="19"/>
    <s v="64-2567366-"/>
    <s v="luis.floresme@redsalud.gob.cl"/>
    <x v="7"/>
    <d v="2025-08-20T00:00:00"/>
    <n v="0"/>
    <m/>
    <n v="1"/>
    <n v="6666666"/>
    <d v="2026-12-01T00:00:00"/>
    <x v="0"/>
    <x v="0"/>
  </r>
  <r>
    <s v="SERVICIO DE SALUD OSORNO"/>
    <s v="Bienes y Servicios"/>
    <x v="39"/>
    <s v="Proyecto operacional"/>
    <s v="Publicado"/>
    <s v="22.01.001.001"/>
    <x v="40"/>
    <s v="Servicio de alimentación CDR Kumelen para usuarios que participan en talleres de lunes a viernes. Proceso licitatorio año 2025 finaliza 31/12/2025. Iniciar con Servicio 01/01/2026."/>
    <n v="1"/>
    <s v="Alimentación"/>
    <n v="4"/>
    <n v="1"/>
    <n v="80000000"/>
    <n v="6666666"/>
    <x v="11"/>
    <x v="18"/>
    <x v="16"/>
    <x v="19"/>
    <s v="64-2567366-"/>
    <s v="luis.floresme@redsalud.gob.cl"/>
    <x v="7"/>
    <d v="2025-08-20T00:00:00"/>
    <n v="0"/>
    <m/>
    <n v="1"/>
    <n v="6666666"/>
    <d v="2026-06-01T00:00:00"/>
    <x v="0"/>
    <x v="0"/>
  </r>
  <r>
    <s v="SERVICIO DE SALUD OSORNO"/>
    <s v="Bienes y Servicios"/>
    <x v="39"/>
    <s v="Proyecto operacional"/>
    <s v="Publicado"/>
    <s v="22.01.001.001"/>
    <x v="40"/>
    <s v="Servicio de alimentación CDR Kumelen para usuarios que participan en talleres de lunes a viernes. Proceso licitatorio año 2025 finaliza 31/12/2025. Iniciar con Servicio 01/01/2026."/>
    <n v="1"/>
    <s v="Alimentación"/>
    <n v="4"/>
    <n v="1"/>
    <n v="80000000"/>
    <n v="6666666"/>
    <x v="11"/>
    <x v="18"/>
    <x v="16"/>
    <x v="19"/>
    <s v="64-2567366-"/>
    <s v="luis.floresme@redsalud.gob.cl"/>
    <x v="7"/>
    <d v="2025-08-20T00:00:00"/>
    <n v="0"/>
    <m/>
    <n v="1"/>
    <n v="6666666"/>
    <d v="2026-08-01T00:00:00"/>
    <x v="0"/>
    <x v="0"/>
  </r>
  <r>
    <s v="SERVICIO DE SALUD OSORNO"/>
    <s v="Bienes y Servicios"/>
    <x v="39"/>
    <s v="Proyecto operacional"/>
    <s v="Publicado"/>
    <s v="22.01.001.001"/>
    <x v="40"/>
    <s v="Servicio de alimentación CDR Kumelen para usuarios que participan en talleres de lunes a viernes. Proceso licitatorio año 2025 finaliza 31/12/2025. Iniciar con Servicio 01/01/2026."/>
    <n v="1"/>
    <s v="Alimentación"/>
    <n v="4"/>
    <n v="1"/>
    <n v="80000000"/>
    <n v="6666666"/>
    <x v="11"/>
    <x v="18"/>
    <x v="16"/>
    <x v="19"/>
    <s v="64-2567366-"/>
    <s v="luis.floresme@redsalud.gob.cl"/>
    <x v="7"/>
    <d v="2025-08-20T00:00:00"/>
    <n v="0"/>
    <m/>
    <n v="1"/>
    <n v="6666666"/>
    <d v="2026-07-01T00:00:00"/>
    <x v="0"/>
    <x v="0"/>
  </r>
  <r>
    <s v="SERVICIO DE SALUD OSORNO"/>
    <s v="Bienes y Servicios"/>
    <x v="39"/>
    <s v="Proyecto operacional"/>
    <s v="Publicado"/>
    <s v="22.01.001.001"/>
    <x v="40"/>
    <s v="Servicio de alimentación CDR Kumelen para usuarios que participan en talleres de lunes a viernes. Proceso licitatorio año 2025 finaliza 31/12/2025. Iniciar con Servicio 01/01/2026."/>
    <n v="1"/>
    <s v="Alimentación"/>
    <n v="4"/>
    <n v="1"/>
    <n v="80000000"/>
    <n v="6666666"/>
    <x v="11"/>
    <x v="18"/>
    <x v="16"/>
    <x v="19"/>
    <s v="64-2567366-"/>
    <s v="luis.floresme@redsalud.gob.cl"/>
    <x v="7"/>
    <d v="2025-08-20T00:00:00"/>
    <n v="0"/>
    <m/>
    <n v="1"/>
    <n v="6666666"/>
    <d v="2026-02-01T00:00:00"/>
    <x v="0"/>
    <x v="0"/>
  </r>
  <r>
    <s v="SERVICIO DE SALUD OSORNO"/>
    <s v="Bienes y Servicios"/>
    <x v="39"/>
    <s v="Proyecto operacional"/>
    <s v="Publicado"/>
    <s v="22.01.001.001"/>
    <x v="40"/>
    <s v="Servicio de alimentación CDR Kumelen para usuarios que participan en talleres de lunes a viernes. Proceso licitatorio año 2025 finaliza 31/12/2025. Iniciar con Servicio 01/01/2026."/>
    <n v="1"/>
    <s v="Alimentación"/>
    <n v="4"/>
    <n v="1"/>
    <n v="80000000"/>
    <n v="6666666"/>
    <x v="11"/>
    <x v="18"/>
    <x v="16"/>
    <x v="19"/>
    <s v="64-2567366-"/>
    <s v="luis.floresme@redsalud.gob.cl"/>
    <x v="7"/>
    <d v="2025-08-20T00:00:00"/>
    <n v="0"/>
    <m/>
    <n v="1"/>
    <n v="6666666"/>
    <d v="2026-05-01T00:00:00"/>
    <x v="0"/>
    <x v="0"/>
  </r>
  <r>
    <s v="SERVICIO DE SALUD OSORNO"/>
    <s v="Bienes y Servicios"/>
    <x v="39"/>
    <s v="Proyecto operacional"/>
    <s v="Publicado"/>
    <s v="22.01.001.001"/>
    <x v="40"/>
    <s v="Servicio de alimentación CDR Kumelen para usuarios que participan en talleres de lunes a viernes. Proceso licitatorio año 2025 finaliza 31/12/2025. Iniciar con Servicio 01/01/2026."/>
    <n v="1"/>
    <s v="Alimentación"/>
    <n v="4"/>
    <n v="1"/>
    <n v="80000000"/>
    <n v="6666666"/>
    <x v="11"/>
    <x v="18"/>
    <x v="16"/>
    <x v="19"/>
    <s v="64-2567366-"/>
    <s v="luis.floresme@redsalud.gob.cl"/>
    <x v="7"/>
    <d v="2025-08-20T00:00:00"/>
    <n v="0"/>
    <m/>
    <n v="1"/>
    <n v="6666666"/>
    <d v="2026-10-01T00:00:00"/>
    <x v="0"/>
    <x v="0"/>
  </r>
  <r>
    <s v="SERVICIO DE SALUD OSORNO"/>
    <s v="Bienes y Servicios"/>
    <x v="39"/>
    <s v="Proyecto operacional"/>
    <s v="Publicado"/>
    <s v="22.01.001.001"/>
    <x v="40"/>
    <s v="Servicio de alimentación CDR Kumelen para usuarios que participan en talleres de lunes a viernes. Proceso licitatorio año 2025 finaliza 31/12/2025. Iniciar con Servicio 01/01/2026."/>
    <n v="1"/>
    <s v="Alimentación"/>
    <n v="4"/>
    <n v="1"/>
    <n v="80000000"/>
    <n v="6666666"/>
    <x v="11"/>
    <x v="18"/>
    <x v="16"/>
    <x v="19"/>
    <s v="64-2567366-"/>
    <s v="luis.floresme@redsalud.gob.cl"/>
    <x v="7"/>
    <d v="2025-08-20T00:00:00"/>
    <n v="0"/>
    <m/>
    <n v="1"/>
    <n v="6666666"/>
    <d v="2026-11-01T00:00:00"/>
    <x v="0"/>
    <x v="0"/>
  </r>
  <r>
    <s v="SERVICIO DE SALUD OSORNO"/>
    <s v="Bienes y Servicios"/>
    <x v="39"/>
    <s v="Proyecto operacional"/>
    <s v="Publicado"/>
    <s v="22.01.001.001"/>
    <x v="40"/>
    <s v="Servicio de alimentación CDR Kumelen para usuarios que participan en talleres de lunes a viernes. Proceso licitatorio año 2025 finaliza 31/12/2025. Iniciar con Servicio 01/01/2026."/>
    <n v="1"/>
    <s v="Alimentación"/>
    <n v="4"/>
    <n v="1"/>
    <n v="80000000"/>
    <n v="6666666"/>
    <x v="11"/>
    <x v="18"/>
    <x v="16"/>
    <x v="19"/>
    <s v="64-2567366-"/>
    <s v="luis.floresme@redsalud.gob.cl"/>
    <x v="7"/>
    <d v="2025-08-20T00:00:00"/>
    <n v="0"/>
    <m/>
    <n v="1"/>
    <n v="6666666"/>
    <d v="2026-09-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Convenio Leña"/>
    <n v="4"/>
    <n v="65"/>
    <n v="53900"/>
    <n v="291958"/>
    <x v="11"/>
    <x v="20"/>
    <x v="19"/>
    <x v="22"/>
    <s v="64-2565492-"/>
    <s v="mariaines.asenjo@redsalud.gob.cl"/>
    <x v="7"/>
    <d v="2025-08-20T00:00:00"/>
    <n v="0"/>
    <m/>
    <n v="1"/>
    <n v="291958"/>
    <d v="2026-02-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Convenio Leña"/>
    <n v="4"/>
    <n v="65"/>
    <n v="53900"/>
    <n v="291958"/>
    <x v="11"/>
    <x v="20"/>
    <x v="19"/>
    <x v="22"/>
    <s v="64-2565492-"/>
    <s v="mariaines.asenjo@redsalud.gob.cl"/>
    <x v="7"/>
    <d v="2025-08-20T00:00:00"/>
    <n v="0"/>
    <m/>
    <n v="1"/>
    <n v="291958"/>
    <d v="2026-07-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Convenio Leña"/>
    <n v="4"/>
    <n v="65"/>
    <n v="53900"/>
    <n v="291958"/>
    <x v="11"/>
    <x v="20"/>
    <x v="19"/>
    <x v="22"/>
    <s v="64-2565492-"/>
    <s v="mariaines.asenjo@redsalud.gob.cl"/>
    <x v="7"/>
    <d v="2025-08-20T00:00:00"/>
    <n v="0"/>
    <m/>
    <n v="1"/>
    <n v="291958"/>
    <d v="2026-01-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Convenio Leña"/>
    <n v="4"/>
    <n v="65"/>
    <n v="53900"/>
    <n v="291962"/>
    <x v="11"/>
    <x v="20"/>
    <x v="19"/>
    <x v="22"/>
    <s v="64-2565492-"/>
    <s v="mariaines.asenjo@redsalud.gob.cl"/>
    <x v="7"/>
    <d v="2025-08-20T00:00:00"/>
    <n v="0"/>
    <m/>
    <n v="1"/>
    <n v="291962"/>
    <d v="2026-12-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Convenio Leña"/>
    <n v="4"/>
    <n v="65"/>
    <n v="53900"/>
    <n v="291958"/>
    <x v="11"/>
    <x v="20"/>
    <x v="19"/>
    <x v="22"/>
    <s v="64-2565492-"/>
    <s v="mariaines.asenjo@redsalud.gob.cl"/>
    <x v="7"/>
    <d v="2025-08-20T00:00:00"/>
    <n v="0"/>
    <m/>
    <n v="1"/>
    <n v="291958"/>
    <d v="2026-04-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Convenio Leña"/>
    <n v="4"/>
    <n v="65"/>
    <n v="53900"/>
    <n v="291958"/>
    <x v="11"/>
    <x v="20"/>
    <x v="19"/>
    <x v="22"/>
    <s v="64-2565492-"/>
    <s v="mariaines.asenjo@redsalud.gob.cl"/>
    <x v="7"/>
    <d v="2025-08-20T00:00:00"/>
    <n v="0"/>
    <m/>
    <n v="1"/>
    <n v="291958"/>
    <d v="2026-06-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Convenio Leña"/>
    <n v="4"/>
    <n v="65"/>
    <n v="53900"/>
    <n v="291958"/>
    <x v="11"/>
    <x v="20"/>
    <x v="19"/>
    <x v="22"/>
    <s v="64-2565492-"/>
    <s v="mariaines.asenjo@redsalud.gob.cl"/>
    <x v="7"/>
    <d v="2025-08-20T00:00:00"/>
    <n v="0"/>
    <m/>
    <n v="1"/>
    <n v="291958"/>
    <d v="2026-05-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Convenio Leña"/>
    <n v="4"/>
    <n v="65"/>
    <n v="53900"/>
    <n v="291958"/>
    <x v="11"/>
    <x v="20"/>
    <x v="19"/>
    <x v="22"/>
    <s v="64-2565492-"/>
    <s v="mariaines.asenjo@redsalud.gob.cl"/>
    <x v="7"/>
    <d v="2025-08-20T00:00:00"/>
    <n v="0"/>
    <m/>
    <n v="1"/>
    <n v="291958"/>
    <d v="2026-03-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Convenio Leña"/>
    <n v="4"/>
    <n v="65"/>
    <n v="53900"/>
    <n v="291958"/>
    <x v="11"/>
    <x v="20"/>
    <x v="19"/>
    <x v="22"/>
    <s v="64-2565492-"/>
    <s v="mariaines.asenjo@redsalud.gob.cl"/>
    <x v="7"/>
    <d v="2025-08-20T00:00:00"/>
    <n v="0"/>
    <m/>
    <n v="1"/>
    <n v="291958"/>
    <d v="2026-10-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Convenio Leña"/>
    <n v="4"/>
    <n v="65"/>
    <n v="53900"/>
    <n v="291958"/>
    <x v="11"/>
    <x v="20"/>
    <x v="19"/>
    <x v="22"/>
    <s v="64-2565492-"/>
    <s v="mariaines.asenjo@redsalud.gob.cl"/>
    <x v="7"/>
    <d v="2025-08-20T00:00:00"/>
    <n v="0"/>
    <m/>
    <n v="1"/>
    <n v="291958"/>
    <d v="2026-09-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Convenio Leña"/>
    <n v="4"/>
    <n v="65"/>
    <n v="53900"/>
    <n v="291958"/>
    <x v="11"/>
    <x v="20"/>
    <x v="19"/>
    <x v="22"/>
    <s v="64-2565492-"/>
    <s v="mariaines.asenjo@redsalud.gob.cl"/>
    <x v="7"/>
    <d v="2025-08-20T00:00:00"/>
    <n v="0"/>
    <m/>
    <n v="1"/>
    <n v="291958"/>
    <d v="2026-08-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Convenio Leña"/>
    <n v="4"/>
    <n v="65"/>
    <n v="53900"/>
    <n v="291958"/>
    <x v="11"/>
    <x v="20"/>
    <x v="19"/>
    <x v="22"/>
    <s v="64-2565492-"/>
    <s v="mariaines.asenjo@redsalud.gob.cl"/>
    <x v="7"/>
    <d v="2025-08-20T00:00:00"/>
    <n v="0"/>
    <m/>
    <n v="1"/>
    <n v="291958"/>
    <d v="2026-11-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Vale Gas"/>
    <n v="4"/>
    <n v="50"/>
    <n v="58280"/>
    <n v="242833"/>
    <x v="11"/>
    <x v="20"/>
    <x v="19"/>
    <x v="22"/>
    <s v="64-2565492-"/>
    <s v="mariaines.asenjo@redsalud.gob.cl"/>
    <x v="7"/>
    <d v="2025-08-20T00:00:00"/>
    <n v="0"/>
    <m/>
    <n v="1"/>
    <n v="242833"/>
    <d v="2026-01-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Vale Gas"/>
    <n v="4"/>
    <n v="50"/>
    <n v="58280"/>
    <n v="242833"/>
    <x v="11"/>
    <x v="20"/>
    <x v="19"/>
    <x v="22"/>
    <s v="64-2565492-"/>
    <s v="mariaines.asenjo@redsalud.gob.cl"/>
    <x v="7"/>
    <d v="2025-08-20T00:00:00"/>
    <n v="0"/>
    <m/>
    <n v="1"/>
    <n v="242833"/>
    <d v="2026-07-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Vale Gas"/>
    <n v="4"/>
    <n v="50"/>
    <n v="58280"/>
    <n v="242833"/>
    <x v="11"/>
    <x v="20"/>
    <x v="19"/>
    <x v="22"/>
    <s v="64-2565492-"/>
    <s v="mariaines.asenjo@redsalud.gob.cl"/>
    <x v="7"/>
    <d v="2025-08-20T00:00:00"/>
    <n v="0"/>
    <m/>
    <n v="1"/>
    <n v="242833"/>
    <d v="2026-05-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Vale Gas"/>
    <n v="4"/>
    <n v="50"/>
    <n v="58280"/>
    <n v="242833"/>
    <x v="11"/>
    <x v="20"/>
    <x v="19"/>
    <x v="22"/>
    <s v="64-2565492-"/>
    <s v="mariaines.asenjo@redsalud.gob.cl"/>
    <x v="7"/>
    <d v="2025-08-20T00:00:00"/>
    <n v="0"/>
    <m/>
    <n v="1"/>
    <n v="242833"/>
    <d v="2026-06-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Vale Gas"/>
    <n v="4"/>
    <n v="50"/>
    <n v="58280"/>
    <n v="242833"/>
    <x v="11"/>
    <x v="20"/>
    <x v="19"/>
    <x v="22"/>
    <s v="64-2565492-"/>
    <s v="mariaines.asenjo@redsalud.gob.cl"/>
    <x v="7"/>
    <d v="2025-08-20T00:00:00"/>
    <n v="0"/>
    <m/>
    <n v="1"/>
    <n v="242833"/>
    <d v="2026-11-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Vale Gas"/>
    <n v="4"/>
    <n v="50"/>
    <n v="58280"/>
    <n v="242837"/>
    <x v="11"/>
    <x v="20"/>
    <x v="19"/>
    <x v="22"/>
    <s v="64-2565492-"/>
    <s v="mariaines.asenjo@redsalud.gob.cl"/>
    <x v="7"/>
    <d v="2025-08-20T00:00:00"/>
    <n v="0"/>
    <m/>
    <n v="1"/>
    <n v="242837"/>
    <d v="2026-12-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Vale Gas"/>
    <n v="4"/>
    <n v="50"/>
    <n v="58280"/>
    <n v="242833"/>
    <x v="11"/>
    <x v="20"/>
    <x v="19"/>
    <x v="22"/>
    <s v="64-2565492-"/>
    <s v="mariaines.asenjo@redsalud.gob.cl"/>
    <x v="7"/>
    <d v="2025-08-20T00:00:00"/>
    <n v="0"/>
    <m/>
    <n v="1"/>
    <n v="242833"/>
    <d v="2026-08-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Vale Gas"/>
    <n v="4"/>
    <n v="50"/>
    <n v="58280"/>
    <n v="242833"/>
    <x v="11"/>
    <x v="20"/>
    <x v="19"/>
    <x v="22"/>
    <s v="64-2565492-"/>
    <s v="mariaines.asenjo@redsalud.gob.cl"/>
    <x v="7"/>
    <d v="2025-08-20T00:00:00"/>
    <n v="0"/>
    <m/>
    <n v="1"/>
    <n v="242833"/>
    <d v="2026-02-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Vale Gas"/>
    <n v="4"/>
    <n v="50"/>
    <n v="58280"/>
    <n v="242833"/>
    <x v="11"/>
    <x v="20"/>
    <x v="19"/>
    <x v="22"/>
    <s v="64-2565492-"/>
    <s v="mariaines.asenjo@redsalud.gob.cl"/>
    <x v="7"/>
    <d v="2025-08-20T00:00:00"/>
    <n v="0"/>
    <m/>
    <n v="1"/>
    <n v="242833"/>
    <d v="2026-04-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Vale Gas"/>
    <n v="4"/>
    <n v="50"/>
    <n v="58280"/>
    <n v="242833"/>
    <x v="11"/>
    <x v="20"/>
    <x v="19"/>
    <x v="22"/>
    <s v="64-2565492-"/>
    <s v="mariaines.asenjo@redsalud.gob.cl"/>
    <x v="7"/>
    <d v="2025-08-20T00:00:00"/>
    <n v="0"/>
    <m/>
    <n v="1"/>
    <n v="242833"/>
    <d v="2026-09-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Vale Gas"/>
    <n v="4"/>
    <n v="50"/>
    <n v="58280"/>
    <n v="242833"/>
    <x v="11"/>
    <x v="20"/>
    <x v="19"/>
    <x v="22"/>
    <s v="64-2565492-"/>
    <s v="mariaines.asenjo@redsalud.gob.cl"/>
    <x v="7"/>
    <d v="2025-08-20T00:00:00"/>
    <n v="0"/>
    <m/>
    <n v="1"/>
    <n v="242833"/>
    <d v="2026-10-01T00:00:00"/>
    <x v="0"/>
    <x v="0"/>
  </r>
  <r>
    <s v="SERVICIO DE SALUD OSORNO"/>
    <s v="Bienes y Servicios"/>
    <x v="40"/>
    <s v="Proyecto operacional"/>
    <s v="Publicado"/>
    <s v="22.03.003"/>
    <x v="41"/>
    <s v="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
    <n v="2"/>
    <s v="Vale Gas"/>
    <n v="4"/>
    <n v="50"/>
    <n v="58280"/>
    <n v="242833"/>
    <x v="11"/>
    <x v="20"/>
    <x v="19"/>
    <x v="22"/>
    <s v="64-2565492-"/>
    <s v="mariaines.asenjo@redsalud.gob.cl"/>
    <x v="7"/>
    <d v="2025-08-20T00:00:00"/>
    <n v="0"/>
    <m/>
    <n v="1"/>
    <n v="242833"/>
    <d v="2026-03-01T00:00:00"/>
    <x v="0"/>
    <x v="0"/>
  </r>
  <r>
    <s v="SERVICIO DE SALUD OSORNO"/>
    <s v="Bienes y Servicios"/>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n v="1"/>
    <s v="Arriendo Equipo"/>
    <n v="4"/>
    <n v="1"/>
    <n v="268434000"/>
    <n v="7456500"/>
    <x v="3"/>
    <x v="21"/>
    <x v="0"/>
    <x v="29"/>
    <s v="64-2565840-"/>
    <s v="bruno.ojeda@redsalud.gob.cl"/>
    <x v="7"/>
    <d v="2025-08-20T00:00:00"/>
    <n v="0"/>
    <m/>
    <n v="1"/>
    <n v="7456500"/>
    <d v="2026-04-01T00:00:00"/>
    <x v="0"/>
    <x v="0"/>
  </r>
  <r>
    <s v="SERVICIO DE SALUD OSORNO"/>
    <s v="Bienes y Servicios"/>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n v="1"/>
    <s v="Arriendo Equipo"/>
    <n v="4"/>
    <n v="1"/>
    <n v="268434000"/>
    <n v="7456500"/>
    <x v="3"/>
    <x v="21"/>
    <x v="0"/>
    <x v="29"/>
    <s v="64-2565840-"/>
    <s v="bruno.ojeda@redsalud.gob.cl"/>
    <x v="7"/>
    <d v="2025-08-20T00:00:00"/>
    <n v="0"/>
    <m/>
    <n v="1"/>
    <n v="7456500"/>
    <d v="2026-06-01T00:00:00"/>
    <x v="0"/>
    <x v="0"/>
  </r>
  <r>
    <s v="SERVICIO DE SALUD OSORNO"/>
    <s v="Bienes y Servicios"/>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n v="1"/>
    <s v="Arriendo Equipo"/>
    <n v="4"/>
    <n v="1"/>
    <n v="268434000"/>
    <n v="7456500"/>
    <x v="3"/>
    <x v="21"/>
    <x v="0"/>
    <x v="29"/>
    <s v="64-2565840-"/>
    <s v="bruno.ojeda@redsalud.gob.cl"/>
    <x v="7"/>
    <d v="2025-08-20T00:00:00"/>
    <n v="0"/>
    <m/>
    <n v="1"/>
    <n v="7456500"/>
    <d v="2026-10-01T00:00:00"/>
    <x v="0"/>
    <x v="0"/>
  </r>
  <r>
    <s v="SERVICIO DE SALUD OSORNO"/>
    <s v="Bienes y Servicios"/>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n v="1"/>
    <s v="Arriendo Equipo"/>
    <n v="4"/>
    <n v="1"/>
    <n v="268434000"/>
    <n v="7456500"/>
    <x v="3"/>
    <x v="21"/>
    <x v="0"/>
    <x v="29"/>
    <s v="64-2565840-"/>
    <s v="bruno.ojeda@redsalud.gob.cl"/>
    <x v="7"/>
    <d v="2025-08-20T00:00:00"/>
    <n v="0"/>
    <m/>
    <n v="1"/>
    <n v="7456500"/>
    <d v="2026-11-01T00:00:00"/>
    <x v="0"/>
    <x v="0"/>
  </r>
  <r>
    <s v="SERVICIO DE SALUD OSORNO"/>
    <s v="Bienes y Servicios"/>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n v="1"/>
    <s v="Arriendo Equipo"/>
    <n v="4"/>
    <n v="1"/>
    <n v="268434000"/>
    <n v="7456500"/>
    <x v="3"/>
    <x v="21"/>
    <x v="0"/>
    <x v="29"/>
    <s v="64-2565840-"/>
    <s v="bruno.ojeda@redsalud.gob.cl"/>
    <x v="7"/>
    <d v="2025-08-20T00:00:00"/>
    <n v="0"/>
    <m/>
    <n v="1"/>
    <n v="7456500"/>
    <d v="2026-02-01T00:00:00"/>
    <x v="0"/>
    <x v="0"/>
  </r>
  <r>
    <s v="SERVICIO DE SALUD OSORNO"/>
    <s v="Bienes y Servicios"/>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n v="1"/>
    <s v="Arriendo Equipo"/>
    <n v="4"/>
    <n v="1"/>
    <n v="268434000"/>
    <n v="7456500"/>
    <x v="3"/>
    <x v="21"/>
    <x v="0"/>
    <x v="29"/>
    <s v="64-2565840-"/>
    <s v="bruno.ojeda@redsalud.gob.cl"/>
    <x v="7"/>
    <d v="2025-08-20T00:00:00"/>
    <n v="0"/>
    <m/>
    <n v="1"/>
    <n v="7456500"/>
    <d v="2026-05-01T00:00:00"/>
    <x v="0"/>
    <x v="0"/>
  </r>
  <r>
    <s v="SERVICIO DE SALUD OSORNO"/>
    <s v="Bienes y Servicios"/>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n v="1"/>
    <s v="Arriendo Equipo"/>
    <n v="4"/>
    <n v="1"/>
    <n v="268434000"/>
    <n v="7456500"/>
    <x v="3"/>
    <x v="21"/>
    <x v="0"/>
    <x v="29"/>
    <s v="64-2565840-"/>
    <s v="bruno.ojeda@redsalud.gob.cl"/>
    <x v="7"/>
    <d v="2025-08-20T00:00:00"/>
    <n v="0"/>
    <m/>
    <n v="1"/>
    <n v="7456500"/>
    <d v="2026-01-01T00:00:00"/>
    <x v="0"/>
    <x v="0"/>
  </r>
  <r>
    <s v="SERVICIO DE SALUD OSORNO"/>
    <s v="Bienes y Servicios"/>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n v="1"/>
    <s v="Arriendo Equipo"/>
    <n v="4"/>
    <n v="1"/>
    <n v="268434000"/>
    <n v="7456500"/>
    <x v="3"/>
    <x v="21"/>
    <x v="0"/>
    <x v="29"/>
    <s v="64-2565840-"/>
    <s v="bruno.ojeda@redsalud.gob.cl"/>
    <x v="7"/>
    <d v="2025-08-20T00:00:00"/>
    <n v="0"/>
    <m/>
    <n v="1"/>
    <n v="7456500"/>
    <d v="2026-08-01T00:00:00"/>
    <x v="0"/>
    <x v="0"/>
  </r>
  <r>
    <s v="SERVICIO DE SALUD OSORNO"/>
    <s v="Bienes y Servicios"/>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n v="1"/>
    <s v="Arriendo Equipo"/>
    <n v="4"/>
    <n v="1"/>
    <n v="268434000"/>
    <n v="7456500"/>
    <x v="3"/>
    <x v="21"/>
    <x v="0"/>
    <x v="29"/>
    <s v="64-2565840-"/>
    <s v="bruno.ojeda@redsalud.gob.cl"/>
    <x v="7"/>
    <d v="2025-08-20T00:00:00"/>
    <n v="0"/>
    <m/>
    <n v="1"/>
    <n v="7456500"/>
    <d v="2026-03-01T00:00:00"/>
    <x v="0"/>
    <x v="0"/>
  </r>
  <r>
    <s v="SERVICIO DE SALUD OSORNO"/>
    <s v="Bienes y Servicios"/>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n v="1"/>
    <s v="Arriendo Equipo"/>
    <n v="4"/>
    <n v="1"/>
    <n v="268434000"/>
    <n v="7456500"/>
    <x v="3"/>
    <x v="21"/>
    <x v="0"/>
    <x v="29"/>
    <s v="64-2565840-"/>
    <s v="bruno.ojeda@redsalud.gob.cl"/>
    <x v="7"/>
    <d v="2025-08-20T00:00:00"/>
    <n v="0"/>
    <m/>
    <n v="1"/>
    <n v="7456500"/>
    <d v="2026-12-01T00:00:00"/>
    <x v="0"/>
    <x v="0"/>
  </r>
  <r>
    <s v="SERVICIO DE SALUD OSORNO"/>
    <s v="Bienes y Servicios"/>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n v="1"/>
    <s v="Arriendo Equipo"/>
    <n v="4"/>
    <n v="1"/>
    <n v="268434000"/>
    <n v="7456500"/>
    <x v="3"/>
    <x v="21"/>
    <x v="0"/>
    <x v="29"/>
    <s v="64-2565840-"/>
    <s v="bruno.ojeda@redsalud.gob.cl"/>
    <x v="7"/>
    <d v="2025-08-20T00:00:00"/>
    <n v="0"/>
    <m/>
    <n v="1"/>
    <n v="7456500"/>
    <d v="2026-07-01T00:00:00"/>
    <x v="0"/>
    <x v="0"/>
  </r>
  <r>
    <s v="SERVICIO DE SALUD OSORNO"/>
    <s v="Bienes y Servicios"/>
    <x v="41"/>
    <s v="Proyecto operacional"/>
    <s v="Publicado"/>
    <s v="22.09.006"/>
    <x v="42"/>
    <s v="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
    <n v="1"/>
    <s v="Arriendo Equipo"/>
    <n v="4"/>
    <n v="1"/>
    <n v="268434000"/>
    <n v="7456500"/>
    <x v="3"/>
    <x v="21"/>
    <x v="0"/>
    <x v="29"/>
    <s v="64-2565840-"/>
    <s v="bruno.ojeda@redsalud.gob.cl"/>
    <x v="7"/>
    <d v="2025-08-20T00:00:00"/>
    <n v="0"/>
    <m/>
    <n v="1"/>
    <n v="7456500"/>
    <d v="2026-09-01T00:00:00"/>
    <x v="0"/>
    <x v="0"/>
  </r>
  <r>
    <s v="SERVICIO DE SALUD OSORNO"/>
    <s v="Bienes y Servicios"/>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n v="1"/>
    <s v="Sala Cuna"/>
    <n v="4"/>
    <n v="1"/>
    <n v="207200000"/>
    <n v="17266666"/>
    <x v="11"/>
    <x v="18"/>
    <x v="27"/>
    <x v="30"/>
    <s v="64-2567096-"/>
    <s v="claudia.munozga@redsalud.gob.cl"/>
    <x v="7"/>
    <d v="2025-08-20T00:00:00"/>
    <n v="0"/>
    <m/>
    <n v="1"/>
    <n v="17266666"/>
    <d v="2026-04-01T00:00:00"/>
    <x v="0"/>
    <x v="0"/>
  </r>
  <r>
    <s v="SERVICIO DE SALUD OSORNO"/>
    <s v="Bienes y Servicios"/>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n v="1"/>
    <s v="Sala Cuna"/>
    <n v="4"/>
    <n v="1"/>
    <n v="207200000"/>
    <n v="17266666"/>
    <x v="11"/>
    <x v="18"/>
    <x v="27"/>
    <x v="30"/>
    <s v="64-2567096-"/>
    <s v="claudia.munozga@redsalud.gob.cl"/>
    <x v="7"/>
    <d v="2025-08-20T00:00:00"/>
    <n v="0"/>
    <m/>
    <n v="1"/>
    <n v="17266666"/>
    <d v="2026-05-01T00:00:00"/>
    <x v="0"/>
    <x v="0"/>
  </r>
  <r>
    <s v="SERVICIO DE SALUD OSORNO"/>
    <s v="Bienes y Servicios"/>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n v="1"/>
    <s v="Sala Cuna"/>
    <n v="4"/>
    <n v="1"/>
    <n v="207200000"/>
    <n v="17266666"/>
    <x v="11"/>
    <x v="18"/>
    <x v="27"/>
    <x v="30"/>
    <s v="64-2567096-"/>
    <s v="claudia.munozga@redsalud.gob.cl"/>
    <x v="7"/>
    <d v="2025-08-20T00:00:00"/>
    <n v="0"/>
    <m/>
    <n v="1"/>
    <n v="17266666"/>
    <d v="2026-02-01T00:00:00"/>
    <x v="0"/>
    <x v="0"/>
  </r>
  <r>
    <s v="SERVICIO DE SALUD OSORNO"/>
    <s v="Bienes y Servicios"/>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n v="1"/>
    <s v="Sala Cuna"/>
    <n v="4"/>
    <n v="1"/>
    <n v="207200000"/>
    <n v="17266666"/>
    <x v="11"/>
    <x v="18"/>
    <x v="27"/>
    <x v="30"/>
    <s v="64-2567096-"/>
    <s v="claudia.munozga@redsalud.gob.cl"/>
    <x v="7"/>
    <d v="2025-08-20T00:00:00"/>
    <n v="0"/>
    <m/>
    <n v="1"/>
    <n v="17266666"/>
    <d v="2026-08-01T00:00:00"/>
    <x v="0"/>
    <x v="0"/>
  </r>
  <r>
    <s v="SERVICIO DE SALUD OSORNO"/>
    <s v="Bienes y Servicios"/>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n v="1"/>
    <s v="Sala Cuna"/>
    <n v="4"/>
    <n v="1"/>
    <n v="207200000"/>
    <n v="17266666"/>
    <x v="11"/>
    <x v="18"/>
    <x v="27"/>
    <x v="30"/>
    <s v="64-2567096-"/>
    <s v="claudia.munozga@redsalud.gob.cl"/>
    <x v="7"/>
    <d v="2025-08-20T00:00:00"/>
    <n v="0"/>
    <m/>
    <n v="1"/>
    <n v="17266666"/>
    <d v="2026-11-01T00:00:00"/>
    <x v="0"/>
    <x v="0"/>
  </r>
  <r>
    <s v="SERVICIO DE SALUD OSORNO"/>
    <s v="Bienes y Servicios"/>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n v="1"/>
    <s v="Sala Cuna"/>
    <n v="4"/>
    <n v="1"/>
    <n v="207200000"/>
    <n v="17266666"/>
    <x v="11"/>
    <x v="18"/>
    <x v="27"/>
    <x v="30"/>
    <s v="64-2567096-"/>
    <s v="claudia.munozga@redsalud.gob.cl"/>
    <x v="7"/>
    <d v="2025-08-20T00:00:00"/>
    <n v="0"/>
    <m/>
    <n v="1"/>
    <n v="17266666"/>
    <d v="2026-06-01T00:00:00"/>
    <x v="0"/>
    <x v="0"/>
  </r>
  <r>
    <s v="SERVICIO DE SALUD OSORNO"/>
    <s v="Bienes y Servicios"/>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n v="1"/>
    <s v="Sala Cuna"/>
    <n v="4"/>
    <n v="1"/>
    <n v="207200000"/>
    <n v="17266666"/>
    <x v="11"/>
    <x v="18"/>
    <x v="27"/>
    <x v="30"/>
    <s v="64-2567096-"/>
    <s v="claudia.munozga@redsalud.gob.cl"/>
    <x v="7"/>
    <d v="2025-08-20T00:00:00"/>
    <n v="0"/>
    <m/>
    <n v="1"/>
    <n v="17266666"/>
    <d v="2026-03-01T00:00:00"/>
    <x v="0"/>
    <x v="0"/>
  </r>
  <r>
    <s v="SERVICIO DE SALUD OSORNO"/>
    <s v="Bienes y Servicios"/>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n v="1"/>
    <s v="Sala Cuna"/>
    <n v="4"/>
    <n v="1"/>
    <n v="207200000"/>
    <n v="17266666"/>
    <x v="11"/>
    <x v="18"/>
    <x v="27"/>
    <x v="30"/>
    <s v="64-2567096-"/>
    <s v="claudia.munozga@redsalud.gob.cl"/>
    <x v="7"/>
    <d v="2025-08-20T00:00:00"/>
    <n v="0"/>
    <m/>
    <n v="1"/>
    <n v="17266666"/>
    <d v="2026-07-01T00:00:00"/>
    <x v="0"/>
    <x v="0"/>
  </r>
  <r>
    <s v="SERVICIO DE SALUD OSORNO"/>
    <s v="Bienes y Servicios"/>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n v="1"/>
    <s v="Sala Cuna"/>
    <n v="4"/>
    <n v="1"/>
    <n v="207200000"/>
    <n v="17266666"/>
    <x v="11"/>
    <x v="18"/>
    <x v="27"/>
    <x v="30"/>
    <s v="64-2567096-"/>
    <s v="claudia.munozga@redsalud.gob.cl"/>
    <x v="7"/>
    <d v="2025-08-20T00:00:00"/>
    <n v="0"/>
    <m/>
    <n v="1"/>
    <n v="17266666"/>
    <d v="2026-10-01T00:00:00"/>
    <x v="0"/>
    <x v="0"/>
  </r>
  <r>
    <s v="SERVICIO DE SALUD OSORNO"/>
    <s v="Bienes y Servicios"/>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n v="1"/>
    <s v="Sala Cuna"/>
    <n v="4"/>
    <n v="1"/>
    <n v="207200000"/>
    <n v="17266666"/>
    <x v="11"/>
    <x v="18"/>
    <x v="27"/>
    <x v="30"/>
    <s v="64-2567096-"/>
    <s v="claudia.munozga@redsalud.gob.cl"/>
    <x v="7"/>
    <d v="2025-08-20T00:00:00"/>
    <n v="0"/>
    <m/>
    <n v="1"/>
    <n v="17266666"/>
    <d v="2026-09-01T00:00:00"/>
    <x v="0"/>
    <x v="0"/>
  </r>
  <r>
    <s v="SERVICIO DE SALUD OSORNO"/>
    <s v="Bienes y Servicios"/>
    <x v="42"/>
    <s v="Proyecto operacional"/>
    <s v="Publicado"/>
    <s v="22.08.008"/>
    <x v="43"/>
    <s v="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
    <n v="1"/>
    <s v="Sala Cuna"/>
    <n v="4"/>
    <n v="1"/>
    <n v="207200000"/>
    <n v="17266666"/>
    <x v="11"/>
    <x v="18"/>
    <x v="27"/>
    <x v="30"/>
    <s v="64-2567096-"/>
    <s v="claudia.munozga@redsalud.gob.cl"/>
    <x v="7"/>
    <d v="2025-08-20T00:00:00"/>
    <n v="0"/>
    <m/>
    <n v="1"/>
    <n v="17266666"/>
    <d v="2026-12-01T00:00:00"/>
    <x v="0"/>
    <x v="0"/>
  </r>
  <r>
    <s v="SERVICIO DE SALUD OSORNO"/>
    <s v="Bienes y Servicios"/>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n v="1"/>
    <s v="Programa"/>
    <n v="4"/>
    <n v="11040"/>
    <n v="22315"/>
    <n v="20529800"/>
    <x v="11"/>
    <x v="20"/>
    <x v="28"/>
    <x v="31"/>
    <s v="64-2565813-"/>
    <s v="antonia.caifil@redsalud.gob.cl"/>
    <x v="6"/>
    <d v="2025-08-20T00:00:00"/>
    <n v="0"/>
    <m/>
    <n v="1"/>
    <n v="20529800"/>
    <d v="2026-11-01T00:00:00"/>
    <x v="0"/>
    <x v="0"/>
  </r>
  <r>
    <s v="SERVICIO DE SALUD OSORNO"/>
    <s v="Bienes y Servicios"/>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n v="1"/>
    <s v="Programa"/>
    <n v="4"/>
    <n v="11040"/>
    <n v="22315"/>
    <n v="20529800"/>
    <x v="11"/>
    <x v="20"/>
    <x v="28"/>
    <x v="31"/>
    <s v="64-2565813-"/>
    <s v="antonia.caifil@redsalud.gob.cl"/>
    <x v="6"/>
    <d v="2025-08-20T00:00:00"/>
    <n v="0"/>
    <m/>
    <n v="1"/>
    <n v="20529800"/>
    <d v="2026-05-01T00:00:00"/>
    <x v="0"/>
    <x v="0"/>
  </r>
  <r>
    <s v="SERVICIO DE SALUD OSORNO"/>
    <s v="Bienes y Servicios"/>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n v="1"/>
    <s v="Programa"/>
    <n v="4"/>
    <n v="11040"/>
    <n v="22315"/>
    <n v="20529800"/>
    <x v="11"/>
    <x v="20"/>
    <x v="28"/>
    <x v="31"/>
    <s v="64-2565813-"/>
    <s v="antonia.caifil@redsalud.gob.cl"/>
    <x v="6"/>
    <d v="2025-08-20T00:00:00"/>
    <n v="0"/>
    <m/>
    <n v="1"/>
    <n v="20529800"/>
    <d v="2026-02-01T00:00:00"/>
    <x v="0"/>
    <x v="0"/>
  </r>
  <r>
    <s v="SERVICIO DE SALUD OSORNO"/>
    <s v="Bienes y Servicios"/>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n v="1"/>
    <s v="Programa"/>
    <n v="4"/>
    <n v="11040"/>
    <n v="22315"/>
    <n v="20529800"/>
    <x v="11"/>
    <x v="20"/>
    <x v="28"/>
    <x v="31"/>
    <s v="64-2565813-"/>
    <s v="antonia.caifil@redsalud.gob.cl"/>
    <x v="6"/>
    <d v="2025-08-20T00:00:00"/>
    <n v="0"/>
    <m/>
    <n v="1"/>
    <n v="20529800"/>
    <d v="2026-04-01T00:00:00"/>
    <x v="0"/>
    <x v="0"/>
  </r>
  <r>
    <s v="SERVICIO DE SALUD OSORNO"/>
    <s v="Bienes y Servicios"/>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n v="1"/>
    <s v="Programa"/>
    <n v="4"/>
    <n v="11040"/>
    <n v="22315"/>
    <n v="20529800"/>
    <x v="11"/>
    <x v="20"/>
    <x v="28"/>
    <x v="31"/>
    <s v="64-2565813-"/>
    <s v="antonia.caifil@redsalud.gob.cl"/>
    <x v="6"/>
    <d v="2025-08-20T00:00:00"/>
    <n v="0"/>
    <m/>
    <n v="1"/>
    <n v="20529800"/>
    <d v="2026-08-01T00:00:00"/>
    <x v="0"/>
    <x v="0"/>
  </r>
  <r>
    <s v="SERVICIO DE SALUD OSORNO"/>
    <s v="Bienes y Servicios"/>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n v="1"/>
    <s v="Programa"/>
    <n v="4"/>
    <n v="11040"/>
    <n v="22315"/>
    <n v="20529800"/>
    <x v="11"/>
    <x v="20"/>
    <x v="28"/>
    <x v="31"/>
    <s v="64-2565813-"/>
    <s v="antonia.caifil@redsalud.gob.cl"/>
    <x v="6"/>
    <d v="2025-08-20T00:00:00"/>
    <n v="0"/>
    <m/>
    <n v="1"/>
    <n v="20529800"/>
    <d v="2026-06-01T00:00:00"/>
    <x v="0"/>
    <x v="0"/>
  </r>
  <r>
    <s v="SERVICIO DE SALUD OSORNO"/>
    <s v="Bienes y Servicios"/>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n v="1"/>
    <s v="Programa"/>
    <n v="4"/>
    <n v="11040"/>
    <n v="22315"/>
    <n v="20529800"/>
    <x v="11"/>
    <x v="20"/>
    <x v="28"/>
    <x v="31"/>
    <s v="64-2565813-"/>
    <s v="antonia.caifil@redsalud.gob.cl"/>
    <x v="6"/>
    <d v="2025-08-20T00:00:00"/>
    <n v="0"/>
    <m/>
    <n v="1"/>
    <n v="20529800"/>
    <d v="2026-12-01T00:00:00"/>
    <x v="0"/>
    <x v="0"/>
  </r>
  <r>
    <s v="SERVICIO DE SALUD OSORNO"/>
    <s v="Bienes y Servicios"/>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n v="1"/>
    <s v="Programa"/>
    <n v="4"/>
    <n v="11040"/>
    <n v="22315"/>
    <n v="20529800"/>
    <x v="11"/>
    <x v="20"/>
    <x v="28"/>
    <x v="31"/>
    <s v="64-2565813-"/>
    <s v="antonia.caifil@redsalud.gob.cl"/>
    <x v="6"/>
    <d v="2025-08-20T00:00:00"/>
    <n v="0"/>
    <m/>
    <n v="1"/>
    <n v="20529800"/>
    <d v="2026-07-01T00:00:00"/>
    <x v="0"/>
    <x v="0"/>
  </r>
  <r>
    <s v="SERVICIO DE SALUD OSORNO"/>
    <s v="Bienes y Servicios"/>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n v="1"/>
    <s v="Programa"/>
    <n v="4"/>
    <n v="11040"/>
    <n v="22315"/>
    <n v="20529800"/>
    <x v="11"/>
    <x v="20"/>
    <x v="28"/>
    <x v="31"/>
    <s v="64-2565813-"/>
    <s v="antonia.caifil@redsalud.gob.cl"/>
    <x v="6"/>
    <d v="2025-08-20T00:00:00"/>
    <n v="0"/>
    <m/>
    <n v="1"/>
    <n v="20529800"/>
    <d v="2026-10-01T00:00:00"/>
    <x v="0"/>
    <x v="0"/>
  </r>
  <r>
    <s v="SERVICIO DE SALUD OSORNO"/>
    <s v="Bienes y Servicios"/>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n v="1"/>
    <s v="Programa"/>
    <n v="4"/>
    <n v="11040"/>
    <n v="22315"/>
    <n v="20529800"/>
    <x v="11"/>
    <x v="20"/>
    <x v="28"/>
    <x v="31"/>
    <s v="64-2565813-"/>
    <s v="antonia.caifil@redsalud.gob.cl"/>
    <x v="6"/>
    <d v="2025-08-20T00:00:00"/>
    <n v="0"/>
    <m/>
    <n v="1"/>
    <n v="20529800"/>
    <d v="2026-01-01T00:00:00"/>
    <x v="0"/>
    <x v="0"/>
  </r>
  <r>
    <s v="SERVICIO DE SALUD OSORNO"/>
    <s v="Bienes y Servicios"/>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n v="1"/>
    <s v="Programa"/>
    <n v="4"/>
    <n v="11040"/>
    <n v="22315"/>
    <n v="20529800"/>
    <x v="11"/>
    <x v="20"/>
    <x v="28"/>
    <x v="31"/>
    <s v="64-2565813-"/>
    <s v="antonia.caifil@redsalud.gob.cl"/>
    <x v="6"/>
    <d v="2025-08-20T00:00:00"/>
    <n v="0"/>
    <m/>
    <n v="1"/>
    <n v="20529800"/>
    <d v="2026-09-01T00:00:00"/>
    <x v="0"/>
    <x v="0"/>
  </r>
  <r>
    <s v="SERVICIO DE SALUD OSORNO"/>
    <s v="Bienes y Servicios"/>
    <x v="43"/>
    <s v="Proyecto estratégico"/>
    <s v="Publicado"/>
    <s v="22.12.999.022"/>
    <x v="44"/>
    <s v="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
    <n v="1"/>
    <s v="Programa"/>
    <n v="4"/>
    <n v="11040"/>
    <n v="22315"/>
    <n v="20529800"/>
    <x v="11"/>
    <x v="20"/>
    <x v="28"/>
    <x v="31"/>
    <s v="64-2565813-"/>
    <s v="antonia.caifil@redsalud.gob.cl"/>
    <x v="6"/>
    <d v="2025-08-20T00:00:00"/>
    <n v="0"/>
    <m/>
    <n v="1"/>
    <n v="20529800"/>
    <d v="2026-03-01T00:00:00"/>
    <x v="0"/>
    <x v="0"/>
  </r>
  <r>
    <s v="SERVICIO DE SALUD OSORNO"/>
    <s v="Administración de Fondos"/>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n v="1"/>
    <s v="Ayudas Técnicas"/>
    <n v="4"/>
    <n v="4692"/>
    <n v="84050"/>
    <n v="32863550"/>
    <x v="11"/>
    <x v="20"/>
    <x v="29"/>
    <x v="32"/>
    <s v="64-2565818-"/>
    <s v="camila.alvarez@redsalud.gob.cl"/>
    <x v="7"/>
    <d v="2025-08-20T00:00:00"/>
    <n v="0"/>
    <m/>
    <n v="1"/>
    <n v="32863550"/>
    <d v="2026-08-01T00:00:00"/>
    <x v="0"/>
    <x v="0"/>
  </r>
  <r>
    <s v="SERVICIO DE SALUD OSORNO"/>
    <s v="Administración de Fondos"/>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n v="1"/>
    <s v="Ayudas Técnicas"/>
    <n v="4"/>
    <n v="4692"/>
    <n v="84050"/>
    <n v="32863550"/>
    <x v="11"/>
    <x v="20"/>
    <x v="29"/>
    <x v="32"/>
    <s v="64-2565818-"/>
    <s v="camila.alvarez@redsalud.gob.cl"/>
    <x v="7"/>
    <d v="2025-08-20T00:00:00"/>
    <n v="0"/>
    <m/>
    <n v="1"/>
    <n v="32863550"/>
    <d v="2026-01-01T00:00:00"/>
    <x v="0"/>
    <x v="0"/>
  </r>
  <r>
    <s v="SERVICIO DE SALUD OSORNO"/>
    <s v="Administración de Fondos"/>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n v="1"/>
    <s v="Ayudas Técnicas"/>
    <n v="4"/>
    <n v="4692"/>
    <n v="84050"/>
    <n v="32863550"/>
    <x v="11"/>
    <x v="20"/>
    <x v="29"/>
    <x v="32"/>
    <s v="64-2565818-"/>
    <s v="camila.alvarez@redsalud.gob.cl"/>
    <x v="7"/>
    <d v="2025-08-20T00:00:00"/>
    <n v="0"/>
    <m/>
    <n v="1"/>
    <n v="32863550"/>
    <d v="2026-06-01T00:00:00"/>
    <x v="0"/>
    <x v="0"/>
  </r>
  <r>
    <s v="SERVICIO DE SALUD OSORNO"/>
    <s v="Administración de Fondos"/>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n v="1"/>
    <s v="Ayudas Técnicas"/>
    <n v="4"/>
    <n v="4692"/>
    <n v="84050"/>
    <n v="32863550"/>
    <x v="11"/>
    <x v="20"/>
    <x v="29"/>
    <x v="32"/>
    <s v="64-2565818-"/>
    <s v="camila.alvarez@redsalud.gob.cl"/>
    <x v="7"/>
    <d v="2025-08-20T00:00:00"/>
    <n v="0"/>
    <m/>
    <n v="1"/>
    <n v="32863550"/>
    <d v="2026-02-01T00:00:00"/>
    <x v="0"/>
    <x v="0"/>
  </r>
  <r>
    <s v="SERVICIO DE SALUD OSORNO"/>
    <s v="Administración de Fondos"/>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n v="1"/>
    <s v="Ayudas Técnicas"/>
    <n v="4"/>
    <n v="4692"/>
    <n v="84050"/>
    <n v="32863550"/>
    <x v="11"/>
    <x v="20"/>
    <x v="29"/>
    <x v="32"/>
    <s v="64-2565818-"/>
    <s v="camila.alvarez@redsalud.gob.cl"/>
    <x v="7"/>
    <d v="2025-08-20T00:00:00"/>
    <n v="0"/>
    <m/>
    <n v="1"/>
    <n v="32863550"/>
    <d v="2026-07-01T00:00:00"/>
    <x v="0"/>
    <x v="0"/>
  </r>
  <r>
    <s v="SERVICIO DE SALUD OSORNO"/>
    <s v="Administración de Fondos"/>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n v="1"/>
    <s v="Ayudas Técnicas"/>
    <n v="4"/>
    <n v="4692"/>
    <n v="84050"/>
    <n v="32863550"/>
    <x v="11"/>
    <x v="20"/>
    <x v="29"/>
    <x v="32"/>
    <s v="64-2565818-"/>
    <s v="camila.alvarez@redsalud.gob.cl"/>
    <x v="7"/>
    <d v="2025-08-20T00:00:00"/>
    <n v="0"/>
    <m/>
    <n v="1"/>
    <n v="32863550"/>
    <d v="2026-11-01T00:00:00"/>
    <x v="0"/>
    <x v="0"/>
  </r>
  <r>
    <s v="SERVICIO DE SALUD OSORNO"/>
    <s v="Administración de Fondos"/>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n v="1"/>
    <s v="Ayudas Técnicas"/>
    <n v="4"/>
    <n v="4692"/>
    <n v="84050"/>
    <n v="32863550"/>
    <x v="11"/>
    <x v="20"/>
    <x v="29"/>
    <x v="32"/>
    <s v="64-2565818-"/>
    <s v="camila.alvarez@redsalud.gob.cl"/>
    <x v="7"/>
    <d v="2025-08-20T00:00:00"/>
    <n v="0"/>
    <m/>
    <n v="1"/>
    <n v="32863550"/>
    <d v="2026-04-01T00:00:00"/>
    <x v="0"/>
    <x v="0"/>
  </r>
  <r>
    <s v="SERVICIO DE SALUD OSORNO"/>
    <s v="Administración de Fondos"/>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n v="1"/>
    <s v="Ayudas Técnicas"/>
    <n v="4"/>
    <n v="4692"/>
    <n v="84050"/>
    <n v="32863550"/>
    <x v="11"/>
    <x v="20"/>
    <x v="29"/>
    <x v="32"/>
    <s v="64-2565818-"/>
    <s v="camila.alvarez@redsalud.gob.cl"/>
    <x v="7"/>
    <d v="2025-08-20T00:00:00"/>
    <n v="0"/>
    <m/>
    <n v="1"/>
    <n v="32863550"/>
    <d v="2026-12-01T00:00:00"/>
    <x v="0"/>
    <x v="0"/>
  </r>
  <r>
    <s v="SERVICIO DE SALUD OSORNO"/>
    <s v="Administración de Fondos"/>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n v="1"/>
    <s v="Ayudas Técnicas"/>
    <n v="4"/>
    <n v="4692"/>
    <n v="84050"/>
    <n v="32863550"/>
    <x v="11"/>
    <x v="20"/>
    <x v="29"/>
    <x v="32"/>
    <s v="64-2565818-"/>
    <s v="camila.alvarez@redsalud.gob.cl"/>
    <x v="7"/>
    <d v="2025-08-20T00:00:00"/>
    <n v="0"/>
    <m/>
    <n v="1"/>
    <n v="32863550"/>
    <d v="2026-05-01T00:00:00"/>
    <x v="0"/>
    <x v="0"/>
  </r>
  <r>
    <s v="SERVICIO DE SALUD OSORNO"/>
    <s v="Administración de Fondos"/>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n v="1"/>
    <s v="Ayudas Técnicas"/>
    <n v="4"/>
    <n v="4692"/>
    <n v="84050"/>
    <n v="32863550"/>
    <x v="11"/>
    <x v="20"/>
    <x v="29"/>
    <x v="32"/>
    <s v="64-2565818-"/>
    <s v="camila.alvarez@redsalud.gob.cl"/>
    <x v="7"/>
    <d v="2025-08-20T00:00:00"/>
    <n v="0"/>
    <m/>
    <n v="1"/>
    <n v="32863550"/>
    <d v="2026-03-01T00:00:00"/>
    <x v="0"/>
    <x v="0"/>
  </r>
  <r>
    <s v="SERVICIO DE SALUD OSORNO"/>
    <s v="Administración de Fondos"/>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n v="1"/>
    <s v="Ayudas Técnicas"/>
    <n v="4"/>
    <n v="4692"/>
    <n v="84050"/>
    <n v="32863550"/>
    <x v="11"/>
    <x v="20"/>
    <x v="29"/>
    <x v="32"/>
    <s v="64-2565818-"/>
    <s v="camila.alvarez@redsalud.gob.cl"/>
    <x v="7"/>
    <d v="2025-08-20T00:00:00"/>
    <n v="0"/>
    <m/>
    <n v="1"/>
    <n v="32863550"/>
    <d v="2026-09-01T00:00:00"/>
    <x v="0"/>
    <x v="0"/>
  </r>
  <r>
    <s v="SERVICIO DE SALUD OSORNO"/>
    <s v="Administración de Fondos"/>
    <x v="44"/>
    <s v="Proyecto operacional"/>
    <s v="Publicado"/>
    <s v="22.04.004.006"/>
    <x v="45"/>
    <s v="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
    <n v="1"/>
    <s v="Ayudas Técnicas"/>
    <n v="4"/>
    <n v="4692"/>
    <n v="84050"/>
    <n v="32863550"/>
    <x v="11"/>
    <x v="20"/>
    <x v="29"/>
    <x v="32"/>
    <s v="64-2565818-"/>
    <s v="camila.alvarez@redsalud.gob.cl"/>
    <x v="7"/>
    <d v="2025-08-20T00:00:00"/>
    <n v="0"/>
    <m/>
    <n v="1"/>
    <n v="32863550"/>
    <d v="2026-10-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7)"/>
    <n v="4"/>
    <n v="7"/>
    <n v="12957500"/>
    <n v="7558541"/>
    <x v="11"/>
    <x v="20"/>
    <x v="12"/>
    <x v="33"/>
    <s v="64-2565813-"/>
    <s v="angelo.palma@redsalud.gob.cl"/>
    <x v="13"/>
    <d v="2025-08-20T00:00:00"/>
    <n v="0"/>
    <m/>
    <n v="1"/>
    <n v="7558541"/>
    <d v="2026-02-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7)"/>
    <n v="4"/>
    <n v="7"/>
    <n v="12957500"/>
    <n v="7558541"/>
    <x v="11"/>
    <x v="20"/>
    <x v="12"/>
    <x v="33"/>
    <s v="64-2565813-"/>
    <s v="angelo.palma@redsalud.gob.cl"/>
    <x v="13"/>
    <d v="2025-08-20T00:00:00"/>
    <n v="0"/>
    <m/>
    <n v="1"/>
    <n v="7558541"/>
    <d v="2026-06-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7)"/>
    <n v="4"/>
    <n v="7"/>
    <n v="12957500"/>
    <n v="7558541"/>
    <x v="11"/>
    <x v="20"/>
    <x v="12"/>
    <x v="33"/>
    <s v="64-2565813-"/>
    <s v="angelo.palma@redsalud.gob.cl"/>
    <x v="13"/>
    <d v="2025-08-20T00:00:00"/>
    <n v="0"/>
    <m/>
    <n v="1"/>
    <n v="7558541"/>
    <d v="2026-07-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7)"/>
    <n v="4"/>
    <n v="7"/>
    <n v="12957500"/>
    <n v="7558541"/>
    <x v="11"/>
    <x v="20"/>
    <x v="12"/>
    <x v="33"/>
    <s v="64-2565813-"/>
    <s v="angelo.palma@redsalud.gob.cl"/>
    <x v="13"/>
    <d v="2025-08-20T00:00:00"/>
    <n v="0"/>
    <m/>
    <n v="1"/>
    <n v="7558541"/>
    <d v="2026-05-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7)"/>
    <n v="4"/>
    <n v="7"/>
    <n v="12957500"/>
    <n v="7558541"/>
    <x v="11"/>
    <x v="20"/>
    <x v="12"/>
    <x v="33"/>
    <s v="64-2565813-"/>
    <s v="angelo.palma@redsalud.gob.cl"/>
    <x v="13"/>
    <d v="2025-08-20T00:00:00"/>
    <n v="0"/>
    <m/>
    <n v="1"/>
    <n v="7558541"/>
    <d v="2026-04-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7)"/>
    <n v="4"/>
    <n v="7"/>
    <n v="12957500"/>
    <n v="7558541"/>
    <x v="11"/>
    <x v="20"/>
    <x v="12"/>
    <x v="33"/>
    <s v="64-2565813-"/>
    <s v="angelo.palma@redsalud.gob.cl"/>
    <x v="13"/>
    <d v="2025-08-20T00:00:00"/>
    <n v="0"/>
    <m/>
    <n v="1"/>
    <n v="7558541"/>
    <d v="2026-01-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7)"/>
    <n v="4"/>
    <n v="7"/>
    <n v="12957500"/>
    <n v="7558541"/>
    <x v="11"/>
    <x v="20"/>
    <x v="12"/>
    <x v="33"/>
    <s v="64-2565813-"/>
    <s v="angelo.palma@redsalud.gob.cl"/>
    <x v="13"/>
    <d v="2025-08-20T00:00:00"/>
    <n v="0"/>
    <m/>
    <n v="1"/>
    <n v="7558541"/>
    <d v="2026-03-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7)"/>
    <n v="4"/>
    <n v="7"/>
    <n v="12957500"/>
    <n v="7558541"/>
    <x v="11"/>
    <x v="20"/>
    <x v="12"/>
    <x v="33"/>
    <s v="64-2565813-"/>
    <s v="angelo.palma@redsalud.gob.cl"/>
    <x v="13"/>
    <d v="2025-08-20T00:00:00"/>
    <n v="0"/>
    <m/>
    <n v="1"/>
    <n v="7558541"/>
    <d v="2026-11-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7)"/>
    <n v="4"/>
    <n v="7"/>
    <n v="12957500"/>
    <n v="7558541"/>
    <x v="11"/>
    <x v="20"/>
    <x v="12"/>
    <x v="33"/>
    <s v="64-2565813-"/>
    <s v="angelo.palma@redsalud.gob.cl"/>
    <x v="13"/>
    <d v="2025-08-20T00:00:00"/>
    <n v="0"/>
    <m/>
    <n v="1"/>
    <n v="7558541"/>
    <d v="2026-10-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7)"/>
    <n v="4"/>
    <n v="7"/>
    <n v="12957500"/>
    <n v="7558541"/>
    <x v="11"/>
    <x v="20"/>
    <x v="12"/>
    <x v="33"/>
    <s v="64-2565813-"/>
    <s v="angelo.palma@redsalud.gob.cl"/>
    <x v="13"/>
    <d v="2025-08-20T00:00:00"/>
    <n v="0"/>
    <m/>
    <n v="1"/>
    <n v="7558541"/>
    <d v="2026-08-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7)"/>
    <n v="4"/>
    <n v="7"/>
    <n v="12957500"/>
    <n v="7558541"/>
    <x v="11"/>
    <x v="20"/>
    <x v="12"/>
    <x v="33"/>
    <s v="64-2565813-"/>
    <s v="angelo.palma@redsalud.gob.cl"/>
    <x v="13"/>
    <d v="2025-08-20T00:00:00"/>
    <n v="0"/>
    <m/>
    <n v="1"/>
    <n v="7558541"/>
    <d v="2026-09-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7)"/>
    <n v="4"/>
    <n v="7"/>
    <n v="12957500"/>
    <n v="7558549"/>
    <x v="11"/>
    <x v="20"/>
    <x v="12"/>
    <x v="33"/>
    <s v="64-2565813-"/>
    <s v="angelo.palma@redsalud.gob.cl"/>
    <x v="13"/>
    <d v="2025-08-20T00:00:00"/>
    <n v="0"/>
    <m/>
    <n v="1"/>
    <n v="7558549"/>
    <d v="2026-12-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1)"/>
    <n v="4"/>
    <n v="1"/>
    <n v="23924290"/>
    <n v="1993690"/>
    <x v="11"/>
    <x v="20"/>
    <x v="12"/>
    <x v="33"/>
    <s v="64-2565813-"/>
    <s v="angelo.palma@redsalud.gob.cl"/>
    <x v="7"/>
    <d v="2025-08-20T00:00:00"/>
    <n v="0"/>
    <m/>
    <n v="1"/>
    <n v="1993690"/>
    <d v="2026-01-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1)"/>
    <n v="4"/>
    <n v="1"/>
    <n v="23924290"/>
    <n v="1993690"/>
    <x v="11"/>
    <x v="20"/>
    <x v="12"/>
    <x v="33"/>
    <s v="64-2565813-"/>
    <s v="angelo.palma@redsalud.gob.cl"/>
    <x v="7"/>
    <d v="2025-08-20T00:00:00"/>
    <n v="0"/>
    <m/>
    <n v="1"/>
    <n v="1993690"/>
    <d v="2026-02-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1)"/>
    <n v="4"/>
    <n v="1"/>
    <n v="23924290"/>
    <n v="1993690"/>
    <x v="11"/>
    <x v="20"/>
    <x v="12"/>
    <x v="33"/>
    <s v="64-2565813-"/>
    <s v="angelo.palma@redsalud.gob.cl"/>
    <x v="7"/>
    <d v="2025-08-20T00:00:00"/>
    <n v="0"/>
    <m/>
    <n v="1"/>
    <n v="1993690"/>
    <d v="2026-03-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1)"/>
    <n v="4"/>
    <n v="1"/>
    <n v="23924290"/>
    <n v="1993690"/>
    <x v="11"/>
    <x v="20"/>
    <x v="12"/>
    <x v="33"/>
    <s v="64-2565813-"/>
    <s v="angelo.palma@redsalud.gob.cl"/>
    <x v="7"/>
    <d v="2025-08-20T00:00:00"/>
    <n v="0"/>
    <m/>
    <n v="1"/>
    <n v="1993690"/>
    <d v="2026-05-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1)"/>
    <n v="4"/>
    <n v="1"/>
    <n v="23924290"/>
    <n v="1993700"/>
    <x v="11"/>
    <x v="20"/>
    <x v="12"/>
    <x v="33"/>
    <s v="64-2565813-"/>
    <s v="angelo.palma@redsalud.gob.cl"/>
    <x v="7"/>
    <d v="2025-08-20T00:00:00"/>
    <n v="0"/>
    <m/>
    <n v="1"/>
    <n v="1993700"/>
    <d v="2026-12-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1)"/>
    <n v="4"/>
    <n v="1"/>
    <n v="23924290"/>
    <n v="1993690"/>
    <x v="11"/>
    <x v="20"/>
    <x v="12"/>
    <x v="33"/>
    <s v="64-2565813-"/>
    <s v="angelo.palma@redsalud.gob.cl"/>
    <x v="7"/>
    <d v="2025-08-20T00:00:00"/>
    <n v="0"/>
    <m/>
    <n v="1"/>
    <n v="1993690"/>
    <d v="2026-07-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1)"/>
    <n v="4"/>
    <n v="1"/>
    <n v="23924290"/>
    <n v="1993690"/>
    <x v="11"/>
    <x v="20"/>
    <x v="12"/>
    <x v="33"/>
    <s v="64-2565813-"/>
    <s v="angelo.palma@redsalud.gob.cl"/>
    <x v="7"/>
    <d v="2025-08-20T00:00:00"/>
    <n v="0"/>
    <m/>
    <n v="1"/>
    <n v="1993690"/>
    <d v="2026-06-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1)"/>
    <n v="4"/>
    <n v="1"/>
    <n v="23924290"/>
    <n v="1993690"/>
    <x v="11"/>
    <x v="20"/>
    <x v="12"/>
    <x v="33"/>
    <s v="64-2565813-"/>
    <s v="angelo.palma@redsalud.gob.cl"/>
    <x v="7"/>
    <d v="2025-08-20T00:00:00"/>
    <n v="0"/>
    <m/>
    <n v="1"/>
    <n v="1993690"/>
    <d v="2026-08-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1)"/>
    <n v="4"/>
    <n v="1"/>
    <n v="23924290"/>
    <n v="1993690"/>
    <x v="11"/>
    <x v="20"/>
    <x v="12"/>
    <x v="33"/>
    <s v="64-2565813-"/>
    <s v="angelo.palma@redsalud.gob.cl"/>
    <x v="7"/>
    <d v="2025-08-20T00:00:00"/>
    <n v="0"/>
    <m/>
    <n v="1"/>
    <n v="1993690"/>
    <d v="2026-11-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1)"/>
    <n v="4"/>
    <n v="1"/>
    <n v="23924290"/>
    <n v="1993690"/>
    <x v="11"/>
    <x v="20"/>
    <x v="12"/>
    <x v="33"/>
    <s v="64-2565813-"/>
    <s v="angelo.palma@redsalud.gob.cl"/>
    <x v="7"/>
    <d v="2025-08-20T00:00:00"/>
    <n v="0"/>
    <m/>
    <n v="1"/>
    <n v="1993690"/>
    <d v="2026-09-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1)"/>
    <n v="4"/>
    <n v="1"/>
    <n v="23924290"/>
    <n v="1993690"/>
    <x v="11"/>
    <x v="20"/>
    <x v="12"/>
    <x v="33"/>
    <s v="64-2565813-"/>
    <s v="angelo.palma@redsalud.gob.cl"/>
    <x v="7"/>
    <d v="2025-08-20T00:00:00"/>
    <n v="0"/>
    <m/>
    <n v="1"/>
    <n v="1993690"/>
    <d v="2026-04-01T00:00:00"/>
    <x v="0"/>
    <x v="0"/>
  </r>
  <r>
    <s v="SERVICIO DE SALUD OSORNO"/>
    <s v="Bienes y Servicios"/>
    <x v="45"/>
    <s v="Proyecto operacional"/>
    <s v="Publicado"/>
    <s v="22.12.999.022"/>
    <x v="46"/>
    <s v="Se requiere la contratación del servicio denominado Hogar Protegido para Hombres, para 8 usuarios beneficiados, por un periodo de 12 meses. Incluyendo 1 usuario en categoría 3. Periodo Enero a diciembre 2026. Vigencia desde el 1 de enero del 2026."/>
    <n v="2"/>
    <s v="Hogar Protegido (1)"/>
    <n v="4"/>
    <n v="1"/>
    <n v="23924290"/>
    <n v="1993690"/>
    <x v="11"/>
    <x v="20"/>
    <x v="12"/>
    <x v="33"/>
    <s v="64-2565813-"/>
    <s v="angelo.palma@redsalud.gob.cl"/>
    <x v="7"/>
    <d v="2025-08-20T00:00:00"/>
    <n v="0"/>
    <m/>
    <n v="1"/>
    <n v="1993690"/>
    <d v="2026-10-01T00:00:00"/>
    <x v="0"/>
    <x v="0"/>
  </r>
  <r>
    <s v="SERVICIO DE SALUD OSORNO"/>
    <s v="Bienes y Servicios"/>
    <x v="46"/>
    <s v="Proyecto operacional"/>
    <s v="Publicado"/>
    <s v="22.04.001"/>
    <x v="47"/>
    <s v="Articulos de Libreria para entrega a Deptos, Unidades, etc, del Servicio de Salud Osorno, por un periodo de 12 meses."/>
    <n v="1"/>
    <s v="Material de Oficina"/>
    <n v="4"/>
    <n v="100"/>
    <n v="288300"/>
    <n v="2402500"/>
    <x v="11"/>
    <x v="17"/>
    <x v="30"/>
    <x v="34"/>
    <s v="64-2565716-"/>
    <s v="cecilia.garay@redsalud.gob.cl"/>
    <x v="7"/>
    <d v="2025-08-20T00:00:00"/>
    <n v="2"/>
    <s v="1057532-5287-AG25"/>
    <n v="1"/>
    <n v="2402500"/>
    <d v="2026-07-01T00:00:00"/>
    <x v="0"/>
    <x v="0"/>
  </r>
  <r>
    <s v="SERVICIO DE SALUD OSORNO"/>
    <s v="Bienes y Servicios"/>
    <x v="46"/>
    <s v="Proyecto operacional"/>
    <s v="Publicado"/>
    <s v="22.04.001"/>
    <x v="47"/>
    <s v="Articulos de Libreria para entrega a Deptos, Unidades, etc, del Servicio de Salud Osorno, por un periodo de 12 meses."/>
    <n v="1"/>
    <s v="Material de Oficina"/>
    <n v="4"/>
    <n v="100"/>
    <n v="288300"/>
    <n v="2402500"/>
    <x v="11"/>
    <x v="17"/>
    <x v="30"/>
    <x v="34"/>
    <s v="64-2565716-"/>
    <s v="cecilia.garay@redsalud.gob.cl"/>
    <x v="7"/>
    <d v="2025-08-20T00:00:00"/>
    <n v="2"/>
    <s v="1057532-5287-AG25"/>
    <n v="1"/>
    <n v="2402500"/>
    <d v="2026-05-01T00:00:00"/>
    <x v="0"/>
    <x v="0"/>
  </r>
  <r>
    <s v="SERVICIO DE SALUD OSORNO"/>
    <s v="Bienes y Servicios"/>
    <x v="46"/>
    <s v="Proyecto operacional"/>
    <s v="Publicado"/>
    <s v="22.04.001"/>
    <x v="47"/>
    <s v="Articulos de Libreria para entrega a Deptos, Unidades, etc, del Servicio de Salud Osorno, por un periodo de 12 meses."/>
    <n v="1"/>
    <s v="Material de Oficina"/>
    <n v="4"/>
    <n v="100"/>
    <n v="288300"/>
    <n v="2402500"/>
    <x v="11"/>
    <x v="17"/>
    <x v="30"/>
    <x v="34"/>
    <s v="64-2565716-"/>
    <s v="cecilia.garay@redsalud.gob.cl"/>
    <x v="7"/>
    <d v="2025-08-20T00:00:00"/>
    <n v="2"/>
    <s v="1057532-5446-CM25"/>
    <n v="1"/>
    <n v="2402500"/>
    <d v="2026-06-01T00:00:00"/>
    <x v="0"/>
    <x v="0"/>
  </r>
  <r>
    <s v="SERVICIO DE SALUD OSORNO"/>
    <s v="Bienes y Servicios"/>
    <x v="46"/>
    <s v="Proyecto operacional"/>
    <s v="Publicado"/>
    <s v="22.04.001"/>
    <x v="47"/>
    <s v="Articulos de Libreria para entrega a Deptos, Unidades, etc, del Servicio de Salud Osorno, por un periodo de 12 meses."/>
    <n v="1"/>
    <s v="Material de Oficina"/>
    <n v="4"/>
    <n v="100"/>
    <n v="288300"/>
    <n v="2402500"/>
    <x v="11"/>
    <x v="17"/>
    <x v="30"/>
    <x v="34"/>
    <s v="64-2565716-"/>
    <s v="cecilia.garay@redsalud.gob.cl"/>
    <x v="7"/>
    <d v="2025-08-20T00:00:00"/>
    <n v="2"/>
    <s v="1057532-5446-CM25"/>
    <n v="1"/>
    <n v="2402500"/>
    <d v="2026-01-01T00:00:00"/>
    <x v="0"/>
    <x v="0"/>
  </r>
  <r>
    <s v="SERVICIO DE SALUD OSORNO"/>
    <s v="Bienes y Servicios"/>
    <x v="46"/>
    <s v="Proyecto operacional"/>
    <s v="Publicado"/>
    <s v="22.04.001"/>
    <x v="47"/>
    <s v="Articulos de Libreria para entrega a Deptos, Unidades, etc, del Servicio de Salud Osorno, por un periodo de 12 meses."/>
    <n v="1"/>
    <s v="Material de Oficina"/>
    <n v="4"/>
    <n v="100"/>
    <n v="288300"/>
    <n v="2402500"/>
    <x v="11"/>
    <x v="17"/>
    <x v="30"/>
    <x v="34"/>
    <s v="64-2565716-"/>
    <s v="cecilia.garay@redsalud.gob.cl"/>
    <x v="7"/>
    <d v="2025-08-20T00:00:00"/>
    <n v="2"/>
    <s v="1057532-5287-AG25"/>
    <n v="1"/>
    <n v="2402500"/>
    <d v="2026-06-01T00:00:00"/>
    <x v="0"/>
    <x v="0"/>
  </r>
  <r>
    <s v="SERVICIO DE SALUD OSORNO"/>
    <s v="Bienes y Servicios"/>
    <x v="46"/>
    <s v="Proyecto operacional"/>
    <s v="Publicado"/>
    <s v="22.04.001"/>
    <x v="47"/>
    <s v="Articulos de Libreria para entrega a Deptos, Unidades, etc, del Servicio de Salud Osorno, por un periodo de 12 meses."/>
    <n v="1"/>
    <s v="Material de Oficina"/>
    <n v="4"/>
    <n v="100"/>
    <n v="288300"/>
    <n v="2402500"/>
    <x v="11"/>
    <x v="17"/>
    <x v="30"/>
    <x v="34"/>
    <s v="64-2565716-"/>
    <s v="cecilia.garay@redsalud.gob.cl"/>
    <x v="7"/>
    <d v="2025-08-20T00:00:00"/>
    <n v="2"/>
    <s v="1057532-5287-AG25"/>
    <n v="1"/>
    <n v="2402500"/>
    <d v="2026-01-01T00:00:00"/>
    <x v="0"/>
    <x v="0"/>
  </r>
  <r>
    <s v="SERVICIO DE SALUD OSORNO"/>
    <s v="Bienes y Servicios"/>
    <x v="46"/>
    <s v="Proyecto operacional"/>
    <s v="Publicado"/>
    <s v="22.04.001"/>
    <x v="47"/>
    <s v="Articulos de Libreria para entrega a Deptos, Unidades, etc, del Servicio de Salud Osorno, por un periodo de 12 meses."/>
    <n v="1"/>
    <s v="Material de Oficina"/>
    <n v="4"/>
    <n v="100"/>
    <n v="288300"/>
    <n v="2402500"/>
    <x v="11"/>
    <x v="17"/>
    <x v="30"/>
    <x v="34"/>
    <s v="64-2565716-"/>
    <s v="cecilia.garay@redsalud.gob.cl"/>
    <x v="7"/>
    <d v="2025-08-20T00:00:00"/>
    <n v="2"/>
    <s v="1057532-5446-CM25"/>
    <n v="1"/>
    <n v="2402500"/>
    <d v="2026-07-01T00:00:00"/>
    <x v="0"/>
    <x v="0"/>
  </r>
  <r>
    <s v="SERVICIO DE SALUD OSORNO"/>
    <s v="Bienes y Servicios"/>
    <x v="47"/>
    <s v="Proyecto operacional"/>
    <s v="Publicado"/>
    <s v="22.03.003"/>
    <x v="48"/>
    <s v="Producto solicitado: Se requiere m3 de chip Duración del Convenio: 24 meses Fecha Inicio convenio: 01-01-2026 Fecha Término de Convenio: 31-12-2027 Vigencia: 24 meses"/>
    <n v="1"/>
    <s v="Convenio"/>
    <n v="4"/>
    <n v="1"/>
    <n v="146000000"/>
    <n v="6083333"/>
    <x v="1"/>
    <x v="14"/>
    <x v="31"/>
    <x v="17"/>
    <s v="64-2567381-"/>
    <s v="daniela.jarac@redsalud.gob.cl"/>
    <x v="7"/>
    <d v="2025-08-20T00:00:00"/>
    <n v="0"/>
    <m/>
    <n v="1"/>
    <n v="6083333"/>
    <d v="2026-02-01T00:00:00"/>
    <x v="0"/>
    <x v="0"/>
  </r>
  <r>
    <s v="SERVICIO DE SALUD OSORNO"/>
    <s v="Bienes y Servicios"/>
    <x v="47"/>
    <s v="Proyecto operacional"/>
    <s v="Publicado"/>
    <s v="22.03.003"/>
    <x v="48"/>
    <s v="Producto solicitado: Se requiere m3 de chip Duración del Convenio: 24 meses Fecha Inicio convenio: 01-01-2026 Fecha Término de Convenio: 31-12-2027 Vigencia: 24 meses"/>
    <n v="1"/>
    <s v="Convenio"/>
    <n v="4"/>
    <n v="1"/>
    <n v="146000000"/>
    <n v="6083333"/>
    <x v="1"/>
    <x v="14"/>
    <x v="31"/>
    <x v="17"/>
    <s v="64-2567381-"/>
    <s v="daniela.jarac@redsalud.gob.cl"/>
    <x v="7"/>
    <d v="2025-08-20T00:00:00"/>
    <n v="0"/>
    <m/>
    <n v="1"/>
    <n v="6083333"/>
    <d v="2026-06-01T00:00:00"/>
    <x v="0"/>
    <x v="0"/>
  </r>
  <r>
    <s v="SERVICIO DE SALUD OSORNO"/>
    <s v="Bienes y Servicios"/>
    <x v="47"/>
    <s v="Proyecto operacional"/>
    <s v="Publicado"/>
    <s v="22.03.003"/>
    <x v="48"/>
    <s v="Producto solicitado: Se requiere m3 de chip Duración del Convenio: 24 meses Fecha Inicio convenio: 01-01-2026 Fecha Término de Convenio: 31-12-2027 Vigencia: 24 meses"/>
    <n v="1"/>
    <s v="Convenio"/>
    <n v="4"/>
    <n v="1"/>
    <n v="146000000"/>
    <n v="6083333"/>
    <x v="1"/>
    <x v="14"/>
    <x v="31"/>
    <x v="17"/>
    <s v="64-2567381-"/>
    <s v="daniela.jarac@redsalud.gob.cl"/>
    <x v="7"/>
    <d v="2025-08-20T00:00:00"/>
    <n v="0"/>
    <m/>
    <n v="1"/>
    <n v="6083333"/>
    <d v="2026-01-01T00:00:00"/>
    <x v="0"/>
    <x v="0"/>
  </r>
  <r>
    <s v="SERVICIO DE SALUD OSORNO"/>
    <s v="Bienes y Servicios"/>
    <x v="47"/>
    <s v="Proyecto operacional"/>
    <s v="Publicado"/>
    <s v="22.03.003"/>
    <x v="48"/>
    <s v="Producto solicitado: Se requiere m3 de chip Duración del Convenio: 24 meses Fecha Inicio convenio: 01-01-2026 Fecha Término de Convenio: 31-12-2027 Vigencia: 24 meses"/>
    <n v="1"/>
    <s v="Convenio"/>
    <n v="4"/>
    <n v="1"/>
    <n v="146000000"/>
    <n v="6083333"/>
    <x v="1"/>
    <x v="14"/>
    <x v="31"/>
    <x v="17"/>
    <s v="64-2567381-"/>
    <s v="daniela.jarac@redsalud.gob.cl"/>
    <x v="7"/>
    <d v="2025-08-20T00:00:00"/>
    <n v="0"/>
    <m/>
    <n v="1"/>
    <n v="6083333"/>
    <d v="2026-12-01T00:00:00"/>
    <x v="0"/>
    <x v="0"/>
  </r>
  <r>
    <s v="SERVICIO DE SALUD OSORNO"/>
    <s v="Bienes y Servicios"/>
    <x v="47"/>
    <s v="Proyecto operacional"/>
    <s v="Publicado"/>
    <s v="22.03.003"/>
    <x v="48"/>
    <s v="Producto solicitado: Se requiere m3 de chip Duración del Convenio: 24 meses Fecha Inicio convenio: 01-01-2026 Fecha Término de Convenio: 31-12-2027 Vigencia: 24 meses"/>
    <n v="1"/>
    <s v="Convenio"/>
    <n v="4"/>
    <n v="1"/>
    <n v="146000000"/>
    <n v="6083333"/>
    <x v="1"/>
    <x v="14"/>
    <x v="31"/>
    <x v="17"/>
    <s v="64-2567381-"/>
    <s v="daniela.jarac@redsalud.gob.cl"/>
    <x v="7"/>
    <d v="2025-08-20T00:00:00"/>
    <n v="0"/>
    <m/>
    <n v="1"/>
    <n v="6083333"/>
    <d v="2026-04-01T00:00:00"/>
    <x v="0"/>
    <x v="0"/>
  </r>
  <r>
    <s v="SERVICIO DE SALUD OSORNO"/>
    <s v="Bienes y Servicios"/>
    <x v="47"/>
    <s v="Proyecto operacional"/>
    <s v="Publicado"/>
    <s v="22.03.003"/>
    <x v="48"/>
    <s v="Producto solicitado: Se requiere m3 de chip Duración del Convenio: 24 meses Fecha Inicio convenio: 01-01-2026 Fecha Término de Convenio: 31-12-2027 Vigencia: 24 meses"/>
    <n v="1"/>
    <s v="Convenio"/>
    <n v="4"/>
    <n v="1"/>
    <n v="146000000"/>
    <n v="6083333"/>
    <x v="1"/>
    <x v="14"/>
    <x v="31"/>
    <x v="17"/>
    <s v="64-2567381-"/>
    <s v="daniela.jarac@redsalud.gob.cl"/>
    <x v="7"/>
    <d v="2025-08-20T00:00:00"/>
    <n v="0"/>
    <m/>
    <n v="1"/>
    <n v="6083333"/>
    <d v="2026-07-01T00:00:00"/>
    <x v="0"/>
    <x v="0"/>
  </r>
  <r>
    <s v="SERVICIO DE SALUD OSORNO"/>
    <s v="Bienes y Servicios"/>
    <x v="47"/>
    <s v="Proyecto operacional"/>
    <s v="Publicado"/>
    <s v="22.03.003"/>
    <x v="48"/>
    <s v="Producto solicitado: Se requiere m3 de chip Duración del Convenio: 24 meses Fecha Inicio convenio: 01-01-2026 Fecha Término de Convenio: 31-12-2027 Vigencia: 24 meses"/>
    <n v="1"/>
    <s v="Convenio"/>
    <n v="4"/>
    <n v="1"/>
    <n v="146000000"/>
    <n v="6083333"/>
    <x v="1"/>
    <x v="14"/>
    <x v="31"/>
    <x v="17"/>
    <s v="64-2567381-"/>
    <s v="daniela.jarac@redsalud.gob.cl"/>
    <x v="7"/>
    <d v="2025-08-20T00:00:00"/>
    <n v="0"/>
    <m/>
    <n v="1"/>
    <n v="6083333"/>
    <d v="2026-08-01T00:00:00"/>
    <x v="0"/>
    <x v="0"/>
  </r>
  <r>
    <s v="SERVICIO DE SALUD OSORNO"/>
    <s v="Bienes y Servicios"/>
    <x v="47"/>
    <s v="Proyecto operacional"/>
    <s v="Publicado"/>
    <s v="22.03.003"/>
    <x v="48"/>
    <s v="Producto solicitado: Se requiere m3 de chip Duración del Convenio: 24 meses Fecha Inicio convenio: 01-01-2026 Fecha Término de Convenio: 31-12-2027 Vigencia: 24 meses"/>
    <n v="1"/>
    <s v="Convenio"/>
    <n v="4"/>
    <n v="1"/>
    <n v="146000000"/>
    <n v="6083333"/>
    <x v="1"/>
    <x v="14"/>
    <x v="31"/>
    <x v="17"/>
    <s v="64-2567381-"/>
    <s v="daniela.jarac@redsalud.gob.cl"/>
    <x v="7"/>
    <d v="2025-08-20T00:00:00"/>
    <n v="0"/>
    <m/>
    <n v="1"/>
    <n v="6083333"/>
    <d v="2026-03-01T00:00:00"/>
    <x v="0"/>
    <x v="0"/>
  </r>
  <r>
    <s v="SERVICIO DE SALUD OSORNO"/>
    <s v="Bienes y Servicios"/>
    <x v="47"/>
    <s v="Proyecto operacional"/>
    <s v="Publicado"/>
    <s v="22.03.003"/>
    <x v="48"/>
    <s v="Producto solicitado: Se requiere m3 de chip Duración del Convenio: 24 meses Fecha Inicio convenio: 01-01-2026 Fecha Término de Convenio: 31-12-2027 Vigencia: 24 meses"/>
    <n v="1"/>
    <s v="Convenio"/>
    <n v="4"/>
    <n v="1"/>
    <n v="146000000"/>
    <n v="6083333"/>
    <x v="1"/>
    <x v="14"/>
    <x v="31"/>
    <x v="17"/>
    <s v="64-2567381-"/>
    <s v="daniela.jarac@redsalud.gob.cl"/>
    <x v="7"/>
    <d v="2025-08-20T00:00:00"/>
    <n v="0"/>
    <m/>
    <n v="1"/>
    <n v="6083333"/>
    <d v="2026-10-01T00:00:00"/>
    <x v="0"/>
    <x v="0"/>
  </r>
  <r>
    <s v="SERVICIO DE SALUD OSORNO"/>
    <s v="Bienes y Servicios"/>
    <x v="47"/>
    <s v="Proyecto operacional"/>
    <s v="Publicado"/>
    <s v="22.03.003"/>
    <x v="48"/>
    <s v="Producto solicitado: Se requiere m3 de chip Duración del Convenio: 24 meses Fecha Inicio convenio: 01-01-2026 Fecha Término de Convenio: 31-12-2027 Vigencia: 24 meses"/>
    <n v="1"/>
    <s v="Convenio"/>
    <n v="4"/>
    <n v="1"/>
    <n v="146000000"/>
    <n v="6083333"/>
    <x v="1"/>
    <x v="14"/>
    <x v="31"/>
    <x v="17"/>
    <s v="64-2567381-"/>
    <s v="daniela.jarac@redsalud.gob.cl"/>
    <x v="7"/>
    <d v="2025-08-20T00:00:00"/>
    <n v="0"/>
    <m/>
    <n v="1"/>
    <n v="6083333"/>
    <d v="2026-09-01T00:00:00"/>
    <x v="0"/>
    <x v="0"/>
  </r>
  <r>
    <s v="SERVICIO DE SALUD OSORNO"/>
    <s v="Bienes y Servicios"/>
    <x v="47"/>
    <s v="Proyecto operacional"/>
    <s v="Publicado"/>
    <s v="22.03.003"/>
    <x v="48"/>
    <s v="Producto solicitado: Se requiere m3 de chip Duración del Convenio: 24 meses Fecha Inicio convenio: 01-01-2026 Fecha Término de Convenio: 31-12-2027 Vigencia: 24 meses"/>
    <n v="1"/>
    <s v="Convenio"/>
    <n v="4"/>
    <n v="1"/>
    <n v="146000000"/>
    <n v="6083333"/>
    <x v="1"/>
    <x v="14"/>
    <x v="31"/>
    <x v="17"/>
    <s v="64-2567381-"/>
    <s v="daniela.jarac@redsalud.gob.cl"/>
    <x v="7"/>
    <d v="2025-08-20T00:00:00"/>
    <n v="0"/>
    <m/>
    <n v="1"/>
    <n v="6083333"/>
    <d v="2026-05-01T00:00:00"/>
    <x v="0"/>
    <x v="0"/>
  </r>
  <r>
    <s v="SERVICIO DE SALUD OSORNO"/>
    <s v="Bienes y Servicios"/>
    <x v="47"/>
    <s v="Proyecto operacional"/>
    <s v="Publicado"/>
    <s v="22.03.003"/>
    <x v="48"/>
    <s v="Producto solicitado: Se requiere m3 de chip Duración del Convenio: 24 meses Fecha Inicio convenio: 01-01-2026 Fecha Término de Convenio: 31-12-2027 Vigencia: 24 meses"/>
    <n v="1"/>
    <s v="Convenio"/>
    <n v="4"/>
    <n v="1"/>
    <n v="146000000"/>
    <n v="6083333"/>
    <x v="1"/>
    <x v="14"/>
    <x v="31"/>
    <x v="17"/>
    <s v="64-2567381-"/>
    <s v="daniela.jarac@redsalud.gob.cl"/>
    <x v="7"/>
    <d v="2025-08-20T00:00:00"/>
    <n v="0"/>
    <m/>
    <n v="1"/>
    <n v="6083333"/>
    <d v="2026-11-01T00:00:00"/>
    <x v="0"/>
    <x v="0"/>
  </r>
  <r>
    <s v="SERVICIO DE SALUD OSORNO"/>
    <s v="Bienes y Servicios"/>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n v="1"/>
    <s v="Arriendo Ambulancia"/>
    <n v="4"/>
    <n v="16"/>
    <n v="4687500"/>
    <n v="4687500"/>
    <x v="12"/>
    <x v="22"/>
    <x v="32"/>
    <x v="35"/>
    <s v="64-2567353-"/>
    <s v="raul.nunezv@redsalud.gob.cl"/>
    <x v="7"/>
    <d v="2025-08-20T00:00:00"/>
    <n v="0"/>
    <m/>
    <n v="1"/>
    <n v="4687500"/>
    <d v="2026-02-01T00:00:00"/>
    <x v="0"/>
    <x v="0"/>
  </r>
  <r>
    <s v="SERVICIO DE SALUD OSORNO"/>
    <s v="Bienes y Servicios"/>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n v="1"/>
    <s v="Arriendo Ambulancia"/>
    <n v="4"/>
    <n v="16"/>
    <n v="4687500"/>
    <n v="4687500"/>
    <x v="12"/>
    <x v="22"/>
    <x v="32"/>
    <x v="35"/>
    <s v="64-2567353-"/>
    <s v="raul.nunezv@redsalud.gob.cl"/>
    <x v="7"/>
    <d v="2025-08-20T00:00:00"/>
    <n v="0"/>
    <m/>
    <n v="1"/>
    <n v="4687500"/>
    <d v="2026-11-01T00:00:00"/>
    <x v="0"/>
    <x v="0"/>
  </r>
  <r>
    <s v="SERVICIO DE SALUD OSORNO"/>
    <s v="Bienes y Servicios"/>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n v="1"/>
    <s v="Arriendo Ambulancia"/>
    <n v="4"/>
    <n v="16"/>
    <n v="4687500"/>
    <n v="4687500"/>
    <x v="12"/>
    <x v="22"/>
    <x v="32"/>
    <x v="35"/>
    <s v="64-2567353-"/>
    <s v="raul.nunezv@redsalud.gob.cl"/>
    <x v="7"/>
    <d v="2025-08-20T00:00:00"/>
    <n v="0"/>
    <m/>
    <n v="1"/>
    <n v="4687500"/>
    <d v="2026-03-01T00:00:00"/>
    <x v="0"/>
    <x v="0"/>
  </r>
  <r>
    <s v="SERVICIO DE SALUD OSORNO"/>
    <s v="Bienes y Servicios"/>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n v="1"/>
    <s v="Arriendo Ambulancia"/>
    <n v="4"/>
    <n v="16"/>
    <n v="4687500"/>
    <n v="4687500"/>
    <x v="12"/>
    <x v="22"/>
    <x v="32"/>
    <x v="35"/>
    <s v="64-2567353-"/>
    <s v="raul.nunezv@redsalud.gob.cl"/>
    <x v="7"/>
    <d v="2025-08-20T00:00:00"/>
    <n v="0"/>
    <m/>
    <n v="1"/>
    <n v="4687500"/>
    <d v="2026-01-01T00:00:00"/>
    <x v="0"/>
    <x v="0"/>
  </r>
  <r>
    <s v="SERVICIO DE SALUD OSORNO"/>
    <s v="Bienes y Servicios"/>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n v="1"/>
    <s v="Arriendo Ambulancia"/>
    <n v="4"/>
    <n v="16"/>
    <n v="4687500"/>
    <n v="4687500"/>
    <x v="12"/>
    <x v="22"/>
    <x v="32"/>
    <x v="35"/>
    <s v="64-2567353-"/>
    <s v="raul.nunezv@redsalud.gob.cl"/>
    <x v="7"/>
    <d v="2025-08-20T00:00:00"/>
    <n v="0"/>
    <m/>
    <n v="1"/>
    <n v="4687500"/>
    <d v="2026-06-01T00:00:00"/>
    <x v="0"/>
    <x v="0"/>
  </r>
  <r>
    <s v="SERVICIO DE SALUD OSORNO"/>
    <s v="Bienes y Servicios"/>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n v="1"/>
    <s v="Arriendo Ambulancia"/>
    <n v="4"/>
    <n v="16"/>
    <n v="4687500"/>
    <n v="4687500"/>
    <x v="12"/>
    <x v="22"/>
    <x v="32"/>
    <x v="35"/>
    <s v="64-2567353-"/>
    <s v="raul.nunezv@redsalud.gob.cl"/>
    <x v="7"/>
    <d v="2025-08-20T00:00:00"/>
    <n v="0"/>
    <m/>
    <n v="1"/>
    <n v="4687500"/>
    <d v="2026-04-01T00:00:00"/>
    <x v="0"/>
    <x v="0"/>
  </r>
  <r>
    <s v="SERVICIO DE SALUD OSORNO"/>
    <s v="Bienes y Servicios"/>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n v="1"/>
    <s v="Arriendo Ambulancia"/>
    <n v="4"/>
    <n v="16"/>
    <n v="4687500"/>
    <n v="4687500"/>
    <x v="12"/>
    <x v="22"/>
    <x v="32"/>
    <x v="35"/>
    <s v="64-2567353-"/>
    <s v="raul.nunezv@redsalud.gob.cl"/>
    <x v="7"/>
    <d v="2025-08-20T00:00:00"/>
    <n v="0"/>
    <m/>
    <n v="1"/>
    <n v="4687500"/>
    <d v="2026-07-01T00:00:00"/>
    <x v="0"/>
    <x v="0"/>
  </r>
  <r>
    <s v="SERVICIO DE SALUD OSORNO"/>
    <s v="Bienes y Servicios"/>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n v="1"/>
    <s v="Arriendo Ambulancia"/>
    <n v="4"/>
    <n v="16"/>
    <n v="4687500"/>
    <n v="4687500"/>
    <x v="12"/>
    <x v="22"/>
    <x v="32"/>
    <x v="35"/>
    <s v="64-2567353-"/>
    <s v="raul.nunezv@redsalud.gob.cl"/>
    <x v="7"/>
    <d v="2025-08-20T00:00:00"/>
    <n v="0"/>
    <m/>
    <n v="1"/>
    <n v="4687500"/>
    <d v="2026-05-01T00:00:00"/>
    <x v="0"/>
    <x v="0"/>
  </r>
  <r>
    <s v="SERVICIO DE SALUD OSORNO"/>
    <s v="Bienes y Servicios"/>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n v="1"/>
    <s v="Arriendo Ambulancia"/>
    <n v="4"/>
    <n v="16"/>
    <n v="4687500"/>
    <n v="4687500"/>
    <x v="12"/>
    <x v="22"/>
    <x v="32"/>
    <x v="35"/>
    <s v="64-2567353-"/>
    <s v="raul.nunezv@redsalud.gob.cl"/>
    <x v="7"/>
    <d v="2025-08-20T00:00:00"/>
    <n v="0"/>
    <m/>
    <n v="1"/>
    <n v="4687500"/>
    <d v="2026-12-01T00:00:00"/>
    <x v="0"/>
    <x v="0"/>
  </r>
  <r>
    <s v="SERVICIO DE SALUD OSORNO"/>
    <s v="Bienes y Servicios"/>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n v="1"/>
    <s v="Arriendo Ambulancia"/>
    <n v="4"/>
    <n v="16"/>
    <n v="4687500"/>
    <n v="4687500"/>
    <x v="12"/>
    <x v="22"/>
    <x v="32"/>
    <x v="35"/>
    <s v="64-2567353-"/>
    <s v="raul.nunezv@redsalud.gob.cl"/>
    <x v="7"/>
    <d v="2025-08-20T00:00:00"/>
    <n v="0"/>
    <m/>
    <n v="1"/>
    <n v="4687500"/>
    <d v="2026-10-01T00:00:00"/>
    <x v="0"/>
    <x v="0"/>
  </r>
  <r>
    <s v="SERVICIO DE SALUD OSORNO"/>
    <s v="Bienes y Servicios"/>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n v="1"/>
    <s v="Arriendo Ambulancia"/>
    <n v="4"/>
    <n v="16"/>
    <n v="4687500"/>
    <n v="4687500"/>
    <x v="12"/>
    <x v="22"/>
    <x v="32"/>
    <x v="35"/>
    <s v="64-2567353-"/>
    <s v="raul.nunezv@redsalud.gob.cl"/>
    <x v="7"/>
    <d v="2025-08-20T00:00:00"/>
    <n v="0"/>
    <m/>
    <n v="1"/>
    <n v="4687500"/>
    <d v="2026-09-01T00:00:00"/>
    <x v="0"/>
    <x v="0"/>
  </r>
  <r>
    <s v="SERVICIO DE SALUD OSORNO"/>
    <s v="Bienes y Servicios"/>
    <x v="48"/>
    <s v="Proyecto operacional"/>
    <s v="Publicado"/>
    <s v="22.09.003"/>
    <x v="49"/>
    <s v="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
    <n v="1"/>
    <s v="Arriendo Ambulancia"/>
    <n v="4"/>
    <n v="16"/>
    <n v="4687500"/>
    <n v="4687500"/>
    <x v="12"/>
    <x v="22"/>
    <x v="32"/>
    <x v="35"/>
    <s v="64-2567353-"/>
    <s v="raul.nunezv@redsalud.gob.cl"/>
    <x v="7"/>
    <d v="2025-08-20T00:00:00"/>
    <n v="0"/>
    <m/>
    <n v="1"/>
    <n v="4687500"/>
    <d v="2026-08-01T00:00:00"/>
    <x v="0"/>
    <x v="0"/>
  </r>
  <r>
    <s v="SERVICIO DE SALUD OSORNO"/>
    <s v="Bienes y Servicios"/>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n v="1"/>
    <s v="Mantención"/>
    <n v="4"/>
    <n v="1"/>
    <n v="83594337"/>
    <n v="6966194"/>
    <x v="11"/>
    <x v="20"/>
    <x v="33"/>
    <x v="36"/>
    <s v="64-2565596-"/>
    <s v="GARIBE.GALLARDO@REDSALUD.GOB.CL"/>
    <x v="7"/>
    <d v="2025-08-20T00:00:00"/>
    <n v="0"/>
    <m/>
    <n v="1"/>
    <n v="6966194"/>
    <d v="2026-10-01T00:00:00"/>
    <x v="0"/>
    <x v="0"/>
  </r>
  <r>
    <s v="SERVICIO DE SALUD OSORNO"/>
    <s v="Bienes y Servicios"/>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n v="1"/>
    <s v="Mantención"/>
    <n v="4"/>
    <n v="1"/>
    <n v="83594337"/>
    <n v="6966194"/>
    <x v="11"/>
    <x v="20"/>
    <x v="33"/>
    <x v="36"/>
    <s v="64-2565596-"/>
    <s v="GARIBE.GALLARDO@REDSALUD.GOB.CL"/>
    <x v="7"/>
    <d v="2025-08-20T00:00:00"/>
    <n v="0"/>
    <m/>
    <n v="1"/>
    <n v="6966194"/>
    <d v="2026-07-01T00:00:00"/>
    <x v="0"/>
    <x v="0"/>
  </r>
  <r>
    <s v="SERVICIO DE SALUD OSORNO"/>
    <s v="Bienes y Servicios"/>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n v="1"/>
    <s v="Mantención"/>
    <n v="4"/>
    <n v="1"/>
    <n v="83594337"/>
    <n v="6966194"/>
    <x v="11"/>
    <x v="20"/>
    <x v="33"/>
    <x v="36"/>
    <s v="64-2565596-"/>
    <s v="GARIBE.GALLARDO@REDSALUD.GOB.CL"/>
    <x v="7"/>
    <d v="2025-08-20T00:00:00"/>
    <n v="0"/>
    <m/>
    <n v="1"/>
    <n v="6966194"/>
    <d v="2026-01-01T00:00:00"/>
    <x v="0"/>
    <x v="0"/>
  </r>
  <r>
    <s v="SERVICIO DE SALUD OSORNO"/>
    <s v="Bienes y Servicios"/>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n v="1"/>
    <s v="Mantención"/>
    <n v="4"/>
    <n v="1"/>
    <n v="83594337"/>
    <n v="6966194"/>
    <x v="11"/>
    <x v="20"/>
    <x v="33"/>
    <x v="36"/>
    <s v="64-2565596-"/>
    <s v="GARIBE.GALLARDO@REDSALUD.GOB.CL"/>
    <x v="7"/>
    <d v="2025-08-20T00:00:00"/>
    <n v="0"/>
    <m/>
    <n v="1"/>
    <n v="6966194"/>
    <d v="2026-05-01T00:00:00"/>
    <x v="0"/>
    <x v="0"/>
  </r>
  <r>
    <s v="SERVICIO DE SALUD OSORNO"/>
    <s v="Bienes y Servicios"/>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n v="1"/>
    <s v="Mantención"/>
    <n v="4"/>
    <n v="1"/>
    <n v="83594337"/>
    <n v="6966194"/>
    <x v="11"/>
    <x v="20"/>
    <x v="33"/>
    <x v="36"/>
    <s v="64-2565596-"/>
    <s v="GARIBE.GALLARDO@REDSALUD.GOB.CL"/>
    <x v="7"/>
    <d v="2025-08-20T00:00:00"/>
    <n v="0"/>
    <m/>
    <n v="1"/>
    <n v="6966194"/>
    <d v="2026-06-01T00:00:00"/>
    <x v="0"/>
    <x v="0"/>
  </r>
  <r>
    <s v="SERVICIO DE SALUD OSORNO"/>
    <s v="Bienes y Servicios"/>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n v="1"/>
    <s v="Mantención"/>
    <n v="4"/>
    <n v="1"/>
    <n v="83594337"/>
    <n v="6966194"/>
    <x v="11"/>
    <x v="20"/>
    <x v="33"/>
    <x v="36"/>
    <s v="64-2565596-"/>
    <s v="GARIBE.GALLARDO@REDSALUD.GOB.CL"/>
    <x v="7"/>
    <d v="2025-08-20T00:00:00"/>
    <n v="0"/>
    <m/>
    <n v="1"/>
    <n v="6966194"/>
    <d v="2026-04-01T00:00:00"/>
    <x v="0"/>
    <x v="0"/>
  </r>
  <r>
    <s v="SERVICIO DE SALUD OSORNO"/>
    <s v="Bienes y Servicios"/>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n v="1"/>
    <s v="Mantención"/>
    <n v="4"/>
    <n v="1"/>
    <n v="83594337"/>
    <n v="6966194"/>
    <x v="11"/>
    <x v="20"/>
    <x v="33"/>
    <x v="36"/>
    <s v="64-2565596-"/>
    <s v="GARIBE.GALLARDO@REDSALUD.GOB.CL"/>
    <x v="7"/>
    <d v="2025-08-20T00:00:00"/>
    <n v="0"/>
    <m/>
    <n v="1"/>
    <n v="6966194"/>
    <d v="2026-03-01T00:00:00"/>
    <x v="0"/>
    <x v="0"/>
  </r>
  <r>
    <s v="SERVICIO DE SALUD OSORNO"/>
    <s v="Bienes y Servicios"/>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n v="1"/>
    <s v="Mantención"/>
    <n v="4"/>
    <n v="1"/>
    <n v="83594337"/>
    <n v="6966194"/>
    <x v="11"/>
    <x v="20"/>
    <x v="33"/>
    <x v="36"/>
    <s v="64-2565596-"/>
    <s v="GARIBE.GALLARDO@REDSALUD.GOB.CL"/>
    <x v="7"/>
    <d v="2025-08-20T00:00:00"/>
    <n v="0"/>
    <m/>
    <n v="1"/>
    <n v="6966194"/>
    <d v="2026-11-01T00:00:00"/>
    <x v="0"/>
    <x v="0"/>
  </r>
  <r>
    <s v="SERVICIO DE SALUD OSORNO"/>
    <s v="Bienes y Servicios"/>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n v="1"/>
    <s v="Mantención"/>
    <n v="4"/>
    <n v="1"/>
    <n v="83594337"/>
    <n v="6966203"/>
    <x v="11"/>
    <x v="20"/>
    <x v="33"/>
    <x v="36"/>
    <s v="64-2565596-"/>
    <s v="GARIBE.GALLARDO@REDSALUD.GOB.CL"/>
    <x v="7"/>
    <d v="2025-08-20T00:00:00"/>
    <n v="0"/>
    <m/>
    <n v="1"/>
    <n v="6966203"/>
    <d v="2026-12-01T00:00:00"/>
    <x v="0"/>
    <x v="0"/>
  </r>
  <r>
    <s v="SERVICIO DE SALUD OSORNO"/>
    <s v="Bienes y Servicios"/>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n v="1"/>
    <s v="Mantención"/>
    <n v="4"/>
    <n v="1"/>
    <n v="83594337"/>
    <n v="6966194"/>
    <x v="11"/>
    <x v="20"/>
    <x v="33"/>
    <x v="36"/>
    <s v="64-2565596-"/>
    <s v="GARIBE.GALLARDO@REDSALUD.GOB.CL"/>
    <x v="7"/>
    <d v="2025-08-20T00:00:00"/>
    <n v="0"/>
    <m/>
    <n v="1"/>
    <n v="6966194"/>
    <d v="2026-08-01T00:00:00"/>
    <x v="0"/>
    <x v="0"/>
  </r>
  <r>
    <s v="SERVICIO DE SALUD OSORNO"/>
    <s v="Bienes y Servicios"/>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n v="1"/>
    <s v="Mantención"/>
    <n v="4"/>
    <n v="1"/>
    <n v="83594337"/>
    <n v="6966194"/>
    <x v="11"/>
    <x v="20"/>
    <x v="33"/>
    <x v="36"/>
    <s v="64-2565596-"/>
    <s v="GARIBE.GALLARDO@REDSALUD.GOB.CL"/>
    <x v="7"/>
    <d v="2025-08-20T00:00:00"/>
    <n v="0"/>
    <m/>
    <n v="1"/>
    <n v="6966194"/>
    <d v="2026-02-01T00:00:00"/>
    <x v="0"/>
    <x v="0"/>
  </r>
  <r>
    <s v="SERVICIO DE SALUD OSORNO"/>
    <s v="Bienes y Servicios"/>
    <x v="49"/>
    <s v="Proyecto operacional"/>
    <s v="Publicado"/>
    <s v="22.06.001"/>
    <x v="50"/>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
    <n v="1"/>
    <s v="Mantención"/>
    <n v="4"/>
    <n v="1"/>
    <n v="83594337"/>
    <n v="6966194"/>
    <x v="11"/>
    <x v="20"/>
    <x v="33"/>
    <x v="36"/>
    <s v="64-2565596-"/>
    <s v="GARIBE.GALLARDO@REDSALUD.GOB.CL"/>
    <x v="7"/>
    <d v="2025-08-20T00:00:00"/>
    <n v="0"/>
    <m/>
    <n v="1"/>
    <n v="6966194"/>
    <d v="2026-09-01T00:00:00"/>
    <x v="0"/>
    <x v="0"/>
  </r>
  <r>
    <s v="SERVICIO DE SALUD OSORNO"/>
    <s v="Bienes y Servicios"/>
    <x v="50"/>
    <s v="Proyecto operacional"/>
    <s v="Publicado"/>
    <s v="22.04.003.001"/>
    <x v="51"/>
    <s v="Servicio de oxigenoterapia domiciliaria para personas beneficiarias de ley 21.375 ingresadas al Programa CPU APS. Convenio a ejecutar por 15 meses, a partir del 23 de octubre 2025 al 31 diciembre 2026."/>
    <n v="1"/>
    <s v="Convenio Oxigeno"/>
    <n v="4"/>
    <n v="1"/>
    <n v="12740000"/>
    <n v="849333"/>
    <x v="13"/>
    <x v="23"/>
    <x v="34"/>
    <x v="37"/>
    <s v="64-2565809-"/>
    <s v="maria.jaramillov@redsalud.gob.cl"/>
    <x v="7"/>
    <d v="2025-08-20T00:00:00"/>
    <n v="1"/>
    <s v="1057532-5742-SE25"/>
    <n v="1"/>
    <n v="849333"/>
    <d v="2026-05-01T00:00:00"/>
    <x v="0"/>
    <x v="0"/>
  </r>
  <r>
    <s v="SERVICIO DE SALUD OSORNO"/>
    <s v="Bienes y Servicios"/>
    <x v="50"/>
    <s v="Proyecto operacional"/>
    <s v="Publicado"/>
    <s v="22.04.003.001"/>
    <x v="51"/>
    <s v="Servicio de oxigenoterapia domiciliaria para personas beneficiarias de ley 21.375 ingresadas al Programa CPU APS. Convenio a ejecutar por 15 meses, a partir del 23 de octubre 2025 al 31 diciembre 2026."/>
    <n v="1"/>
    <s v="Convenio Oxigeno"/>
    <n v="4"/>
    <n v="1"/>
    <n v="12740000"/>
    <n v="849333"/>
    <x v="13"/>
    <x v="23"/>
    <x v="34"/>
    <x v="37"/>
    <s v="64-2565809-"/>
    <s v="maria.jaramillov@redsalud.gob.cl"/>
    <x v="7"/>
    <d v="2025-08-20T00:00:00"/>
    <n v="1"/>
    <s v="1057532-5742-SE25"/>
    <n v="1"/>
    <n v="849333"/>
    <d v="2026-04-01T00:00:00"/>
    <x v="0"/>
    <x v="0"/>
  </r>
  <r>
    <s v="SERVICIO DE SALUD OSORNO"/>
    <s v="Bienes y Servicios"/>
    <x v="50"/>
    <s v="Proyecto operacional"/>
    <s v="Publicado"/>
    <s v="22.04.003.001"/>
    <x v="51"/>
    <s v="Servicio de oxigenoterapia domiciliaria para personas beneficiarias de ley 21.375 ingresadas al Programa CPU APS. Convenio a ejecutar por 15 meses, a partir del 23 de octubre 2025 al 31 diciembre 2026."/>
    <n v="1"/>
    <s v="Convenio Oxigeno"/>
    <n v="4"/>
    <n v="1"/>
    <n v="12740000"/>
    <n v="849333"/>
    <x v="13"/>
    <x v="23"/>
    <x v="34"/>
    <x v="37"/>
    <s v="64-2565809-"/>
    <s v="maria.jaramillov@redsalud.gob.cl"/>
    <x v="7"/>
    <d v="2025-08-20T00:00:00"/>
    <n v="1"/>
    <s v="1057532-5742-SE25"/>
    <n v="1"/>
    <n v="849333"/>
    <d v="2026-03-01T00:00:00"/>
    <x v="0"/>
    <x v="0"/>
  </r>
  <r>
    <s v="SERVICIO DE SALUD OSORNO"/>
    <s v="Bienes y Servicios"/>
    <x v="50"/>
    <s v="Proyecto operacional"/>
    <s v="Publicado"/>
    <s v="22.04.003.001"/>
    <x v="51"/>
    <s v="Servicio de oxigenoterapia domiciliaria para personas beneficiarias de ley 21.375 ingresadas al Programa CPU APS. Convenio a ejecutar por 15 meses, a partir del 23 de octubre 2025 al 31 diciembre 2026."/>
    <n v="1"/>
    <s v="Convenio Oxigeno"/>
    <n v="4"/>
    <n v="1"/>
    <n v="12740000"/>
    <n v="849333"/>
    <x v="13"/>
    <x v="23"/>
    <x v="34"/>
    <x v="37"/>
    <s v="64-2565809-"/>
    <s v="maria.jaramillov@redsalud.gob.cl"/>
    <x v="7"/>
    <d v="2025-08-20T00:00:00"/>
    <n v="1"/>
    <s v="1057532-5742-SE25"/>
    <n v="1"/>
    <n v="849333"/>
    <d v="2026-02-01T00:00:00"/>
    <x v="0"/>
    <x v="0"/>
  </r>
  <r>
    <s v="SERVICIO DE SALUD OSORNO"/>
    <s v="Bienes y Servicios"/>
    <x v="50"/>
    <s v="Proyecto operacional"/>
    <s v="Publicado"/>
    <s v="22.04.003.001"/>
    <x v="51"/>
    <s v="Servicio de oxigenoterapia domiciliaria para personas beneficiarias de ley 21.375 ingresadas al Programa CPU APS. Convenio a ejecutar por 15 meses, a partir del 23 de octubre 2025 al 31 diciembre 2026."/>
    <n v="1"/>
    <s v="Convenio Oxigeno"/>
    <n v="4"/>
    <n v="1"/>
    <n v="12740000"/>
    <n v="849333"/>
    <x v="13"/>
    <x v="23"/>
    <x v="34"/>
    <x v="37"/>
    <s v="64-2565809-"/>
    <s v="maria.jaramillov@redsalud.gob.cl"/>
    <x v="7"/>
    <d v="2025-08-20T00:00:00"/>
    <n v="1"/>
    <s v="1057532-5742-SE25"/>
    <n v="1"/>
    <n v="849333"/>
    <d v="2026-06-01T00:00:00"/>
    <x v="0"/>
    <x v="0"/>
  </r>
  <r>
    <s v="SERVICIO DE SALUD OSORNO"/>
    <s v="Bienes y Servicios"/>
    <x v="50"/>
    <s v="Proyecto operacional"/>
    <s v="Publicado"/>
    <s v="22.04.003.001"/>
    <x v="51"/>
    <s v="Servicio de oxigenoterapia domiciliaria para personas beneficiarias de ley 21.375 ingresadas al Programa CPU APS. Convenio a ejecutar por 15 meses, a partir del 23 de octubre 2025 al 31 diciembre 2026."/>
    <n v="1"/>
    <s v="Convenio Oxigeno"/>
    <n v="4"/>
    <n v="1"/>
    <n v="12740000"/>
    <n v="849333"/>
    <x v="13"/>
    <x v="23"/>
    <x v="34"/>
    <x v="37"/>
    <s v="64-2565809-"/>
    <s v="maria.jaramillov@redsalud.gob.cl"/>
    <x v="7"/>
    <d v="2025-08-20T00:00:00"/>
    <n v="1"/>
    <s v="1057532-5742-SE25"/>
    <n v="1"/>
    <n v="849333"/>
    <d v="2026-08-01T00:00:00"/>
    <x v="0"/>
    <x v="0"/>
  </r>
  <r>
    <s v="SERVICIO DE SALUD OSORNO"/>
    <s v="Bienes y Servicios"/>
    <x v="50"/>
    <s v="Proyecto operacional"/>
    <s v="Publicado"/>
    <s v="22.04.003.001"/>
    <x v="51"/>
    <s v="Servicio de oxigenoterapia domiciliaria para personas beneficiarias de ley 21.375 ingresadas al Programa CPU APS. Convenio a ejecutar por 15 meses, a partir del 23 de octubre 2025 al 31 diciembre 2026."/>
    <n v="1"/>
    <s v="Convenio Oxigeno"/>
    <n v="4"/>
    <n v="1"/>
    <n v="12740000"/>
    <n v="849333"/>
    <x v="13"/>
    <x v="23"/>
    <x v="34"/>
    <x v="37"/>
    <s v="64-2565809-"/>
    <s v="maria.jaramillov@redsalud.gob.cl"/>
    <x v="7"/>
    <d v="2025-08-20T00:00:00"/>
    <n v="1"/>
    <s v="1057532-5742-SE25"/>
    <n v="1"/>
    <n v="849333"/>
    <d v="2026-07-01T00:00:00"/>
    <x v="0"/>
    <x v="0"/>
  </r>
  <r>
    <s v="SERVICIO DE SALUD OSORNO"/>
    <s v="Bienes y Servicios"/>
    <x v="50"/>
    <s v="Proyecto operacional"/>
    <s v="Publicado"/>
    <s v="22.04.003.001"/>
    <x v="51"/>
    <s v="Servicio de oxigenoterapia domiciliaria para personas beneficiarias de ley 21.375 ingresadas al Programa CPU APS. Convenio a ejecutar por 15 meses, a partir del 23 de octubre 2025 al 31 diciembre 2026."/>
    <n v="1"/>
    <s v="Convenio Oxigeno"/>
    <n v="4"/>
    <n v="1"/>
    <n v="12740000"/>
    <n v="849333"/>
    <x v="13"/>
    <x v="23"/>
    <x v="34"/>
    <x v="37"/>
    <s v="64-2565809-"/>
    <s v="maria.jaramillov@redsalud.gob.cl"/>
    <x v="7"/>
    <d v="2025-08-20T00:00:00"/>
    <n v="1"/>
    <s v="1057532-5742-SE25"/>
    <n v="1"/>
    <n v="849333"/>
    <d v="2026-10-01T00:00:00"/>
    <x v="0"/>
    <x v="0"/>
  </r>
  <r>
    <s v="SERVICIO DE SALUD OSORNO"/>
    <s v="Bienes y Servicios"/>
    <x v="50"/>
    <s v="Proyecto operacional"/>
    <s v="Publicado"/>
    <s v="22.04.003.001"/>
    <x v="51"/>
    <s v="Servicio de oxigenoterapia domiciliaria para personas beneficiarias de ley 21.375 ingresadas al Programa CPU APS. Convenio a ejecutar por 15 meses, a partir del 23 de octubre 2025 al 31 diciembre 2026."/>
    <n v="1"/>
    <s v="Convenio Oxigeno"/>
    <n v="4"/>
    <n v="1"/>
    <n v="12740000"/>
    <n v="849333"/>
    <x v="13"/>
    <x v="23"/>
    <x v="34"/>
    <x v="37"/>
    <s v="64-2565809-"/>
    <s v="maria.jaramillov@redsalud.gob.cl"/>
    <x v="7"/>
    <d v="2025-08-20T00:00:00"/>
    <n v="1"/>
    <s v="1057532-5742-SE25"/>
    <n v="1"/>
    <n v="849333"/>
    <d v="2026-09-01T00:00:00"/>
    <x v="0"/>
    <x v="0"/>
  </r>
  <r>
    <s v="SERVICIO DE SALUD OSORNO"/>
    <s v="Bienes y Servicios"/>
    <x v="50"/>
    <s v="Proyecto operacional"/>
    <s v="Publicado"/>
    <s v="22.04.003.001"/>
    <x v="51"/>
    <s v="Servicio de oxigenoterapia domiciliaria para personas beneficiarias de ley 21.375 ingresadas al Programa CPU APS. Convenio a ejecutar por 15 meses, a partir del 23 de octubre 2025 al 31 diciembre 2026."/>
    <n v="1"/>
    <s v="Convenio Oxigeno"/>
    <n v="4"/>
    <n v="1"/>
    <n v="12740000"/>
    <n v="849333"/>
    <x v="13"/>
    <x v="23"/>
    <x v="34"/>
    <x v="37"/>
    <s v="64-2565809-"/>
    <s v="maria.jaramillov@redsalud.gob.cl"/>
    <x v="7"/>
    <d v="2025-08-20T00:00:00"/>
    <n v="1"/>
    <s v="1057532-5742-SE25"/>
    <n v="1"/>
    <n v="849333"/>
    <d v="2026-01-01T00:00:00"/>
    <x v="0"/>
    <x v="0"/>
  </r>
  <r>
    <s v="SERVICIO DE SALUD OSORNO"/>
    <s v="Bienes y Servicios"/>
    <x v="50"/>
    <s v="Proyecto operacional"/>
    <s v="Publicado"/>
    <s v="22.04.003.001"/>
    <x v="51"/>
    <s v="Servicio de oxigenoterapia domiciliaria para personas beneficiarias de ley 21.375 ingresadas al Programa CPU APS. Convenio a ejecutar por 15 meses, a partir del 23 de octubre 2025 al 31 diciembre 2026."/>
    <n v="1"/>
    <s v="Convenio Oxigeno"/>
    <n v="4"/>
    <n v="1"/>
    <n v="12740000"/>
    <n v="849333"/>
    <x v="13"/>
    <x v="23"/>
    <x v="34"/>
    <x v="37"/>
    <s v="64-2565809-"/>
    <s v="maria.jaramillov@redsalud.gob.cl"/>
    <x v="7"/>
    <d v="2025-08-20T00:00:00"/>
    <n v="1"/>
    <s v="1057532-5742-SE25"/>
    <n v="1"/>
    <n v="849333"/>
    <d v="2026-11-01T00:00:00"/>
    <x v="0"/>
    <x v="0"/>
  </r>
  <r>
    <s v="SERVICIO DE SALUD OSORNO"/>
    <s v="Bienes y Servicios"/>
    <x v="50"/>
    <s v="Proyecto operacional"/>
    <s v="Publicado"/>
    <s v="22.04.003.001"/>
    <x v="51"/>
    <s v="Servicio de oxigenoterapia domiciliaria para personas beneficiarias de ley 21.375 ingresadas al Programa CPU APS. Convenio a ejecutar por 15 meses, a partir del 23 de octubre 2025 al 31 diciembre 2026."/>
    <n v="1"/>
    <s v="Convenio Oxigeno"/>
    <n v="4"/>
    <n v="1"/>
    <n v="12740000"/>
    <n v="849338"/>
    <x v="13"/>
    <x v="23"/>
    <x v="34"/>
    <x v="37"/>
    <s v="64-2565809-"/>
    <s v="maria.jaramillov@redsalud.gob.cl"/>
    <x v="7"/>
    <d v="2025-08-20T00:00:00"/>
    <n v="1"/>
    <s v="1057532-5742-SE25"/>
    <n v="1"/>
    <n v="849338"/>
    <d v="2026-12-01T00:00:00"/>
    <x v="0"/>
    <x v="0"/>
  </r>
  <r>
    <s v="SERVICIO DE SALUD OSORNO"/>
    <s v="Bienes y Servicios"/>
    <x v="51"/>
    <s v="Proyecto operacional"/>
    <s v="Publicado"/>
    <s v="22.03.003"/>
    <x v="52"/>
    <s v="Adquisición Combustible calefacción para dispositivos del Servicio de Salud Osorno , desde mes Enero a Diciembre año 2026"/>
    <n v="1"/>
    <s v="Combustible"/>
    <n v="4"/>
    <n v="1"/>
    <n v="40000000"/>
    <n v="3333333"/>
    <x v="11"/>
    <x v="20"/>
    <x v="35"/>
    <x v="38"/>
    <s v="64-2565660-"/>
    <s v="pablo.oyarzo@redsalud.gob.cl"/>
    <x v="7"/>
    <d v="2025-08-20T00:00:00"/>
    <n v="0"/>
    <m/>
    <n v="1"/>
    <n v="3333333"/>
    <d v="2026-02-01T00:00:00"/>
    <x v="0"/>
    <x v="0"/>
  </r>
  <r>
    <s v="SERVICIO DE SALUD OSORNO"/>
    <s v="Bienes y Servicios"/>
    <x v="51"/>
    <s v="Proyecto operacional"/>
    <s v="Publicado"/>
    <s v="22.03.003"/>
    <x v="52"/>
    <s v="Adquisición Combustible calefacción para dispositivos del Servicio de Salud Osorno , desde mes Enero a Diciembre año 2026"/>
    <n v="1"/>
    <s v="Combustible"/>
    <n v="4"/>
    <n v="1"/>
    <n v="40000000"/>
    <n v="3333337"/>
    <x v="11"/>
    <x v="20"/>
    <x v="35"/>
    <x v="38"/>
    <s v="64-2565660-"/>
    <s v="pablo.oyarzo@redsalud.gob.cl"/>
    <x v="7"/>
    <d v="2025-08-20T00:00:00"/>
    <n v="0"/>
    <m/>
    <n v="1"/>
    <n v="3333337"/>
    <d v="2026-12-01T00:00:00"/>
    <x v="0"/>
    <x v="0"/>
  </r>
  <r>
    <s v="SERVICIO DE SALUD OSORNO"/>
    <s v="Bienes y Servicios"/>
    <x v="51"/>
    <s v="Proyecto operacional"/>
    <s v="Publicado"/>
    <s v="22.03.003"/>
    <x v="52"/>
    <s v="Adquisición Combustible calefacción para dispositivos del Servicio de Salud Osorno , desde mes Enero a Diciembre año 2026"/>
    <n v="1"/>
    <s v="Combustible"/>
    <n v="4"/>
    <n v="1"/>
    <n v="40000000"/>
    <n v="3333333"/>
    <x v="11"/>
    <x v="20"/>
    <x v="35"/>
    <x v="38"/>
    <s v="64-2565660-"/>
    <s v="pablo.oyarzo@redsalud.gob.cl"/>
    <x v="7"/>
    <d v="2025-08-20T00:00:00"/>
    <n v="0"/>
    <m/>
    <n v="1"/>
    <n v="3333333"/>
    <d v="2026-05-01T00:00:00"/>
    <x v="0"/>
    <x v="0"/>
  </r>
  <r>
    <s v="SERVICIO DE SALUD OSORNO"/>
    <s v="Bienes y Servicios"/>
    <x v="51"/>
    <s v="Proyecto operacional"/>
    <s v="Publicado"/>
    <s v="22.03.003"/>
    <x v="52"/>
    <s v="Adquisición Combustible calefacción para dispositivos del Servicio de Salud Osorno , desde mes Enero a Diciembre año 2026"/>
    <n v="1"/>
    <s v="Combustible"/>
    <n v="4"/>
    <n v="1"/>
    <n v="40000000"/>
    <n v="3333333"/>
    <x v="11"/>
    <x v="20"/>
    <x v="35"/>
    <x v="38"/>
    <s v="64-2565660-"/>
    <s v="pablo.oyarzo@redsalud.gob.cl"/>
    <x v="7"/>
    <d v="2025-08-20T00:00:00"/>
    <n v="0"/>
    <m/>
    <n v="1"/>
    <n v="3333333"/>
    <d v="2026-04-01T00:00:00"/>
    <x v="0"/>
    <x v="0"/>
  </r>
  <r>
    <s v="SERVICIO DE SALUD OSORNO"/>
    <s v="Bienes y Servicios"/>
    <x v="51"/>
    <s v="Proyecto operacional"/>
    <s v="Publicado"/>
    <s v="22.03.003"/>
    <x v="52"/>
    <s v="Adquisición Combustible calefacción para dispositivos del Servicio de Salud Osorno , desde mes Enero a Diciembre año 2026"/>
    <n v="1"/>
    <s v="Combustible"/>
    <n v="4"/>
    <n v="1"/>
    <n v="40000000"/>
    <n v="3333333"/>
    <x v="11"/>
    <x v="20"/>
    <x v="35"/>
    <x v="38"/>
    <s v="64-2565660-"/>
    <s v="pablo.oyarzo@redsalud.gob.cl"/>
    <x v="7"/>
    <d v="2025-08-20T00:00:00"/>
    <n v="0"/>
    <m/>
    <n v="1"/>
    <n v="3333333"/>
    <d v="2026-11-01T00:00:00"/>
    <x v="0"/>
    <x v="0"/>
  </r>
  <r>
    <s v="SERVICIO DE SALUD OSORNO"/>
    <s v="Bienes y Servicios"/>
    <x v="51"/>
    <s v="Proyecto operacional"/>
    <s v="Publicado"/>
    <s v="22.03.003"/>
    <x v="52"/>
    <s v="Adquisición Combustible calefacción para dispositivos del Servicio de Salud Osorno , desde mes Enero a Diciembre año 2026"/>
    <n v="1"/>
    <s v="Combustible"/>
    <n v="4"/>
    <n v="1"/>
    <n v="40000000"/>
    <n v="3333333"/>
    <x v="11"/>
    <x v="20"/>
    <x v="35"/>
    <x v="38"/>
    <s v="64-2565660-"/>
    <s v="pablo.oyarzo@redsalud.gob.cl"/>
    <x v="7"/>
    <d v="2025-08-20T00:00:00"/>
    <n v="0"/>
    <m/>
    <n v="1"/>
    <n v="3333333"/>
    <d v="2026-01-01T00:00:00"/>
    <x v="0"/>
    <x v="0"/>
  </r>
  <r>
    <s v="SERVICIO DE SALUD OSORNO"/>
    <s v="Bienes y Servicios"/>
    <x v="51"/>
    <s v="Proyecto operacional"/>
    <s v="Publicado"/>
    <s v="22.03.003"/>
    <x v="52"/>
    <s v="Adquisición Combustible calefacción para dispositivos del Servicio de Salud Osorno , desde mes Enero a Diciembre año 2026"/>
    <n v="1"/>
    <s v="Combustible"/>
    <n v="4"/>
    <n v="1"/>
    <n v="40000000"/>
    <n v="3333333"/>
    <x v="11"/>
    <x v="20"/>
    <x v="35"/>
    <x v="38"/>
    <s v="64-2565660-"/>
    <s v="pablo.oyarzo@redsalud.gob.cl"/>
    <x v="7"/>
    <d v="2025-08-20T00:00:00"/>
    <n v="0"/>
    <m/>
    <n v="1"/>
    <n v="3333333"/>
    <d v="2026-07-01T00:00:00"/>
    <x v="0"/>
    <x v="0"/>
  </r>
  <r>
    <s v="SERVICIO DE SALUD OSORNO"/>
    <s v="Bienes y Servicios"/>
    <x v="51"/>
    <s v="Proyecto operacional"/>
    <s v="Publicado"/>
    <s v="22.03.003"/>
    <x v="52"/>
    <s v="Adquisición Combustible calefacción para dispositivos del Servicio de Salud Osorno , desde mes Enero a Diciembre año 2026"/>
    <n v="1"/>
    <s v="Combustible"/>
    <n v="4"/>
    <n v="1"/>
    <n v="40000000"/>
    <n v="3333333"/>
    <x v="11"/>
    <x v="20"/>
    <x v="35"/>
    <x v="38"/>
    <s v="64-2565660-"/>
    <s v="pablo.oyarzo@redsalud.gob.cl"/>
    <x v="7"/>
    <d v="2025-08-20T00:00:00"/>
    <n v="0"/>
    <m/>
    <n v="1"/>
    <n v="3333333"/>
    <d v="2026-06-01T00:00:00"/>
    <x v="0"/>
    <x v="0"/>
  </r>
  <r>
    <s v="SERVICIO DE SALUD OSORNO"/>
    <s v="Bienes y Servicios"/>
    <x v="51"/>
    <s v="Proyecto operacional"/>
    <s v="Publicado"/>
    <s v="22.03.003"/>
    <x v="52"/>
    <s v="Adquisición Combustible calefacción para dispositivos del Servicio de Salud Osorno , desde mes Enero a Diciembre año 2026"/>
    <n v="1"/>
    <s v="Combustible"/>
    <n v="4"/>
    <n v="1"/>
    <n v="40000000"/>
    <n v="3333333"/>
    <x v="11"/>
    <x v="20"/>
    <x v="35"/>
    <x v="38"/>
    <s v="64-2565660-"/>
    <s v="pablo.oyarzo@redsalud.gob.cl"/>
    <x v="7"/>
    <d v="2025-08-20T00:00:00"/>
    <n v="0"/>
    <m/>
    <n v="1"/>
    <n v="3333333"/>
    <d v="2026-08-01T00:00:00"/>
    <x v="0"/>
    <x v="0"/>
  </r>
  <r>
    <s v="SERVICIO DE SALUD OSORNO"/>
    <s v="Bienes y Servicios"/>
    <x v="51"/>
    <s v="Proyecto operacional"/>
    <s v="Publicado"/>
    <s v="22.03.003"/>
    <x v="52"/>
    <s v="Adquisición Combustible calefacción para dispositivos del Servicio de Salud Osorno , desde mes Enero a Diciembre año 2026"/>
    <n v="1"/>
    <s v="Combustible"/>
    <n v="4"/>
    <n v="1"/>
    <n v="40000000"/>
    <n v="3333333"/>
    <x v="11"/>
    <x v="20"/>
    <x v="35"/>
    <x v="38"/>
    <s v="64-2565660-"/>
    <s v="pablo.oyarzo@redsalud.gob.cl"/>
    <x v="7"/>
    <d v="2025-08-20T00:00:00"/>
    <n v="0"/>
    <m/>
    <n v="1"/>
    <n v="3333333"/>
    <d v="2026-03-01T00:00:00"/>
    <x v="0"/>
    <x v="0"/>
  </r>
  <r>
    <s v="SERVICIO DE SALUD OSORNO"/>
    <s v="Bienes y Servicios"/>
    <x v="51"/>
    <s v="Proyecto operacional"/>
    <s v="Publicado"/>
    <s v="22.03.003"/>
    <x v="52"/>
    <s v="Adquisición Combustible calefacción para dispositivos del Servicio de Salud Osorno , desde mes Enero a Diciembre año 2026"/>
    <n v="1"/>
    <s v="Combustible"/>
    <n v="4"/>
    <n v="1"/>
    <n v="40000000"/>
    <n v="3333333"/>
    <x v="11"/>
    <x v="20"/>
    <x v="35"/>
    <x v="38"/>
    <s v="64-2565660-"/>
    <s v="pablo.oyarzo@redsalud.gob.cl"/>
    <x v="7"/>
    <d v="2025-08-20T00:00:00"/>
    <n v="0"/>
    <m/>
    <n v="1"/>
    <n v="3333333"/>
    <d v="2026-09-01T00:00:00"/>
    <x v="0"/>
    <x v="0"/>
  </r>
  <r>
    <s v="SERVICIO DE SALUD OSORNO"/>
    <s v="Bienes y Servicios"/>
    <x v="51"/>
    <s v="Proyecto operacional"/>
    <s v="Publicado"/>
    <s v="22.03.003"/>
    <x v="52"/>
    <s v="Adquisición Combustible calefacción para dispositivos del Servicio de Salud Osorno , desde mes Enero a Diciembre año 2026"/>
    <n v="1"/>
    <s v="Combustible"/>
    <n v="4"/>
    <n v="1"/>
    <n v="40000000"/>
    <n v="3333333"/>
    <x v="11"/>
    <x v="20"/>
    <x v="35"/>
    <x v="38"/>
    <s v="64-2565660-"/>
    <s v="pablo.oyarzo@redsalud.gob.cl"/>
    <x v="7"/>
    <d v="2025-08-20T00:00:00"/>
    <n v="0"/>
    <m/>
    <n v="1"/>
    <n v="3333333"/>
    <d v="2026-10-01T00:00:00"/>
    <x v="0"/>
    <x v="0"/>
  </r>
  <r>
    <s v="SERVICIO DE SALUD OSORNO"/>
    <s v="Bienes y Servicios"/>
    <x v="52"/>
    <s v="Proyecto operacional"/>
    <s v="Publicado"/>
    <s v="22.04.007.002"/>
    <x v="53"/>
    <s v="CONVENIO DE ENERO A DICIEMBRE DEL AÑO 2026 ( Formulario enviado)"/>
    <n v="1"/>
    <s v="Convenio"/>
    <n v="4"/>
    <n v="1"/>
    <n v="80000000"/>
    <n v="6666666"/>
    <x v="11"/>
    <x v="20"/>
    <x v="35"/>
    <x v="38"/>
    <s v="64-2565660-"/>
    <s v="pablo.oyarzo@redsalud.gob.cl"/>
    <x v="7"/>
    <d v="2025-08-20T00:00:00"/>
    <n v="0"/>
    <m/>
    <n v="1"/>
    <n v="6666666"/>
    <d v="2026-01-01T00:00:00"/>
    <x v="0"/>
    <x v="0"/>
  </r>
  <r>
    <s v="SERVICIO DE SALUD OSORNO"/>
    <s v="Bienes y Servicios"/>
    <x v="52"/>
    <s v="Proyecto operacional"/>
    <s v="Publicado"/>
    <s v="22.04.007.002"/>
    <x v="53"/>
    <s v="CONVENIO DE ENERO A DICIEMBRE DEL AÑO 2026 ( Formulario enviado)"/>
    <n v="1"/>
    <s v="Convenio"/>
    <n v="4"/>
    <n v="1"/>
    <n v="80000000"/>
    <n v="6666674"/>
    <x v="11"/>
    <x v="20"/>
    <x v="35"/>
    <x v="38"/>
    <s v="64-2565660-"/>
    <s v="pablo.oyarzo@redsalud.gob.cl"/>
    <x v="7"/>
    <d v="2025-08-20T00:00:00"/>
    <n v="0"/>
    <m/>
    <n v="1"/>
    <n v="6666674"/>
    <d v="2026-12-01T00:00:00"/>
    <x v="0"/>
    <x v="0"/>
  </r>
  <r>
    <s v="SERVICIO DE SALUD OSORNO"/>
    <s v="Bienes y Servicios"/>
    <x v="52"/>
    <s v="Proyecto operacional"/>
    <s v="Publicado"/>
    <s v="22.04.007.002"/>
    <x v="53"/>
    <s v="CONVENIO DE ENERO A DICIEMBRE DEL AÑO 2026 ( Formulario enviado)"/>
    <n v="1"/>
    <s v="Convenio"/>
    <n v="4"/>
    <n v="1"/>
    <n v="80000000"/>
    <n v="6666666"/>
    <x v="11"/>
    <x v="20"/>
    <x v="35"/>
    <x v="38"/>
    <s v="64-2565660-"/>
    <s v="pablo.oyarzo@redsalud.gob.cl"/>
    <x v="7"/>
    <d v="2025-08-20T00:00:00"/>
    <n v="0"/>
    <m/>
    <n v="1"/>
    <n v="6666666"/>
    <d v="2026-05-01T00:00:00"/>
    <x v="0"/>
    <x v="0"/>
  </r>
  <r>
    <s v="SERVICIO DE SALUD OSORNO"/>
    <s v="Bienes y Servicios"/>
    <x v="52"/>
    <s v="Proyecto operacional"/>
    <s v="Publicado"/>
    <s v="22.04.007.002"/>
    <x v="53"/>
    <s v="CONVENIO DE ENERO A DICIEMBRE DEL AÑO 2026 ( Formulario enviado)"/>
    <n v="1"/>
    <s v="Convenio"/>
    <n v="4"/>
    <n v="1"/>
    <n v="80000000"/>
    <n v="6666666"/>
    <x v="11"/>
    <x v="20"/>
    <x v="35"/>
    <x v="38"/>
    <s v="64-2565660-"/>
    <s v="pablo.oyarzo@redsalud.gob.cl"/>
    <x v="7"/>
    <d v="2025-08-20T00:00:00"/>
    <n v="0"/>
    <m/>
    <n v="1"/>
    <n v="6666666"/>
    <d v="2026-03-01T00:00:00"/>
    <x v="0"/>
    <x v="0"/>
  </r>
  <r>
    <s v="SERVICIO DE SALUD OSORNO"/>
    <s v="Bienes y Servicios"/>
    <x v="52"/>
    <s v="Proyecto operacional"/>
    <s v="Publicado"/>
    <s v="22.04.007.002"/>
    <x v="53"/>
    <s v="CONVENIO DE ENERO A DICIEMBRE DEL AÑO 2026 ( Formulario enviado)"/>
    <n v="1"/>
    <s v="Convenio"/>
    <n v="4"/>
    <n v="1"/>
    <n v="80000000"/>
    <n v="6666666"/>
    <x v="11"/>
    <x v="20"/>
    <x v="35"/>
    <x v="38"/>
    <s v="64-2565660-"/>
    <s v="pablo.oyarzo@redsalud.gob.cl"/>
    <x v="7"/>
    <d v="2025-08-20T00:00:00"/>
    <n v="0"/>
    <m/>
    <n v="1"/>
    <n v="6666666"/>
    <d v="2026-08-01T00:00:00"/>
    <x v="0"/>
    <x v="0"/>
  </r>
  <r>
    <s v="SERVICIO DE SALUD OSORNO"/>
    <s v="Bienes y Servicios"/>
    <x v="52"/>
    <s v="Proyecto operacional"/>
    <s v="Publicado"/>
    <s v="22.04.007.002"/>
    <x v="53"/>
    <s v="CONVENIO DE ENERO A DICIEMBRE DEL AÑO 2026 ( Formulario enviado)"/>
    <n v="1"/>
    <s v="Convenio"/>
    <n v="4"/>
    <n v="1"/>
    <n v="80000000"/>
    <n v="6666666"/>
    <x v="11"/>
    <x v="20"/>
    <x v="35"/>
    <x v="38"/>
    <s v="64-2565660-"/>
    <s v="pablo.oyarzo@redsalud.gob.cl"/>
    <x v="7"/>
    <d v="2025-08-20T00:00:00"/>
    <n v="0"/>
    <m/>
    <n v="1"/>
    <n v="6666666"/>
    <d v="2026-02-01T00:00:00"/>
    <x v="0"/>
    <x v="0"/>
  </r>
  <r>
    <s v="SERVICIO DE SALUD OSORNO"/>
    <s v="Bienes y Servicios"/>
    <x v="52"/>
    <s v="Proyecto operacional"/>
    <s v="Publicado"/>
    <s v="22.04.007.002"/>
    <x v="53"/>
    <s v="CONVENIO DE ENERO A DICIEMBRE DEL AÑO 2026 ( Formulario enviado)"/>
    <n v="1"/>
    <s v="Convenio"/>
    <n v="4"/>
    <n v="1"/>
    <n v="80000000"/>
    <n v="6666666"/>
    <x v="11"/>
    <x v="20"/>
    <x v="35"/>
    <x v="38"/>
    <s v="64-2565660-"/>
    <s v="pablo.oyarzo@redsalud.gob.cl"/>
    <x v="7"/>
    <d v="2025-08-20T00:00:00"/>
    <n v="0"/>
    <m/>
    <n v="1"/>
    <n v="6666666"/>
    <d v="2026-11-01T00:00:00"/>
    <x v="0"/>
    <x v="0"/>
  </r>
  <r>
    <s v="SERVICIO DE SALUD OSORNO"/>
    <s v="Bienes y Servicios"/>
    <x v="52"/>
    <s v="Proyecto operacional"/>
    <s v="Publicado"/>
    <s v="22.04.007.002"/>
    <x v="53"/>
    <s v="CONVENIO DE ENERO A DICIEMBRE DEL AÑO 2026 ( Formulario enviado)"/>
    <n v="1"/>
    <s v="Convenio"/>
    <n v="4"/>
    <n v="1"/>
    <n v="80000000"/>
    <n v="6666666"/>
    <x v="11"/>
    <x v="20"/>
    <x v="35"/>
    <x v="38"/>
    <s v="64-2565660-"/>
    <s v="pablo.oyarzo@redsalud.gob.cl"/>
    <x v="7"/>
    <d v="2025-08-20T00:00:00"/>
    <n v="0"/>
    <m/>
    <n v="1"/>
    <n v="6666666"/>
    <d v="2026-06-01T00:00:00"/>
    <x v="0"/>
    <x v="0"/>
  </r>
  <r>
    <s v="SERVICIO DE SALUD OSORNO"/>
    <s v="Bienes y Servicios"/>
    <x v="52"/>
    <s v="Proyecto operacional"/>
    <s v="Publicado"/>
    <s v="22.04.007.002"/>
    <x v="53"/>
    <s v="CONVENIO DE ENERO A DICIEMBRE DEL AÑO 2026 ( Formulario enviado)"/>
    <n v="1"/>
    <s v="Convenio"/>
    <n v="4"/>
    <n v="1"/>
    <n v="80000000"/>
    <n v="6666666"/>
    <x v="11"/>
    <x v="20"/>
    <x v="35"/>
    <x v="38"/>
    <s v="64-2565660-"/>
    <s v="pablo.oyarzo@redsalud.gob.cl"/>
    <x v="7"/>
    <d v="2025-08-20T00:00:00"/>
    <n v="0"/>
    <m/>
    <n v="1"/>
    <n v="6666666"/>
    <d v="2026-04-01T00:00:00"/>
    <x v="0"/>
    <x v="0"/>
  </r>
  <r>
    <s v="SERVICIO DE SALUD OSORNO"/>
    <s v="Bienes y Servicios"/>
    <x v="52"/>
    <s v="Proyecto operacional"/>
    <s v="Publicado"/>
    <s v="22.04.007.002"/>
    <x v="53"/>
    <s v="CONVENIO DE ENERO A DICIEMBRE DEL AÑO 2026 ( Formulario enviado)"/>
    <n v="1"/>
    <s v="Convenio"/>
    <n v="4"/>
    <n v="1"/>
    <n v="80000000"/>
    <n v="6666666"/>
    <x v="11"/>
    <x v="20"/>
    <x v="35"/>
    <x v="38"/>
    <s v="64-2565660-"/>
    <s v="pablo.oyarzo@redsalud.gob.cl"/>
    <x v="7"/>
    <d v="2025-08-20T00:00:00"/>
    <n v="0"/>
    <m/>
    <n v="1"/>
    <n v="6666666"/>
    <d v="2026-07-01T00:00:00"/>
    <x v="0"/>
    <x v="0"/>
  </r>
  <r>
    <s v="SERVICIO DE SALUD OSORNO"/>
    <s v="Bienes y Servicios"/>
    <x v="52"/>
    <s v="Proyecto operacional"/>
    <s v="Publicado"/>
    <s v="22.04.007.002"/>
    <x v="53"/>
    <s v="CONVENIO DE ENERO A DICIEMBRE DEL AÑO 2026 ( Formulario enviado)"/>
    <n v="1"/>
    <s v="Convenio"/>
    <n v="4"/>
    <n v="1"/>
    <n v="80000000"/>
    <n v="6666666"/>
    <x v="11"/>
    <x v="20"/>
    <x v="35"/>
    <x v="38"/>
    <s v="64-2565660-"/>
    <s v="pablo.oyarzo@redsalud.gob.cl"/>
    <x v="7"/>
    <d v="2025-08-20T00:00:00"/>
    <n v="0"/>
    <m/>
    <n v="1"/>
    <n v="6666666"/>
    <d v="2026-10-01T00:00:00"/>
    <x v="0"/>
    <x v="0"/>
  </r>
  <r>
    <s v="SERVICIO DE SALUD OSORNO"/>
    <s v="Bienes y Servicios"/>
    <x v="52"/>
    <s v="Proyecto operacional"/>
    <s v="Publicado"/>
    <s v="22.04.007.002"/>
    <x v="53"/>
    <s v="CONVENIO DE ENERO A DICIEMBRE DEL AÑO 2026 ( Formulario enviado)"/>
    <n v="1"/>
    <s v="Convenio"/>
    <n v="4"/>
    <n v="1"/>
    <n v="80000000"/>
    <n v="6666666"/>
    <x v="11"/>
    <x v="20"/>
    <x v="35"/>
    <x v="38"/>
    <s v="64-2565660-"/>
    <s v="pablo.oyarzo@redsalud.gob.cl"/>
    <x v="7"/>
    <d v="2025-08-20T00:00:00"/>
    <n v="0"/>
    <m/>
    <n v="1"/>
    <n v="6666666"/>
    <d v="2026-09-01T00:00:00"/>
    <x v="0"/>
    <x v="0"/>
  </r>
  <r>
    <s v="SERVICIO DE SALUD OSORNO"/>
    <s v="Bienes y Servicios"/>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n v="1"/>
    <s v="Convenios Seguros"/>
    <n v="4"/>
    <n v="40"/>
    <n v="2000000"/>
    <n v="3333333"/>
    <x v="1"/>
    <x v="14"/>
    <x v="1"/>
    <x v="39"/>
    <s v="64-2565654-"/>
    <s v="felipe.salvob@redsalud.gob.cl"/>
    <x v="7"/>
    <d v="2025-08-20T00:00:00"/>
    <n v="0"/>
    <m/>
    <n v="1"/>
    <n v="3333333"/>
    <d v="2026-03-01T00:00:00"/>
    <x v="0"/>
    <x v="0"/>
  </r>
  <r>
    <s v="SERVICIO DE SALUD OSORNO"/>
    <s v="Bienes y Servicios"/>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n v="1"/>
    <s v="Convenios Seguros"/>
    <n v="4"/>
    <n v="40"/>
    <n v="2000000"/>
    <n v="3333333"/>
    <x v="1"/>
    <x v="14"/>
    <x v="1"/>
    <x v="39"/>
    <s v="64-2565654-"/>
    <s v="felipe.salvob@redsalud.gob.cl"/>
    <x v="7"/>
    <d v="2025-08-20T00:00:00"/>
    <n v="0"/>
    <m/>
    <n v="1"/>
    <n v="3333333"/>
    <d v="2026-01-01T00:00:00"/>
    <x v="0"/>
    <x v="0"/>
  </r>
  <r>
    <s v="SERVICIO DE SALUD OSORNO"/>
    <s v="Bienes y Servicios"/>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n v="1"/>
    <s v="Convenios Seguros"/>
    <n v="4"/>
    <n v="40"/>
    <n v="2000000"/>
    <n v="3333333"/>
    <x v="1"/>
    <x v="14"/>
    <x v="1"/>
    <x v="39"/>
    <s v="64-2565654-"/>
    <s v="felipe.salvob@redsalud.gob.cl"/>
    <x v="7"/>
    <d v="2025-08-20T00:00:00"/>
    <n v="0"/>
    <m/>
    <n v="1"/>
    <n v="3333333"/>
    <d v="2026-06-01T00:00:00"/>
    <x v="0"/>
    <x v="0"/>
  </r>
  <r>
    <s v="SERVICIO DE SALUD OSORNO"/>
    <s v="Bienes y Servicios"/>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n v="1"/>
    <s v="Convenios Seguros"/>
    <n v="4"/>
    <n v="40"/>
    <n v="2000000"/>
    <n v="3333333"/>
    <x v="1"/>
    <x v="14"/>
    <x v="1"/>
    <x v="39"/>
    <s v="64-2565654-"/>
    <s v="felipe.salvob@redsalud.gob.cl"/>
    <x v="7"/>
    <d v="2025-08-20T00:00:00"/>
    <n v="0"/>
    <m/>
    <n v="1"/>
    <n v="3333333"/>
    <d v="2026-05-01T00:00:00"/>
    <x v="0"/>
    <x v="0"/>
  </r>
  <r>
    <s v="SERVICIO DE SALUD OSORNO"/>
    <s v="Bienes y Servicios"/>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n v="1"/>
    <s v="Convenios Seguros"/>
    <n v="4"/>
    <n v="40"/>
    <n v="2000000"/>
    <n v="3333333"/>
    <x v="1"/>
    <x v="14"/>
    <x v="1"/>
    <x v="39"/>
    <s v="64-2565654-"/>
    <s v="felipe.salvob@redsalud.gob.cl"/>
    <x v="7"/>
    <d v="2025-08-20T00:00:00"/>
    <n v="0"/>
    <m/>
    <n v="1"/>
    <n v="3333333"/>
    <d v="2026-12-01T00:00:00"/>
    <x v="0"/>
    <x v="0"/>
  </r>
  <r>
    <s v="SERVICIO DE SALUD OSORNO"/>
    <s v="Bienes y Servicios"/>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n v="1"/>
    <s v="Convenios Seguros"/>
    <n v="4"/>
    <n v="40"/>
    <n v="2000000"/>
    <n v="3333333"/>
    <x v="1"/>
    <x v="14"/>
    <x v="1"/>
    <x v="39"/>
    <s v="64-2565654-"/>
    <s v="felipe.salvob@redsalud.gob.cl"/>
    <x v="7"/>
    <d v="2025-08-20T00:00:00"/>
    <n v="0"/>
    <m/>
    <n v="1"/>
    <n v="3333333"/>
    <d v="2026-02-01T00:00:00"/>
    <x v="0"/>
    <x v="0"/>
  </r>
  <r>
    <s v="SERVICIO DE SALUD OSORNO"/>
    <s v="Bienes y Servicios"/>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n v="1"/>
    <s v="Convenios Seguros"/>
    <n v="4"/>
    <n v="40"/>
    <n v="2000000"/>
    <n v="3333333"/>
    <x v="1"/>
    <x v="14"/>
    <x v="1"/>
    <x v="39"/>
    <s v="64-2565654-"/>
    <s v="felipe.salvob@redsalud.gob.cl"/>
    <x v="7"/>
    <d v="2025-08-20T00:00:00"/>
    <n v="0"/>
    <m/>
    <n v="1"/>
    <n v="3333333"/>
    <d v="2026-07-01T00:00:00"/>
    <x v="0"/>
    <x v="0"/>
  </r>
  <r>
    <s v="SERVICIO DE SALUD OSORNO"/>
    <s v="Bienes y Servicios"/>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n v="1"/>
    <s v="Convenios Seguros"/>
    <n v="4"/>
    <n v="40"/>
    <n v="2000000"/>
    <n v="3333333"/>
    <x v="1"/>
    <x v="14"/>
    <x v="1"/>
    <x v="39"/>
    <s v="64-2565654-"/>
    <s v="felipe.salvob@redsalud.gob.cl"/>
    <x v="7"/>
    <d v="2025-08-20T00:00:00"/>
    <n v="0"/>
    <m/>
    <n v="1"/>
    <n v="3333333"/>
    <d v="2026-11-01T00:00:00"/>
    <x v="0"/>
    <x v="0"/>
  </r>
  <r>
    <s v="SERVICIO DE SALUD OSORNO"/>
    <s v="Bienes y Servicios"/>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n v="1"/>
    <s v="Convenios Seguros"/>
    <n v="4"/>
    <n v="40"/>
    <n v="2000000"/>
    <n v="3333333"/>
    <x v="1"/>
    <x v="14"/>
    <x v="1"/>
    <x v="39"/>
    <s v="64-2565654-"/>
    <s v="felipe.salvob@redsalud.gob.cl"/>
    <x v="7"/>
    <d v="2025-08-20T00:00:00"/>
    <n v="0"/>
    <m/>
    <n v="1"/>
    <n v="3333333"/>
    <d v="2026-04-01T00:00:00"/>
    <x v="0"/>
    <x v="0"/>
  </r>
  <r>
    <s v="SERVICIO DE SALUD OSORNO"/>
    <s v="Bienes y Servicios"/>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n v="1"/>
    <s v="Convenios Seguros"/>
    <n v="4"/>
    <n v="40"/>
    <n v="2000000"/>
    <n v="3333333"/>
    <x v="1"/>
    <x v="14"/>
    <x v="1"/>
    <x v="39"/>
    <s v="64-2565654-"/>
    <s v="felipe.salvob@redsalud.gob.cl"/>
    <x v="7"/>
    <d v="2025-08-20T00:00:00"/>
    <n v="0"/>
    <m/>
    <n v="1"/>
    <n v="3333333"/>
    <d v="2026-08-01T00:00:00"/>
    <x v="0"/>
    <x v="0"/>
  </r>
  <r>
    <s v="SERVICIO DE SALUD OSORNO"/>
    <s v="Bienes y Servicios"/>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n v="1"/>
    <s v="Convenios Seguros"/>
    <n v="4"/>
    <n v="40"/>
    <n v="2000000"/>
    <n v="3333333"/>
    <x v="1"/>
    <x v="14"/>
    <x v="1"/>
    <x v="39"/>
    <s v="64-2565654-"/>
    <s v="felipe.salvob@redsalud.gob.cl"/>
    <x v="7"/>
    <d v="2025-08-20T00:00:00"/>
    <n v="0"/>
    <m/>
    <n v="1"/>
    <n v="3333333"/>
    <d v="2026-09-01T00:00:00"/>
    <x v="0"/>
    <x v="0"/>
  </r>
  <r>
    <s v="SERVICIO DE SALUD OSORNO"/>
    <s v="Bienes y Servicios"/>
    <x v="53"/>
    <s v="Proyecto operacional"/>
    <s v="Publicado"/>
    <s v="22..10.002"/>
    <x v="54"/>
    <s v="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
    <n v="1"/>
    <s v="Convenios Seguros"/>
    <n v="4"/>
    <n v="40"/>
    <n v="2000000"/>
    <n v="3333333"/>
    <x v="1"/>
    <x v="14"/>
    <x v="1"/>
    <x v="39"/>
    <s v="64-2565654-"/>
    <s v="felipe.salvob@redsalud.gob.cl"/>
    <x v="7"/>
    <d v="2025-08-20T00:00:00"/>
    <n v="0"/>
    <m/>
    <n v="1"/>
    <n v="3333333"/>
    <d v="2026-10-01T00:00:00"/>
    <x v="0"/>
    <x v="0"/>
  </r>
  <r>
    <s v="SERVICIO DE SALUD OSORNO"/>
    <s v="Administración de Fondos"/>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n v="1"/>
    <s v="Convenio"/>
    <n v="4"/>
    <n v="1"/>
    <n v="33600000"/>
    <n v="2800000"/>
    <x v="11"/>
    <x v="18"/>
    <x v="24"/>
    <x v="26"/>
    <s v="64-2565810-"/>
    <s v="consuelo.cordova@redsalud.gob.cl"/>
    <x v="7"/>
    <d v="2025-08-20T00:00:00"/>
    <n v="0"/>
    <m/>
    <n v="1"/>
    <n v="2800000"/>
    <d v="2026-07-01T00:00:00"/>
    <x v="0"/>
    <x v="0"/>
  </r>
  <r>
    <s v="SERVICIO DE SALUD OSORNO"/>
    <s v="Administración de Fondos"/>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n v="1"/>
    <s v="Convenio"/>
    <n v="4"/>
    <n v="1"/>
    <n v="33600000"/>
    <n v="2800000"/>
    <x v="11"/>
    <x v="18"/>
    <x v="24"/>
    <x v="26"/>
    <s v="64-2565810-"/>
    <s v="consuelo.cordova@redsalud.gob.cl"/>
    <x v="7"/>
    <d v="2025-08-20T00:00:00"/>
    <n v="0"/>
    <m/>
    <n v="1"/>
    <n v="2800000"/>
    <d v="2026-04-01T00:00:00"/>
    <x v="0"/>
    <x v="0"/>
  </r>
  <r>
    <s v="SERVICIO DE SALUD OSORNO"/>
    <s v="Administración de Fondos"/>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n v="1"/>
    <s v="Convenio"/>
    <n v="4"/>
    <n v="1"/>
    <n v="33600000"/>
    <n v="2800000"/>
    <x v="11"/>
    <x v="18"/>
    <x v="24"/>
    <x v="26"/>
    <s v="64-2565810-"/>
    <s v="consuelo.cordova@redsalud.gob.cl"/>
    <x v="7"/>
    <d v="2025-08-20T00:00:00"/>
    <n v="0"/>
    <m/>
    <n v="1"/>
    <n v="2800000"/>
    <d v="2026-02-01T00:00:00"/>
    <x v="0"/>
    <x v="0"/>
  </r>
  <r>
    <s v="SERVICIO DE SALUD OSORNO"/>
    <s v="Administración de Fondos"/>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n v="1"/>
    <s v="Convenio"/>
    <n v="4"/>
    <n v="1"/>
    <n v="33600000"/>
    <n v="2800000"/>
    <x v="11"/>
    <x v="18"/>
    <x v="24"/>
    <x v="26"/>
    <s v="64-2565810-"/>
    <s v="consuelo.cordova@redsalud.gob.cl"/>
    <x v="7"/>
    <d v="2025-08-20T00:00:00"/>
    <n v="0"/>
    <m/>
    <n v="1"/>
    <n v="2800000"/>
    <d v="2026-10-01T00:00:00"/>
    <x v="0"/>
    <x v="0"/>
  </r>
  <r>
    <s v="SERVICIO DE SALUD OSORNO"/>
    <s v="Administración de Fondos"/>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n v="1"/>
    <s v="Convenio"/>
    <n v="4"/>
    <n v="1"/>
    <n v="33600000"/>
    <n v="2800000"/>
    <x v="11"/>
    <x v="18"/>
    <x v="24"/>
    <x v="26"/>
    <s v="64-2565810-"/>
    <s v="consuelo.cordova@redsalud.gob.cl"/>
    <x v="7"/>
    <d v="2025-08-20T00:00:00"/>
    <n v="0"/>
    <m/>
    <n v="1"/>
    <n v="2800000"/>
    <d v="2026-03-01T00:00:00"/>
    <x v="0"/>
    <x v="0"/>
  </r>
  <r>
    <s v="SERVICIO DE SALUD OSORNO"/>
    <s v="Administración de Fondos"/>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n v="1"/>
    <s v="Convenio"/>
    <n v="4"/>
    <n v="1"/>
    <n v="33600000"/>
    <n v="2800000"/>
    <x v="11"/>
    <x v="18"/>
    <x v="24"/>
    <x v="26"/>
    <s v="64-2565810-"/>
    <s v="consuelo.cordova@redsalud.gob.cl"/>
    <x v="7"/>
    <d v="2025-08-20T00:00:00"/>
    <n v="0"/>
    <m/>
    <n v="1"/>
    <n v="2800000"/>
    <d v="2026-11-01T00:00:00"/>
    <x v="0"/>
    <x v="0"/>
  </r>
  <r>
    <s v="SERVICIO DE SALUD OSORNO"/>
    <s v="Administración de Fondos"/>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n v="1"/>
    <s v="Convenio"/>
    <n v="4"/>
    <n v="1"/>
    <n v="33600000"/>
    <n v="2800000"/>
    <x v="11"/>
    <x v="18"/>
    <x v="24"/>
    <x v="26"/>
    <s v="64-2565810-"/>
    <s v="consuelo.cordova@redsalud.gob.cl"/>
    <x v="7"/>
    <d v="2025-08-20T00:00:00"/>
    <n v="0"/>
    <m/>
    <n v="1"/>
    <n v="2800000"/>
    <d v="2026-12-01T00:00:00"/>
    <x v="0"/>
    <x v="0"/>
  </r>
  <r>
    <s v="SERVICIO DE SALUD OSORNO"/>
    <s v="Administración de Fondos"/>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n v="1"/>
    <s v="Convenio"/>
    <n v="4"/>
    <n v="1"/>
    <n v="33600000"/>
    <n v="2800000"/>
    <x v="11"/>
    <x v="18"/>
    <x v="24"/>
    <x v="26"/>
    <s v="64-2565810-"/>
    <s v="consuelo.cordova@redsalud.gob.cl"/>
    <x v="7"/>
    <d v="2025-08-20T00:00:00"/>
    <n v="0"/>
    <m/>
    <n v="1"/>
    <n v="2800000"/>
    <d v="2026-08-01T00:00:00"/>
    <x v="0"/>
    <x v="0"/>
  </r>
  <r>
    <s v="SERVICIO DE SALUD OSORNO"/>
    <s v="Administración de Fondos"/>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n v="1"/>
    <s v="Convenio"/>
    <n v="4"/>
    <n v="1"/>
    <n v="33600000"/>
    <n v="2800000"/>
    <x v="11"/>
    <x v="18"/>
    <x v="24"/>
    <x v="26"/>
    <s v="64-2565810-"/>
    <s v="consuelo.cordova@redsalud.gob.cl"/>
    <x v="7"/>
    <d v="2025-08-20T00:00:00"/>
    <n v="0"/>
    <m/>
    <n v="1"/>
    <n v="2800000"/>
    <d v="2026-06-01T00:00:00"/>
    <x v="0"/>
    <x v="0"/>
  </r>
  <r>
    <s v="SERVICIO DE SALUD OSORNO"/>
    <s v="Administración de Fondos"/>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n v="1"/>
    <s v="Convenio"/>
    <n v="4"/>
    <n v="1"/>
    <n v="33600000"/>
    <n v="2800000"/>
    <x v="11"/>
    <x v="18"/>
    <x v="24"/>
    <x v="26"/>
    <s v="64-2565810-"/>
    <s v="consuelo.cordova@redsalud.gob.cl"/>
    <x v="7"/>
    <d v="2025-08-20T00:00:00"/>
    <n v="0"/>
    <m/>
    <n v="1"/>
    <n v="2800000"/>
    <d v="2026-09-01T00:00:00"/>
    <x v="0"/>
    <x v="0"/>
  </r>
  <r>
    <s v="SERVICIO DE SALUD OSORNO"/>
    <s v="Administración de Fondos"/>
    <x v="54"/>
    <s v="Proyecto operacional"/>
    <s v="Publicado"/>
    <s v="22.12.999.002.01"/>
    <x v="55"/>
    <s v="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
    <n v="1"/>
    <s v="Convenio"/>
    <n v="4"/>
    <n v="1"/>
    <n v="33600000"/>
    <n v="2800000"/>
    <x v="11"/>
    <x v="18"/>
    <x v="24"/>
    <x v="26"/>
    <s v="64-2565810-"/>
    <s v="consuelo.cordova@redsalud.gob.cl"/>
    <x v="7"/>
    <d v="2025-08-20T00:00:00"/>
    <n v="0"/>
    <m/>
    <n v="1"/>
    <n v="2800000"/>
    <d v="2026-05-01T00:00:00"/>
    <x v="0"/>
    <x v="0"/>
  </r>
  <r>
    <s v="SERVICIO DE SALUD OSORNO"/>
    <s v="Bienes y Servicios"/>
    <x v="55"/>
    <s v="Proyecto operacional"/>
    <s v="Publicado"/>
    <s v="22.06.002"/>
    <x v="56"/>
    <s v="Realizar mantenciones preventivas a todos los sistemas de las conversiones de las Ambulancias y vehículos con equipos especiales, como también realizar mantenciones correctivas y/o reparativas, según sea requerido."/>
    <n v="1"/>
    <s v="Convenio"/>
    <n v="4"/>
    <n v="1"/>
    <n v="96100000"/>
    <n v="8008333"/>
    <x v="11"/>
    <x v="20"/>
    <x v="1"/>
    <x v="39"/>
    <s v="64-2565654-"/>
    <s v="felipe.salvob@redsalud.gob.cl"/>
    <x v="7"/>
    <d v="2025-08-20T00:00:00"/>
    <n v="0"/>
    <m/>
    <n v="1"/>
    <n v="8008333"/>
    <d v="2026-02-01T00:00:00"/>
    <x v="0"/>
    <x v="0"/>
  </r>
  <r>
    <s v="SERVICIO DE SALUD OSORNO"/>
    <s v="Bienes y Servicios"/>
    <x v="55"/>
    <s v="Proyecto operacional"/>
    <s v="Publicado"/>
    <s v="22.06.002"/>
    <x v="56"/>
    <s v="Realizar mantenciones preventivas a todos los sistemas de las conversiones de las Ambulancias y vehículos con equipos especiales, como también realizar mantenciones correctivas y/o reparativas, según sea requerido."/>
    <n v="1"/>
    <s v="Convenio"/>
    <n v="4"/>
    <n v="1"/>
    <n v="96100000"/>
    <n v="8008333"/>
    <x v="11"/>
    <x v="20"/>
    <x v="1"/>
    <x v="39"/>
    <s v="64-2565654-"/>
    <s v="felipe.salvob@redsalud.gob.cl"/>
    <x v="7"/>
    <d v="2025-08-20T00:00:00"/>
    <n v="0"/>
    <m/>
    <n v="1"/>
    <n v="8008333"/>
    <d v="2026-06-01T00:00:00"/>
    <x v="0"/>
    <x v="0"/>
  </r>
  <r>
    <s v="SERVICIO DE SALUD OSORNO"/>
    <s v="Bienes y Servicios"/>
    <x v="55"/>
    <s v="Proyecto operacional"/>
    <s v="Publicado"/>
    <s v="22.06.002"/>
    <x v="56"/>
    <s v="Realizar mantenciones preventivas a todos los sistemas de las conversiones de las Ambulancias y vehículos con equipos especiales, como también realizar mantenciones correctivas y/o reparativas, según sea requerido."/>
    <n v="1"/>
    <s v="Convenio"/>
    <n v="4"/>
    <n v="1"/>
    <n v="96100000"/>
    <n v="8008337"/>
    <x v="11"/>
    <x v="20"/>
    <x v="1"/>
    <x v="39"/>
    <s v="64-2565654-"/>
    <s v="felipe.salvob@redsalud.gob.cl"/>
    <x v="7"/>
    <d v="2025-08-20T00:00:00"/>
    <n v="0"/>
    <m/>
    <n v="1"/>
    <n v="8008337"/>
    <d v="2026-12-01T00:00:00"/>
    <x v="0"/>
    <x v="0"/>
  </r>
  <r>
    <s v="SERVICIO DE SALUD OSORNO"/>
    <s v="Bienes y Servicios"/>
    <x v="55"/>
    <s v="Proyecto operacional"/>
    <s v="Publicado"/>
    <s v="22.06.002"/>
    <x v="56"/>
    <s v="Realizar mantenciones preventivas a todos los sistemas de las conversiones de las Ambulancias y vehículos con equipos especiales, como también realizar mantenciones correctivas y/o reparativas, según sea requerido."/>
    <n v="1"/>
    <s v="Convenio"/>
    <n v="4"/>
    <n v="1"/>
    <n v="96100000"/>
    <n v="8008333"/>
    <x v="11"/>
    <x v="20"/>
    <x v="1"/>
    <x v="39"/>
    <s v="64-2565654-"/>
    <s v="felipe.salvob@redsalud.gob.cl"/>
    <x v="7"/>
    <d v="2025-08-20T00:00:00"/>
    <n v="0"/>
    <m/>
    <n v="1"/>
    <n v="8008333"/>
    <d v="2026-03-01T00:00:00"/>
    <x v="0"/>
    <x v="0"/>
  </r>
  <r>
    <s v="SERVICIO DE SALUD OSORNO"/>
    <s v="Bienes y Servicios"/>
    <x v="55"/>
    <s v="Proyecto operacional"/>
    <s v="Publicado"/>
    <s v="22.06.002"/>
    <x v="56"/>
    <s v="Realizar mantenciones preventivas a todos los sistemas de las conversiones de las Ambulancias y vehículos con equipos especiales, como también realizar mantenciones correctivas y/o reparativas, según sea requerido."/>
    <n v="1"/>
    <s v="Convenio"/>
    <n v="4"/>
    <n v="1"/>
    <n v="96100000"/>
    <n v="8008333"/>
    <x v="11"/>
    <x v="20"/>
    <x v="1"/>
    <x v="39"/>
    <s v="64-2565654-"/>
    <s v="felipe.salvob@redsalud.gob.cl"/>
    <x v="7"/>
    <d v="2025-08-20T00:00:00"/>
    <n v="0"/>
    <m/>
    <n v="1"/>
    <n v="8008333"/>
    <d v="2026-05-01T00:00:00"/>
    <x v="0"/>
    <x v="0"/>
  </r>
  <r>
    <s v="SERVICIO DE SALUD OSORNO"/>
    <s v="Bienes y Servicios"/>
    <x v="55"/>
    <s v="Proyecto operacional"/>
    <s v="Publicado"/>
    <s v="22.06.002"/>
    <x v="56"/>
    <s v="Realizar mantenciones preventivas a todos los sistemas de las conversiones de las Ambulancias y vehículos con equipos especiales, como también realizar mantenciones correctivas y/o reparativas, según sea requerido."/>
    <n v="1"/>
    <s v="Convenio"/>
    <n v="4"/>
    <n v="1"/>
    <n v="96100000"/>
    <n v="8008333"/>
    <x v="11"/>
    <x v="20"/>
    <x v="1"/>
    <x v="39"/>
    <s v="64-2565654-"/>
    <s v="felipe.salvob@redsalud.gob.cl"/>
    <x v="7"/>
    <d v="2025-08-20T00:00:00"/>
    <n v="0"/>
    <m/>
    <n v="1"/>
    <n v="8008333"/>
    <d v="2026-07-01T00:00:00"/>
    <x v="0"/>
    <x v="0"/>
  </r>
  <r>
    <s v="SERVICIO DE SALUD OSORNO"/>
    <s v="Bienes y Servicios"/>
    <x v="55"/>
    <s v="Proyecto operacional"/>
    <s v="Publicado"/>
    <s v="22.06.002"/>
    <x v="56"/>
    <s v="Realizar mantenciones preventivas a todos los sistemas de las conversiones de las Ambulancias y vehículos con equipos especiales, como también realizar mantenciones correctivas y/o reparativas, según sea requerido."/>
    <n v="1"/>
    <s v="Convenio"/>
    <n v="4"/>
    <n v="1"/>
    <n v="96100000"/>
    <n v="8008333"/>
    <x v="11"/>
    <x v="20"/>
    <x v="1"/>
    <x v="39"/>
    <s v="64-2565654-"/>
    <s v="felipe.salvob@redsalud.gob.cl"/>
    <x v="7"/>
    <d v="2025-08-20T00:00:00"/>
    <n v="0"/>
    <m/>
    <n v="1"/>
    <n v="8008333"/>
    <d v="2026-01-01T00:00:00"/>
    <x v="0"/>
    <x v="0"/>
  </r>
  <r>
    <s v="SERVICIO DE SALUD OSORNO"/>
    <s v="Bienes y Servicios"/>
    <x v="55"/>
    <s v="Proyecto operacional"/>
    <s v="Publicado"/>
    <s v="22.06.002"/>
    <x v="56"/>
    <s v="Realizar mantenciones preventivas a todos los sistemas de las conversiones de las Ambulancias y vehículos con equipos especiales, como también realizar mantenciones correctivas y/o reparativas, según sea requerido."/>
    <n v="1"/>
    <s v="Convenio"/>
    <n v="4"/>
    <n v="1"/>
    <n v="96100000"/>
    <n v="8008333"/>
    <x v="11"/>
    <x v="20"/>
    <x v="1"/>
    <x v="39"/>
    <s v="64-2565654-"/>
    <s v="felipe.salvob@redsalud.gob.cl"/>
    <x v="7"/>
    <d v="2025-08-20T00:00:00"/>
    <n v="0"/>
    <m/>
    <n v="1"/>
    <n v="8008333"/>
    <d v="2026-08-01T00:00:00"/>
    <x v="0"/>
    <x v="0"/>
  </r>
  <r>
    <s v="SERVICIO DE SALUD OSORNO"/>
    <s v="Bienes y Servicios"/>
    <x v="55"/>
    <s v="Proyecto operacional"/>
    <s v="Publicado"/>
    <s v="22.06.002"/>
    <x v="56"/>
    <s v="Realizar mantenciones preventivas a todos los sistemas de las conversiones de las Ambulancias y vehículos con equipos especiales, como también realizar mantenciones correctivas y/o reparativas, según sea requerido."/>
    <n v="1"/>
    <s v="Convenio"/>
    <n v="4"/>
    <n v="1"/>
    <n v="96100000"/>
    <n v="8008333"/>
    <x v="11"/>
    <x v="20"/>
    <x v="1"/>
    <x v="39"/>
    <s v="64-2565654-"/>
    <s v="felipe.salvob@redsalud.gob.cl"/>
    <x v="7"/>
    <d v="2025-08-20T00:00:00"/>
    <n v="0"/>
    <m/>
    <n v="1"/>
    <n v="8008333"/>
    <d v="2026-04-01T00:00:00"/>
    <x v="0"/>
    <x v="0"/>
  </r>
  <r>
    <s v="SERVICIO DE SALUD OSORNO"/>
    <s v="Bienes y Servicios"/>
    <x v="55"/>
    <s v="Proyecto operacional"/>
    <s v="Publicado"/>
    <s v="22.06.002"/>
    <x v="56"/>
    <s v="Realizar mantenciones preventivas a todos los sistemas de las conversiones de las Ambulancias y vehículos con equipos especiales, como también realizar mantenciones correctivas y/o reparativas, según sea requerido."/>
    <n v="1"/>
    <s v="Convenio"/>
    <n v="4"/>
    <n v="1"/>
    <n v="96100000"/>
    <n v="8008333"/>
    <x v="11"/>
    <x v="20"/>
    <x v="1"/>
    <x v="39"/>
    <s v="64-2565654-"/>
    <s v="felipe.salvob@redsalud.gob.cl"/>
    <x v="7"/>
    <d v="2025-08-20T00:00:00"/>
    <n v="0"/>
    <m/>
    <n v="1"/>
    <n v="8008333"/>
    <d v="2026-10-01T00:00:00"/>
    <x v="0"/>
    <x v="0"/>
  </r>
  <r>
    <s v="SERVICIO DE SALUD OSORNO"/>
    <s v="Bienes y Servicios"/>
    <x v="55"/>
    <s v="Proyecto operacional"/>
    <s v="Publicado"/>
    <s v="22.06.002"/>
    <x v="56"/>
    <s v="Realizar mantenciones preventivas a todos los sistemas de las conversiones de las Ambulancias y vehículos con equipos especiales, como también realizar mantenciones correctivas y/o reparativas, según sea requerido."/>
    <n v="1"/>
    <s v="Convenio"/>
    <n v="4"/>
    <n v="1"/>
    <n v="96100000"/>
    <n v="8008333"/>
    <x v="11"/>
    <x v="20"/>
    <x v="1"/>
    <x v="39"/>
    <s v="64-2565654-"/>
    <s v="felipe.salvob@redsalud.gob.cl"/>
    <x v="7"/>
    <d v="2025-08-20T00:00:00"/>
    <n v="0"/>
    <m/>
    <n v="1"/>
    <n v="8008333"/>
    <d v="2026-09-01T00:00:00"/>
    <x v="0"/>
    <x v="0"/>
  </r>
  <r>
    <s v="SERVICIO DE SALUD OSORNO"/>
    <s v="Bienes y Servicios"/>
    <x v="55"/>
    <s v="Proyecto operacional"/>
    <s v="Publicado"/>
    <s v="22.06.002"/>
    <x v="56"/>
    <s v="Realizar mantenciones preventivas a todos los sistemas de las conversiones de las Ambulancias y vehículos con equipos especiales, como también realizar mantenciones correctivas y/o reparativas, según sea requerido."/>
    <n v="1"/>
    <s v="Convenio"/>
    <n v="4"/>
    <n v="1"/>
    <n v="96100000"/>
    <n v="8008333"/>
    <x v="11"/>
    <x v="20"/>
    <x v="1"/>
    <x v="39"/>
    <s v="64-2565654-"/>
    <s v="felipe.salvob@redsalud.gob.cl"/>
    <x v="7"/>
    <d v="2025-08-20T00:00:00"/>
    <n v="0"/>
    <m/>
    <n v="1"/>
    <n v="8008333"/>
    <d v="2026-11-01T00:00:00"/>
    <x v="0"/>
    <x v="0"/>
  </r>
  <r>
    <s v="SERVICIO DE SALUD OSORNO"/>
    <s v="Bienes y Servicios"/>
    <x v="56"/>
    <s v="Proyecto operacional"/>
    <s v="Publicado"/>
    <s v="22.06.002"/>
    <x v="57"/>
    <s v="Mantenciones 2026 Preventivas, correctivas y/o reparativas para vehículos motorizados mutimarcas de la Red Asistencial del Servicio de Salud Osorno. Enero2026 - Diciembre2026"/>
    <n v="1"/>
    <s v="Mantención"/>
    <n v="4"/>
    <n v="1"/>
    <n v="200400000"/>
    <n v="8350000"/>
    <x v="1"/>
    <x v="14"/>
    <x v="5"/>
    <x v="40"/>
    <s v="64-2565654-"/>
    <s v="felipe.salvob@redsalud.gob.cl"/>
    <x v="7"/>
    <d v="2025-08-20T00:00:00"/>
    <n v="1"/>
    <s v="1057532-5558-SE25"/>
    <n v="1"/>
    <n v="8350000"/>
    <d v="2026-08-01T00:00:00"/>
    <x v="0"/>
    <x v="0"/>
  </r>
  <r>
    <s v="SERVICIO DE SALUD OSORNO"/>
    <s v="Bienes y Servicios"/>
    <x v="56"/>
    <s v="Proyecto operacional"/>
    <s v="Publicado"/>
    <s v="22.06.002"/>
    <x v="57"/>
    <s v="Mantenciones 2026 Preventivas, correctivas y/o reparativas para vehículos motorizados mutimarcas de la Red Asistencial del Servicio de Salud Osorno. Enero2026 - Diciembre2026"/>
    <n v="1"/>
    <s v="Mantención"/>
    <n v="4"/>
    <n v="1"/>
    <n v="200400000"/>
    <n v="8350000"/>
    <x v="1"/>
    <x v="14"/>
    <x v="5"/>
    <x v="40"/>
    <s v="64-2565654-"/>
    <s v="felipe.salvob@redsalud.gob.cl"/>
    <x v="7"/>
    <d v="2025-08-20T00:00:00"/>
    <n v="1"/>
    <s v="1057532-5558-SE25"/>
    <n v="1"/>
    <n v="8350000"/>
    <d v="2026-06-01T00:00:00"/>
    <x v="0"/>
    <x v="0"/>
  </r>
  <r>
    <s v="SERVICIO DE SALUD OSORNO"/>
    <s v="Bienes y Servicios"/>
    <x v="56"/>
    <s v="Proyecto operacional"/>
    <s v="Publicado"/>
    <s v="22.06.002"/>
    <x v="57"/>
    <s v="Mantenciones 2026 Preventivas, correctivas y/o reparativas para vehículos motorizados mutimarcas de la Red Asistencial del Servicio de Salud Osorno. Enero2026 - Diciembre2026"/>
    <n v="1"/>
    <s v="Mantención"/>
    <n v="4"/>
    <n v="1"/>
    <n v="200400000"/>
    <n v="8350000"/>
    <x v="1"/>
    <x v="14"/>
    <x v="5"/>
    <x v="40"/>
    <s v="64-2565654-"/>
    <s v="felipe.salvob@redsalud.gob.cl"/>
    <x v="7"/>
    <d v="2025-08-20T00:00:00"/>
    <n v="1"/>
    <s v="1057532-5558-SE25"/>
    <n v="1"/>
    <n v="8350000"/>
    <d v="2026-04-01T00:00:00"/>
    <x v="0"/>
    <x v="0"/>
  </r>
  <r>
    <s v="SERVICIO DE SALUD OSORNO"/>
    <s v="Bienes y Servicios"/>
    <x v="56"/>
    <s v="Proyecto operacional"/>
    <s v="Publicado"/>
    <s v="22.06.002"/>
    <x v="57"/>
    <s v="Mantenciones 2026 Preventivas, correctivas y/o reparativas para vehículos motorizados mutimarcas de la Red Asistencial del Servicio de Salud Osorno. Enero2026 - Diciembre2026"/>
    <n v="1"/>
    <s v="Mantención"/>
    <n v="4"/>
    <n v="1"/>
    <n v="200400000"/>
    <n v="8350000"/>
    <x v="1"/>
    <x v="14"/>
    <x v="5"/>
    <x v="40"/>
    <s v="64-2565654-"/>
    <s v="felipe.salvob@redsalud.gob.cl"/>
    <x v="7"/>
    <d v="2025-08-20T00:00:00"/>
    <n v="1"/>
    <s v="1057532-5558-SE25"/>
    <n v="1"/>
    <n v="8350000"/>
    <d v="2026-01-01T00:00:00"/>
    <x v="0"/>
    <x v="0"/>
  </r>
  <r>
    <s v="SERVICIO DE SALUD OSORNO"/>
    <s v="Bienes y Servicios"/>
    <x v="56"/>
    <s v="Proyecto operacional"/>
    <s v="Publicado"/>
    <s v="22.06.002"/>
    <x v="57"/>
    <s v="Mantenciones 2026 Preventivas, correctivas y/o reparativas para vehículos motorizados mutimarcas de la Red Asistencial del Servicio de Salud Osorno. Enero2026 - Diciembre2026"/>
    <n v="1"/>
    <s v="Mantención"/>
    <n v="4"/>
    <n v="1"/>
    <n v="200400000"/>
    <n v="8350000"/>
    <x v="1"/>
    <x v="14"/>
    <x v="5"/>
    <x v="40"/>
    <s v="64-2565654-"/>
    <s v="felipe.salvob@redsalud.gob.cl"/>
    <x v="7"/>
    <d v="2025-08-20T00:00:00"/>
    <n v="1"/>
    <s v="1057532-5558-SE25"/>
    <n v="1"/>
    <n v="8350000"/>
    <d v="2026-05-01T00:00:00"/>
    <x v="0"/>
    <x v="0"/>
  </r>
  <r>
    <s v="SERVICIO DE SALUD OSORNO"/>
    <s v="Bienes y Servicios"/>
    <x v="56"/>
    <s v="Proyecto operacional"/>
    <s v="Publicado"/>
    <s v="22.06.002"/>
    <x v="57"/>
    <s v="Mantenciones 2026 Preventivas, correctivas y/o reparativas para vehículos motorizados mutimarcas de la Red Asistencial del Servicio de Salud Osorno. Enero2026 - Diciembre2026"/>
    <n v="1"/>
    <s v="Mantención"/>
    <n v="4"/>
    <n v="1"/>
    <n v="200400000"/>
    <n v="8350000"/>
    <x v="1"/>
    <x v="14"/>
    <x v="5"/>
    <x v="40"/>
    <s v="64-2565654-"/>
    <s v="felipe.salvob@redsalud.gob.cl"/>
    <x v="7"/>
    <d v="2025-08-20T00:00:00"/>
    <n v="1"/>
    <s v="1057532-5558-SE25"/>
    <n v="1"/>
    <n v="8350000"/>
    <d v="2026-10-01T00:00:00"/>
    <x v="0"/>
    <x v="0"/>
  </r>
  <r>
    <s v="SERVICIO DE SALUD OSORNO"/>
    <s v="Bienes y Servicios"/>
    <x v="56"/>
    <s v="Proyecto operacional"/>
    <s v="Publicado"/>
    <s v="22.06.002"/>
    <x v="57"/>
    <s v="Mantenciones 2026 Preventivas, correctivas y/o reparativas para vehículos motorizados mutimarcas de la Red Asistencial del Servicio de Salud Osorno. Enero2026 - Diciembre2026"/>
    <n v="1"/>
    <s v="Mantención"/>
    <n v="4"/>
    <n v="1"/>
    <n v="200400000"/>
    <n v="8350000"/>
    <x v="1"/>
    <x v="14"/>
    <x v="5"/>
    <x v="40"/>
    <s v="64-2565654-"/>
    <s v="felipe.salvob@redsalud.gob.cl"/>
    <x v="7"/>
    <d v="2025-08-20T00:00:00"/>
    <n v="1"/>
    <s v="1057532-5558-SE25"/>
    <n v="1"/>
    <n v="8350000"/>
    <d v="2026-12-01T00:00:00"/>
    <x v="0"/>
    <x v="0"/>
  </r>
  <r>
    <s v="SERVICIO DE SALUD OSORNO"/>
    <s v="Bienes y Servicios"/>
    <x v="56"/>
    <s v="Proyecto operacional"/>
    <s v="Publicado"/>
    <s v="22.06.002"/>
    <x v="57"/>
    <s v="Mantenciones 2026 Preventivas, correctivas y/o reparativas para vehículos motorizados mutimarcas de la Red Asistencial del Servicio de Salud Osorno. Enero2026 - Diciembre2026"/>
    <n v="1"/>
    <s v="Mantención"/>
    <n v="4"/>
    <n v="1"/>
    <n v="200400000"/>
    <n v="8350000"/>
    <x v="1"/>
    <x v="14"/>
    <x v="5"/>
    <x v="40"/>
    <s v="64-2565654-"/>
    <s v="felipe.salvob@redsalud.gob.cl"/>
    <x v="7"/>
    <d v="2025-08-20T00:00:00"/>
    <n v="1"/>
    <s v="1057532-5558-SE25"/>
    <n v="1"/>
    <n v="8350000"/>
    <d v="2026-07-01T00:00:00"/>
    <x v="0"/>
    <x v="0"/>
  </r>
  <r>
    <s v="SERVICIO DE SALUD OSORNO"/>
    <s v="Bienes y Servicios"/>
    <x v="56"/>
    <s v="Proyecto operacional"/>
    <s v="Publicado"/>
    <s v="22.06.002"/>
    <x v="57"/>
    <s v="Mantenciones 2026 Preventivas, correctivas y/o reparativas para vehículos motorizados mutimarcas de la Red Asistencial del Servicio de Salud Osorno. Enero2026 - Diciembre2026"/>
    <n v="1"/>
    <s v="Mantención"/>
    <n v="4"/>
    <n v="1"/>
    <n v="200400000"/>
    <n v="8350000"/>
    <x v="1"/>
    <x v="14"/>
    <x v="5"/>
    <x v="40"/>
    <s v="64-2565654-"/>
    <s v="felipe.salvob@redsalud.gob.cl"/>
    <x v="7"/>
    <d v="2025-08-20T00:00:00"/>
    <n v="1"/>
    <s v="1057532-5558-SE25"/>
    <n v="1"/>
    <n v="8350000"/>
    <d v="2026-02-01T00:00:00"/>
    <x v="0"/>
    <x v="0"/>
  </r>
  <r>
    <s v="SERVICIO DE SALUD OSORNO"/>
    <s v="Bienes y Servicios"/>
    <x v="56"/>
    <s v="Proyecto operacional"/>
    <s v="Publicado"/>
    <s v="22.06.002"/>
    <x v="57"/>
    <s v="Mantenciones 2026 Preventivas, correctivas y/o reparativas para vehículos motorizados mutimarcas de la Red Asistencial del Servicio de Salud Osorno. Enero2026 - Diciembre2026"/>
    <n v="1"/>
    <s v="Mantención"/>
    <n v="4"/>
    <n v="1"/>
    <n v="200400000"/>
    <n v="8350000"/>
    <x v="1"/>
    <x v="14"/>
    <x v="5"/>
    <x v="40"/>
    <s v="64-2565654-"/>
    <s v="felipe.salvob@redsalud.gob.cl"/>
    <x v="7"/>
    <d v="2025-08-20T00:00:00"/>
    <n v="1"/>
    <s v="1057532-5558-SE25"/>
    <n v="1"/>
    <n v="8350000"/>
    <d v="2026-03-01T00:00:00"/>
    <x v="0"/>
    <x v="0"/>
  </r>
  <r>
    <s v="SERVICIO DE SALUD OSORNO"/>
    <s v="Bienes y Servicios"/>
    <x v="56"/>
    <s v="Proyecto operacional"/>
    <s v="Publicado"/>
    <s v="22.06.002"/>
    <x v="57"/>
    <s v="Mantenciones 2026 Preventivas, correctivas y/o reparativas para vehículos motorizados mutimarcas de la Red Asistencial del Servicio de Salud Osorno. Enero2026 - Diciembre2026"/>
    <n v="1"/>
    <s v="Mantención"/>
    <n v="4"/>
    <n v="1"/>
    <n v="200400000"/>
    <n v="8350000"/>
    <x v="1"/>
    <x v="14"/>
    <x v="5"/>
    <x v="40"/>
    <s v="64-2565654-"/>
    <s v="felipe.salvob@redsalud.gob.cl"/>
    <x v="7"/>
    <d v="2025-08-20T00:00:00"/>
    <n v="1"/>
    <s v="1057532-5558-SE25"/>
    <n v="1"/>
    <n v="8350000"/>
    <d v="2026-11-01T00:00:00"/>
    <x v="0"/>
    <x v="0"/>
  </r>
  <r>
    <s v="SERVICIO DE SALUD OSORNO"/>
    <s v="Bienes y Servicios"/>
    <x v="56"/>
    <s v="Proyecto operacional"/>
    <s v="Publicado"/>
    <s v="22.06.002"/>
    <x v="57"/>
    <s v="Mantenciones 2026 Preventivas, correctivas y/o reparativas para vehículos motorizados mutimarcas de la Red Asistencial del Servicio de Salud Osorno. Enero2026 - Diciembre2026"/>
    <n v="1"/>
    <s v="Mantención"/>
    <n v="4"/>
    <n v="1"/>
    <n v="200400000"/>
    <n v="8350000"/>
    <x v="1"/>
    <x v="14"/>
    <x v="5"/>
    <x v="40"/>
    <s v="64-2565654-"/>
    <s v="felipe.salvob@redsalud.gob.cl"/>
    <x v="7"/>
    <d v="2025-08-20T00:00:00"/>
    <n v="1"/>
    <s v="1057532-5558-SE25"/>
    <n v="1"/>
    <n v="8350000"/>
    <d v="2026-09-01T00:00:00"/>
    <x v="0"/>
    <x v="0"/>
  </r>
  <r>
    <s v="SERVICIO DE SALUD OSORNO"/>
    <s v="Bienes y Servicios"/>
    <x v="57"/>
    <s v="Proyecto operacional"/>
    <s v="Publicado"/>
    <s v="22.06.002"/>
    <x v="58"/>
    <s v="Convenio 2026 -Mantenciones Preventivas, correctivas y/o reparativas de vehículos motorizados de la marca Mitsubishi - Fuso de la Red Asistencial del Servicio de Salud Osorno. Enero 26 - Diciembre 26"/>
    <n v="1"/>
    <s v="Convenio"/>
    <n v="4"/>
    <n v="1"/>
    <n v="30000000"/>
    <n v="2500000"/>
    <x v="11"/>
    <x v="20"/>
    <x v="5"/>
    <x v="40"/>
    <s v="64-2565654-"/>
    <s v="felipe.salvob@redsalud.gob.cl"/>
    <x v="7"/>
    <d v="2025-08-20T00:00:00"/>
    <n v="0"/>
    <m/>
    <n v="1"/>
    <n v="2500000"/>
    <d v="2026-06-01T00:00:00"/>
    <x v="0"/>
    <x v="0"/>
  </r>
  <r>
    <s v="SERVICIO DE SALUD OSORNO"/>
    <s v="Bienes y Servicios"/>
    <x v="57"/>
    <s v="Proyecto operacional"/>
    <s v="Publicado"/>
    <s v="22.06.002"/>
    <x v="58"/>
    <s v="Convenio 2026 -Mantenciones Preventivas, correctivas y/o reparativas de vehículos motorizados de la marca Mitsubishi - Fuso de la Red Asistencial del Servicio de Salud Osorno. Enero 26 - Diciembre 26"/>
    <n v="1"/>
    <s v="Convenio"/>
    <n v="4"/>
    <n v="1"/>
    <n v="30000000"/>
    <n v="2500000"/>
    <x v="11"/>
    <x v="20"/>
    <x v="5"/>
    <x v="40"/>
    <s v="64-2565654-"/>
    <s v="felipe.salvob@redsalud.gob.cl"/>
    <x v="7"/>
    <d v="2025-08-20T00:00:00"/>
    <n v="0"/>
    <m/>
    <n v="1"/>
    <n v="2500000"/>
    <d v="2026-01-01T00:00:00"/>
    <x v="0"/>
    <x v="0"/>
  </r>
  <r>
    <s v="SERVICIO DE SALUD OSORNO"/>
    <s v="Bienes y Servicios"/>
    <x v="57"/>
    <s v="Proyecto operacional"/>
    <s v="Publicado"/>
    <s v="22.06.002"/>
    <x v="58"/>
    <s v="Convenio 2026 -Mantenciones Preventivas, correctivas y/o reparativas de vehículos motorizados de la marca Mitsubishi - Fuso de la Red Asistencial del Servicio de Salud Osorno. Enero 26 - Diciembre 26"/>
    <n v="1"/>
    <s v="Convenio"/>
    <n v="4"/>
    <n v="1"/>
    <n v="30000000"/>
    <n v="2500000"/>
    <x v="11"/>
    <x v="20"/>
    <x v="5"/>
    <x v="40"/>
    <s v="64-2565654-"/>
    <s v="felipe.salvob@redsalud.gob.cl"/>
    <x v="7"/>
    <d v="2025-08-20T00:00:00"/>
    <n v="0"/>
    <m/>
    <n v="1"/>
    <n v="2500000"/>
    <d v="2026-07-01T00:00:00"/>
    <x v="0"/>
    <x v="0"/>
  </r>
  <r>
    <s v="SERVICIO DE SALUD OSORNO"/>
    <s v="Bienes y Servicios"/>
    <x v="57"/>
    <s v="Proyecto operacional"/>
    <s v="Publicado"/>
    <s v="22.06.002"/>
    <x v="58"/>
    <s v="Convenio 2026 -Mantenciones Preventivas, correctivas y/o reparativas de vehículos motorizados de la marca Mitsubishi - Fuso de la Red Asistencial del Servicio de Salud Osorno. Enero 26 - Diciembre 26"/>
    <n v="1"/>
    <s v="Convenio"/>
    <n v="4"/>
    <n v="1"/>
    <n v="30000000"/>
    <n v="2500000"/>
    <x v="11"/>
    <x v="20"/>
    <x v="5"/>
    <x v="40"/>
    <s v="64-2565654-"/>
    <s v="felipe.salvob@redsalud.gob.cl"/>
    <x v="7"/>
    <d v="2025-08-20T00:00:00"/>
    <n v="0"/>
    <m/>
    <n v="1"/>
    <n v="2500000"/>
    <d v="2026-02-01T00:00:00"/>
    <x v="0"/>
    <x v="0"/>
  </r>
  <r>
    <s v="SERVICIO DE SALUD OSORNO"/>
    <s v="Bienes y Servicios"/>
    <x v="57"/>
    <s v="Proyecto operacional"/>
    <s v="Publicado"/>
    <s v="22.06.002"/>
    <x v="58"/>
    <s v="Convenio 2026 -Mantenciones Preventivas, correctivas y/o reparativas de vehículos motorizados de la marca Mitsubishi - Fuso de la Red Asistencial del Servicio de Salud Osorno. Enero 26 - Diciembre 26"/>
    <n v="1"/>
    <s v="Convenio"/>
    <n v="4"/>
    <n v="1"/>
    <n v="30000000"/>
    <n v="2500000"/>
    <x v="11"/>
    <x v="20"/>
    <x v="5"/>
    <x v="40"/>
    <s v="64-2565654-"/>
    <s v="felipe.salvob@redsalud.gob.cl"/>
    <x v="7"/>
    <d v="2025-08-20T00:00:00"/>
    <n v="0"/>
    <m/>
    <n v="1"/>
    <n v="2500000"/>
    <d v="2026-05-01T00:00:00"/>
    <x v="0"/>
    <x v="0"/>
  </r>
  <r>
    <s v="SERVICIO DE SALUD OSORNO"/>
    <s v="Bienes y Servicios"/>
    <x v="57"/>
    <s v="Proyecto operacional"/>
    <s v="Publicado"/>
    <s v="22.06.002"/>
    <x v="58"/>
    <s v="Convenio 2026 -Mantenciones Preventivas, correctivas y/o reparativas de vehículos motorizados de la marca Mitsubishi - Fuso de la Red Asistencial del Servicio de Salud Osorno. Enero 26 - Diciembre 26"/>
    <n v="1"/>
    <s v="Convenio"/>
    <n v="4"/>
    <n v="1"/>
    <n v="30000000"/>
    <n v="2500000"/>
    <x v="11"/>
    <x v="20"/>
    <x v="5"/>
    <x v="40"/>
    <s v="64-2565654-"/>
    <s v="felipe.salvob@redsalud.gob.cl"/>
    <x v="7"/>
    <d v="2025-08-20T00:00:00"/>
    <n v="0"/>
    <m/>
    <n v="1"/>
    <n v="2500000"/>
    <d v="2026-03-01T00:00:00"/>
    <x v="0"/>
    <x v="0"/>
  </r>
  <r>
    <s v="SERVICIO DE SALUD OSORNO"/>
    <s v="Bienes y Servicios"/>
    <x v="57"/>
    <s v="Proyecto operacional"/>
    <s v="Publicado"/>
    <s v="22.06.002"/>
    <x v="58"/>
    <s v="Convenio 2026 -Mantenciones Preventivas, correctivas y/o reparativas de vehículos motorizados de la marca Mitsubishi - Fuso de la Red Asistencial del Servicio de Salud Osorno. Enero 26 - Diciembre 26"/>
    <n v="1"/>
    <s v="Convenio"/>
    <n v="4"/>
    <n v="1"/>
    <n v="30000000"/>
    <n v="2500000"/>
    <x v="11"/>
    <x v="20"/>
    <x v="5"/>
    <x v="40"/>
    <s v="64-2565654-"/>
    <s v="felipe.salvob@redsalud.gob.cl"/>
    <x v="7"/>
    <d v="2025-08-20T00:00:00"/>
    <n v="0"/>
    <m/>
    <n v="1"/>
    <n v="2500000"/>
    <d v="2026-08-01T00:00:00"/>
    <x v="0"/>
    <x v="0"/>
  </r>
  <r>
    <s v="SERVICIO DE SALUD OSORNO"/>
    <s v="Bienes y Servicios"/>
    <x v="57"/>
    <s v="Proyecto operacional"/>
    <s v="Publicado"/>
    <s v="22.06.002"/>
    <x v="58"/>
    <s v="Convenio 2026 -Mantenciones Preventivas, correctivas y/o reparativas de vehículos motorizados de la marca Mitsubishi - Fuso de la Red Asistencial del Servicio de Salud Osorno. Enero 26 - Diciembre 26"/>
    <n v="1"/>
    <s v="Convenio"/>
    <n v="4"/>
    <n v="1"/>
    <n v="30000000"/>
    <n v="2500000"/>
    <x v="11"/>
    <x v="20"/>
    <x v="5"/>
    <x v="40"/>
    <s v="64-2565654-"/>
    <s v="felipe.salvob@redsalud.gob.cl"/>
    <x v="7"/>
    <d v="2025-08-20T00:00:00"/>
    <n v="0"/>
    <m/>
    <n v="1"/>
    <n v="2500000"/>
    <d v="2026-04-01T00:00:00"/>
    <x v="0"/>
    <x v="0"/>
  </r>
  <r>
    <s v="SERVICIO DE SALUD OSORNO"/>
    <s v="Bienes y Servicios"/>
    <x v="57"/>
    <s v="Proyecto operacional"/>
    <s v="Publicado"/>
    <s v="22.06.002"/>
    <x v="58"/>
    <s v="Convenio 2026 -Mantenciones Preventivas, correctivas y/o reparativas de vehículos motorizados de la marca Mitsubishi - Fuso de la Red Asistencial del Servicio de Salud Osorno. Enero 26 - Diciembre 26"/>
    <n v="1"/>
    <s v="Convenio"/>
    <n v="4"/>
    <n v="1"/>
    <n v="30000000"/>
    <n v="2500000"/>
    <x v="11"/>
    <x v="20"/>
    <x v="5"/>
    <x v="40"/>
    <s v="64-2565654-"/>
    <s v="felipe.salvob@redsalud.gob.cl"/>
    <x v="7"/>
    <d v="2025-08-20T00:00:00"/>
    <n v="0"/>
    <m/>
    <n v="1"/>
    <n v="2500000"/>
    <d v="2026-09-01T00:00:00"/>
    <x v="0"/>
    <x v="0"/>
  </r>
  <r>
    <s v="SERVICIO DE SALUD OSORNO"/>
    <s v="Bienes y Servicios"/>
    <x v="57"/>
    <s v="Proyecto operacional"/>
    <s v="Publicado"/>
    <s v="22.06.002"/>
    <x v="58"/>
    <s v="Convenio 2026 -Mantenciones Preventivas, correctivas y/o reparativas de vehículos motorizados de la marca Mitsubishi - Fuso de la Red Asistencial del Servicio de Salud Osorno. Enero 26 - Diciembre 26"/>
    <n v="1"/>
    <s v="Convenio"/>
    <n v="4"/>
    <n v="1"/>
    <n v="30000000"/>
    <n v="2500000"/>
    <x v="11"/>
    <x v="20"/>
    <x v="5"/>
    <x v="40"/>
    <s v="64-2565654-"/>
    <s v="felipe.salvob@redsalud.gob.cl"/>
    <x v="7"/>
    <d v="2025-08-20T00:00:00"/>
    <n v="0"/>
    <m/>
    <n v="1"/>
    <n v="2500000"/>
    <d v="2026-10-01T00:00:00"/>
    <x v="0"/>
    <x v="0"/>
  </r>
  <r>
    <s v="SERVICIO DE SALUD OSORNO"/>
    <s v="Bienes y Servicios"/>
    <x v="57"/>
    <s v="Proyecto operacional"/>
    <s v="Publicado"/>
    <s v="22.06.002"/>
    <x v="58"/>
    <s v="Convenio 2026 -Mantenciones Preventivas, correctivas y/o reparativas de vehículos motorizados de la marca Mitsubishi - Fuso de la Red Asistencial del Servicio de Salud Osorno. Enero 26 - Diciembre 26"/>
    <n v="1"/>
    <s v="Convenio"/>
    <n v="4"/>
    <n v="1"/>
    <n v="30000000"/>
    <n v="2500000"/>
    <x v="11"/>
    <x v="20"/>
    <x v="5"/>
    <x v="40"/>
    <s v="64-2565654-"/>
    <s v="felipe.salvob@redsalud.gob.cl"/>
    <x v="7"/>
    <d v="2025-08-20T00:00:00"/>
    <n v="0"/>
    <m/>
    <n v="1"/>
    <n v="2500000"/>
    <d v="2026-11-01T00:00:00"/>
    <x v="0"/>
    <x v="0"/>
  </r>
  <r>
    <s v="SERVICIO DE SALUD OSORNO"/>
    <s v="Bienes y Servicios"/>
    <x v="57"/>
    <s v="Proyecto operacional"/>
    <s v="Publicado"/>
    <s v="22.06.002"/>
    <x v="58"/>
    <s v="Convenio 2026 -Mantenciones Preventivas, correctivas y/o reparativas de vehículos motorizados de la marca Mitsubishi - Fuso de la Red Asistencial del Servicio de Salud Osorno. Enero 26 - Diciembre 26"/>
    <n v="1"/>
    <s v="Convenio"/>
    <n v="4"/>
    <n v="1"/>
    <n v="30000000"/>
    <n v="2500000"/>
    <x v="11"/>
    <x v="20"/>
    <x v="5"/>
    <x v="40"/>
    <s v="64-2565654-"/>
    <s v="felipe.salvob@redsalud.gob.cl"/>
    <x v="7"/>
    <d v="2025-08-20T00:00:00"/>
    <n v="0"/>
    <m/>
    <n v="1"/>
    <n v="2500000"/>
    <d v="2026-12-01T00:00:00"/>
    <x v="0"/>
    <x v="0"/>
  </r>
  <r>
    <s v="SERVICIO DE SALUD OSORNO"/>
    <s v="Bienes y Servicios"/>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n v="1"/>
    <s v="Radio comunicaciones"/>
    <n v="4"/>
    <n v="36"/>
    <n v="5777778"/>
    <n v="5777778"/>
    <x v="3"/>
    <x v="4"/>
    <x v="8"/>
    <x v="3"/>
    <s v="64-2337728-"/>
    <s v="CATALINA.VERAC@REDSALUD.GOB.CL"/>
    <x v="6"/>
    <d v="2025-08-20T00:00:00"/>
    <n v="0"/>
    <m/>
    <n v="1"/>
    <n v="5777778"/>
    <d v="2026-02-01T00:00:00"/>
    <x v="0"/>
    <x v="0"/>
  </r>
  <r>
    <s v="SERVICIO DE SALUD OSORNO"/>
    <s v="Bienes y Servicios"/>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n v="1"/>
    <s v="Radio comunicaciones"/>
    <n v="4"/>
    <n v="36"/>
    <n v="5777778"/>
    <n v="5777778"/>
    <x v="3"/>
    <x v="4"/>
    <x v="8"/>
    <x v="3"/>
    <s v="64-2337728-"/>
    <s v="CATALINA.VERAC@REDSALUD.GOB.CL"/>
    <x v="6"/>
    <d v="2025-08-20T00:00:00"/>
    <n v="0"/>
    <m/>
    <n v="1"/>
    <n v="5777778"/>
    <d v="2026-09-01T00:00:00"/>
    <x v="0"/>
    <x v="0"/>
  </r>
  <r>
    <s v="SERVICIO DE SALUD OSORNO"/>
    <s v="Bienes y Servicios"/>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n v="1"/>
    <s v="Radio comunicaciones"/>
    <n v="4"/>
    <n v="36"/>
    <n v="5777778"/>
    <n v="5777778"/>
    <x v="3"/>
    <x v="4"/>
    <x v="8"/>
    <x v="3"/>
    <s v="64-2337728-"/>
    <s v="CATALINA.VERAC@REDSALUD.GOB.CL"/>
    <x v="6"/>
    <d v="2025-08-20T00:00:00"/>
    <n v="0"/>
    <m/>
    <n v="1"/>
    <n v="5777778"/>
    <d v="2026-01-01T00:00:00"/>
    <x v="0"/>
    <x v="0"/>
  </r>
  <r>
    <s v="SERVICIO DE SALUD OSORNO"/>
    <s v="Bienes y Servicios"/>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n v="1"/>
    <s v="Radio comunicaciones"/>
    <n v="4"/>
    <n v="36"/>
    <n v="5777778"/>
    <n v="5777778"/>
    <x v="3"/>
    <x v="4"/>
    <x v="8"/>
    <x v="3"/>
    <s v="64-2337728-"/>
    <s v="CATALINA.VERAC@REDSALUD.GOB.CL"/>
    <x v="6"/>
    <d v="2025-08-20T00:00:00"/>
    <n v="0"/>
    <m/>
    <n v="1"/>
    <n v="5777778"/>
    <d v="2026-07-01T00:00:00"/>
    <x v="0"/>
    <x v="0"/>
  </r>
  <r>
    <s v="SERVICIO DE SALUD OSORNO"/>
    <s v="Bienes y Servicios"/>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n v="1"/>
    <s v="Radio comunicaciones"/>
    <n v="4"/>
    <n v="36"/>
    <n v="5777778"/>
    <n v="5777778"/>
    <x v="3"/>
    <x v="4"/>
    <x v="8"/>
    <x v="3"/>
    <s v="64-2337728-"/>
    <s v="CATALINA.VERAC@REDSALUD.GOB.CL"/>
    <x v="6"/>
    <d v="2025-08-20T00:00:00"/>
    <n v="0"/>
    <m/>
    <n v="1"/>
    <n v="5777778"/>
    <d v="2026-10-01T00:00:00"/>
    <x v="0"/>
    <x v="0"/>
  </r>
  <r>
    <s v="SERVICIO DE SALUD OSORNO"/>
    <s v="Bienes y Servicios"/>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n v="1"/>
    <s v="Radio comunicaciones"/>
    <n v="4"/>
    <n v="36"/>
    <n v="5777778"/>
    <n v="5777778"/>
    <x v="3"/>
    <x v="4"/>
    <x v="8"/>
    <x v="3"/>
    <s v="64-2337728-"/>
    <s v="CATALINA.VERAC@REDSALUD.GOB.CL"/>
    <x v="6"/>
    <d v="2025-08-20T00:00:00"/>
    <n v="0"/>
    <m/>
    <n v="1"/>
    <n v="5777778"/>
    <d v="2026-04-01T00:00:00"/>
    <x v="0"/>
    <x v="0"/>
  </r>
  <r>
    <s v="SERVICIO DE SALUD OSORNO"/>
    <s v="Bienes y Servicios"/>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n v="1"/>
    <s v="Radio comunicaciones"/>
    <n v="4"/>
    <n v="36"/>
    <n v="5777778"/>
    <n v="5777778"/>
    <x v="3"/>
    <x v="4"/>
    <x v="8"/>
    <x v="3"/>
    <s v="64-2337728-"/>
    <s v="CATALINA.VERAC@REDSALUD.GOB.CL"/>
    <x v="6"/>
    <d v="2025-08-20T00:00:00"/>
    <n v="0"/>
    <m/>
    <n v="1"/>
    <n v="5777778"/>
    <d v="2026-11-01T00:00:00"/>
    <x v="0"/>
    <x v="0"/>
  </r>
  <r>
    <s v="SERVICIO DE SALUD OSORNO"/>
    <s v="Bienes y Servicios"/>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n v="1"/>
    <s v="Radio comunicaciones"/>
    <n v="4"/>
    <n v="36"/>
    <n v="5777778"/>
    <n v="5777778"/>
    <x v="3"/>
    <x v="4"/>
    <x v="8"/>
    <x v="3"/>
    <s v="64-2337728-"/>
    <s v="CATALINA.VERAC@REDSALUD.GOB.CL"/>
    <x v="6"/>
    <d v="2025-08-20T00:00:00"/>
    <n v="0"/>
    <m/>
    <n v="1"/>
    <n v="5777778"/>
    <d v="2026-06-01T00:00:00"/>
    <x v="0"/>
    <x v="0"/>
  </r>
  <r>
    <s v="SERVICIO DE SALUD OSORNO"/>
    <s v="Bienes y Servicios"/>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n v="1"/>
    <s v="Radio comunicaciones"/>
    <n v="4"/>
    <n v="36"/>
    <n v="5777778"/>
    <n v="5777778"/>
    <x v="3"/>
    <x v="4"/>
    <x v="8"/>
    <x v="3"/>
    <s v="64-2337728-"/>
    <s v="CATALINA.VERAC@REDSALUD.GOB.CL"/>
    <x v="6"/>
    <d v="2025-08-20T00:00:00"/>
    <n v="0"/>
    <m/>
    <n v="1"/>
    <n v="5777778"/>
    <d v="2026-08-01T00:00:00"/>
    <x v="0"/>
    <x v="0"/>
  </r>
  <r>
    <s v="SERVICIO DE SALUD OSORNO"/>
    <s v="Bienes y Servicios"/>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n v="1"/>
    <s v="Radio comunicaciones"/>
    <n v="4"/>
    <n v="36"/>
    <n v="5777778"/>
    <n v="5777778"/>
    <x v="3"/>
    <x v="4"/>
    <x v="8"/>
    <x v="3"/>
    <s v="64-2337728-"/>
    <s v="CATALINA.VERAC@REDSALUD.GOB.CL"/>
    <x v="6"/>
    <d v="2025-08-20T00:00:00"/>
    <n v="0"/>
    <m/>
    <n v="1"/>
    <n v="5777778"/>
    <d v="2026-03-01T00:00:00"/>
    <x v="0"/>
    <x v="0"/>
  </r>
  <r>
    <s v="SERVICIO DE SALUD OSORNO"/>
    <s v="Bienes y Servicios"/>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n v="1"/>
    <s v="Radio comunicaciones"/>
    <n v="4"/>
    <n v="36"/>
    <n v="5777778"/>
    <n v="5777778"/>
    <x v="3"/>
    <x v="4"/>
    <x v="8"/>
    <x v="3"/>
    <s v="64-2337728-"/>
    <s v="CATALINA.VERAC@REDSALUD.GOB.CL"/>
    <x v="6"/>
    <d v="2025-08-20T00:00:00"/>
    <n v="0"/>
    <m/>
    <n v="1"/>
    <n v="5777778"/>
    <d v="2026-12-01T00:00:00"/>
    <x v="0"/>
    <x v="0"/>
  </r>
  <r>
    <s v="SERVICIO DE SALUD OSORNO"/>
    <s v="Bienes y Servicios"/>
    <x v="58"/>
    <s v="Proyecto operacional"/>
    <s v="Publicado"/>
    <s v="22.05"/>
    <x v="59"/>
    <s v="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
    <n v="1"/>
    <s v="Radio comunicaciones"/>
    <n v="4"/>
    <n v="36"/>
    <n v="5777778"/>
    <n v="5777778"/>
    <x v="3"/>
    <x v="4"/>
    <x v="8"/>
    <x v="3"/>
    <s v="64-2337728-"/>
    <s v="CATALINA.VERAC@REDSALUD.GOB.CL"/>
    <x v="6"/>
    <d v="2025-08-20T00:00:00"/>
    <n v="0"/>
    <m/>
    <n v="1"/>
    <n v="5777778"/>
    <d v="2026-05-01T00:00:00"/>
    <x v="0"/>
    <x v="0"/>
  </r>
  <r>
    <s v="SERVICIO DE SALUD OSORNO"/>
    <s v="Bienestar"/>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n v="8"/>
    <s v="Proyecto Concunsable"/>
    <n v="4"/>
    <n v="1"/>
    <n v="40000000"/>
    <n v="40000000"/>
    <x v="4"/>
    <x v="24"/>
    <x v="36"/>
    <x v="41"/>
    <s v="64-2336164-"/>
    <s v="claudia.centeno@redsalud.gob.cl"/>
    <x v="14"/>
    <m/>
    <n v="0"/>
    <m/>
    <n v="0"/>
    <n v="0"/>
    <m/>
    <x v="1"/>
    <x v="1"/>
  </r>
  <r>
    <s v="SERVICIO DE SALUD OSORNO"/>
    <s v="Bienestar"/>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n v="8"/>
    <s v="Concurso Fotografia"/>
    <n v="4"/>
    <n v="1"/>
    <n v="1000000"/>
    <n v="1000000"/>
    <x v="4"/>
    <x v="25"/>
    <x v="36"/>
    <x v="41"/>
    <s v="64-2336164-"/>
    <s v="claudia.centeno@redsalud.gob.cl"/>
    <x v="15"/>
    <m/>
    <n v="0"/>
    <m/>
    <n v="0"/>
    <n v="0"/>
    <m/>
    <x v="1"/>
    <x v="1"/>
  </r>
  <r>
    <s v="SERVICIO DE SALUD OSORNO"/>
    <s v="Bienestar"/>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n v="8"/>
    <s v="Festival de la Voz"/>
    <n v="4"/>
    <n v="1"/>
    <n v="2000000"/>
    <n v="2000000"/>
    <x v="4"/>
    <x v="25"/>
    <x v="36"/>
    <x v="41"/>
    <s v="64-2336164-"/>
    <s v="claudia.centeno@redsalud.gob.cl"/>
    <x v="15"/>
    <m/>
    <n v="0"/>
    <m/>
    <n v="0"/>
    <n v="0"/>
    <m/>
    <x v="1"/>
    <x v="1"/>
  </r>
  <r>
    <s v="SERVICIO DE SALUD OSORNO"/>
    <s v="Bienestar"/>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n v="8"/>
    <s v="Gala 18"/>
    <n v="4"/>
    <n v="1"/>
    <n v="25000000"/>
    <n v="25000000"/>
    <x v="4"/>
    <x v="26"/>
    <x v="36"/>
    <x v="41"/>
    <s v="64-2336164-"/>
    <s v="claudia.centeno@redsalud.gob.cl"/>
    <x v="16"/>
    <m/>
    <n v="0"/>
    <m/>
    <n v="0"/>
    <n v="0"/>
    <m/>
    <x v="1"/>
    <x v="1"/>
  </r>
  <r>
    <s v="SERVICIO DE SALUD OSORNO"/>
    <s v="Bienestar"/>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n v="8"/>
    <s v="Full Day"/>
    <n v="4"/>
    <n v="1"/>
    <n v="35000000"/>
    <n v="35000000"/>
    <x v="4"/>
    <x v="27"/>
    <x v="36"/>
    <x v="41"/>
    <s v="64-2336164-"/>
    <s v="claudia.centeno@redsalud.gob.cl"/>
    <x v="17"/>
    <m/>
    <n v="0"/>
    <m/>
    <n v="0"/>
    <n v="0"/>
    <m/>
    <x v="1"/>
    <x v="1"/>
  </r>
  <r>
    <s v="SERVICIO DE SALUD OSORNO"/>
    <s v="Bienestar"/>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n v="8"/>
    <s v="Olimpiadas DSSO"/>
    <n v="4"/>
    <n v="1"/>
    <n v="15000000"/>
    <n v="15000000"/>
    <x v="4"/>
    <x v="28"/>
    <x v="36"/>
    <x v="41"/>
    <s v="64-2336164-"/>
    <s v="claudia.centeno@redsalud.gob.cl"/>
    <x v="18"/>
    <m/>
    <n v="0"/>
    <m/>
    <n v="0"/>
    <n v="0"/>
    <m/>
    <x v="1"/>
    <x v="1"/>
  </r>
  <r>
    <s v="SERVICIO DE SALUD OSORNO"/>
    <s v="Bienestar"/>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n v="8"/>
    <s v="Navidad"/>
    <n v="4"/>
    <n v="1"/>
    <n v="20000000"/>
    <n v="20000000"/>
    <x v="4"/>
    <x v="29"/>
    <x v="36"/>
    <x v="41"/>
    <s v="64-2336164-"/>
    <s v="claudia.centeno@redsalud.gob.cl"/>
    <x v="18"/>
    <m/>
    <n v="0"/>
    <m/>
    <n v="0"/>
    <n v="0"/>
    <m/>
    <x v="1"/>
    <x v="1"/>
  </r>
  <r>
    <s v="SERVICIO DE SALUD OSORNO"/>
    <s v="Bienestar"/>
    <x v="59"/>
    <s v="Proyecto operacional"/>
    <s v="Enviado"/>
    <n v="32"/>
    <x v="60"/>
    <s v="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
    <n v="8"/>
    <s v="Alimentación Navidad"/>
    <n v="4"/>
    <n v="1"/>
    <n v="18000000"/>
    <n v="18000000"/>
    <x v="4"/>
    <x v="29"/>
    <x v="36"/>
    <x v="41"/>
    <s v="64-2336164-"/>
    <s v="claudia.centeno@redsalud.gob.cl"/>
    <x v="18"/>
    <m/>
    <n v="0"/>
    <m/>
    <n v="0"/>
    <n v="0"/>
    <m/>
    <x v="1"/>
    <x v="1"/>
  </r>
  <r>
    <s v="SERVICIO DE SALUD OSORNO"/>
    <s v="Administración de Fondos"/>
    <x v="60"/>
    <s v="Proyecto operacional"/>
    <s v="Enviado"/>
    <s v="22.12.999.02"/>
    <x v="61"/>
    <s v="Se requiere la ADQUISICIÓN DE PRESTACIONES DE REHABILITACIÓN INTEGRAL PARA EVALUACIÓN DIAGNÓSTICA Y TRATAMIENTO EN NIÑOS, NIÑAS Y ADOLESCENTES CON TRASTORNO DEL ESPECTRO AUTISTA (TEA). Se entregarán prestaciones a usuarios de la provincia de Osorno. Se realizará pago por prestaciones realizadas de acuerdo a arancel de modalidad de libre elección nivel 3, para cada una de ellas. Debido a que cada usuario tiene un Plan de tratamiento distinto, la cantidad de prestaciones no se puede definir, al igual que el numero de NNA."/>
    <n v="1"/>
    <s v="Convenio TEA"/>
    <n v="4"/>
    <n v="200"/>
    <n v="281600"/>
    <n v="56320000"/>
    <x v="14"/>
    <x v="30"/>
    <x v="37"/>
    <x v="42"/>
    <s v="64-2335807-"/>
    <s v="karin.avila@redsalud.gob.cl"/>
    <x v="19"/>
    <m/>
    <n v="0"/>
    <m/>
    <n v="0"/>
    <n v="0"/>
    <m/>
    <x v="1"/>
    <x v="2"/>
  </r>
  <r>
    <s v="SERVICIO DE SALUD OSORNO"/>
    <s v="Compras Convenio GORE Region de Los Lagos"/>
    <x v="61"/>
    <s v="Proyecto estratégico"/>
    <s v="Enviado"/>
    <s v="29.05.002"/>
    <x v="62"/>
    <s v="Compra de Insumos y equipamiento para el desarrollo del Programa (GORE) ?Apoyo de Rehabilitación Integral e Inclusión Social para niños, niñas y adolescentes con Trastorno del Espectro Autista, para su ejecución enero-diciembre 2025. Programa que será ejecutido con la implementación de una sala de rehabilitación y un equipo de profesionales T. Ocupacional, Fonoaudiologo y Psicologo, para las 7 comunas de la provincia de Osorno. En algunas de ellas se considera el arriendo de un espacio y en otras la implementación en espacios publicos municipal"/>
    <n v="6"/>
    <s v="Servicio Movilización"/>
    <n v="4"/>
    <n v="1"/>
    <n v="28000000"/>
    <n v="28000000"/>
    <x v="4"/>
    <x v="31"/>
    <x v="37"/>
    <x v="42"/>
    <s v="64-2335807-"/>
    <s v="karin.avila@redsalud.gob.cl"/>
    <x v="20"/>
    <m/>
    <n v="0"/>
    <m/>
    <n v="0"/>
    <n v="0"/>
    <m/>
    <x v="1"/>
    <x v="3"/>
  </r>
  <r>
    <s v="SERVICIO DE SALUD OSORNO"/>
    <s v="Compras Convenio GORE Region de Los Lagos"/>
    <x v="61"/>
    <s v="Proyecto estratégico"/>
    <s v="Enviado"/>
    <s v="29.05.002"/>
    <x v="62"/>
    <s v="Compra de Insumos y equipamiento para el desarrollo del Programa (GORE) ?Apoyo de Rehabilitación Integral e Inclusión Social para niños, niñas y adolescentes con Trastorno del Espectro Autista, para su ejecución enero-diciembre 2025. Programa que será ejecutido con la implementación de una sala de rehabilitación y un equipo de profesionales T. Ocupacional, Fonoaudiologo y Psicologo, para las 7 comunas de la provincia de Osorno. En algunas de ellas se considera el arriendo de un espacio y en otras la implementación en espacios publicos municipal"/>
    <n v="6"/>
    <s v="Arriendo"/>
    <n v="4"/>
    <n v="4"/>
    <n v="24000000"/>
    <n v="96000000"/>
    <x v="4"/>
    <x v="31"/>
    <x v="37"/>
    <x v="42"/>
    <s v="64-2335807-"/>
    <s v="karin.avila@redsalud.gob.cl"/>
    <x v="20"/>
    <m/>
    <n v="0"/>
    <m/>
    <n v="0"/>
    <n v="0"/>
    <m/>
    <x v="1"/>
    <x v="3"/>
  </r>
  <r>
    <s v="SERVICIO DE SALUD OSORNO"/>
    <s v="Compras Convenio GORE Region de Los Lagos"/>
    <x v="61"/>
    <s v="Proyecto estratégico"/>
    <s v="Enviado"/>
    <s v="29.05.002"/>
    <x v="62"/>
    <s v="Compra de Insumos y equipamiento para el desarrollo del Programa (GORE) ?Apoyo de Rehabilitación Integral e Inclusión Social para niños, niñas y adolescentes con Trastorno del Espectro Autista, para su ejecución enero-diciembre 2025. Programa que será ejecutido con la implementación de una sala de rehabilitación y un equipo de profesionales T. Ocupacional, Fonoaudiologo y Psicologo, para las 7 comunas de la provincia de Osorno. En algunas de ellas se considera el arriendo de un espacio y en otras la implementación en espacios publicos municipal"/>
    <n v="6"/>
    <s v="Arriendo Informatico"/>
    <n v="4"/>
    <n v="7"/>
    <n v="3445000"/>
    <n v="24115000"/>
    <x v="4"/>
    <x v="32"/>
    <x v="37"/>
    <x v="42"/>
    <s v="64-2335807-"/>
    <s v="karin.avila@redsalud.gob.cl"/>
    <x v="21"/>
    <m/>
    <n v="0"/>
    <m/>
    <n v="0"/>
    <n v="0"/>
    <m/>
    <x v="1"/>
    <x v="3"/>
  </r>
  <r>
    <s v="SERVICIO DE SALUD OSORNO"/>
    <s v="Compras Convenio GORE Region de Los Lagos"/>
    <x v="61"/>
    <s v="Proyecto estratégico"/>
    <s v="Enviado"/>
    <s v="29.05.002"/>
    <x v="62"/>
    <s v="Compra de Insumos y equipamiento para el desarrollo del Programa (GORE) ?Apoyo de Rehabilitación Integral e Inclusión Social para niños, niñas y adolescentes con Trastorno del Espectro Autista, para su ejecución enero-diciembre 2025. Programa que será ejecutido con la implementación de una sala de rehabilitación y un equipo de profesionales T. Ocupacional, Fonoaudiologo y Psicologo, para las 7 comunas de la provincia de Osorno. En algunas de ellas se considera el arriendo de un espacio y en otras la implementación en espacios publicos municipal"/>
    <n v="6"/>
    <s v="Servicio Cafeteria"/>
    <n v="4"/>
    <n v="7"/>
    <n v="500000"/>
    <n v="3500000"/>
    <x v="4"/>
    <x v="26"/>
    <x v="37"/>
    <x v="42"/>
    <s v="64-2335807-"/>
    <s v="karin.avila@redsalud.gob.cl"/>
    <x v="16"/>
    <m/>
    <n v="0"/>
    <m/>
    <n v="0"/>
    <n v="0"/>
    <m/>
    <x v="1"/>
    <x v="3"/>
  </r>
  <r>
    <s v="SERVICIO DE SALUD OSORNO"/>
    <s v="Compras Convenio GORE Region de Los Lagos"/>
    <x v="61"/>
    <s v="Proyecto estratégico"/>
    <s v="Enviado"/>
    <s v="29.05.002"/>
    <x v="62"/>
    <s v="Compra de Insumos y equipamiento para el desarrollo del Programa (GORE) ?Apoyo de Rehabilitación Integral e Inclusión Social para niños, niñas y adolescentes con Trastorno del Espectro Autista, para su ejecución enero-diciembre 2025. Programa que será ejecutido con la implementación de una sala de rehabilitación y un equipo de profesionales T. Ocupacional, Fonoaudiologo y Psicologo, para las 7 comunas de la provincia de Osorno. En algunas de ellas se considera el arriendo de un espacio y en otras la implementación en espacios publicos municipal"/>
    <n v="6"/>
    <s v="Impresión"/>
    <n v="4"/>
    <n v="7"/>
    <n v="714286"/>
    <n v="5000002"/>
    <x v="4"/>
    <x v="31"/>
    <x v="37"/>
    <x v="42"/>
    <s v="64-2335807-"/>
    <s v="karin.avila@redsalud.gob.cl"/>
    <x v="20"/>
    <m/>
    <n v="0"/>
    <m/>
    <n v="0"/>
    <n v="0"/>
    <m/>
    <x v="1"/>
    <x v="3"/>
  </r>
  <r>
    <s v="SERVICIO DE SALUD OSORNO"/>
    <s v="Compras Convenio GORE Region de Los Lagos"/>
    <x v="61"/>
    <s v="Proyecto estratégico"/>
    <s v="Enviado"/>
    <s v="29.05.002"/>
    <x v="62"/>
    <s v="Compra de Insumos y equipamiento para el desarrollo del Programa (GORE) ?Apoyo de Rehabilitación Integral e Inclusión Social para niños, niñas y adolescentes con Trastorno del Espectro Autista, para su ejecución enero-diciembre 2025. Programa que será ejecutido con la implementación de una sala de rehabilitación y un equipo de profesionales T. Ocupacional, Fonoaudiologo y Psicologo, para las 7 comunas de la provincia de Osorno. En algunas de ellas se considera el arriendo de un espacio y en otras la implementación en espacios publicos municipal"/>
    <n v="6"/>
    <s v="Equipo Sensorial"/>
    <n v="4"/>
    <n v="7"/>
    <n v="17428572"/>
    <n v="122000004"/>
    <x v="4"/>
    <x v="31"/>
    <x v="37"/>
    <x v="42"/>
    <s v="64-2335807-"/>
    <s v="karin.avila@redsalud.gob.cl"/>
    <x v="20"/>
    <m/>
    <n v="0"/>
    <m/>
    <n v="0"/>
    <n v="0"/>
    <m/>
    <x v="1"/>
    <x v="3"/>
  </r>
  <r>
    <s v="SERVICIO DE SALUD OSORNO"/>
    <s v="Administración de Fondos"/>
    <x v="62"/>
    <s v="Proyecto operacional"/>
    <s v="Enviado"/>
    <s v="22.04.005"/>
    <x v="63"/>
    <s v="Medicamentos e insumos para dar apoyo a la red cuando se requiera asociado al programa Fondo de Farmacia para enfermedades crónicas no transmisibles en establecimientos de APS (FOFAR) periodo 2026."/>
    <n v="2"/>
    <s v="Medicamentos"/>
    <n v="4"/>
    <n v="1"/>
    <n v="30000000"/>
    <n v="30000000"/>
    <x v="4"/>
    <x v="24"/>
    <x v="38"/>
    <x v="43"/>
    <s v="64-2335833-"/>
    <s v="chessarina.tuchief@redsalud.gob.cl"/>
    <x v="14"/>
    <m/>
    <n v="0"/>
    <m/>
    <n v="0"/>
    <n v="0"/>
    <m/>
    <x v="1"/>
    <x v="2"/>
  </r>
  <r>
    <s v="SERVICIO DE SALUD OSORNO"/>
    <s v="Administración de Fondos"/>
    <x v="62"/>
    <s v="Proyecto operacional"/>
    <s v="Enviado"/>
    <s v="22.04.005"/>
    <x v="63"/>
    <s v="Medicamentos e insumos para dar apoyo a la red cuando se requiera asociado al programa Fondo de Farmacia para enfermedades crónicas no transmisibles en establecimientos de APS (FOFAR) periodo 2026."/>
    <n v="2"/>
    <s v="Insumos Medicos"/>
    <n v="4"/>
    <n v="1"/>
    <n v="30000000"/>
    <n v="30000000"/>
    <x v="4"/>
    <x v="31"/>
    <x v="38"/>
    <x v="43"/>
    <s v="64-2335833-"/>
    <s v="chessarina.tuchief@redsalud.gob.cl"/>
    <x v="20"/>
    <m/>
    <n v="0"/>
    <m/>
    <n v="0"/>
    <n v="0"/>
    <m/>
    <x v="1"/>
    <x v="2"/>
  </r>
  <r>
    <s v="SERVICIO DE SALUD OSORNO"/>
    <s v="Administración de Fondos"/>
    <x v="63"/>
    <s v="Proyecto operacional"/>
    <s v="Enviado"/>
    <s v="22.04"/>
    <x v="64"/>
    <s v="Compra de elementos de higiene para el funiconamiento del Equipo Rural de Rehabilitación"/>
    <n v="1"/>
    <s v="Materiales de Aseo"/>
    <n v="4"/>
    <n v="10"/>
    <n v="41000"/>
    <n v="410000"/>
    <x v="4"/>
    <x v="32"/>
    <x v="37"/>
    <x v="42"/>
    <s v="64-2335807-"/>
    <s v="karin.avila@redsalud.gob.cl"/>
    <x v="21"/>
    <m/>
    <n v="0"/>
    <m/>
    <n v="0"/>
    <n v="0"/>
    <m/>
    <x v="1"/>
    <x v="2"/>
  </r>
  <r>
    <s v="SERVICIO DE SALUD OSORNO"/>
    <s v="Bienes y Servicios"/>
    <x v="64"/>
    <s v="Proyecto operacional"/>
    <s v="Enviado"/>
    <s v="22.06.007"/>
    <x v="65"/>
    <s v="Mantención anual preventiva, limpieza, cambio de cabezales y revisión de componentes."/>
    <n v="1"/>
    <s v="Mantencion"/>
    <n v="4"/>
    <n v="1"/>
    <n v="1250000"/>
    <n v="1250000"/>
    <x v="4"/>
    <x v="26"/>
    <x v="39"/>
    <x v="44"/>
    <s v="64-2335843-"/>
    <s v="mario.barrientos@redsalud.gob.cl"/>
    <x v="16"/>
    <m/>
    <n v="0"/>
    <m/>
    <n v="0"/>
    <n v="0"/>
    <m/>
    <x v="1"/>
    <x v="4"/>
  </r>
  <r>
    <s v="SERVICIO DE SALUD OSORNO"/>
    <s v="Bienes y Servicios"/>
    <x v="65"/>
    <s v="Proyecto operacional"/>
    <s v="Enviado"/>
    <s v="22.04.001"/>
    <x v="66"/>
    <s v="Adquisición de rollos de 50 mts de papel bond 80 grs, para la impresión de expedientes técnicos de la cartera de Inversión del SSO."/>
    <n v="1"/>
    <s v="Rollos"/>
    <n v="4"/>
    <n v="15"/>
    <n v="20000"/>
    <n v="300000"/>
    <x v="4"/>
    <x v="25"/>
    <x v="39"/>
    <x v="44"/>
    <s v="64-2335843-"/>
    <s v="mario.barrientos@redsalud.gob.cl"/>
    <x v="15"/>
    <m/>
    <n v="0"/>
    <m/>
    <n v="0"/>
    <n v="0"/>
    <m/>
    <x v="1"/>
    <x v="4"/>
  </r>
  <r>
    <s v="SERVICIO DE SALUD OSORNO"/>
    <s v="Bienes y Servicios"/>
    <x v="66"/>
    <s v="Proyecto operacional"/>
    <s v="Enviado"/>
    <s v="22.04.009"/>
    <x v="67"/>
    <s v="Compra de 2 set completos (6 tintas cada set) de tinta originales para Plotter Canon IPF 770."/>
    <n v="1"/>
    <s v="Tinta Plotter"/>
    <n v="4"/>
    <n v="2"/>
    <n v="660000"/>
    <n v="1320000"/>
    <x v="4"/>
    <x v="33"/>
    <x v="39"/>
    <x v="44"/>
    <s v="64-2335843-"/>
    <s v="mario.barrientos@redsalud.gob.cl"/>
    <x v="22"/>
    <m/>
    <n v="0"/>
    <m/>
    <n v="0"/>
    <n v="0"/>
    <m/>
    <x v="1"/>
    <x v="4"/>
  </r>
  <r>
    <s v="SERVICIO DE SALUD OSORNO"/>
    <s v="Bienes y Servicios"/>
    <x v="67"/>
    <s v="Proyecto operacional"/>
    <s v="Enviado"/>
    <s v="22.04.001"/>
    <x v="68"/>
    <s v="Adquisicición Hojas Prehospitalarias"/>
    <n v="1"/>
    <s v="Talonarios"/>
    <n v="4"/>
    <n v="260"/>
    <n v="7695"/>
    <n v="2000700"/>
    <x v="4"/>
    <x v="32"/>
    <x v="40"/>
    <x v="45"/>
    <s v="64-2335844-"/>
    <s v="silvia.delgado@redsalud.gob.cl"/>
    <x v="21"/>
    <m/>
    <n v="0"/>
    <m/>
    <n v="0"/>
    <n v="0"/>
    <m/>
    <x v="1"/>
    <x v="4"/>
  </r>
  <r>
    <s v="SERVICIO DE SALUD OSORNO"/>
    <s v="Bienes y Servicios"/>
    <x v="68"/>
    <s v="Proyecto operacional"/>
    <s v="Enviado"/>
    <s v="22.04.999"/>
    <x v="69"/>
    <s v="Permitirá estandarizar la evaluación, clasificación y priorización de pacientes según su gravedad clínica, asegurando una atención oportuna y eficiente. Su ejecución sera entre enero a marzo 2026."/>
    <n v="1"/>
    <s v="Kit Sistema"/>
    <n v="4"/>
    <n v="15"/>
    <n v="100667"/>
    <n v="1510005"/>
    <x v="4"/>
    <x v="32"/>
    <x v="40"/>
    <x v="45"/>
    <s v="64-2335844-"/>
    <s v="silvia.delgado@redsalud.gob.cl"/>
    <x v="21"/>
    <m/>
    <n v="0"/>
    <m/>
    <n v="0"/>
    <n v="0"/>
    <m/>
    <x v="1"/>
    <x v="4"/>
  </r>
  <r>
    <s v="SERVICIO DE SALUD OSORNO"/>
    <s v="Bienes y Servicios"/>
    <x v="69"/>
    <s v="Proyecto operacional"/>
    <s v="Enviado"/>
    <s v="22.04.001"/>
    <x v="70"/>
    <s v="Proyecto de Capacitación ?Curso de Atención Inicial en Urgencias y Entorno Prehospitalario para el Paciente Crítico?. Busca abordar brechas críticas identificadas en la evaluación y manejo inicial de pacientes en situación de urgencia vital, en el ámbito prehospitalario como en servicios de urgencia, mediante un enfoque estandarizado y protocolizado que fortalezca las competencias del equipo clínico. Se requiere servicio de cafeteria y para generar certificación a los asistentes, a ejecutar en marzo 2026, previo a campaña de invierno."/>
    <n v="2"/>
    <s v="Opalina"/>
    <n v="4"/>
    <n v="50"/>
    <n v="450"/>
    <n v="22500"/>
    <x v="4"/>
    <x v="32"/>
    <x v="40"/>
    <x v="45"/>
    <s v="64-2335844-"/>
    <s v="silvia.delgado@redsalud.gob.cl"/>
    <x v="21"/>
    <m/>
    <n v="0"/>
    <m/>
    <n v="0"/>
    <n v="0"/>
    <m/>
    <x v="1"/>
    <x v="4"/>
  </r>
  <r>
    <s v="SERVICIO DE SALUD OSORNO"/>
    <s v="Bienes y Servicios"/>
    <x v="69"/>
    <s v="Proyecto operacional"/>
    <s v="Enviado"/>
    <s v="22.04.001"/>
    <x v="70"/>
    <s v="Proyecto de Capacitación ?Curso de Atención Inicial en Urgencias y Entorno Prehospitalario para el Paciente Crítico?. Busca abordar brechas críticas identificadas en la evaluación y manejo inicial de pacientes en situación de urgencia vital, en el ámbito prehospitalario como en servicios de urgencia, mediante un enfoque estandarizado y protocolizado que fortalezca las competencias del equipo clínico. Se requiere servicio de cafeteria y para generar certificación a los asistentes, a ejecutar en marzo 2026, previo a campaña de invierno."/>
    <n v="2"/>
    <s v="Cafeteria"/>
    <n v="4"/>
    <n v="1"/>
    <n v="850000"/>
    <n v="850000"/>
    <x v="4"/>
    <x v="32"/>
    <x v="40"/>
    <x v="45"/>
    <s v="64-2335844-"/>
    <s v="silvia.delgado@redsalud.gob.cl"/>
    <x v="21"/>
    <m/>
    <n v="0"/>
    <m/>
    <n v="0"/>
    <n v="0"/>
    <m/>
    <x v="1"/>
    <x v="4"/>
  </r>
  <r>
    <s v="SERVICIO DE SALUD OSORNO"/>
    <s v="Bienes y Servicios"/>
    <x v="70"/>
    <s v="Proyecto operacional"/>
    <s v="Enviado"/>
    <s v="22.01.001"/>
    <x v="71"/>
    <s v="Entregar un coffe break para jornada ?Diálogo participativo 2026&quot; a realizarse en el mes de noviembre 2026. En este espacio significativo se busca capturar información relevante, conocer puntos de vista de las /os participantes, identificando y comprendiendo las problemáticas en salud mental de nuestro territorio a cargo, siendo de importancia para nuestra labor en salud publica generar espacios de integración y trabajo en red , que contribuyan a la salud mental de nuestros usuarios /as. Con cargo a fondo extrapresupuestario SENDA-PAI"/>
    <n v="1"/>
    <s v="Cafeteria"/>
    <n v="4"/>
    <n v="120"/>
    <n v="4500"/>
    <n v="540000"/>
    <x v="4"/>
    <x v="28"/>
    <x v="41"/>
    <x v="46"/>
    <s v="64-2335608-"/>
    <s v="camilo.martinez@redsalud.gob.cl"/>
    <x v="18"/>
    <m/>
    <n v="0"/>
    <m/>
    <n v="0"/>
    <n v="0"/>
    <m/>
    <x v="1"/>
    <x v="4"/>
  </r>
  <r>
    <s v="SERVICIO DE SALUD OSORNO"/>
    <s v="Bienes y Servicios"/>
    <x v="71"/>
    <s v="Proyecto operacional"/>
    <s v="Enviado"/>
    <s v="22.01.001"/>
    <x v="72"/>
    <s v="4 servicios de cafetería, mas colación saludable para 20 personas en los meses de abril ?julio ?septiembre y diciembre del 2026. Con cargo a fondo extrapresupuestario SENDA-PAI"/>
    <n v="6"/>
    <s v="Cafeteria"/>
    <n v="4"/>
    <n v="30"/>
    <n v="4500"/>
    <n v="135000"/>
    <x v="4"/>
    <x v="24"/>
    <x v="41"/>
    <x v="46"/>
    <s v="64-2335608-"/>
    <s v="camilo.martinez@redsalud.gob.cl"/>
    <x v="14"/>
    <m/>
    <n v="0"/>
    <m/>
    <n v="0"/>
    <n v="0"/>
    <m/>
    <x v="1"/>
    <x v="4"/>
  </r>
  <r>
    <s v="SERVICIO DE SALUD OSORNO"/>
    <s v="Bienes y Servicios"/>
    <x v="71"/>
    <s v="Proyecto operacional"/>
    <s v="Enviado"/>
    <s v="22.01.001"/>
    <x v="72"/>
    <s v="4 servicios de cafetería, mas colación saludable para 20 personas en los meses de abril ?julio ?septiembre y diciembre del 2026. Con cargo a fondo extrapresupuestario SENDA-PAI"/>
    <n v="6"/>
    <s v="Cafeteria"/>
    <n v="4"/>
    <n v="90"/>
    <n v="4500"/>
    <n v="405000"/>
    <x v="15"/>
    <x v="34"/>
    <x v="41"/>
    <x v="46"/>
    <s v="64-2335608-"/>
    <s v="camilo.martinez@redsalud.gob.cl"/>
    <x v="22"/>
    <m/>
    <n v="0"/>
    <m/>
    <n v="0"/>
    <n v="0"/>
    <m/>
    <x v="1"/>
    <x v="4"/>
  </r>
  <r>
    <s v="SERVICIO DE SALUD OSORNO"/>
    <s v="Bienes y Servicios"/>
    <x v="71"/>
    <s v="Proyecto operacional"/>
    <s v="Enviado"/>
    <s v="22.01.001"/>
    <x v="72"/>
    <s v="4 servicios de cafetería, mas colación saludable para 20 personas en los meses de abril ?julio ?septiembre y diciembre del 2026. Con cargo a fondo extrapresupuestario SENDA-PAI"/>
    <n v="6"/>
    <s v="Alimentación"/>
    <n v="4"/>
    <n v="30"/>
    <n v="4500"/>
    <n v="135000"/>
    <x v="4"/>
    <x v="24"/>
    <x v="41"/>
    <x v="46"/>
    <s v="64-2335608-"/>
    <s v="camilo.martinez@redsalud.gob.cl"/>
    <x v="14"/>
    <m/>
    <n v="0"/>
    <m/>
    <n v="0"/>
    <n v="0"/>
    <m/>
    <x v="1"/>
    <x v="4"/>
  </r>
  <r>
    <s v="SERVICIO DE SALUD OSORNO"/>
    <s v="Bienes y Servicios"/>
    <x v="71"/>
    <s v="Proyecto operacional"/>
    <s v="Enviado"/>
    <s v="22.01.001"/>
    <x v="72"/>
    <s v="4 servicios de cafetería, mas colación saludable para 20 personas en los meses de abril ?julio ?septiembre y diciembre del 2026. Con cargo a fondo extrapresupuestario SENDA-PAI"/>
    <n v="6"/>
    <s v="Alimentación"/>
    <n v="4"/>
    <n v="30"/>
    <n v="4500"/>
    <n v="135000"/>
    <x v="4"/>
    <x v="33"/>
    <x v="41"/>
    <x v="46"/>
    <s v="64-2335608-"/>
    <s v="camilo.martinez@redsalud.gob.cl"/>
    <x v="22"/>
    <m/>
    <n v="0"/>
    <m/>
    <n v="0"/>
    <n v="0"/>
    <m/>
    <x v="1"/>
    <x v="4"/>
  </r>
  <r>
    <s v="SERVICIO DE SALUD OSORNO"/>
    <s v="Bienes y Servicios"/>
    <x v="71"/>
    <s v="Proyecto operacional"/>
    <s v="Enviado"/>
    <s v="22.01.001"/>
    <x v="72"/>
    <s v="4 servicios de cafetería, mas colación saludable para 20 personas en los meses de abril ?julio ?septiembre y diciembre del 2026. Con cargo a fondo extrapresupuestario SENDA-PAI"/>
    <n v="6"/>
    <s v="Alimentación"/>
    <n v="4"/>
    <n v="30"/>
    <n v="4500"/>
    <n v="135000"/>
    <x v="4"/>
    <x v="26"/>
    <x v="41"/>
    <x v="46"/>
    <s v="64-2335608-"/>
    <s v="camilo.martinez@redsalud.gob.cl"/>
    <x v="16"/>
    <m/>
    <n v="0"/>
    <m/>
    <n v="0"/>
    <n v="0"/>
    <m/>
    <x v="1"/>
    <x v="4"/>
  </r>
  <r>
    <s v="SERVICIO DE SALUD OSORNO"/>
    <s v="Bienes y Servicios"/>
    <x v="71"/>
    <s v="Proyecto operacional"/>
    <s v="Enviado"/>
    <s v="22.01.001"/>
    <x v="72"/>
    <s v="4 servicios de cafetería, mas colación saludable para 20 personas en los meses de abril ?julio ?septiembre y diciembre del 2026. Con cargo a fondo extrapresupuestario SENDA-PAI"/>
    <n v="6"/>
    <s v="Alimentación"/>
    <n v="4"/>
    <n v="30"/>
    <n v="4500"/>
    <n v="135000"/>
    <x v="4"/>
    <x v="29"/>
    <x v="41"/>
    <x v="46"/>
    <s v="64-2335608-"/>
    <s v="camilo.martinez@redsalud.gob.cl"/>
    <x v="23"/>
    <m/>
    <n v="0"/>
    <m/>
    <n v="0"/>
    <n v="0"/>
    <m/>
    <x v="1"/>
    <x v="4"/>
  </r>
  <r>
    <s v="SERVICIO DE SALUD OSORNO"/>
    <s v="Bienes y Servicios"/>
    <x v="72"/>
    <s v="Proyecto operacional"/>
    <s v="Enviado"/>
    <s v="22.04.015"/>
    <x v="73"/>
    <s v="5 Kits Torre PRO48, Sistema Aero/Hidropónico vertical con macetero de 40 lts con ruedas para mover con mayor facilidad en superficies planas. Capacidad de hasta 48 plantas. Incluye fertilizantes y plantas seleccionadas a elección. Se requiere para el mes de marzo 2026. Con cargo a presupuesto de SSO."/>
    <n v="1"/>
    <s v="Macetero"/>
    <n v="4"/>
    <n v="6"/>
    <n v="250000"/>
    <n v="1500000"/>
    <x v="4"/>
    <x v="32"/>
    <x v="41"/>
    <x v="46"/>
    <s v="64-2335608-"/>
    <s v="camilo.martinez@redsalud.gob.cl"/>
    <x v="21"/>
    <m/>
    <n v="0"/>
    <m/>
    <n v="0"/>
    <n v="0"/>
    <m/>
    <x v="1"/>
    <x v="4"/>
  </r>
  <r>
    <s v="SERVICIO DE SALUD OSORNO"/>
    <s v="Bienes y Servicios"/>
    <x v="73"/>
    <s v="Proyecto operacional"/>
    <s v="Enviado"/>
    <s v="22.04.001"/>
    <x v="74"/>
    <s v="Garantizar disponibilidad de medicamentos para el tratamiento de los usuarios. Realizar correctamente la dispensación de medicamentos a los usuarios, con la correspondiente etiqueta y comprobante de entrega de fármacos. INSUMOS SE REQUIEREN PARA EL MES DE ENERO 2026"/>
    <n v="1"/>
    <s v="Insumos y Repuestos"/>
    <n v="4"/>
    <n v="10"/>
    <n v="85000"/>
    <n v="850000"/>
    <x v="4"/>
    <x v="35"/>
    <x v="41"/>
    <x v="46"/>
    <s v="64-2335608-"/>
    <s v="camilo.martinez@redsalud.gob.cl"/>
    <x v="13"/>
    <m/>
    <n v="0"/>
    <m/>
    <n v="0"/>
    <n v="0"/>
    <m/>
    <x v="1"/>
    <x v="4"/>
  </r>
  <r>
    <s v="SERVICIO DE SALUD OSORNO"/>
    <s v="Bienes y Servicios"/>
    <x v="74"/>
    <s v="Proyecto operacional"/>
    <s v="Enviado"/>
    <s v="22.01.001"/>
    <x v="75"/>
    <s v="Se requiere servicio de cafetería con pertinencia cultural, para jornadas de Capacitación a dotación de COSAM Rahue y Comunidad Mapuche Huilliche, en el contexto de cambio a nuevas instalaciones, la incorporación de Facilitador Intercultural, el aumento de dotación de funcionarios de COSAM Rahue. Lo anterior trae desafíos para la implementación de Salud Mental Intercultural que se espera abordad a través de capacitación continua como una de las estrategias. Se programan 1 jornada en el mes de mayo y otra en noviembre. Con cargo a SENDA-PAI"/>
    <n v="2"/>
    <s v="Cafeteria"/>
    <n v="4"/>
    <n v="100"/>
    <n v="4500"/>
    <n v="450000"/>
    <x v="4"/>
    <x v="31"/>
    <x v="41"/>
    <x v="46"/>
    <s v="64-2335608-"/>
    <s v="camilo.martinez@redsalud.gob.cl"/>
    <x v="20"/>
    <m/>
    <n v="0"/>
    <m/>
    <n v="0"/>
    <n v="0"/>
    <m/>
    <x v="1"/>
    <x v="4"/>
  </r>
  <r>
    <s v="SERVICIO DE SALUD OSORNO"/>
    <s v="Bienes y Servicios"/>
    <x v="74"/>
    <s v="Proyecto operacional"/>
    <s v="Enviado"/>
    <s v="22.01.001"/>
    <x v="75"/>
    <s v="Se requiere servicio de cafetería con pertinencia cultural, para jornadas de Capacitación a dotación de COSAM Rahue y Comunidad Mapuche Huilliche, en el contexto de cambio a nuevas instalaciones, la incorporación de Facilitador Intercultural, el aumento de dotación de funcionarios de COSAM Rahue. Lo anterior trae desafíos para la implementación de Salud Mental Intercultural que se espera abordad a través de capacitación continua como una de las estrategias. Se programan 1 jornada en el mes de mayo y otra en noviembre. Con cargo a SENDA-PAI"/>
    <n v="2"/>
    <s v="Cafeteria"/>
    <n v="4"/>
    <n v="100"/>
    <n v="4500"/>
    <n v="450000"/>
    <x v="4"/>
    <x v="31"/>
    <x v="41"/>
    <x v="46"/>
    <s v="64-2335608-"/>
    <s v="camilo.martinez@redsalud.gob.cl"/>
    <x v="18"/>
    <m/>
    <n v="0"/>
    <m/>
    <n v="0"/>
    <n v="0"/>
    <m/>
    <x v="1"/>
    <x v="4"/>
  </r>
  <r>
    <s v="SERVICIO DE SALUD OSORNO"/>
    <s v="Bienes y Servicios"/>
    <x v="75"/>
    <s v="Proyecto operacional"/>
    <s v="Enviado"/>
    <s v="22.01.001"/>
    <x v="76"/>
    <s v="Se requiere contratación de servicio de cafetería con pertinencia cultural, a fin de llevar a cabo Celebración de We Tripantu, ceremonia que marca el nuevo ciclo para la comunidad Mapuche Huilliche. Está programada para el viernes 19 de junio de 2026, con la participación de 140 personas entre usuarios y participantes de la comunidad del territorio de COSAM Rahue. Con cargo a fondo extrapresupuestario SENDA-PAI"/>
    <n v="1"/>
    <s v="Cafeteria"/>
    <n v="4"/>
    <n v="140"/>
    <n v="4500"/>
    <n v="630000"/>
    <x v="4"/>
    <x v="25"/>
    <x v="41"/>
    <x v="46"/>
    <s v="64-2335608-"/>
    <s v="camilo.martinez@redsalud.gob.cl"/>
    <x v="15"/>
    <m/>
    <n v="0"/>
    <m/>
    <n v="0"/>
    <n v="0"/>
    <m/>
    <x v="1"/>
    <x v="4"/>
  </r>
  <r>
    <s v="SERVICIO DE SALUD OSORNO"/>
    <s v="Bienes y Servicios"/>
    <x v="76"/>
    <s v="Proyecto operacional"/>
    <s v="Enviado"/>
    <s v="22.01.001"/>
    <x v="77"/>
    <s v="Servicio de cafetería para jornada Autocuidado programa PAI COSAM Rahue, para 30 personas, en el mes de septiembre 2026. Con cargo a fondo extrapresupuestario SENDA-PAI"/>
    <n v="1"/>
    <s v="Cafeteria"/>
    <n v="4"/>
    <n v="30"/>
    <n v="4500"/>
    <n v="135000"/>
    <x v="4"/>
    <x v="36"/>
    <x v="41"/>
    <x v="46"/>
    <s v="64-2335608-"/>
    <s v="camilo.martinez@redsalud.gob.cl"/>
    <x v="24"/>
    <m/>
    <n v="0"/>
    <m/>
    <n v="0"/>
    <n v="0"/>
    <m/>
    <x v="1"/>
    <x v="4"/>
  </r>
  <r>
    <s v="SERVICIO DE SALUD OSORNO"/>
    <s v="Administración de Fondos"/>
    <x v="77"/>
    <s v="Proyecto operacional"/>
    <s v="Enviado"/>
    <s v="22.01.001"/>
    <x v="78"/>
    <s v="1 servicio de cafetería para 50 personas para ceremonia alta de Programa SENDA-PAI COSAM Rahue, en el mes de agosto de 2026."/>
    <n v="1"/>
    <s v="Cafeteria"/>
    <n v="4"/>
    <n v="50"/>
    <n v="4500"/>
    <n v="225000"/>
    <x v="4"/>
    <x v="36"/>
    <x v="41"/>
    <x v="46"/>
    <s v="64-2335608-"/>
    <s v="camilo.martinez@redsalud.gob.cl"/>
    <x v="24"/>
    <m/>
    <n v="0"/>
    <m/>
    <n v="0"/>
    <n v="0"/>
    <m/>
    <x v="1"/>
    <x v="2"/>
  </r>
  <r>
    <s v="SERVICIO DE SALUD OSORNO"/>
    <s v="Bienes y Servicios"/>
    <x v="78"/>
    <s v="Proyecto operacional"/>
    <s v="Enviado"/>
    <s v="22.12.999"/>
    <x v="79"/>
    <s v="Se requiere la contratación del servicio denominado Hogar Protegido Mujeres (beneficiarios 8 usuarios) para usuarios/as por un periodo de 12 meses. Vigencia desde el 22 de marzo de 2026 al 23 de marzo de 2027. Incluye: $ 35.500 valor prestación Día Hogar Protegido (6 usuarios). $ 54.145 valor prestación categoría 2 (1 usuario) $ 65.546 valor prestación categoría 3 (1 usuario)"/>
    <n v="3"/>
    <s v="Hogar Protegido 6"/>
    <n v="4"/>
    <n v="6"/>
    <n v="12957500"/>
    <n v="64787500"/>
    <x v="11"/>
    <x v="37"/>
    <x v="12"/>
    <x v="33"/>
    <s v="64-2335813-"/>
    <s v="angelo.palma@redsalud.gob.cl"/>
    <x v="21"/>
    <m/>
    <n v="0"/>
    <m/>
    <n v="0"/>
    <n v="0"/>
    <m/>
    <x v="1"/>
    <x v="4"/>
  </r>
  <r>
    <s v="SERVICIO DE SALUD OSORNO"/>
    <s v="Bienes y Servicios"/>
    <x v="78"/>
    <s v="Proyecto operacional"/>
    <s v="Enviado"/>
    <s v="22.12.999"/>
    <x v="79"/>
    <s v="Se requiere la contratación del servicio denominado Hogar Protegido Mujeres (beneficiarios 8 usuarios) para usuarios/as por un periodo de 12 meses. Vigencia desde el 22 de marzo de 2026 al 23 de marzo de 2027. Incluye: $ 35.500 valor prestación Día Hogar Protegido (6 usuarios). $ 54.145 valor prestación categoría 2 (1 usuario) $ 65.546 valor prestación categoría 3 (1 usuario)"/>
    <n v="3"/>
    <s v="Hogar Protegido 1"/>
    <n v="4"/>
    <n v="1"/>
    <n v="19762925"/>
    <n v="16469109"/>
    <x v="11"/>
    <x v="37"/>
    <x v="12"/>
    <x v="33"/>
    <s v="64-2335813-"/>
    <s v="angelo.palma@redsalud.gob.cl"/>
    <x v="21"/>
    <m/>
    <n v="0"/>
    <m/>
    <n v="0"/>
    <n v="0"/>
    <m/>
    <x v="1"/>
    <x v="4"/>
  </r>
  <r>
    <s v="SERVICIO DE SALUD OSORNO"/>
    <s v="Bienes y Servicios"/>
    <x v="78"/>
    <s v="Proyecto operacional"/>
    <s v="Enviado"/>
    <s v="22.12.999"/>
    <x v="79"/>
    <s v="Se requiere la contratación del servicio denominado Hogar Protegido Mujeres (beneficiarios 8 usuarios) para usuarios/as por un periodo de 12 meses. Vigencia desde el 22 de marzo de 2026 al 23 de marzo de 2027. Incluye: $ 35.500 valor prestación Día Hogar Protegido (6 usuarios). $ 54.145 valor prestación categoría 2 (1 usuario) $ 65.546 valor prestación categoría 3 (1 usuario)"/>
    <n v="3"/>
    <s v="Hogar Protegido 1"/>
    <n v="4"/>
    <n v="1"/>
    <n v="23924290"/>
    <n v="19936910"/>
    <x v="11"/>
    <x v="37"/>
    <x v="12"/>
    <x v="33"/>
    <s v="64-2335813-"/>
    <s v="angelo.palma@redsalud.gob.cl"/>
    <x v="21"/>
    <m/>
    <n v="0"/>
    <m/>
    <n v="0"/>
    <n v="0"/>
    <m/>
    <x v="1"/>
    <x v="4"/>
  </r>
  <r>
    <s v="SERVICIO DE SALUD OSORNO"/>
    <s v="Administración de Fondos"/>
    <x v="79"/>
    <s v="Proyecto operacional"/>
    <s v="Enviado"/>
    <s v="22.04.001"/>
    <x v="80"/>
    <s v="Se requiere adquirir anilladora e insumos para la elaboración de material de trabajo y difusión para el mes de febrero. Lo anterior con cargo a fondo extrapresupuestario SENDA PAI."/>
    <n v="1"/>
    <s v="Material de Oficina"/>
    <n v="4"/>
    <n v="20"/>
    <n v="13000"/>
    <n v="260000"/>
    <x v="4"/>
    <x v="38"/>
    <x v="41"/>
    <x v="46"/>
    <s v="64-2335608-"/>
    <s v="camilo.martinez@redsalud.gob.cl"/>
    <x v="19"/>
    <m/>
    <n v="0"/>
    <m/>
    <n v="0"/>
    <n v="0"/>
    <m/>
    <x v="1"/>
    <x v="2"/>
  </r>
  <r>
    <s v="SERVICIO DE SALUD OSORNO"/>
    <s v="Bienes y Servicios"/>
    <x v="80"/>
    <s v="Proyecto operacional"/>
    <s v="Enviado"/>
    <s v="22.01.001"/>
    <x v="81"/>
    <s v="Se requiere servicio de cafetería para 150 personas para el mes de mayo 2026. Se espera: ? La participación de Directivos del Servicio de Salud Osorno, funcionarios de COSAM Rahue, usuarios y comunidad."/>
    <n v="1"/>
    <s v="Cafeteria"/>
    <n v="4"/>
    <n v="150"/>
    <n v="4500"/>
    <n v="675000"/>
    <x v="4"/>
    <x v="31"/>
    <x v="41"/>
    <x v="46"/>
    <s v="64-2335608-"/>
    <s v="camilo.martinez@redsalud.gob.cl"/>
    <x v="20"/>
    <m/>
    <n v="0"/>
    <m/>
    <n v="0"/>
    <n v="0"/>
    <m/>
    <x v="1"/>
    <x v="4"/>
  </r>
  <r>
    <s v="SERVICIO DE SALUD OSORNO"/>
    <s v="Administración de Fondos"/>
    <x v="81"/>
    <s v="Proyecto operacional"/>
    <s v="Enviado"/>
    <s v="22.01.001"/>
    <x v="82"/>
    <s v="Se requiere la contratación de 2 servicios de cafetería para jornadas de autocuidado de la comunidad funcionaria para 100 personas cada uno: mes de junio y mes de diciembre. La contratación de este servicio será cargada a fondos extrapresupuestarios SENDA-PAI"/>
    <n v="2"/>
    <s v="Cafeteria"/>
    <n v="4"/>
    <n v="100"/>
    <n v="4500"/>
    <n v="450000"/>
    <x v="4"/>
    <x v="25"/>
    <x v="41"/>
    <x v="46"/>
    <s v="64-2335608-"/>
    <s v="camilo.martinez@redsalud.gob.cl"/>
    <x v="15"/>
    <m/>
    <n v="0"/>
    <m/>
    <n v="0"/>
    <n v="0"/>
    <m/>
    <x v="1"/>
    <x v="2"/>
  </r>
  <r>
    <s v="SERVICIO DE SALUD OSORNO"/>
    <s v="Administración de Fondos"/>
    <x v="81"/>
    <s v="Proyecto operacional"/>
    <s v="Enviado"/>
    <s v="22.01.001"/>
    <x v="82"/>
    <s v="Se requiere la contratación de 2 servicios de cafetería para jornadas de autocuidado de la comunidad funcionaria para 100 personas cada uno: mes de junio y mes de diciembre. La contratación de este servicio será cargada a fondos extrapresupuestarios SENDA-PAI"/>
    <n v="2"/>
    <s v="Cafeteria"/>
    <n v="4"/>
    <n v="100"/>
    <n v="4500"/>
    <n v="450000"/>
    <x v="4"/>
    <x v="29"/>
    <x v="41"/>
    <x v="46"/>
    <s v="64-2335608-"/>
    <s v="camilo.martinez@redsalud.gob.cl"/>
    <x v="23"/>
    <m/>
    <n v="0"/>
    <m/>
    <n v="0"/>
    <n v="0"/>
    <m/>
    <x v="1"/>
    <x v="2"/>
  </r>
  <r>
    <s v="SERVICIO DE SALUD OSORNO"/>
    <s v="Administración de Fondos"/>
    <x v="82"/>
    <s v="Proyecto operacional"/>
    <s v="Enviado"/>
    <s v="22.01.001"/>
    <x v="83"/>
    <s v="Se requiere la compra de insumos de alimentación para actividad de celebración de fiestas patrias con usuarios y cuidadores de Programa de Atención Domiciliaria, Programa Calle, Programa SENDA PAI, Consejo Consultivo Adulto e Infanto-adolescente y usuarios de talleres, para el 04/09/2026. Con cargo a fondo extrapresupuestario SENDA-PAI"/>
    <n v="1"/>
    <s v="Alimentos 18 Sept"/>
    <n v="4"/>
    <n v="100"/>
    <n v="6250"/>
    <n v="625000"/>
    <x v="4"/>
    <x v="26"/>
    <x v="41"/>
    <x v="46"/>
    <s v="64-2335608-"/>
    <s v="camilo.martinez@redsalud.gob.cl"/>
    <x v="16"/>
    <m/>
    <n v="0"/>
    <m/>
    <n v="0"/>
    <n v="0"/>
    <m/>
    <x v="1"/>
    <x v="2"/>
  </r>
  <r>
    <s v="SERVICIO DE SALUD OSORNO"/>
    <s v="Bienes y Servicios"/>
    <x v="83"/>
    <s v="Proyecto operacional"/>
    <s v="Enviado"/>
    <s v="22.04.001"/>
    <x v="84"/>
    <s v="Compra de articulos de libreria para el funiconamiento del Equipo Rural de Rehabilitación (marzo 2026)"/>
    <n v="1"/>
    <s v="Material de Oficina"/>
    <n v="4"/>
    <n v="100"/>
    <n v="1900"/>
    <n v="190000"/>
    <x v="4"/>
    <x v="32"/>
    <x v="37"/>
    <x v="42"/>
    <s v="64-2335807-"/>
    <s v="karin.avila@redsalud.gob.cl"/>
    <x v="21"/>
    <m/>
    <n v="0"/>
    <m/>
    <n v="0"/>
    <n v="0"/>
    <m/>
    <x v="1"/>
    <x v="4"/>
  </r>
  <r>
    <s v="SERVICIO DE SALUD OSORNO"/>
    <s v="Administración de Fondos"/>
    <x v="84"/>
    <s v="Proyecto operacional"/>
    <s v="Enviado"/>
    <s v="22.04.001"/>
    <x v="85"/>
    <s v="Compra de material de ergoterapia para el funiconamiento del Equipo Rural de Rehabilitación"/>
    <n v="1"/>
    <s v="Pistola Silicona"/>
    <n v="4"/>
    <n v="5"/>
    <n v="30000"/>
    <n v="150000"/>
    <x v="4"/>
    <x v="32"/>
    <x v="37"/>
    <x v="42"/>
    <s v="64-2335807-"/>
    <s v="karin.avila@redsalud.gob.cl"/>
    <x v="21"/>
    <m/>
    <n v="0"/>
    <m/>
    <n v="0"/>
    <n v="0"/>
    <m/>
    <x v="1"/>
    <x v="2"/>
  </r>
  <r>
    <s v="SERVICIO DE SALUD OSORNO"/>
    <s v="Bienes y Servicios"/>
    <x v="85"/>
    <s v="Proyecto operacional"/>
    <s v="Enviado"/>
    <s v="22.12.999"/>
    <x v="86"/>
    <s v="Se requiere la contratación del servicio denominado Residencia Protegida (beneficiarios 3 usuarios) para usuarios/as por un periodo de 24 meses. Vigencia desde el 31 de marzo de 2026 al 1 de abril de 2028. $ 54.154 valor prestación Día residencia Protegida (3 usuarios). Estos usuarias cuentan actualmente con domicilio en la comuna de Hualqui, derivados bajo la responsabilidad de nuestro Servicio de Salud."/>
    <n v="1"/>
    <s v="Residencia Protegia"/>
    <n v="4"/>
    <n v="3"/>
    <n v="39586574"/>
    <n v="49483210"/>
    <x v="1"/>
    <x v="39"/>
    <x v="12"/>
    <x v="33"/>
    <s v="64-2335813-"/>
    <s v="angelo.palma@redsalud.gob.cl"/>
    <x v="21"/>
    <m/>
    <n v="0"/>
    <m/>
    <n v="0"/>
    <n v="0"/>
    <m/>
    <x v="1"/>
    <x v="4"/>
  </r>
  <r>
    <s v="SERVICIO DE SALUD OSORNO"/>
    <s v="Bienes y Servicios"/>
    <x v="86"/>
    <s v="Proyecto operacional"/>
    <s v="Enviado"/>
    <s v="22.04.001"/>
    <x v="87"/>
    <s v="Se requiere la compra de 50 Rollos Etiquetas para impresora ZEBRA ZD 888T y 50 rollos de cinta para impresora SOME para el mes de enero 2026."/>
    <n v="1"/>
    <s v="Rollos"/>
    <n v="4"/>
    <n v="70"/>
    <n v="6143"/>
    <n v="430010"/>
    <x v="4"/>
    <x v="35"/>
    <x v="41"/>
    <x v="46"/>
    <s v="64-2335608-"/>
    <s v="camilo.martinez@redsalud.gob.cl"/>
    <x v="13"/>
    <m/>
    <n v="0"/>
    <m/>
    <n v="0"/>
    <n v="0"/>
    <m/>
    <x v="1"/>
    <x v="4"/>
  </r>
  <r>
    <s v="SERVICIO DE SALUD OSORNO"/>
    <s v="Bienes y Servicios"/>
    <x v="87"/>
    <s v="Proyecto operacional"/>
    <s v="Enviado"/>
    <s v="22.12.999"/>
    <x v="88"/>
    <s v="Se requiere la contratación del servicio denominado Residencia Protegida alta complejidad (beneficiarios 10 usuarios) para usuarios/as por un periodo de 12 meses. Vigencia desde el 15 de marzo de 2026 al 16 de marzo de 2027. $ 81.432 valor prestación Día residencia Protegida alta complejidad (10 usuarios)."/>
    <n v="1"/>
    <s v="Residencia Protegia"/>
    <n v="4"/>
    <n v="10"/>
    <n v="29722680"/>
    <n v="247689000"/>
    <x v="11"/>
    <x v="37"/>
    <x v="12"/>
    <x v="33"/>
    <s v="64-2335813-"/>
    <s v="angelo.palma@redsalud.gob.cl"/>
    <x v="21"/>
    <m/>
    <n v="0"/>
    <m/>
    <n v="0"/>
    <n v="0"/>
    <m/>
    <x v="1"/>
    <x v="4"/>
  </r>
  <r>
    <s v="SERVICIO DE SALUD OSORNO"/>
    <s v="Bienes y Servicios"/>
    <x v="88"/>
    <s v="Proyecto operacional"/>
    <s v="Enviado"/>
    <s v="22.04.007"/>
    <x v="89"/>
    <s v="Contar con insumos de aseo para el buen funcionamiento del dispositivo, no disponibles en maestro de abastecimiento. Insumos se requieren para el mes de marzo 2026."/>
    <n v="1"/>
    <s v="Insumos de Aseo"/>
    <n v="4"/>
    <n v="338"/>
    <n v="2929"/>
    <n v="990002"/>
    <x v="4"/>
    <x v="32"/>
    <x v="41"/>
    <x v="46"/>
    <s v="64-2335608-"/>
    <s v="camilo.martinez@redsalud.gob.cl"/>
    <x v="21"/>
    <m/>
    <n v="0"/>
    <m/>
    <n v="0"/>
    <n v="0"/>
    <m/>
    <x v="1"/>
    <x v="4"/>
  </r>
  <r>
    <s v="SERVICIO DE SALUD OSORNO"/>
    <s v="Bienes y Servicios"/>
    <x v="89"/>
    <s v="Proyecto operacional"/>
    <s v="Enviado"/>
    <s v="22.12.999.015"/>
    <x v="90"/>
    <s v="Compra Insumos de cafetería para reuniones mensuales Salud Pueblos Originarios, se proyectan 18 reuniones ordinarias (marzo a diciembre) con un aproximado de 365 personas."/>
    <n v="1"/>
    <s v="Alimentación"/>
    <n v="4"/>
    <n v="2107"/>
    <n v="642"/>
    <n v="1352694"/>
    <x v="4"/>
    <x v="32"/>
    <x v="42"/>
    <x v="47"/>
    <s v="64-2335814-"/>
    <s v="pedro.huito@redsalud.gob.cl"/>
    <x v="21"/>
    <m/>
    <n v="0"/>
    <m/>
    <n v="0"/>
    <n v="0"/>
    <m/>
    <x v="1"/>
    <x v="4"/>
  </r>
  <r>
    <s v="SERVICIO DE SALUD OSORNO"/>
    <s v="Administración de Fondos"/>
    <x v="90"/>
    <s v="Proyecto operacional"/>
    <s v="Enviado"/>
    <s v="22.01.001"/>
    <x v="91"/>
    <s v="Insumos de cafetería para la ejecución de talleres, actividades grupales y psicoeducativas que se desarrollan con usuarios/as de Cosam Rahue y la comunidad para el año 2026, con cargo a fondo extrapresupuestario SENDA PAI. Se requiere compra para enero 2026."/>
    <n v="2"/>
    <s v="Alimentos"/>
    <n v="4"/>
    <n v="1200"/>
    <n v="1894"/>
    <n v="2272800"/>
    <x v="4"/>
    <x v="35"/>
    <x v="41"/>
    <x v="46"/>
    <s v="64-2335608-"/>
    <s v="camilo.martinez@redsalud.gob.cl"/>
    <x v="13"/>
    <m/>
    <n v="0"/>
    <m/>
    <n v="0"/>
    <n v="0"/>
    <m/>
    <x v="1"/>
    <x v="2"/>
  </r>
  <r>
    <s v="SERVICIO DE SALUD OSORNO"/>
    <s v="Administración de Fondos"/>
    <x v="90"/>
    <s v="Proyecto operacional"/>
    <s v="Enviado"/>
    <s v="22.01.001"/>
    <x v="91"/>
    <s v="Insumos de cafetería para la ejecución de talleres, actividades grupales y psicoeducativas que se desarrollan con usuarios/as de Cosam Rahue y la comunidad para el año 2026, con cargo a fondo extrapresupuestario SENDA PAI. Se requiere compra para enero 2026."/>
    <n v="2"/>
    <s v="Insumos"/>
    <n v="4"/>
    <n v="94"/>
    <n v="5320"/>
    <n v="500080"/>
    <x v="4"/>
    <x v="35"/>
    <x v="41"/>
    <x v="46"/>
    <s v="64-2335608-"/>
    <s v="camilo.martinez@redsalud.gob.cl"/>
    <x v="13"/>
    <m/>
    <n v="0"/>
    <m/>
    <n v="0"/>
    <n v="0"/>
    <m/>
    <x v="1"/>
    <x v="2"/>
  </r>
  <r>
    <s v="SERVICIO DE SALUD OSORNO"/>
    <s v="Administración de Fondos"/>
    <x v="91"/>
    <s v="Proyecto operacional"/>
    <s v="Enviado"/>
    <s v="22.04.001"/>
    <x v="92"/>
    <s v="Insumos de escritorio que no se encuentran en el maestro de Depto de Abastecimiento o que son insuficientes para el correcto funcionamiento del dispositivo. Se requieren para el mes de marzo 2026. con cargo a fondo extrapresupuestario SENDA-PAI"/>
    <n v="1"/>
    <s v="Material de Oficina"/>
    <n v="4"/>
    <n v="311"/>
    <n v="4721"/>
    <n v="1468231"/>
    <x v="4"/>
    <x v="32"/>
    <x v="41"/>
    <x v="46"/>
    <s v="64-2335608-"/>
    <s v="camilo.martinez@redsalud.gob.cl"/>
    <x v="21"/>
    <m/>
    <n v="0"/>
    <m/>
    <n v="0"/>
    <n v="0"/>
    <m/>
    <x v="1"/>
    <x v="2"/>
  </r>
  <r>
    <s v="SERVICIO DE SALUD OSORNO"/>
    <s v="Bienes y Servicios"/>
    <x v="92"/>
    <s v="Proyecto operacional"/>
    <s v="Actualizado"/>
    <s v="22.04.999"/>
    <x v="93"/>
    <s v="En el contexto de atención clínica comunitaria, el equipo técnico-profesional de Cosam Rahue realiza acciones en la comunidad, tales como talleres, visitas domiciliarias y actividades al aire libre, por lo que se requiere protector solar para enero 2026."/>
    <n v="1"/>
    <s v="Protectores Solares"/>
    <n v="4"/>
    <n v="20"/>
    <n v="15000"/>
    <n v="300000"/>
    <x v="4"/>
    <x v="35"/>
    <x v="41"/>
    <x v="46"/>
    <s v="64-2335608-"/>
    <s v="camilo.martinez@redsalud.gob.cl"/>
    <x v="13"/>
    <m/>
    <n v="0"/>
    <m/>
    <n v="0"/>
    <n v="0"/>
    <m/>
    <x v="1"/>
    <x v="4"/>
  </r>
  <r>
    <s v="SERVICIO DE SALUD OSORNO"/>
    <s v="Administración de Fondos"/>
    <x v="93"/>
    <s v="Proyecto operacional"/>
    <s v="Actualizado"/>
    <s v="22.04.009"/>
    <x v="94"/>
    <s v="Se requiere la compra de tinta de repuesto para la operatividad de impresoras que se utilizan para la elaboración de material a color para las diversas actividades de promoción y prevención, para el mes de abril 2026, con a SENDA-PAI."/>
    <n v="1"/>
    <s v="Tintas"/>
    <n v="4"/>
    <n v="5"/>
    <n v="70000"/>
    <n v="350000"/>
    <x v="4"/>
    <x v="24"/>
    <x v="41"/>
    <x v="46"/>
    <s v="64-2335608-"/>
    <s v="camilo.martinez@redsalud.gob.cl"/>
    <x v="14"/>
    <m/>
    <n v="0"/>
    <m/>
    <n v="0"/>
    <n v="0"/>
    <m/>
    <x v="1"/>
    <x v="2"/>
  </r>
  <r>
    <s v="SERVICIO DE SALUD OSORNO"/>
    <s v="Administración de Fondos"/>
    <x v="94"/>
    <s v="Proyecto operacional"/>
    <s v="Enviado"/>
    <s v="22.01.001"/>
    <x v="95"/>
    <s v="Se requiere adquirir insumos alimenticios para usuarios pertenecientes al Programa para personas en situación de calle con consumo de alcohol y otras drogas. Lo anterior con cargo a fondo extrapresupuestario SENDA PAI"/>
    <n v="1"/>
    <s v="Alimentación"/>
    <n v="4"/>
    <n v="290"/>
    <n v="4441"/>
    <n v="1287890"/>
    <x v="4"/>
    <x v="32"/>
    <x v="41"/>
    <x v="46"/>
    <s v="64-2335608-"/>
    <s v="camilo.martinez@redsalud.gob.cl"/>
    <x v="21"/>
    <m/>
    <n v="0"/>
    <m/>
    <n v="0"/>
    <n v="0"/>
    <m/>
    <x v="1"/>
    <x v="2"/>
  </r>
  <r>
    <s v="SERVICIO DE SALUD OSORNO"/>
    <s v="Bienes y Servicios"/>
    <x v="95"/>
    <s v="Proyecto operacional"/>
    <s v="Actualizado"/>
    <s v="22.04.003"/>
    <x v="96"/>
    <s v="Se requiere la adquisición de test de detección de drogas con capacidad para reconocer nueve o más tipos de sustancias, destinados a procesos de evaluación y control del programa. Los test deberán venir en envases individuales sellados, garantizando higiene y seguridad. Su diseño debe evitar el contacto directo con la orina, mediante sistema de activación tipo llave o mecanismo interno, asegurando fiabilidad, trazabilidad y resultados confiables. Ejecución: octubre 2026."/>
    <n v="1"/>
    <s v="Test"/>
    <n v="4"/>
    <n v="100"/>
    <n v="8000"/>
    <n v="800000"/>
    <x v="4"/>
    <x v="27"/>
    <x v="43"/>
    <x v="48"/>
    <s v="64-2335492-"/>
    <s v="CAROLINA.SILVALL@REDSALUD.GOB.CL"/>
    <x v="17"/>
    <m/>
    <n v="0"/>
    <m/>
    <n v="0"/>
    <n v="0"/>
    <m/>
    <x v="1"/>
    <x v="4"/>
  </r>
  <r>
    <s v="SERVICIO DE SALUD OSORNO"/>
    <s v="Administración de Fondos"/>
    <x v="96"/>
    <s v="Proyecto operacional"/>
    <s v="Enviado"/>
    <s v="22.01.001"/>
    <x v="97"/>
    <s v="Estos espacios buscan generar un ambiente de confianza, cercanía y participación activa de los usuarios, por lo que ofrecen un momento de compartir alimentos contribuye directamente a los objetivos terapéuticos. Otros materiales contribuyen en el manejo de ansiedad (como bolsas de papel Kraft, pelotas antiestrés, pañuelos desechables), y permite enseñar técnicas de manejo de síntomas ansiosos."/>
    <n v="4"/>
    <s v="Alimentación"/>
    <n v="4"/>
    <n v="69"/>
    <n v="2615"/>
    <n v="180435"/>
    <x v="4"/>
    <x v="32"/>
    <x v="44"/>
    <x v="24"/>
    <s v="64-2335610-"/>
    <s v="pedro.fritz@redsalud.gob.cl"/>
    <x v="21"/>
    <m/>
    <n v="0"/>
    <m/>
    <n v="0"/>
    <n v="0"/>
    <m/>
    <x v="1"/>
    <x v="2"/>
  </r>
  <r>
    <s v="SERVICIO DE SALUD OSORNO"/>
    <s v="Administración de Fondos"/>
    <x v="96"/>
    <s v="Proyecto operacional"/>
    <s v="Enviado"/>
    <s v="22.01.001"/>
    <x v="97"/>
    <s v="Estos espacios buscan generar un ambiente de confianza, cercanía y participación activa de los usuarios, por lo que ofrecen un momento de compartir alimentos contribuye directamente a los objetivos terapéuticos. Otros materiales contribuyen en el manejo de ansiedad (como bolsas de papel Kraft, pelotas antiestrés, pañuelos desechables), y permite enseñar técnicas de manejo de síntomas ansiosos."/>
    <n v="4"/>
    <s v="Insumos"/>
    <n v="4"/>
    <n v="9"/>
    <n v="2711"/>
    <n v="24399"/>
    <x v="4"/>
    <x v="32"/>
    <x v="44"/>
    <x v="24"/>
    <s v="64-2335610-"/>
    <s v="pedro.fritz@redsalud.gob.cl"/>
    <x v="21"/>
    <m/>
    <n v="0"/>
    <m/>
    <n v="0"/>
    <n v="0"/>
    <m/>
    <x v="1"/>
    <x v="2"/>
  </r>
  <r>
    <s v="SERVICIO DE SALUD OSORNO"/>
    <s v="Administración de Fondos"/>
    <x v="96"/>
    <s v="Proyecto operacional"/>
    <s v="Enviado"/>
    <s v="22.01.001"/>
    <x v="97"/>
    <s v="Estos espacios buscan generar un ambiente de confianza, cercanía y participación activa de los usuarios, por lo que ofrecen un momento de compartir alimentos contribuye directamente a los objetivos terapéuticos. Otros materiales contribuyen en el manejo de ansiedad (como bolsas de papel Kraft, pelotas antiestrés, pañuelos desechables), y permite enseñar técnicas de manejo de síntomas ansiosos."/>
    <n v="4"/>
    <s v="Caja, Pelotas"/>
    <n v="4"/>
    <n v="3"/>
    <n v="9000"/>
    <n v="27000"/>
    <x v="4"/>
    <x v="32"/>
    <x v="44"/>
    <x v="24"/>
    <s v="64-2335610-"/>
    <s v="pedro.fritz@redsalud.gob.cl"/>
    <x v="21"/>
    <m/>
    <n v="0"/>
    <m/>
    <n v="0"/>
    <n v="0"/>
    <m/>
    <x v="1"/>
    <x v="2"/>
  </r>
  <r>
    <s v="SERVICIO DE SALUD OSORNO"/>
    <s v="Administración de Fondos"/>
    <x v="96"/>
    <s v="Proyecto operacional"/>
    <s v="Enviado"/>
    <s v="22.01.001"/>
    <x v="97"/>
    <s v="Estos espacios buscan generar un ambiente de confianza, cercanía y participación activa de los usuarios, por lo que ofrecen un momento de compartir alimentos contribuye directamente a los objetivos terapéuticos. Otros materiales contribuyen en el manejo de ansiedad (como bolsas de papel Kraft, pelotas antiestrés, pañuelos desechables), y permite enseñar técnicas de manejo de síntomas ansiosos."/>
    <n v="4"/>
    <s v="Pañuelos faciales"/>
    <n v="4"/>
    <n v="2"/>
    <n v="26000"/>
    <n v="52000"/>
    <x v="4"/>
    <x v="32"/>
    <x v="44"/>
    <x v="24"/>
    <s v="64-2335610-"/>
    <s v="pedro.fritz@redsalud.gob.cl"/>
    <x v="21"/>
    <m/>
    <n v="0"/>
    <m/>
    <n v="0"/>
    <n v="0"/>
    <m/>
    <x v="1"/>
    <x v="2"/>
  </r>
  <r>
    <s v="SERVICIO DE SALUD OSORNO"/>
    <s v="Bienes y Servicios"/>
    <x v="97"/>
    <s v="Proyecto operacional"/>
    <s v="Enviado"/>
    <s v="22.04"/>
    <x v="98"/>
    <s v="Los insumos clínicos son elementos fundamentales para la prestación de cuidados de enfermería entregados en COSAM Oriente. Estos materiales permiten que el personal de enfermería pueda cumplir con las funciones de tomas de muestras y procedimientos, para garantizar una atención segura y de calidad a la población usuaria. Es importante que la adquisición sea entre los meses de febrero y marzo 2026, para evitar quiebre de stock de insumos clínicos."/>
    <n v="6"/>
    <s v="Tiras, test rápido, alcohol"/>
    <n v="4"/>
    <n v="18"/>
    <n v="13334"/>
    <n v="240012"/>
    <x v="4"/>
    <x v="38"/>
    <x v="44"/>
    <x v="24"/>
    <s v="64-2335610-"/>
    <s v="pedro.fritz@redsalud.gob.cl"/>
    <x v="19"/>
    <m/>
    <n v="0"/>
    <m/>
    <n v="0"/>
    <n v="0"/>
    <m/>
    <x v="1"/>
    <x v="4"/>
  </r>
  <r>
    <s v="SERVICIO DE SALUD OSORNO"/>
    <s v="Bienes y Servicios"/>
    <x v="97"/>
    <s v="Proyecto operacional"/>
    <s v="Enviado"/>
    <s v="22.04"/>
    <x v="98"/>
    <s v="Los insumos clínicos son elementos fundamentales para la prestación de cuidados de enfermería entregados en COSAM Oriente. Estos materiales permiten que el personal de enfermería pueda cumplir con las funciones de tomas de muestras y procedimientos, para garantizar una atención segura y de calidad a la población usuaria. Es importante que la adquisición sea entre los meses de febrero y marzo 2026, para evitar quiebre de stock de insumos clínicos."/>
    <n v="6"/>
    <s v="Insumos clínicos"/>
    <n v="4"/>
    <n v="39"/>
    <n v="17924"/>
    <n v="699036"/>
    <x v="4"/>
    <x v="38"/>
    <x v="44"/>
    <x v="24"/>
    <s v="64-2335610-"/>
    <s v="pedro.fritz@redsalud.gob.cl"/>
    <x v="19"/>
    <m/>
    <n v="0"/>
    <m/>
    <n v="0"/>
    <n v="0"/>
    <m/>
    <x v="1"/>
    <x v="4"/>
  </r>
  <r>
    <s v="SERVICIO DE SALUD OSORNO"/>
    <s v="Bienes y Servicios"/>
    <x v="97"/>
    <s v="Proyecto operacional"/>
    <s v="Enviado"/>
    <s v="22.04"/>
    <x v="98"/>
    <s v="Los insumos clínicos son elementos fundamentales para la prestación de cuidados de enfermería entregados en COSAM Oriente. Estos materiales permiten que el personal de enfermería pueda cumplir con las funciones de tomas de muestras y procedimientos, para garantizar una atención segura y de calidad a la población usuaria. Es importante que la adquisición sea entre los meses de febrero y marzo 2026, para evitar quiebre de stock de insumos clínicos."/>
    <n v="6"/>
    <s v="Biombo, pesa"/>
    <n v="4"/>
    <n v="2"/>
    <n v="62000"/>
    <n v="124000"/>
    <x v="4"/>
    <x v="38"/>
    <x v="44"/>
    <x v="24"/>
    <s v="64-2335610-"/>
    <s v="pedro.fritz@redsalud.gob.cl"/>
    <x v="19"/>
    <m/>
    <n v="0"/>
    <m/>
    <n v="0"/>
    <n v="0"/>
    <m/>
    <x v="1"/>
    <x v="4"/>
  </r>
  <r>
    <s v="SERVICIO DE SALUD OSORNO"/>
    <s v="Bienes y Servicios"/>
    <x v="97"/>
    <s v="Proyecto operacional"/>
    <s v="Enviado"/>
    <s v="22.04"/>
    <x v="98"/>
    <s v="Los insumos clínicos son elementos fundamentales para la prestación de cuidados de enfermería entregados en COSAM Oriente. Estos materiales permiten que el personal de enfermería pueda cumplir con las funciones de tomas de muestras y procedimientos, para garantizar una atención segura y de calidad a la población usuaria. Es importante que la adquisición sea entre los meses de febrero y marzo 2026, para evitar quiebre de stock de insumos clínicos."/>
    <n v="6"/>
    <s v="Equipo curación, algodón"/>
    <n v="4"/>
    <n v="50"/>
    <n v="1400"/>
    <n v="70000"/>
    <x v="4"/>
    <x v="38"/>
    <x v="44"/>
    <x v="24"/>
    <s v="64-2335610-"/>
    <s v="pedro.fritz@redsalud.gob.cl"/>
    <x v="19"/>
    <m/>
    <n v="0"/>
    <m/>
    <n v="0"/>
    <n v="0"/>
    <m/>
    <x v="1"/>
    <x v="4"/>
  </r>
  <r>
    <s v="SERVICIO DE SALUD OSORNO"/>
    <s v="Bienes y Servicios"/>
    <x v="97"/>
    <s v="Proyecto operacional"/>
    <s v="Enviado"/>
    <s v="22.04"/>
    <x v="98"/>
    <s v="Los insumos clínicos son elementos fundamentales para la prestación de cuidados de enfermería entregados en COSAM Oriente. Estos materiales permiten que el personal de enfermería pueda cumplir con las funciones de tomas de muestras y procedimientos, para garantizar una atención segura y de calidad a la población usuaria. Es importante que la adquisición sea entre los meses de febrero y marzo 2026, para evitar quiebre de stock de insumos clínicos."/>
    <n v="6"/>
    <s v="Cooler"/>
    <n v="4"/>
    <n v="1"/>
    <n v="25000"/>
    <n v="25000"/>
    <x v="4"/>
    <x v="38"/>
    <x v="44"/>
    <x v="24"/>
    <s v="64-2335610-"/>
    <s v="pedro.fritz@redsalud.gob.cl"/>
    <x v="19"/>
    <m/>
    <n v="0"/>
    <m/>
    <n v="0"/>
    <n v="0"/>
    <m/>
    <x v="1"/>
    <x v="4"/>
  </r>
  <r>
    <s v="SERVICIO DE SALUD OSORNO"/>
    <s v="Bienes y Servicios"/>
    <x v="97"/>
    <s v="Proyecto operacional"/>
    <s v="Enviado"/>
    <s v="22.04"/>
    <x v="98"/>
    <s v="Los insumos clínicos son elementos fundamentales para la prestación de cuidados de enfermería entregados en COSAM Oriente. Estos materiales permiten que el personal de enfermería pueda cumplir con las funciones de tomas de muestras y procedimientos, para garantizar una atención segura y de calidad a la población usuaria. Es importante que la adquisición sea entre los meses de febrero y marzo 2026, para evitar quiebre de stock de insumos clínicos."/>
    <n v="6"/>
    <s v="Caja"/>
    <n v="4"/>
    <n v="1"/>
    <n v="8000"/>
    <n v="8000"/>
    <x v="4"/>
    <x v="38"/>
    <x v="44"/>
    <x v="24"/>
    <s v="64-2335610-"/>
    <s v="pedro.fritz@redsalud.gob.cl"/>
    <x v="19"/>
    <m/>
    <n v="0"/>
    <m/>
    <n v="0"/>
    <n v="0"/>
    <m/>
    <x v="1"/>
    <x v="4"/>
  </r>
  <r>
    <s v="SERVICIO DE SALUD OSORNO"/>
    <s v="Administración de Fondos"/>
    <x v="98"/>
    <s v="Proyecto operacional"/>
    <s v="Enviado"/>
    <s v="22.01.002"/>
    <x v="99"/>
    <s v="Taller con duración de 8 sesiones se desarrolla durante todo el año. Solicitud de compra para el mes de enero 2026"/>
    <n v="2"/>
    <s v="Alimentación"/>
    <n v="4"/>
    <n v="86"/>
    <n v="1379"/>
    <n v="118594"/>
    <x v="4"/>
    <x v="35"/>
    <x v="44"/>
    <x v="24"/>
    <s v="64-2335610-"/>
    <s v="pedro.fritz@redsalud.gob.cl"/>
    <x v="13"/>
    <m/>
    <n v="0"/>
    <m/>
    <n v="0"/>
    <n v="0"/>
    <m/>
    <x v="1"/>
    <x v="2"/>
  </r>
  <r>
    <s v="SERVICIO DE SALUD OSORNO"/>
    <s v="Administración de Fondos"/>
    <x v="98"/>
    <s v="Proyecto operacional"/>
    <s v="Enviado"/>
    <s v="22.01.002"/>
    <x v="99"/>
    <s v="Taller con duración de 8 sesiones se desarrolla durante todo el año. Solicitud de compra para el mes de enero 2026"/>
    <n v="2"/>
    <s v="Material de Enseñanza"/>
    <n v="4"/>
    <n v="2"/>
    <n v="73915"/>
    <n v="147830"/>
    <x v="4"/>
    <x v="35"/>
    <x v="44"/>
    <x v="24"/>
    <s v="64-2335610-"/>
    <s v="pedro.fritz@redsalud.gob.cl"/>
    <x v="13"/>
    <m/>
    <n v="0"/>
    <m/>
    <n v="0"/>
    <n v="0"/>
    <m/>
    <x v="1"/>
    <x v="2"/>
  </r>
  <r>
    <s v="SERVICIO DE SALUD OSORNO"/>
    <s v="Bienes y Servicios"/>
    <x v="99"/>
    <s v="Proyecto operacional"/>
    <s v="Enviado"/>
    <s v="22.01.001"/>
    <x v="100"/>
    <s v="Insumos de cafetería para reuniones mensuales Trato Usuario, se proyecta 12 reuniones, con un aprox. de 225 personas"/>
    <n v="2"/>
    <s v="Alimentación"/>
    <n v="4"/>
    <n v="821"/>
    <n v="1122"/>
    <n v="921162"/>
    <x v="4"/>
    <x v="32"/>
    <x v="45"/>
    <x v="49"/>
    <s v="64-2335775-"/>
    <s v="daniela.barriaa@redsalud.gob.cl"/>
    <x v="21"/>
    <m/>
    <n v="0"/>
    <m/>
    <n v="0"/>
    <n v="0"/>
    <m/>
    <x v="1"/>
    <x v="4"/>
  </r>
  <r>
    <s v="SERVICIO DE SALUD OSORNO"/>
    <s v="Bienes y Servicios"/>
    <x v="99"/>
    <s v="Proyecto operacional"/>
    <s v="Enviado"/>
    <s v="22.01.001"/>
    <x v="100"/>
    <s v="Insumos de cafetería para reuniones mensuales Trato Usuario, se proyecta 12 reuniones, con un aprox. de 225 personas"/>
    <n v="2"/>
    <s v="Insumos"/>
    <n v="4"/>
    <n v="409"/>
    <n v="211"/>
    <n v="86299"/>
    <x v="4"/>
    <x v="32"/>
    <x v="45"/>
    <x v="49"/>
    <s v="64-2335775-"/>
    <s v="daniela.barriaa@redsalud.gob.cl"/>
    <x v="21"/>
    <m/>
    <n v="0"/>
    <m/>
    <n v="0"/>
    <n v="0"/>
    <m/>
    <x v="1"/>
    <x v="4"/>
  </r>
  <r>
    <s v="SERVICIO DE SALUD OSORNO"/>
    <s v="Administración de Fondos"/>
    <x v="100"/>
    <s v="Proyecto operacional"/>
    <s v="Enviado"/>
    <s v="22.04.015"/>
    <x v="101"/>
    <s v="Taller se realiza durante todo el año, sin suspensión, por lo que se solicita material a contar de enero en lo posible"/>
    <n v="3"/>
    <s v="Productos Jardín"/>
    <n v="4"/>
    <n v="106"/>
    <n v="4380"/>
    <n v="464280"/>
    <x v="4"/>
    <x v="35"/>
    <x v="44"/>
    <x v="24"/>
    <s v="64-2335610-"/>
    <s v="pedro.fritz@redsalud.gob.cl"/>
    <x v="13"/>
    <m/>
    <n v="0"/>
    <m/>
    <n v="0"/>
    <n v="0"/>
    <m/>
    <x v="1"/>
    <x v="2"/>
  </r>
  <r>
    <s v="SERVICIO DE SALUD OSORNO"/>
    <s v="Administración de Fondos"/>
    <x v="100"/>
    <s v="Proyecto operacional"/>
    <s v="Enviado"/>
    <s v="22.04.015"/>
    <x v="101"/>
    <s v="Taller se realiza durante todo el año, sin suspensión, por lo que se solicita material a contar de enero en lo posible"/>
    <n v="3"/>
    <s v="Alimentos"/>
    <n v="4"/>
    <n v="10"/>
    <n v="2520"/>
    <n v="25200"/>
    <x v="4"/>
    <x v="35"/>
    <x v="44"/>
    <x v="24"/>
    <s v="64-2335610-"/>
    <s v="pedro.fritz@redsalud.gob.cl"/>
    <x v="13"/>
    <m/>
    <n v="0"/>
    <m/>
    <n v="0"/>
    <n v="0"/>
    <m/>
    <x v="1"/>
    <x v="2"/>
  </r>
  <r>
    <s v="SERVICIO DE SALUD OSORNO"/>
    <s v="Administración de Fondos"/>
    <x v="100"/>
    <s v="Proyecto operacional"/>
    <s v="Enviado"/>
    <s v="22.04.015"/>
    <x v="101"/>
    <s v="Taller se realiza durante todo el año, sin suspensión, por lo que se solicita material a contar de enero en lo posible"/>
    <n v="3"/>
    <s v="Bolsas"/>
    <n v="4"/>
    <n v="200"/>
    <n v="68"/>
    <n v="13600"/>
    <x v="4"/>
    <x v="35"/>
    <x v="44"/>
    <x v="24"/>
    <s v="64-2335610-"/>
    <s v="pedro.fritz@redsalud.gob.cl"/>
    <x v="13"/>
    <m/>
    <n v="0"/>
    <m/>
    <n v="0"/>
    <n v="0"/>
    <m/>
    <x v="1"/>
    <x v="2"/>
  </r>
  <r>
    <s v="SERVICIO DE SALUD OSORNO"/>
    <s v="Administración de Fondos"/>
    <x v="101"/>
    <s v="Proyecto operacional"/>
    <s v="Enviado"/>
    <s v="22.04.002"/>
    <x v="102"/>
    <s v="La conmemoración del día de la mujer se realizará el día miércoles 11 de marzo del 2026, idealmente la compra debe estar un mes antes, ya que debemos preparar los recuerdos y las actividades para ese día. En esta actividad se invitará a mujeres que se encuentran atendiendo en Cosam Oriente, se realizará una sesión educativa y reflexiva y luego una actividad práctica y de autocuidado."/>
    <n v="2"/>
    <s v="Material de Enseñanza"/>
    <n v="4"/>
    <n v="42"/>
    <n v="1729"/>
    <n v="72618"/>
    <x v="4"/>
    <x v="38"/>
    <x v="44"/>
    <x v="24"/>
    <s v="64-2335610-"/>
    <s v="pedro.fritz@redsalud.gob.cl"/>
    <x v="19"/>
    <m/>
    <n v="0"/>
    <m/>
    <n v="0"/>
    <n v="0"/>
    <m/>
    <x v="1"/>
    <x v="2"/>
  </r>
  <r>
    <s v="SERVICIO DE SALUD OSORNO"/>
    <s v="Administración de Fondos"/>
    <x v="101"/>
    <s v="Proyecto operacional"/>
    <s v="Enviado"/>
    <s v="22.04.002"/>
    <x v="102"/>
    <s v="La conmemoración del día de la mujer se realizará el día miércoles 11 de marzo del 2026, idealmente la compra debe estar un mes antes, ya que debemos preparar los recuerdos y las actividades para ese día. En esta actividad se invitará a mujeres que se encuentran atendiendo en Cosam Oriente, se realizará una sesión educativa y reflexiva y luego una actividad práctica y de autocuidado."/>
    <n v="2"/>
    <s v="Alimentación"/>
    <n v="4"/>
    <n v="1004"/>
    <n v="13"/>
    <n v="13052"/>
    <x v="4"/>
    <x v="38"/>
    <x v="44"/>
    <x v="24"/>
    <s v="64-2335610-"/>
    <s v="pedro.fritz@redsalud.gob.cl"/>
    <x v="19"/>
    <m/>
    <n v="0"/>
    <m/>
    <n v="0"/>
    <n v="0"/>
    <m/>
    <x v="1"/>
    <x v="2"/>
  </r>
  <r>
    <s v="SERVICIO DE SALUD OSORNO"/>
    <s v="Compras Convenio GORE Region de Los Lagos"/>
    <x v="102"/>
    <s v="Proyecto operacional"/>
    <s v="Enviado"/>
    <s v="31.02.002"/>
    <x v="103"/>
    <s v="Desarrollar las adecuaciones a los proyectos de arquitectura y especialidades del diseño del la PSR tipo para el sector de Coligual, comuna de Purranque."/>
    <n v="1"/>
    <s v="Consultorias"/>
    <n v="4"/>
    <n v="1"/>
    <n v="37000000"/>
    <n v="37000000"/>
    <x v="4"/>
    <x v="26"/>
    <x v="39"/>
    <x v="44"/>
    <s v="64-2335843-"/>
    <s v="mario.barrientos@redsalud.gob.cl"/>
    <x v="16"/>
    <m/>
    <n v="0"/>
    <m/>
    <n v="0"/>
    <n v="0"/>
    <m/>
    <x v="1"/>
    <x v="3"/>
  </r>
  <r>
    <s v="SERVICIO DE SALUD OSORNO"/>
    <s v="Compras Convenio GORE Region de Los Lagos"/>
    <x v="103"/>
    <s v="Proyecto operacional"/>
    <s v="Enviado"/>
    <s v="31.02.002"/>
    <x v="104"/>
    <s v="Desarrollar las adecuaciones a los proyectos de arquitectura y especialidades del diseño del la PSR tipo para el sector de Caracol, comuna de San Pablo."/>
    <n v="1"/>
    <s v="Consultorias"/>
    <n v="4"/>
    <n v="1"/>
    <n v="37000000"/>
    <n v="37000000"/>
    <x v="4"/>
    <x v="27"/>
    <x v="39"/>
    <x v="44"/>
    <s v="64-2335843-"/>
    <s v="mario.barrientos@redsalud.gob.cl"/>
    <x v="17"/>
    <m/>
    <n v="0"/>
    <m/>
    <n v="0"/>
    <n v="0"/>
    <m/>
    <x v="1"/>
    <x v="3"/>
  </r>
  <r>
    <s v="SERVICIO DE SALUD OSORNO"/>
    <s v="Bienes y Servicios"/>
    <x v="104"/>
    <s v="Proyecto operacional"/>
    <s v="Enviado"/>
    <s v="22.07.002"/>
    <x v="105"/>
    <s v="Los talonarios deben contener 50 formularios en duplicado autocopiativo, se envía modelo con información en la parte inferior se debe señalar Formulario Original Establecimiento; Formulario Duplicado Usuario, según corresponda."/>
    <n v="1"/>
    <s v="folleteria"/>
    <n v="4"/>
    <n v="100"/>
    <n v="4000"/>
    <n v="400000"/>
    <x v="4"/>
    <x v="32"/>
    <x v="45"/>
    <x v="49"/>
    <s v="64-2335775-"/>
    <s v="daniela.barriaa@redsalud.gob.cl"/>
    <x v="21"/>
    <m/>
    <n v="0"/>
    <m/>
    <n v="0"/>
    <n v="0"/>
    <m/>
    <x v="1"/>
    <x v="4"/>
  </r>
  <r>
    <s v="SERVICIO DE SALUD OSORNO"/>
    <s v="Bienes y Servicios"/>
    <x v="105"/>
    <s v="Proyecto operacional"/>
    <s v="Enviado"/>
    <s v="22.04.001"/>
    <x v="106"/>
    <s v="Compra de serie de productos para el buen funcionamiento de la Unidad de Farmacia durante el año 2026"/>
    <n v="5"/>
    <s v="Recetarios"/>
    <n v="4"/>
    <n v="415"/>
    <n v="3494"/>
    <n v="1450010"/>
    <x v="4"/>
    <x v="24"/>
    <x v="44"/>
    <x v="24"/>
    <s v="64-2335610-"/>
    <s v="pedro.fritz@redsalud.gob.cl"/>
    <x v="14"/>
    <m/>
    <n v="0"/>
    <m/>
    <n v="0"/>
    <n v="0"/>
    <m/>
    <x v="1"/>
    <x v="4"/>
  </r>
  <r>
    <s v="SERVICIO DE SALUD OSORNO"/>
    <s v="Bienes y Servicios"/>
    <x v="105"/>
    <s v="Proyecto operacional"/>
    <s v="Enviado"/>
    <s v="22.04.001"/>
    <x v="106"/>
    <s v="Compra de serie de productos para el buen funcionamiento de la Unidad de Farmacia durante el año 2026"/>
    <n v="5"/>
    <s v="Material de Oficina"/>
    <n v="4"/>
    <n v="4"/>
    <n v="62500"/>
    <n v="250000"/>
    <x v="4"/>
    <x v="35"/>
    <x v="44"/>
    <x v="24"/>
    <s v="64-2335610-"/>
    <s v="pedro.fritz@redsalud.gob.cl"/>
    <x v="13"/>
    <m/>
    <n v="0"/>
    <m/>
    <n v="0"/>
    <n v="0"/>
    <m/>
    <x v="1"/>
    <x v="4"/>
  </r>
  <r>
    <s v="SERVICIO DE SALUD OSORNO"/>
    <s v="Bienes y Servicios"/>
    <x v="105"/>
    <s v="Proyecto operacional"/>
    <s v="Enviado"/>
    <s v="22.04.001"/>
    <x v="106"/>
    <s v="Compra de serie de productos para el buen funcionamiento de la Unidad de Farmacia durante el año 2026"/>
    <n v="5"/>
    <s v="Refrigerador"/>
    <n v="4"/>
    <n v="2"/>
    <n v="750000"/>
    <n v="1500000"/>
    <x v="4"/>
    <x v="35"/>
    <x v="44"/>
    <x v="24"/>
    <s v="64-2335610-"/>
    <s v="pedro.fritz@redsalud.gob.cl"/>
    <x v="13"/>
    <m/>
    <n v="0"/>
    <m/>
    <n v="0"/>
    <n v="0"/>
    <m/>
    <x v="1"/>
    <x v="4"/>
  </r>
  <r>
    <s v="SERVICIO DE SALUD OSORNO"/>
    <s v="Bienes y Servicios"/>
    <x v="105"/>
    <s v="Proyecto operacional"/>
    <s v="Enviado"/>
    <s v="22.04.001"/>
    <x v="106"/>
    <s v="Compra de serie de productos para el buen funcionamiento de la Unidad de Farmacia durante el año 2026"/>
    <n v="5"/>
    <s v="Insumos Computacionales"/>
    <n v="4"/>
    <n v="146"/>
    <n v="13014"/>
    <n v="1900044"/>
    <x v="4"/>
    <x v="32"/>
    <x v="44"/>
    <x v="24"/>
    <s v="64-2335610-"/>
    <s v="pedro.fritz@redsalud.gob.cl"/>
    <x v="21"/>
    <m/>
    <n v="0"/>
    <m/>
    <n v="0"/>
    <n v="0"/>
    <m/>
    <x v="1"/>
    <x v="4"/>
  </r>
  <r>
    <s v="SERVICIO DE SALUD OSORNO"/>
    <s v="Bienes y Servicios"/>
    <x v="105"/>
    <s v="Proyecto operacional"/>
    <s v="Enviado"/>
    <s v="22.04.001"/>
    <x v="106"/>
    <s v="Compra de serie de productos para el buen funcionamiento de la Unidad de Farmacia durante el año 2026"/>
    <n v="5"/>
    <s v="Insumos Computacionales"/>
    <n v="4"/>
    <n v="6"/>
    <n v="17334"/>
    <n v="104004"/>
    <x v="4"/>
    <x v="35"/>
    <x v="44"/>
    <x v="24"/>
    <s v="64-2335610-"/>
    <s v="pedro.fritz@redsalud.gob.cl"/>
    <x v="13"/>
    <m/>
    <n v="0"/>
    <m/>
    <n v="0"/>
    <n v="0"/>
    <m/>
    <x v="1"/>
    <x v="4"/>
  </r>
  <r>
    <s v="SERVICIO DE SALUD OSORNO"/>
    <s v="Administración de Fondos"/>
    <x v="106"/>
    <s v="Proyecto operacional"/>
    <s v="Enviado"/>
    <s v="22.01.001"/>
    <x v="107"/>
    <s v="Actividades en sesiones del taller, presentación de fiestas patrias y presentación en el día de la salud mental. Inicio de actividades en enero."/>
    <n v="3"/>
    <s v="Alimentación"/>
    <n v="4"/>
    <n v="15"/>
    <n v="9600"/>
    <n v="144000"/>
    <x v="4"/>
    <x v="35"/>
    <x v="44"/>
    <x v="24"/>
    <s v="64-2335610-"/>
    <s v="pedro.fritz@redsalud.gob.cl"/>
    <x v="13"/>
    <m/>
    <n v="0"/>
    <m/>
    <n v="0"/>
    <n v="0"/>
    <m/>
    <x v="1"/>
    <x v="2"/>
  </r>
  <r>
    <s v="SERVICIO DE SALUD OSORNO"/>
    <s v="Administración de Fondos"/>
    <x v="106"/>
    <s v="Proyecto operacional"/>
    <s v="Enviado"/>
    <s v="22.01.001"/>
    <x v="107"/>
    <s v="Actividades en sesiones del taller, presentación de fiestas patrias y presentación en el día de la salud mental. Inicio de actividades en enero."/>
    <n v="3"/>
    <s v="Ropa"/>
    <n v="4"/>
    <n v="16"/>
    <n v="11875"/>
    <n v="190000"/>
    <x v="4"/>
    <x v="35"/>
    <x v="44"/>
    <x v="24"/>
    <s v="64-2335610-"/>
    <s v="pedro.fritz@redsalud.gob.cl"/>
    <x v="13"/>
    <m/>
    <n v="0"/>
    <m/>
    <n v="0"/>
    <n v="0"/>
    <m/>
    <x v="1"/>
    <x v="2"/>
  </r>
  <r>
    <s v="SERVICIO DE SALUD OSORNO"/>
    <s v="Administración de Fondos"/>
    <x v="106"/>
    <s v="Proyecto operacional"/>
    <s v="Enviado"/>
    <s v="22.01.001"/>
    <x v="107"/>
    <s v="Actividades en sesiones del taller, presentación de fiestas patrias y presentación en el día de la salud mental. Inicio de actividades en enero."/>
    <n v="3"/>
    <s v="Material Taller"/>
    <n v="4"/>
    <n v="23"/>
    <n v="5044"/>
    <n v="116012"/>
    <x v="4"/>
    <x v="35"/>
    <x v="44"/>
    <x v="24"/>
    <s v="64-2335610-"/>
    <s v="pedro.fritz@redsalud.gob.cl"/>
    <x v="13"/>
    <m/>
    <n v="0"/>
    <m/>
    <n v="0"/>
    <n v="0"/>
    <m/>
    <x v="1"/>
    <x v="2"/>
  </r>
  <r>
    <s v="SERVICIO DE SALUD OSORNO"/>
    <s v="Bienes y Servicios"/>
    <x v="107"/>
    <s v="Proyecto operacional"/>
    <s v="Enviado"/>
    <s v="22.04.999"/>
    <x v="108"/>
    <s v="Se requiere la adquisición de artículos promocionales para fortalecer la imagen corporativa de la Comunidad, incluyendo lienzos y pendones con información institucional y de contacto. También se contemplan trofeos, galardones, bolsas y suvenires personalizados con la identidad visual de la organización, con el fin de mantener coherencia en la comunicación institucional y reforzar el reconocimiento de la Comunidad en actividades, eventos y campañas de promoción."/>
    <n v="4"/>
    <s v="Galvanos y Placa"/>
    <n v="4"/>
    <n v="24"/>
    <n v="7334"/>
    <n v="176016"/>
    <x v="4"/>
    <x v="32"/>
    <x v="43"/>
    <x v="48"/>
    <s v="64-2335492-"/>
    <s v="CAROLINA.SILVALL@REDSALUD.GOB.CL"/>
    <x v="21"/>
    <m/>
    <n v="0"/>
    <m/>
    <n v="0"/>
    <n v="0"/>
    <m/>
    <x v="1"/>
    <x v="4"/>
  </r>
  <r>
    <s v="SERVICIO DE SALUD OSORNO"/>
    <s v="Bienes y Servicios"/>
    <x v="107"/>
    <s v="Proyecto operacional"/>
    <s v="Enviado"/>
    <s v="22.04.999"/>
    <x v="108"/>
    <s v="Se requiere la adquisición de artículos promocionales para fortalecer la imagen corporativa de la Comunidad, incluyendo lienzos y pendones con información institucional y de contacto. También se contemplan trofeos, galardones, bolsas y suvenires personalizados con la identidad visual de la organización, con el fin de mantener coherencia en la comunicación institucional y reforzar el reconocimiento de la Comunidad en actividades, eventos y campañas de promoción."/>
    <n v="4"/>
    <s v="Bolsas Ecologicas"/>
    <n v="4"/>
    <n v="500"/>
    <n v="600"/>
    <n v="300000"/>
    <x v="4"/>
    <x v="32"/>
    <x v="43"/>
    <x v="48"/>
    <s v="64-2335492-"/>
    <s v="CAROLINA.SILVALL@REDSALUD.GOB.CL"/>
    <x v="21"/>
    <m/>
    <n v="0"/>
    <m/>
    <n v="0"/>
    <n v="0"/>
    <m/>
    <x v="1"/>
    <x v="4"/>
  </r>
  <r>
    <s v="SERVICIO DE SALUD OSORNO"/>
    <s v="Bienes y Servicios"/>
    <x v="107"/>
    <s v="Proyecto operacional"/>
    <s v="Enviado"/>
    <s v="22.04.999"/>
    <x v="108"/>
    <s v="Se requiere la adquisición de artículos promocionales para fortalecer la imagen corporativa de la Comunidad, incluyendo lienzos y pendones con información institucional y de contacto. También se contemplan trofeos, galardones, bolsas y suvenires personalizados con la identidad visual de la organización, con el fin de mantener coherencia en la comunicación institucional y reforzar el reconocimiento de la Comunidad en actividades, eventos y campañas de promoción."/>
    <n v="4"/>
    <s v="Pendon"/>
    <n v="4"/>
    <n v="2"/>
    <n v="75000"/>
    <n v="150000"/>
    <x v="4"/>
    <x v="35"/>
    <x v="43"/>
    <x v="48"/>
    <s v="64-2335492-"/>
    <s v="CAROLINA.SILVALL@REDSALUD.GOB.CL"/>
    <x v="13"/>
    <m/>
    <n v="0"/>
    <m/>
    <n v="0"/>
    <n v="0"/>
    <m/>
    <x v="1"/>
    <x v="4"/>
  </r>
  <r>
    <s v="SERVICIO DE SALUD OSORNO"/>
    <s v="Bienes y Servicios"/>
    <x v="107"/>
    <s v="Proyecto operacional"/>
    <s v="Enviado"/>
    <s v="22.04.999"/>
    <x v="108"/>
    <s v="Se requiere la adquisición de artículos promocionales para fortalecer la imagen corporativa de la Comunidad, incluyendo lienzos y pendones con información institucional y de contacto. También se contemplan trofeos, galardones, bolsas y suvenires personalizados con la identidad visual de la organización, con el fin de mantener coherencia en la comunicación institucional y reforzar el reconocimiento de la Comunidad en actividades, eventos y campañas de promoción."/>
    <n v="4"/>
    <s v="Merchandising Publicidad"/>
    <n v="4"/>
    <n v="1550"/>
    <n v="691"/>
    <n v="1071050"/>
    <x v="4"/>
    <x v="32"/>
    <x v="43"/>
    <x v="48"/>
    <s v="64-2335492-"/>
    <s v="CAROLINA.SILVALL@REDSALUD.GOB.CL"/>
    <x v="21"/>
    <m/>
    <n v="0"/>
    <m/>
    <n v="0"/>
    <n v="0"/>
    <m/>
    <x v="1"/>
    <x v="4"/>
  </r>
  <r>
    <s v="SERVICIO DE SALUD OSORNO"/>
    <s v="Bienes y Servicios"/>
    <x v="108"/>
    <s v="Proyecto operacional"/>
    <s v="Enviado"/>
    <s v="22.01.001"/>
    <x v="109"/>
    <s v="Compra de Servicio de Cafetería para asistentes a Jornada de Humanización del Trato Usuario, dirigido a 50 participantes, jornada AM - PM."/>
    <n v="1"/>
    <s v="Cafeteria"/>
    <n v="4"/>
    <n v="100"/>
    <n v="4000"/>
    <n v="400000"/>
    <x v="4"/>
    <x v="33"/>
    <x v="45"/>
    <x v="49"/>
    <s v="64-2335775-"/>
    <s v="daniela.barriaa@redsalud.gob.cl"/>
    <x v="22"/>
    <m/>
    <n v="0"/>
    <m/>
    <n v="0"/>
    <n v="0"/>
    <m/>
    <x v="1"/>
    <x v="4"/>
  </r>
  <r>
    <s v="SERVICIO DE SALUD OSORNO"/>
    <s v="Bienes y Servicios"/>
    <x v="109"/>
    <s v="Proyecto operacional"/>
    <s v="Enviado"/>
    <s v="22.04.999"/>
    <x v="110"/>
    <s v="Se requiere en Enero la compra de una despensa con cierre para resguardo y protección de equipos Notebook y Celulares del Cosam"/>
    <n v="1"/>
    <s v="Mueble"/>
    <n v="4"/>
    <n v="1"/>
    <n v="130000"/>
    <n v="130000"/>
    <x v="4"/>
    <x v="35"/>
    <x v="44"/>
    <x v="24"/>
    <s v="64-2335610-"/>
    <s v="pedro.fritz@redsalud.gob.cl"/>
    <x v="13"/>
    <m/>
    <n v="0"/>
    <m/>
    <n v="0"/>
    <n v="0"/>
    <m/>
    <x v="1"/>
    <x v="4"/>
  </r>
  <r>
    <s v="SERVICIO DE SALUD OSORNO"/>
    <s v="Administración de Fondos"/>
    <x v="110"/>
    <s v="Proyecto operacional"/>
    <s v="Enviado"/>
    <s v="22.04.014"/>
    <x v="111"/>
    <s v="Se espera adquisición para el mes de enero del 2026 para dar inicio a intervenciones desde febrero a diciembre."/>
    <n v="2"/>
    <s v="Material Yoga"/>
    <n v="4"/>
    <n v="20"/>
    <n v="5250"/>
    <n v="105000"/>
    <x v="4"/>
    <x v="35"/>
    <x v="44"/>
    <x v="24"/>
    <s v="64-2335610-"/>
    <s v="pedro.fritz@redsalud.gob.cl"/>
    <x v="13"/>
    <m/>
    <n v="0"/>
    <m/>
    <n v="0"/>
    <n v="0"/>
    <m/>
    <x v="1"/>
    <x v="2"/>
  </r>
  <r>
    <s v="SERVICIO DE SALUD OSORNO"/>
    <s v="Administración de Fondos"/>
    <x v="110"/>
    <s v="Proyecto operacional"/>
    <s v="Enviado"/>
    <s v="22.04.014"/>
    <x v="111"/>
    <s v="Se espera adquisición para el mes de enero del 2026 para dar inicio a intervenciones desde febrero a diciembre."/>
    <n v="2"/>
    <s v="Frazadas"/>
    <n v="4"/>
    <n v="10"/>
    <n v="4500"/>
    <n v="45000"/>
    <x v="4"/>
    <x v="35"/>
    <x v="44"/>
    <x v="24"/>
    <s v="64-2335610-"/>
    <s v="pedro.fritz@redsalud.gob.cl"/>
    <x v="13"/>
    <m/>
    <n v="0"/>
    <m/>
    <n v="0"/>
    <n v="0"/>
    <m/>
    <x v="1"/>
    <x v="2"/>
  </r>
  <r>
    <s v="SERVICIO DE SALUD OSORNO"/>
    <s v="Administración de Fondos"/>
    <x v="111"/>
    <s v="Proyecto operacional"/>
    <s v="Enviado"/>
    <s v="22.01.001"/>
    <x v="112"/>
    <s v="La actividad se realizará en el mes de agosto del 2026, por lo que las compras deberían estar un mes antes para preparar los recuerdos y material para ese día."/>
    <n v="2"/>
    <s v="Alimentación"/>
    <n v="4"/>
    <n v="32"/>
    <n v="1181"/>
    <n v="37792"/>
    <x v="4"/>
    <x v="33"/>
    <x v="44"/>
    <x v="24"/>
    <s v="64-2335610-"/>
    <s v="pedro.fritz@redsalud.gob.cl"/>
    <x v="22"/>
    <m/>
    <n v="0"/>
    <m/>
    <n v="0"/>
    <n v="0"/>
    <m/>
    <x v="1"/>
    <x v="2"/>
  </r>
  <r>
    <s v="SERVICIO DE SALUD OSORNO"/>
    <s v="Administración de Fondos"/>
    <x v="111"/>
    <s v="Proyecto operacional"/>
    <s v="Enviado"/>
    <s v="22.01.001"/>
    <x v="112"/>
    <s v="La actividad se realizará en el mes de agosto del 2026, por lo que las compras deberían estar un mes antes para preparar los recuerdos y material para ese día."/>
    <n v="2"/>
    <s v="Material Didactico"/>
    <n v="4"/>
    <n v="9"/>
    <n v="3889"/>
    <n v="35001"/>
    <x v="4"/>
    <x v="33"/>
    <x v="44"/>
    <x v="24"/>
    <s v="64-2335610-"/>
    <s v="pedro.fritz@redsalud.gob.cl"/>
    <x v="22"/>
    <m/>
    <n v="0"/>
    <m/>
    <n v="0"/>
    <n v="0"/>
    <m/>
    <x v="1"/>
    <x v="2"/>
  </r>
  <r>
    <s v="SERVICIO DE SALUD OSORNO"/>
    <s v="Administración de Fondos"/>
    <x v="112"/>
    <s v="Proyecto operacional"/>
    <s v="Enviado"/>
    <s v="22.04.999"/>
    <x v="113"/>
    <s v="La actividad de fiestas patrias 2026 se desarrollará en el mes de septiembre, por lo que se recomienda realizar la compra un mes antes, en este ítem y para la ejecución de dicho evento se requiere insumos para decorar y alimentación para los usuarios y sus familias, quienes son el público objetivo."/>
    <n v="3"/>
    <s v="Material Decoración"/>
    <n v="4"/>
    <n v="78"/>
    <n v="949"/>
    <n v="74022"/>
    <x v="4"/>
    <x v="36"/>
    <x v="44"/>
    <x v="24"/>
    <s v="64-2335610-"/>
    <s v="pedro.fritz@redsalud.gob.cl"/>
    <x v="24"/>
    <m/>
    <n v="0"/>
    <m/>
    <n v="0"/>
    <n v="0"/>
    <m/>
    <x v="1"/>
    <x v="2"/>
  </r>
  <r>
    <s v="SERVICIO DE SALUD OSORNO"/>
    <s v="Administración de Fondos"/>
    <x v="112"/>
    <s v="Proyecto operacional"/>
    <s v="Enviado"/>
    <s v="22.04.999"/>
    <x v="113"/>
    <s v="La actividad de fiestas patrias 2026 se desarrollará en el mes de septiembre, por lo que se recomienda realizar la compra un mes antes, en este ítem y para la ejecución de dicho evento se requiere insumos para decorar y alimentación para los usuarios y sus familias, quienes son el público objetivo."/>
    <n v="3"/>
    <s v="Servicio Cafeteria"/>
    <n v="4"/>
    <n v="1"/>
    <n v="500000"/>
    <n v="500000"/>
    <x v="4"/>
    <x v="36"/>
    <x v="44"/>
    <x v="24"/>
    <s v="64-2335610-"/>
    <s v="pedro.fritz@redsalud.gob.cl"/>
    <x v="24"/>
    <m/>
    <n v="0"/>
    <m/>
    <n v="0"/>
    <n v="0"/>
    <m/>
    <x v="1"/>
    <x v="2"/>
  </r>
  <r>
    <s v="SERVICIO DE SALUD OSORNO"/>
    <s v="Administración de Fondos"/>
    <x v="112"/>
    <s v="Proyecto operacional"/>
    <s v="Enviado"/>
    <s v="22.04.999"/>
    <x v="113"/>
    <s v="La actividad de fiestas patrias 2026 se desarrollará en el mes de septiembre, por lo que se recomienda realizar la compra un mes antes, en este ítem y para la ejecución de dicho evento se requiere insumos para decorar y alimentación para los usuarios y sus familias, quienes son el público objetivo."/>
    <n v="3"/>
    <s v="Menaje"/>
    <n v="4"/>
    <n v="10"/>
    <n v="1500"/>
    <n v="15000"/>
    <x v="4"/>
    <x v="36"/>
    <x v="44"/>
    <x v="24"/>
    <s v="64-2335610-"/>
    <s v="pedro.fritz@redsalud.gob.cl"/>
    <x v="24"/>
    <m/>
    <n v="0"/>
    <m/>
    <n v="0"/>
    <n v="0"/>
    <m/>
    <x v="1"/>
    <x v="2"/>
  </r>
  <r>
    <s v="SERVICIO DE SALUD OSORNO"/>
    <s v="Administración de Fondos"/>
    <x v="113"/>
    <s v="Proyecto operacional"/>
    <s v="Enviado"/>
    <s v="22.04.002"/>
    <x v="114"/>
    <s v="La Intervención psicosocial grupal se desarrollará desde abril del 2026, a cargo de profesional de cosam oriente, y está enmarcada en 2 ciclos anuales para diferentes personas, cada ciclo constan de 4 meses en total, y finaliza con una presentación."/>
    <n v="1"/>
    <s v="Guitarra"/>
    <n v="4"/>
    <n v="6"/>
    <n v="50000"/>
    <n v="300000"/>
    <x v="4"/>
    <x v="32"/>
    <x v="44"/>
    <x v="24"/>
    <s v="64-2335610-"/>
    <s v="pedro.fritz@redsalud.gob.cl"/>
    <x v="21"/>
    <m/>
    <n v="0"/>
    <m/>
    <n v="0"/>
    <n v="0"/>
    <m/>
    <x v="1"/>
    <x v="2"/>
  </r>
  <r>
    <s v="SERVICIO DE SALUD OSORNO"/>
    <s v="Bienes y Servicios"/>
    <x v="114"/>
    <s v="Proyecto operacional"/>
    <s v="Enviado"/>
    <s v="22.04.001"/>
    <x v="115"/>
    <s v="COMPRA DE MATERIALES DE OFICINA QUE NO SE ENCUENTRA DISPONIBLE EN BODEGA DE INSUMOS DE OFICINA, TALES COMO: PAQUETE DE MICAS TRANSPARENTES TAMAÑO CARTA PAQUETE DE MICAS TRANSPARENTES, TIJERAS GRANDES PARA CORTAR PLANOS TIJERAS DE OFICINA, CORCHETERAS, PORTA PLANOS, TERMOLAMINADORA, ENTRE OTROS."/>
    <n v="1"/>
    <s v="Papeleria"/>
    <n v="4"/>
    <n v="177"/>
    <n v="2091"/>
    <n v="370107"/>
    <x v="4"/>
    <x v="35"/>
    <x v="46"/>
    <x v="50"/>
    <s v="64-2335764-"/>
    <s v="yanet.gutierrez@redsalud.gob.cl"/>
    <x v="13"/>
    <m/>
    <n v="0"/>
    <m/>
    <n v="0"/>
    <n v="0"/>
    <m/>
    <x v="1"/>
    <x v="4"/>
  </r>
  <r>
    <s v="SERVICIO DE SALUD OSORNO"/>
    <s v="Bienes y Servicios"/>
    <x v="115"/>
    <s v="Proyecto operacional"/>
    <s v="Enviado"/>
    <s v="22.11.003"/>
    <x v="116"/>
    <s v="Desarrollar el estudio y modelación estructural del actual COSAM Oriente, de tal forma de evaluar una ampliación para la normalización del edificio al estándar MINSAL actual."/>
    <n v="1"/>
    <s v="Consultorias"/>
    <n v="4"/>
    <n v="1"/>
    <n v="3000000"/>
    <n v="3000000"/>
    <x v="4"/>
    <x v="31"/>
    <x v="39"/>
    <x v="44"/>
    <s v="64-2335843-"/>
    <s v="mario.barrientos@redsalud.gob.cl"/>
    <x v="20"/>
    <m/>
    <n v="0"/>
    <m/>
    <n v="0"/>
    <n v="0"/>
    <m/>
    <x v="1"/>
    <x v="4"/>
  </r>
  <r>
    <s v="SERVICIO DE SALUD OSORNO"/>
    <s v="Bienes y Servicios"/>
    <x v="116"/>
    <s v="Proyecto operacional"/>
    <s v="Enviado"/>
    <s v="22.04.002"/>
    <x v="117"/>
    <s v="Artículos para uso en los talleres de Terapia Ocupacional en unidades Residencial y Ambulatorio. Que tengan durabilidad, higiene, que cumplan funciones de estimulación, que sean seguros, que el tamaño vaya de acuerdo a la edad para la cual esté dirigido y que la forma facilite la manipulación, diseño adecuado para todos los beneficiarios, Sin olvidar la buena calidad. EJECUCIÓN: JULIO 2026"/>
    <n v="1"/>
    <s v="Material Educativo"/>
    <n v="4"/>
    <n v="26"/>
    <n v="18154"/>
    <n v="472004"/>
    <x v="4"/>
    <x v="33"/>
    <x v="43"/>
    <x v="48"/>
    <s v="64-2335492-"/>
    <s v="CAROLINA.SILVALL@REDSALUD.GOB.CL"/>
    <x v="22"/>
    <m/>
    <n v="0"/>
    <m/>
    <n v="0"/>
    <n v="0"/>
    <m/>
    <x v="1"/>
    <x v="4"/>
  </r>
  <r>
    <s v="SERVICIO DE SALUD OSORNO"/>
    <s v="Bienes y Servicios"/>
    <x v="117"/>
    <s v="Proyecto operacional"/>
    <s v="Enviado"/>
    <s v="22.04.999"/>
    <x v="118"/>
    <s v="Se requiere la adquisición de una cubierta textil o lona de alta resistencia para su instalación en jardines y áreas abiertas del establecimiento. Su finalidad es brindar protección ante radiación solar y condiciones climáticas, favoreciendo el uso seguro y confortable de los espacios exteriores. El material deberá ser lona acrílica impermeable, transpirable y duradera, resistente al sol, viento y lluvia, con estructura estable y apta para espacios institucionales. EJECUCION MARZO 2026"/>
    <n v="1"/>
    <s v="Toldo"/>
    <n v="4"/>
    <n v="4"/>
    <n v="150000"/>
    <n v="600000"/>
    <x v="4"/>
    <x v="32"/>
    <x v="43"/>
    <x v="48"/>
    <s v="64-2335492-"/>
    <s v="CAROLINA.SILVALL@REDSALUD.GOB.CL"/>
    <x v="21"/>
    <m/>
    <n v="0"/>
    <m/>
    <n v="0"/>
    <n v="0"/>
    <m/>
    <x v="1"/>
    <x v="4"/>
  </r>
  <r>
    <s v="SERVICIO DE SALUD OSORNO"/>
    <s v="Bienes y Servicios"/>
    <x v="118"/>
    <s v="Proyecto operacional"/>
    <s v="Enviado"/>
    <s v="22.04.012"/>
    <x v="119"/>
    <s v="Se requiere la adquisición de materiales para mantenciones y reparaciones en la unidad de salud con el fin de asegurar el correcto funcionamiento de las instalaciones, equipos e infraestructura, garantizando condiciones seguras y adecuadas para la atención de usuarios y el trabajo del personal. Estos insumos permiten realizar reparaciones oportunas, prevenir deterioros mayores, mantener la continuidad operativa y cumplir con las normas de seguridad y salud laboral establecidas."/>
    <n v="3"/>
    <s v="Mantenciones"/>
    <n v="4"/>
    <n v="28"/>
    <n v="132143"/>
    <n v="3700004"/>
    <x v="4"/>
    <x v="31"/>
    <x v="43"/>
    <x v="48"/>
    <s v="64-2335492-"/>
    <s v="CAROLINA.SILVALL@REDSALUD.GOB.CL"/>
    <x v="20"/>
    <m/>
    <n v="0"/>
    <m/>
    <n v="0"/>
    <n v="0"/>
    <m/>
    <x v="1"/>
    <x v="4"/>
  </r>
  <r>
    <s v="SERVICIO DE SALUD OSORNO"/>
    <s v="Bienes y Servicios"/>
    <x v="118"/>
    <s v="Proyecto operacional"/>
    <s v="Enviado"/>
    <s v="22.04.012"/>
    <x v="119"/>
    <s v="Se requiere la adquisición de materiales para mantenciones y reparaciones en la unidad de salud con el fin de asegurar el correcto funcionamiento de las instalaciones, equipos e infraestructura, garantizando condiciones seguras y adecuadas para la atención de usuarios y el trabajo del personal. Estos insumos permiten realizar reparaciones oportunas, prevenir deterioros mayores, mantener la continuidad operativa y cumplir con las normas de seguridad y salud laboral establecidas."/>
    <n v="3"/>
    <s v="Repuestos"/>
    <n v="4"/>
    <n v="60"/>
    <n v="36667"/>
    <n v="2200020"/>
    <x v="4"/>
    <x v="31"/>
    <x v="43"/>
    <x v="48"/>
    <s v="64-2335492-"/>
    <s v="CAROLINA.SILVALL@REDSALUD.GOB.CL"/>
    <x v="20"/>
    <m/>
    <n v="0"/>
    <m/>
    <n v="0"/>
    <n v="0"/>
    <m/>
    <x v="1"/>
    <x v="4"/>
  </r>
  <r>
    <s v="SERVICIO DE SALUD OSORNO"/>
    <s v="Bienes y Servicios"/>
    <x v="118"/>
    <s v="Proyecto operacional"/>
    <s v="Enviado"/>
    <s v="22.04.012"/>
    <x v="119"/>
    <s v="Se requiere la adquisición de materiales para mantenciones y reparaciones en la unidad de salud con el fin de asegurar el correcto funcionamiento de las instalaciones, equipos e infraestructura, garantizando condiciones seguras y adecuadas para la atención de usuarios y el trabajo del personal. Estos insumos permiten realizar reparaciones oportunas, prevenir deterioros mayores, mantener la continuidad operativa y cumplir con las normas de seguridad y salud laboral establecidas."/>
    <n v="3"/>
    <s v="Servicio"/>
    <n v="4"/>
    <n v="2"/>
    <n v="100000"/>
    <n v="200000"/>
    <x v="4"/>
    <x v="31"/>
    <x v="43"/>
    <x v="48"/>
    <s v="64-2335492-"/>
    <s v="CAROLINA.SILVALL@REDSALUD.GOB.CL"/>
    <x v="20"/>
    <m/>
    <n v="0"/>
    <m/>
    <n v="0"/>
    <n v="0"/>
    <m/>
    <x v="1"/>
    <x v="4"/>
  </r>
  <r>
    <s v="SERVICIO DE SALUD OSORNO"/>
    <s v="Bienes y Servicios"/>
    <x v="119"/>
    <s v="Proyecto operacional"/>
    <s v="Enviado"/>
    <s v="22.04.009"/>
    <x v="120"/>
    <s v="Se requiere la adquisición de repuestos e insumos computacionales para garantizar el correcto funcionamiento de los equipos tecnológicos de la unidad de salud, asegurando la continuidad de los servicios administrativos, clínicos y de registro de información. Estos insumos permiten reparar, mantener y optimizar el desempeño de computadores, impresoras y otros dispositivos electrónicos, reduciendo tiempos de inactividad, previniendo fallas mayores y asegurando eficiencia, seguridad y confiabilidad en los procesos del establecimiento."/>
    <n v="3"/>
    <s v="Insumos Computacionales"/>
    <n v="4"/>
    <n v="31"/>
    <n v="33226"/>
    <n v="1030006"/>
    <x v="4"/>
    <x v="24"/>
    <x v="43"/>
    <x v="48"/>
    <s v="64-2335492-"/>
    <s v="CAROLINA.SILVALL@REDSALUD.GOB.CL"/>
    <x v="14"/>
    <m/>
    <n v="0"/>
    <m/>
    <n v="0"/>
    <n v="0"/>
    <m/>
    <x v="1"/>
    <x v="4"/>
  </r>
  <r>
    <s v="SERVICIO DE SALUD OSORNO"/>
    <s v="Bienes y Servicios"/>
    <x v="119"/>
    <s v="Proyecto operacional"/>
    <s v="Enviado"/>
    <s v="22.04.009"/>
    <x v="120"/>
    <s v="Se requiere la adquisición de repuestos e insumos computacionales para garantizar el correcto funcionamiento de los equipos tecnológicos de la unidad de salud, asegurando la continuidad de los servicios administrativos, clínicos y de registro de información. Estos insumos permiten reparar, mantener y optimizar el desempeño de computadores, impresoras y otros dispositivos electrónicos, reduciendo tiempos de inactividad, previniendo fallas mayores y asegurando eficiencia, seguridad y confiabilidad en los procesos del establecimiento."/>
    <n v="3"/>
    <s v="WI FI"/>
    <n v="4"/>
    <n v="12"/>
    <n v="75000"/>
    <n v="900000"/>
    <x v="4"/>
    <x v="35"/>
    <x v="43"/>
    <x v="48"/>
    <s v="64-2335492-"/>
    <s v="CAROLINA.SILVALL@REDSALUD.GOB.CL"/>
    <x v="13"/>
    <m/>
    <n v="0"/>
    <m/>
    <n v="0"/>
    <n v="0"/>
    <m/>
    <x v="1"/>
    <x v="4"/>
  </r>
  <r>
    <s v="SERVICIO DE SALUD OSORNO"/>
    <s v="Bienes y Servicios"/>
    <x v="119"/>
    <s v="Proyecto operacional"/>
    <s v="Enviado"/>
    <s v="22.04.009"/>
    <x v="120"/>
    <s v="Se requiere la adquisición de repuestos e insumos computacionales para garantizar el correcto funcionamiento de los equipos tecnológicos de la unidad de salud, asegurando la continuidad de los servicios administrativos, clínicos y de registro de información. Estos insumos permiten reparar, mantener y optimizar el desempeño de computadores, impresoras y otros dispositivos electrónicos, reduciendo tiempos de inactividad, previniendo fallas mayores y asegurando eficiencia, seguridad y confiabilidad en los procesos del establecimiento."/>
    <n v="3"/>
    <s v="Repuestos"/>
    <n v="4"/>
    <n v="20"/>
    <n v="40000"/>
    <n v="800000"/>
    <x v="4"/>
    <x v="25"/>
    <x v="43"/>
    <x v="48"/>
    <s v="64-2335492-"/>
    <s v="CAROLINA.SILVALL@REDSALUD.GOB.CL"/>
    <x v="15"/>
    <m/>
    <n v="0"/>
    <m/>
    <n v="0"/>
    <n v="0"/>
    <m/>
    <x v="1"/>
    <x v="4"/>
  </r>
  <r>
    <s v="SERVICIO DE SALUD OSORNO"/>
    <s v="Bienes y Servicios"/>
    <x v="120"/>
    <s v="Proyecto estratégico"/>
    <s v="Enviado"/>
    <s v="22.04.003.002"/>
    <x v="121"/>
    <s v="INSUMOS PARA EXAMENES DE LABORATORIO TIPO POC, CON ARRIENDO DE EQUIPOS, PARA HOSPITAL PUERTO OCTAY, HOSPITAL RIO NEGRO, HOSPITAL PU MULEN QUILACAHUIN, HOSPITAL FUKA SRUKA LAWENCHE KUNKO MAPU MO Y SAR CHUYACA. MES DE EJECUCION DE LA COMPRA SE REQUIERE PARA JULIO DEL 2026, CON DURACION DE 12 MESES."/>
    <n v="1"/>
    <s v="Convenio Kit Point"/>
    <n v="4"/>
    <n v="1"/>
    <n v="75000000"/>
    <n v="31250000"/>
    <x v="11"/>
    <x v="40"/>
    <x v="15"/>
    <x v="51"/>
    <s v="64-2335827-"/>
    <s v="sofiav.reyes@redsalud.gob.cl"/>
    <x v="22"/>
    <m/>
    <n v="0"/>
    <m/>
    <n v="0"/>
    <n v="0"/>
    <m/>
    <x v="1"/>
    <x v="4"/>
  </r>
  <r>
    <s v="SERVICIO DE SALUD OSORNO"/>
    <s v="Bienes y Servicios"/>
    <x v="121"/>
    <s v="Proyecto operacional"/>
    <s v="Enviado"/>
    <s v="22.04.999"/>
    <x v="122"/>
    <s v="Con motivo de conmemorar el Día Mundial de la Actividad Física (6 de abril) y el Día Mundial de la Salud (7 de abril), la Unidad SAFU invita a participar a los funcionarios de los diferentes Servicios/Establecimientos/Dispositivos de la Red SSO para que envíen un video que muestre una pausa activa en su trabajo, ya sea una rutina simple de ejercicios o un baile entretenido en grupo. La pausa activa más creativa será premiada con un ?set de pausas activas?, que incluye herramientas para desarrollar pausas activas en su lugar de trabajo."/>
    <n v="1"/>
    <s v="Instrumentos Deportivos"/>
    <n v="4"/>
    <n v="50"/>
    <n v="4000"/>
    <n v="200000"/>
    <x v="4"/>
    <x v="32"/>
    <x v="47"/>
    <x v="52"/>
    <s v="64-2337097-"/>
    <s v="marcia.delarze@redsalud.gob.cl"/>
    <x v="21"/>
    <m/>
    <n v="0"/>
    <m/>
    <n v="0"/>
    <n v="0"/>
    <m/>
    <x v="1"/>
    <x v="4"/>
  </r>
  <r>
    <s v="SERVICIO DE SALUD OSORNO"/>
    <s v="Bienes y Servicios"/>
    <x v="122"/>
    <s v="Proyecto operacional"/>
    <s v="Enviado"/>
    <s v="22.01.001"/>
    <x v="123"/>
    <s v="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
    <n v="7"/>
    <s v="Alimentación"/>
    <n v="4"/>
    <n v="1"/>
    <n v="107000"/>
    <n v="107000"/>
    <x v="4"/>
    <x v="38"/>
    <x v="48"/>
    <x v="53"/>
    <s v="64-2335767-"/>
    <s v="jocelyne.prieto@redsalud.gob.cl"/>
    <x v="19"/>
    <m/>
    <n v="0"/>
    <m/>
    <n v="0"/>
    <n v="0"/>
    <m/>
    <x v="1"/>
    <x v="4"/>
  </r>
  <r>
    <s v="SERVICIO DE SALUD OSORNO"/>
    <s v="Bienes y Servicios"/>
    <x v="122"/>
    <s v="Proyecto operacional"/>
    <s v="Enviado"/>
    <s v="22.01.001"/>
    <x v="123"/>
    <s v="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
    <n v="7"/>
    <s v="Servicio Cafeteria"/>
    <n v="4"/>
    <n v="3"/>
    <n v="466667"/>
    <n v="1400001"/>
    <x v="4"/>
    <x v="31"/>
    <x v="48"/>
    <x v="53"/>
    <s v="64-2335767-"/>
    <s v="jocelyne.prieto@redsalud.gob.cl"/>
    <x v="20"/>
    <m/>
    <n v="0"/>
    <m/>
    <n v="0"/>
    <n v="0"/>
    <m/>
    <x v="1"/>
    <x v="4"/>
  </r>
  <r>
    <s v="SERVICIO DE SALUD OSORNO"/>
    <s v="Bienes y Servicios"/>
    <x v="122"/>
    <s v="Proyecto operacional"/>
    <s v="Enviado"/>
    <s v="22.01.001"/>
    <x v="123"/>
    <s v="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
    <n v="7"/>
    <s v="Servicio Traslado"/>
    <n v="4"/>
    <n v="30"/>
    <n v="1500000"/>
    <n v="45000000"/>
    <x v="4"/>
    <x v="31"/>
    <x v="48"/>
    <x v="53"/>
    <s v="64-2335767-"/>
    <s v="jocelyne.prieto@redsalud.gob.cl"/>
    <x v="20"/>
    <m/>
    <n v="0"/>
    <m/>
    <n v="0"/>
    <n v="0"/>
    <m/>
    <x v="1"/>
    <x v="4"/>
  </r>
  <r>
    <s v="SERVICIO DE SALUD OSORNO"/>
    <s v="Bienes y Servicios"/>
    <x v="122"/>
    <s v="Proyecto operacional"/>
    <s v="Enviado"/>
    <s v="22.01.001"/>
    <x v="123"/>
    <s v="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
    <n v="7"/>
    <s v="Pendrive"/>
    <n v="4"/>
    <n v="25"/>
    <n v="1000"/>
    <n v="25000"/>
    <x v="4"/>
    <x v="31"/>
    <x v="48"/>
    <x v="53"/>
    <s v="64-2335767-"/>
    <s v="jocelyne.prieto@redsalud.gob.cl"/>
    <x v="20"/>
    <m/>
    <n v="0"/>
    <m/>
    <n v="0"/>
    <n v="0"/>
    <m/>
    <x v="1"/>
    <x v="4"/>
  </r>
  <r>
    <s v="SERVICIO DE SALUD OSORNO"/>
    <s v="Bienes y Servicios"/>
    <x v="122"/>
    <s v="Proyecto operacional"/>
    <s v="Enviado"/>
    <s v="22.01.001"/>
    <x v="123"/>
    <s v="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
    <n v="7"/>
    <s v="Materiales de Oficina"/>
    <n v="4"/>
    <n v="50"/>
    <n v="300"/>
    <n v="15000"/>
    <x v="4"/>
    <x v="38"/>
    <x v="48"/>
    <x v="53"/>
    <s v="64-2335767-"/>
    <s v="jocelyne.prieto@redsalud.gob.cl"/>
    <x v="19"/>
    <m/>
    <n v="0"/>
    <m/>
    <n v="0"/>
    <n v="0"/>
    <m/>
    <x v="1"/>
    <x v="4"/>
  </r>
  <r>
    <s v="SERVICIO DE SALUD OSORNO"/>
    <s v="Bienes y Servicios"/>
    <x v="122"/>
    <s v="Proyecto operacional"/>
    <s v="Enviado"/>
    <s v="22.01.001"/>
    <x v="123"/>
    <s v="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
    <n v="7"/>
    <s v="Publicación Diario"/>
    <n v="4"/>
    <n v="2"/>
    <n v="60000"/>
    <n v="120000"/>
    <x v="4"/>
    <x v="28"/>
    <x v="48"/>
    <x v="53"/>
    <s v="64-2335767-"/>
    <s v="jocelyne.prieto@redsalud.gob.cl"/>
    <x v="18"/>
    <m/>
    <n v="0"/>
    <m/>
    <n v="0"/>
    <n v="0"/>
    <m/>
    <x v="1"/>
    <x v="4"/>
  </r>
  <r>
    <s v="SERVICIO DE SALUD OSORNO"/>
    <s v="Bienes y Servicios"/>
    <x v="122"/>
    <s v="Proyecto operacional"/>
    <s v="Enviado"/>
    <s v="22.01.001"/>
    <x v="123"/>
    <s v="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
    <n v="7"/>
    <s v="Menaje Cafeteria"/>
    <n v="4"/>
    <n v="200"/>
    <n v="50"/>
    <n v="10000"/>
    <x v="4"/>
    <x v="38"/>
    <x v="48"/>
    <x v="53"/>
    <s v="64-2335767-"/>
    <s v="jocelyne.prieto@redsalud.gob.cl"/>
    <x v="19"/>
    <m/>
    <n v="0"/>
    <m/>
    <n v="0"/>
    <n v="0"/>
    <m/>
    <x v="1"/>
    <x v="4"/>
  </r>
  <r>
    <s v="SERVICIO DE SALUD OSORNO"/>
    <s v="Administración de Fondos"/>
    <x v="123"/>
    <s v="Proyecto operacional"/>
    <s v="Enviado"/>
    <s v="22.01.001"/>
    <x v="124"/>
    <s v="El Festival Navideño se realizará en el mes de diciembre, por lo que las compras deberían estar en noviembre, para poder organizar los recuerdos y actividades a realizar en este evento, además de la comida que se va a entregar a los invitados. Es una actividad de cierre de año y de reflexión en torno a lo realizado en las vidas de los usuarios y sus familiares"/>
    <n v="4"/>
    <s v="Servicio Cafeteria"/>
    <n v="4"/>
    <n v="1"/>
    <n v="250000"/>
    <n v="250000"/>
    <x v="4"/>
    <x v="28"/>
    <x v="44"/>
    <x v="24"/>
    <s v="64-2335610-"/>
    <s v="pedro.fritz@redsalud.gob.cl"/>
    <x v="18"/>
    <m/>
    <n v="0"/>
    <m/>
    <n v="0"/>
    <n v="0"/>
    <m/>
    <x v="1"/>
    <x v="2"/>
  </r>
  <r>
    <s v="SERVICIO DE SALUD OSORNO"/>
    <s v="Administración de Fondos"/>
    <x v="123"/>
    <s v="Proyecto operacional"/>
    <s v="Enviado"/>
    <s v="22.01.001"/>
    <x v="124"/>
    <s v="El Festival Navideño se realizará en el mes de diciembre, por lo que las compras deberían estar en noviembre, para poder organizar los recuerdos y actividades a realizar en este evento, además de la comida que se va a entregar a los invitados. Es una actividad de cierre de año y de reflexión en torno a lo realizado en las vidas de los usuarios y sus familiares"/>
    <n v="4"/>
    <s v="Alimentación"/>
    <n v="4"/>
    <n v="110"/>
    <n v="775"/>
    <n v="85250"/>
    <x v="4"/>
    <x v="28"/>
    <x v="44"/>
    <x v="24"/>
    <s v="64-2335610-"/>
    <s v="pedro.fritz@redsalud.gob.cl"/>
    <x v="18"/>
    <m/>
    <n v="0"/>
    <m/>
    <n v="0"/>
    <n v="0"/>
    <m/>
    <x v="1"/>
    <x v="2"/>
  </r>
  <r>
    <s v="SERVICIO DE SALUD OSORNO"/>
    <s v="Administración de Fondos"/>
    <x v="123"/>
    <s v="Proyecto operacional"/>
    <s v="Enviado"/>
    <s v="22.01.001"/>
    <x v="124"/>
    <s v="El Festival Navideño se realizará en el mes de diciembre, por lo que las compras deberían estar en noviembre, para poder organizar los recuerdos y actividades a realizar en este evento, además de la comida que se va a entregar a los invitados. Es una actividad de cierre de año y de reflexión en torno a lo realizado en las vidas de los usuarios y sus familiares"/>
    <n v="4"/>
    <s v="Material de Enseñanza"/>
    <n v="4"/>
    <n v="31"/>
    <n v="1320"/>
    <n v="40920"/>
    <x v="4"/>
    <x v="28"/>
    <x v="44"/>
    <x v="24"/>
    <s v="64-2335610-"/>
    <s v="pedro.fritz@redsalud.gob.cl"/>
    <x v="18"/>
    <m/>
    <n v="0"/>
    <m/>
    <n v="0"/>
    <n v="0"/>
    <m/>
    <x v="1"/>
    <x v="2"/>
  </r>
  <r>
    <s v="SERVICIO DE SALUD OSORNO"/>
    <s v="Administración de Fondos"/>
    <x v="123"/>
    <s v="Proyecto operacional"/>
    <s v="Enviado"/>
    <s v="22.01.001"/>
    <x v="124"/>
    <s v="El Festival Navideño se realizará en el mes de diciembre, por lo que las compras deberían estar en noviembre, para poder organizar los recuerdos y actividades a realizar en este evento, además de la comida que se va a entregar a los invitados. Es una actividad de cierre de año y de reflexión en torno a lo realizado en las vidas de los usuarios y sus familiares"/>
    <n v="4"/>
    <s v="Bolsas Regalo"/>
    <n v="4"/>
    <n v="30"/>
    <n v="790"/>
    <n v="23700"/>
    <x v="4"/>
    <x v="28"/>
    <x v="44"/>
    <x v="24"/>
    <s v="64-2335610-"/>
    <s v="pedro.fritz@redsalud.gob.cl"/>
    <x v="18"/>
    <m/>
    <n v="0"/>
    <m/>
    <n v="0"/>
    <n v="0"/>
    <m/>
    <x v="1"/>
    <x v="2"/>
  </r>
  <r>
    <s v="SERVICIO DE SALUD OSORNO"/>
    <s v="Administración de Fondos"/>
    <x v="124"/>
    <s v="Proyecto operacional"/>
    <s v="Enviado"/>
    <s v="22.04.002"/>
    <x v="125"/>
    <s v="Idealmente en enero ya contar con los materiales."/>
    <n v="1"/>
    <s v="Material de Enseñanza"/>
    <n v="4"/>
    <n v="26"/>
    <n v="6116"/>
    <n v="159016"/>
    <x v="4"/>
    <x v="35"/>
    <x v="44"/>
    <x v="24"/>
    <s v="64-2335610-"/>
    <s v="pedro.fritz@redsalud.gob.cl"/>
    <x v="13"/>
    <m/>
    <n v="0"/>
    <m/>
    <n v="0"/>
    <n v="0"/>
    <m/>
    <x v="1"/>
    <x v="2"/>
  </r>
  <r>
    <s v="SERVICIO DE SALUD OSORNO"/>
    <s v="Bienes y Servicios"/>
    <x v="125"/>
    <s v="Proyecto operacional"/>
    <s v="Enviado"/>
    <s v="22.04.003"/>
    <x v="126"/>
    <s v="COMPRA DE KITS PARA DETECCION DE VIRUS Y BACTERIAS RESPIRATORIAS POR METODO MOLECULAR RAPIDO (POC MOLECULAR) QUE PERMITIRAN A HPO, HRN Y HPU OTORGAR PRESTACIONES DE LABORATORIO RELATIVAS A LA DETECCION DE INFECCIONES RESPIRATORIAS POR METODOS RAPIDOS Y ALTAMENTE ESPECIFICOS/SENSIBLES. SE REQUIERE QUE LA COMPRA SE REALICE EN MAYO DEL 2026, CON RECURSOS DE LA CAMPAÑA DE INVIERNO DEL AÑO 2026, CON DURACION DEL CONVENIO POR 12 MESES."/>
    <n v="1"/>
    <s v="Convenio Kit Point"/>
    <n v="4"/>
    <n v="1"/>
    <n v="35000000"/>
    <n v="23333328"/>
    <x v="11"/>
    <x v="41"/>
    <x v="49"/>
    <x v="51"/>
    <s v="64-2335827-"/>
    <s v="sofiav.reyes@redsalud.gob.cl"/>
    <x v="20"/>
    <m/>
    <n v="0"/>
    <m/>
    <n v="0"/>
    <n v="0"/>
    <m/>
    <x v="1"/>
    <x v="4"/>
  </r>
  <r>
    <s v="SERVICIO DE SALUD OSORNO"/>
    <s v="Administración de Fondos"/>
    <x v="126"/>
    <s v="Proyecto operacional"/>
    <s v="Enviado"/>
    <s v="22.01.001.002"/>
    <x v="127"/>
    <s v="Se requiere contar con los insumos en los siguientes meses: Febrero, Marzo, Abril, Mayo, Junio, Julio, Agosto y Noviembre"/>
    <n v="3"/>
    <s v="Servicio Cafeteria"/>
    <n v="4"/>
    <n v="2"/>
    <n v="350000"/>
    <n v="700000"/>
    <x v="4"/>
    <x v="38"/>
    <x v="44"/>
    <x v="24"/>
    <s v="64-2335610-"/>
    <s v="pedro.fritz@redsalud.gob.cl"/>
    <x v="19"/>
    <m/>
    <n v="0"/>
    <m/>
    <n v="0"/>
    <n v="0"/>
    <m/>
    <x v="1"/>
    <x v="2"/>
  </r>
  <r>
    <s v="SERVICIO DE SALUD OSORNO"/>
    <s v="Administración de Fondos"/>
    <x v="126"/>
    <s v="Proyecto operacional"/>
    <s v="Enviado"/>
    <s v="22.01.001.002"/>
    <x v="127"/>
    <s v="Se requiere contar con los insumos en los siguientes meses: Febrero, Marzo, Abril, Mayo, Junio, Julio, Agosto y Noviembre"/>
    <n v="3"/>
    <s v="Alimentación"/>
    <n v="4"/>
    <n v="173"/>
    <n v="2267"/>
    <n v="392191"/>
    <x v="4"/>
    <x v="38"/>
    <x v="44"/>
    <x v="24"/>
    <s v="64-2335610-"/>
    <s v="pedro.fritz@redsalud.gob.cl"/>
    <x v="19"/>
    <m/>
    <n v="0"/>
    <m/>
    <n v="0"/>
    <n v="0"/>
    <m/>
    <x v="1"/>
    <x v="2"/>
  </r>
  <r>
    <s v="SERVICIO DE SALUD OSORNO"/>
    <s v="Administración de Fondos"/>
    <x v="126"/>
    <s v="Proyecto operacional"/>
    <s v="Enviado"/>
    <s v="22.01.001.002"/>
    <x v="127"/>
    <s v="Se requiere contar con los insumos en los siguientes meses: Febrero, Marzo, Abril, Mayo, Junio, Julio, Agosto y Noviembre"/>
    <n v="3"/>
    <s v="Menaje"/>
    <n v="4"/>
    <n v="400"/>
    <n v="99"/>
    <n v="39600"/>
    <x v="4"/>
    <x v="38"/>
    <x v="44"/>
    <x v="24"/>
    <s v="64-2335610-"/>
    <s v="pedro.fritz@redsalud.gob.cl"/>
    <x v="19"/>
    <m/>
    <n v="0"/>
    <m/>
    <n v="0"/>
    <n v="0"/>
    <m/>
    <x v="1"/>
    <x v="2"/>
  </r>
  <r>
    <s v="SERVICIO DE SALUD OSORNO"/>
    <s v="Bienes y Servicios"/>
    <x v="127"/>
    <s v="Proyecto operacional"/>
    <s v="Enviado"/>
    <s v="22.04.999"/>
    <x v="128"/>
    <s v="Adquirir productos para realización de medicina integrativa en los/las funcionarios/as que se atiendas en SAFU, por lo cual, para dar continuidad a los tratamientos realizados, el mes de ejecución de la compra debe ser realizado en enero 2026 , el cual estará vigente hasta diciembre 2026."/>
    <n v="1"/>
    <s v="Aromaterapia"/>
    <n v="4"/>
    <n v="1328"/>
    <n v="513"/>
    <n v="681264"/>
    <x v="4"/>
    <x v="35"/>
    <x v="50"/>
    <x v="54"/>
    <s v="64-2337034-"/>
    <s v="lhya.kortmann@redsalud.gob.cl"/>
    <x v="13"/>
    <m/>
    <n v="0"/>
    <m/>
    <n v="0"/>
    <n v="0"/>
    <m/>
    <x v="1"/>
    <x v="4"/>
  </r>
  <r>
    <s v="SERVICIO DE SALUD OSORNO"/>
    <s v="Bienes y Servicios"/>
    <x v="128"/>
    <s v="Proyecto operacional"/>
    <s v="Enviado"/>
    <s v="22.04.007"/>
    <x v="129"/>
    <s v="COMPRA DE INSUMOS PARA USUARIOS DEL PROGRAMA ATENCIÓN DOMICILIARIA PARA PERSONAS CON DEPENDENCIA SEVERA. LA COMPRA SE REALIZARÁ EN EL MES DE ABRIL, SEGÚN DISTRIBUCIÓN DE RECURSOS FINANCIEROS."/>
    <n v="3"/>
    <s v="Producto de Aseo"/>
    <n v="4"/>
    <n v="750"/>
    <n v="2230"/>
    <n v="1672500"/>
    <x v="4"/>
    <x v="24"/>
    <x v="51"/>
    <x v="55"/>
    <s v="64-2335818-"/>
    <s v="camila.alvarez@redsalud.gob.cl"/>
    <x v="14"/>
    <m/>
    <n v="0"/>
    <m/>
    <n v="0"/>
    <n v="0"/>
    <m/>
    <x v="1"/>
    <x v="4"/>
  </r>
  <r>
    <s v="SERVICIO DE SALUD OSORNO"/>
    <s v="Bienes y Servicios"/>
    <x v="128"/>
    <s v="Proyecto operacional"/>
    <s v="Enviado"/>
    <s v="22.04.007"/>
    <x v="129"/>
    <s v="COMPRA DE INSUMOS PARA USUARIOS DEL PROGRAMA ATENCIÓN DOMICILIARIA PARA PERSONAS CON DEPENDENCIA SEVERA. LA COMPRA SE REALIZARÁ EN EL MES DE ABRIL, SEGÚN DISTRIBUCIÓN DE RECURSOS FINANCIEROS."/>
    <n v="3"/>
    <s v="Pañales"/>
    <n v="4"/>
    <n v="702"/>
    <n v="11618"/>
    <n v="8155836"/>
    <x v="4"/>
    <x v="24"/>
    <x v="51"/>
    <x v="55"/>
    <s v="64-2335818-"/>
    <s v="camila.alvarez@redsalud.gob.cl"/>
    <x v="14"/>
    <m/>
    <n v="0"/>
    <m/>
    <n v="0"/>
    <n v="0"/>
    <m/>
    <x v="1"/>
    <x v="4"/>
  </r>
  <r>
    <s v="SERVICIO DE SALUD OSORNO"/>
    <s v="Bienes y Servicios"/>
    <x v="128"/>
    <s v="Proyecto operacional"/>
    <s v="Enviado"/>
    <s v="22.04.007"/>
    <x v="129"/>
    <s v="COMPRA DE INSUMOS PARA USUARIOS DEL PROGRAMA ATENCIÓN DOMICILIARIA PARA PERSONAS CON DEPENDENCIA SEVERA. LA COMPRA SE REALIZARÁ EN EL MES DE ABRIL, SEGÚN DISTRIBUCIÓN DE RECURSOS FINANCIEROS."/>
    <n v="3"/>
    <s v="Crema"/>
    <n v="4"/>
    <n v="200"/>
    <n v="10875"/>
    <n v="2175000"/>
    <x v="4"/>
    <x v="24"/>
    <x v="51"/>
    <x v="55"/>
    <s v="64-2335818-"/>
    <s v="camila.alvarez@redsalud.gob.cl"/>
    <x v="14"/>
    <m/>
    <n v="0"/>
    <m/>
    <n v="0"/>
    <n v="0"/>
    <m/>
    <x v="1"/>
    <x v="4"/>
  </r>
  <r>
    <s v="SERVICIO DE SALUD OSORNO"/>
    <s v="Bienes y Servicios"/>
    <x v="129"/>
    <s v="Proyecto operacional"/>
    <s v="Enviado"/>
    <s v="22.04.001"/>
    <x v="130"/>
    <s v="Compra se ejecutará en Marzo 2026."/>
    <n v="2"/>
    <s v="Material de Oficina"/>
    <n v="4"/>
    <n v="3248"/>
    <n v="157"/>
    <n v="509936"/>
    <x v="4"/>
    <x v="32"/>
    <x v="52"/>
    <x v="56"/>
    <s v="64-2335811-"/>
    <s v="eleuterio.roman@redsalud.gob.cl"/>
    <x v="21"/>
    <m/>
    <n v="0"/>
    <m/>
    <n v="0"/>
    <n v="0"/>
    <m/>
    <x v="1"/>
    <x v="4"/>
  </r>
  <r>
    <s v="SERVICIO DE SALUD OSORNO"/>
    <s v="Bienes y Servicios"/>
    <x v="129"/>
    <s v="Proyecto operacional"/>
    <s v="Enviado"/>
    <s v="22.04.001"/>
    <x v="130"/>
    <s v="Compra se ejecutará en Marzo 2026."/>
    <n v="2"/>
    <s v="Toner"/>
    <n v="4"/>
    <n v="4"/>
    <n v="12000"/>
    <n v="48000"/>
    <x v="4"/>
    <x v="32"/>
    <x v="52"/>
    <x v="56"/>
    <s v="64-2335811-"/>
    <s v="eleuterio.roman@redsalud.gob.cl"/>
    <x v="21"/>
    <m/>
    <n v="0"/>
    <m/>
    <n v="0"/>
    <n v="0"/>
    <m/>
    <x v="1"/>
    <x v="4"/>
  </r>
  <r>
    <s v="SERVICIO DE SALUD OSORNO"/>
    <s v="Bienes y Servicios"/>
    <x v="130"/>
    <s v="Proyecto operacional"/>
    <s v="Enviado"/>
    <s v="22.04.999"/>
    <x v="131"/>
    <s v="Ejecutar actividad de Zumba dirigida a funcionarios/as y comunidad en conmemoración al mes del corazón (Agosto 2026), además de entregar colaciones saludables y premios posterior a la realización de la actividad. Actividad inserta en Programa Apoyo a la Gestión en establecimiento dependientes - componente Salud Cardiovascular (Presupuesto 2026)."/>
    <n v="3"/>
    <s v="Instructora"/>
    <n v="4"/>
    <n v="2"/>
    <n v="110000"/>
    <n v="220000"/>
    <x v="4"/>
    <x v="36"/>
    <x v="53"/>
    <x v="57"/>
    <s v="64-2337032-"/>
    <s v="daniela.cancino01@redsalud.gob.cl"/>
    <x v="24"/>
    <m/>
    <n v="0"/>
    <m/>
    <n v="0"/>
    <n v="0"/>
    <m/>
    <x v="1"/>
    <x v="4"/>
  </r>
  <r>
    <s v="SERVICIO DE SALUD OSORNO"/>
    <s v="Bienes y Servicios"/>
    <x v="130"/>
    <s v="Proyecto operacional"/>
    <s v="Enviado"/>
    <s v="22.04.999"/>
    <x v="131"/>
    <s v="Ejecutar actividad de Zumba dirigida a funcionarios/as y comunidad en conmemoración al mes del corazón (Agosto 2026), además de entregar colaciones saludables y premios posterior a la realización de la actividad. Actividad inserta en Programa Apoyo a la Gestión en establecimiento dependientes - componente Salud Cardiovascular (Presupuesto 2026)."/>
    <n v="3"/>
    <s v="Alimentación"/>
    <n v="4"/>
    <n v="240"/>
    <n v="771"/>
    <n v="185040"/>
    <x v="4"/>
    <x v="36"/>
    <x v="53"/>
    <x v="57"/>
    <s v="64-2337032-"/>
    <s v="daniela.cancino01@redsalud.gob.cl"/>
    <x v="24"/>
    <m/>
    <n v="0"/>
    <m/>
    <n v="0"/>
    <n v="0"/>
    <m/>
    <x v="1"/>
    <x v="4"/>
  </r>
  <r>
    <s v="SERVICIO DE SALUD OSORNO"/>
    <s v="Bienes y Servicios"/>
    <x v="130"/>
    <s v="Proyecto operacional"/>
    <s v="Enviado"/>
    <s v="22.04.999"/>
    <x v="131"/>
    <s v="Ejecutar actividad de Zumba dirigida a funcionarios/as y comunidad en conmemoración al mes del corazón (Agosto 2026), además de entregar colaciones saludables y premios posterior a la realización de la actividad. Actividad inserta en Programa Apoyo a la Gestión en establecimiento dependientes - componente Salud Cardiovascular (Presupuesto 2026)."/>
    <n v="3"/>
    <s v="Decoración"/>
    <n v="4"/>
    <n v="220"/>
    <n v="1228"/>
    <n v="270160"/>
    <x v="4"/>
    <x v="36"/>
    <x v="53"/>
    <x v="57"/>
    <s v="64-2337032-"/>
    <s v="daniela.cancino01@redsalud.gob.cl"/>
    <x v="24"/>
    <m/>
    <n v="0"/>
    <m/>
    <n v="0"/>
    <n v="0"/>
    <m/>
    <x v="1"/>
    <x v="4"/>
  </r>
  <r>
    <s v="SERVICIO DE SALUD OSORNO"/>
    <s v="Bienes y Servicios"/>
    <x v="131"/>
    <s v="Proyecto operacional"/>
    <s v="Enviado"/>
    <s v="22.06.001"/>
    <x v="132"/>
    <s v="Mes en el que se deberá gestionar FSC es febrero 2026. la mantención se considera 1 vez en el año."/>
    <n v="1"/>
    <s v="Mantencion"/>
    <n v="4"/>
    <n v="9"/>
    <n v="77778"/>
    <n v="700002"/>
    <x v="4"/>
    <x v="38"/>
    <x v="44"/>
    <x v="58"/>
    <s v="64-2335588-"/>
    <s v="roberto.nunez@redsalud.gob.cl"/>
    <x v="19"/>
    <m/>
    <n v="0"/>
    <m/>
    <n v="0"/>
    <n v="0"/>
    <m/>
    <x v="1"/>
    <x v="4"/>
  </r>
  <r>
    <s v="SERVICIO DE SALUD OSORNO"/>
    <s v="Bienes y Servicios"/>
    <x v="132"/>
    <s v="Proyecto operacional"/>
    <s v="Enviado"/>
    <s v="22.06.001"/>
    <x v="133"/>
    <s v="Febrero, marzo, abril año 2026. El trabajo se debe hacer en 3 meses son 12 estacionamientos, se debe realizar de a 4 por motivo de no congestionar espacios destinados a estacionamientos"/>
    <n v="1"/>
    <s v="Mantencion"/>
    <n v="4"/>
    <n v="12"/>
    <n v="583334"/>
    <n v="7000008"/>
    <x v="4"/>
    <x v="38"/>
    <x v="44"/>
    <x v="58"/>
    <s v="64-2335588-"/>
    <s v="roberto.nunez@redsalud.gob.cl"/>
    <x v="19"/>
    <m/>
    <n v="0"/>
    <m/>
    <n v="0"/>
    <n v="0"/>
    <m/>
    <x v="1"/>
    <x v="4"/>
  </r>
  <r>
    <s v="SERVICIO DE SALUD OSORNO"/>
    <s v="Bienes y Servicios"/>
    <x v="133"/>
    <s v="Proyecto operacional"/>
    <s v="Enviado"/>
    <s v="22.06.001"/>
    <x v="134"/>
    <s v="marzo 2026, corresponde a 1 trabajo que se debe ejecutar"/>
    <n v="1"/>
    <s v="Mantencion"/>
    <n v="4"/>
    <n v="1"/>
    <n v="800000"/>
    <n v="800000"/>
    <x v="4"/>
    <x v="32"/>
    <x v="44"/>
    <x v="58"/>
    <s v="64-2335588-"/>
    <s v="roberto.nunez@redsalud.gob.cl"/>
    <x v="21"/>
    <m/>
    <n v="0"/>
    <m/>
    <n v="0"/>
    <n v="0"/>
    <m/>
    <x v="1"/>
    <x v="4"/>
  </r>
  <r>
    <s v="SERVICIO DE SALUD OSORNO"/>
    <s v="Bienes y Servicios"/>
    <x v="134"/>
    <s v="Proyecto operacional"/>
    <s v="Enviado"/>
    <s v="22.06.001"/>
    <x v="135"/>
    <s v="Se deberá ejecutar en marzo 2026, es un sólo trabajo"/>
    <n v="1"/>
    <s v="Mantencion"/>
    <n v="4"/>
    <n v="1"/>
    <n v="3500000"/>
    <n v="3500000"/>
    <x v="4"/>
    <x v="38"/>
    <x v="44"/>
    <x v="58"/>
    <s v="64-2335588-"/>
    <s v="roberto.nunez@redsalud.gob.cl"/>
    <x v="19"/>
    <m/>
    <n v="0"/>
    <m/>
    <n v="0"/>
    <n v="0"/>
    <m/>
    <x v="1"/>
    <x v="4"/>
  </r>
  <r>
    <s v="SERVICIO DE SALUD OSORNO"/>
    <s v="Bienes y Servicios"/>
    <x v="135"/>
    <s v="Proyecto operacional"/>
    <s v="Enviado"/>
    <s v="22.06.001"/>
    <x v="136"/>
    <s v="Se deberá ejecutar en marzo 2026, corresponde a 1 trabajo"/>
    <n v="1"/>
    <s v="Mantencion"/>
    <n v="4"/>
    <n v="1"/>
    <n v="2000000"/>
    <n v="2000000"/>
    <x v="4"/>
    <x v="32"/>
    <x v="44"/>
    <x v="58"/>
    <s v="64-2335588-"/>
    <s v="roberto.nunez@redsalud.gob.cl"/>
    <x v="21"/>
    <m/>
    <n v="0"/>
    <m/>
    <n v="0"/>
    <n v="0"/>
    <m/>
    <x v="1"/>
    <x v="4"/>
  </r>
  <r>
    <s v="SERVICIO DE SALUD OSORNO"/>
    <s v="Bienes y Servicios"/>
    <x v="136"/>
    <s v="Proyecto operacional"/>
    <s v="Enviado"/>
    <s v="22.06.001"/>
    <x v="137"/>
    <s v="Se deberá ejecutar en abril 2026, El trabajo se hace 1 vez"/>
    <n v="1"/>
    <s v="Mantencion"/>
    <n v="4"/>
    <n v="6"/>
    <n v="133334"/>
    <n v="800004"/>
    <x v="4"/>
    <x v="24"/>
    <x v="44"/>
    <x v="58"/>
    <s v="64-2335588-"/>
    <s v="roberto.nunez@redsalud.gob.cl"/>
    <x v="14"/>
    <m/>
    <n v="0"/>
    <m/>
    <n v="0"/>
    <n v="0"/>
    <m/>
    <x v="1"/>
    <x v="4"/>
  </r>
  <r>
    <s v="SERVICIO DE SALUD OSORNO"/>
    <s v="Bienes y Servicios"/>
    <x v="137"/>
    <s v="Proyecto operacional"/>
    <s v="Enviado"/>
    <s v="22.06.001"/>
    <x v="138"/>
    <s v="Se deberá ejecutar en Enero 2026. Corresponde a un trabajo"/>
    <n v="1"/>
    <s v="Mantencion"/>
    <n v="4"/>
    <n v="1"/>
    <n v="600000"/>
    <n v="600000"/>
    <x v="4"/>
    <x v="35"/>
    <x v="44"/>
    <x v="58"/>
    <s v="64-2335588-"/>
    <s v="roberto.nunez@redsalud.gob.cl"/>
    <x v="13"/>
    <m/>
    <n v="0"/>
    <m/>
    <n v="0"/>
    <n v="0"/>
    <m/>
    <x v="1"/>
    <x v="4"/>
  </r>
  <r>
    <s v="SERVICIO DE SALUD OSORNO"/>
    <s v="Bienes y Servicios"/>
    <x v="138"/>
    <s v="Proyecto operacional"/>
    <s v="Enviado"/>
    <s v="22.06.001"/>
    <x v="139"/>
    <s v="Se deberá ejecutar en julio 2026, corresponde a una obra de adecuación."/>
    <n v="1"/>
    <s v="Mantencion"/>
    <n v="4"/>
    <n v="1"/>
    <n v="4000000"/>
    <n v="4000000"/>
    <x v="4"/>
    <x v="33"/>
    <x v="44"/>
    <x v="58"/>
    <s v="64-2335588-"/>
    <s v="roberto.nunez@redsalud.gob.cl"/>
    <x v="22"/>
    <m/>
    <n v="0"/>
    <m/>
    <n v="0"/>
    <n v="0"/>
    <m/>
    <x v="1"/>
    <x v="4"/>
  </r>
  <r>
    <s v="SERVICIO DE SALUD OSORNO"/>
    <s v="Bienes y Servicios"/>
    <x v="139"/>
    <s v="Proyecto operacional"/>
    <s v="Enviado"/>
    <s v="22.06.001"/>
    <x v="140"/>
    <s v="Ejecución en marzo 2026. Corresponde a 1 trabajo."/>
    <n v="1"/>
    <s v="Mantencion"/>
    <n v="4"/>
    <n v="1"/>
    <n v="5500000"/>
    <n v="5500000"/>
    <x v="4"/>
    <x v="32"/>
    <x v="44"/>
    <x v="58"/>
    <s v="64-2335588-"/>
    <s v="roberto.nunez@redsalud.gob.cl"/>
    <x v="21"/>
    <m/>
    <n v="0"/>
    <m/>
    <n v="0"/>
    <n v="0"/>
    <m/>
    <x v="1"/>
    <x v="4"/>
  </r>
  <r>
    <s v="SERVICIO DE SALUD OSORNO"/>
    <s v="Bienes y Servicios"/>
    <x v="140"/>
    <s v="Proyecto operacional"/>
    <s v="Enviado"/>
    <s v="22.06.001"/>
    <x v="141"/>
    <s v="Ejecución en abril 2026, corresponde a 1 solo trabajo"/>
    <n v="1"/>
    <s v="Mantencion"/>
    <n v="4"/>
    <n v="1"/>
    <n v="3000000"/>
    <n v="3000000"/>
    <x v="4"/>
    <x v="24"/>
    <x v="44"/>
    <x v="58"/>
    <s v="64-2335588-"/>
    <s v="roberto.nunez@redsalud.gob.cl"/>
    <x v="14"/>
    <m/>
    <n v="0"/>
    <m/>
    <n v="0"/>
    <n v="0"/>
    <m/>
    <x v="1"/>
    <x v="4"/>
  </r>
  <r>
    <s v="SERVICIO DE SALUD OSORNO"/>
    <s v="Bienes y Servicios"/>
    <x v="141"/>
    <s v="Proyecto operacional"/>
    <s v="Enviado"/>
    <s v="22.04.001"/>
    <x v="142"/>
    <s v="El talonario para licencias médicas es un suministro de formularios de papel que los médicos pueden solicitar a través de la COMPIN. Si bien la emisión de licencias médicas electrónicas es obligatoria desde enero de 2021, existen excepciones que requieren el uso de papel, como cuando hay error en la lectura de la huella del prestador , intermitencia de la plataforma, etc..., por lo cual, se requiere adquirir estos talonarios de licencia médica a través de COMPIN , donde el mes de ejecución de la compra es enero 2026."/>
    <n v="1"/>
    <s v="Material de Oficina"/>
    <n v="4"/>
    <n v="4"/>
    <n v="15000"/>
    <n v="60000"/>
    <x v="4"/>
    <x v="35"/>
    <x v="50"/>
    <x v="54"/>
    <s v="64-2335663-"/>
    <s v="lhya.kortmann@redsalud.gob.cl"/>
    <x v="13"/>
    <m/>
    <n v="0"/>
    <m/>
    <n v="0"/>
    <n v="0"/>
    <m/>
    <x v="1"/>
    <x v="4"/>
  </r>
  <r>
    <s v="SERVICIO DE SALUD OSORNO"/>
    <s v="Bienes y Servicios"/>
    <x v="142"/>
    <s v="Proyecto operacional"/>
    <s v="Enviado"/>
    <s v="22.06.001"/>
    <x v="143"/>
    <s v="Junio 2026, corresponde a 1 trabajo"/>
    <n v="1"/>
    <s v="Mantencion"/>
    <n v="4"/>
    <n v="1"/>
    <n v="1500000"/>
    <n v="1500000"/>
    <x v="4"/>
    <x v="25"/>
    <x v="44"/>
    <x v="58"/>
    <s v="64-2335588-"/>
    <s v="roberto.nunez@redsalud.gob.cl"/>
    <x v="22"/>
    <m/>
    <n v="0"/>
    <m/>
    <n v="0"/>
    <n v="0"/>
    <m/>
    <x v="1"/>
    <x v="4"/>
  </r>
  <r>
    <s v="SERVICIO DE SALUD OSORNO"/>
    <s v="Bienes y Servicios"/>
    <x v="143"/>
    <s v="Proyecto operacional"/>
    <s v="Enviado"/>
    <s v="22.03.003"/>
    <x v="144"/>
    <s v="El insumo se deberá adquiquir de la siguiente forma: 600 bolsas de pellet 15kg en marzo, 500 bolsas de pellet 15kg en mayo, 600 bolsas de pellet 15kg en julio y 700 bolsas de pellet 15kg en septiembre"/>
    <n v="1"/>
    <s v="Pellet"/>
    <n v="4"/>
    <n v="2500"/>
    <n v="7000"/>
    <n v="17500000"/>
    <x v="7"/>
    <x v="42"/>
    <x v="44"/>
    <x v="58"/>
    <s v="64-2335588-"/>
    <s v="roberto.nunez@redsalud.gob.cl"/>
    <x v="21"/>
    <m/>
    <n v="0"/>
    <m/>
    <n v="0"/>
    <n v="0"/>
    <m/>
    <x v="1"/>
    <x v="4"/>
  </r>
  <r>
    <s v="SERVICIO DE SALUD OSORNO"/>
    <s v="Bienes y Servicios"/>
    <x v="144"/>
    <s v="Proyecto operacional"/>
    <s v="Enviado"/>
    <s v="22.03.999"/>
    <x v="145"/>
    <s v="Se deberá adquirir en mayo 2026, se comprará una sola vez."/>
    <n v="1"/>
    <s v="Combustibles"/>
    <n v="4"/>
    <n v="700"/>
    <n v="2600"/>
    <n v="1820000"/>
    <x v="4"/>
    <x v="31"/>
    <x v="44"/>
    <x v="58"/>
    <s v="64-2335588-"/>
    <s v="roberto.nunez@redsalud.gob.cl"/>
    <x v="20"/>
    <m/>
    <n v="0"/>
    <m/>
    <n v="0"/>
    <n v="0"/>
    <m/>
    <x v="1"/>
    <x v="4"/>
  </r>
  <r>
    <s v="SERVICIO DE SALUD OSORNO"/>
    <s v="Bienes y Servicios"/>
    <x v="145"/>
    <s v="Proyecto operacional"/>
    <s v="Enviado"/>
    <s v="22.06.001"/>
    <x v="146"/>
    <s v="julio 2026. Corresponde a compra de insumos."/>
    <n v="1"/>
    <s v="Mantencion"/>
    <n v="4"/>
    <n v="60"/>
    <n v="20000"/>
    <n v="1200000"/>
    <x v="4"/>
    <x v="32"/>
    <x v="44"/>
    <x v="58"/>
    <s v="64-2335588-"/>
    <s v="roberto.nunez@redsalud.gob.cl"/>
    <x v="21"/>
    <m/>
    <n v="0"/>
    <m/>
    <n v="0"/>
    <n v="0"/>
    <m/>
    <x v="1"/>
    <x v="4"/>
  </r>
  <r>
    <s v="SERVICIO DE SALUD OSORNO"/>
    <s v="Bienes y Servicios"/>
    <x v="146"/>
    <s v="Proyecto operacional"/>
    <s v="Enviado"/>
    <s v="22.06.001"/>
    <x v="147"/>
    <s v="Junio 2026. Corresponde a 1 trabajo."/>
    <n v="1"/>
    <s v="Mantencion"/>
    <n v="4"/>
    <n v="36"/>
    <n v="69445"/>
    <n v="2500020"/>
    <x v="4"/>
    <x v="25"/>
    <x v="44"/>
    <x v="58"/>
    <s v="64-2335588-"/>
    <s v="roberto.nunez@redsalud.gob.cl"/>
    <x v="15"/>
    <m/>
    <n v="0"/>
    <m/>
    <n v="0"/>
    <n v="0"/>
    <m/>
    <x v="1"/>
    <x v="4"/>
  </r>
  <r>
    <s v="SERVICIO DE SALUD OSORNO"/>
    <s v="Bienes y Servicios"/>
    <x v="147"/>
    <s v="Proyecto operacional"/>
    <s v="Enviado"/>
    <s v="22.06.001"/>
    <x v="148"/>
    <s v="Dejar operativas puertas comunes, puertas de emergencia y puerta doble acceso a pasillo clínico)."/>
    <n v="1"/>
    <s v="Mantenimiento"/>
    <n v="4"/>
    <n v="25"/>
    <n v="100000"/>
    <n v="2500000"/>
    <x v="4"/>
    <x v="36"/>
    <x v="44"/>
    <x v="58"/>
    <s v="64-2335588-"/>
    <s v="roberto.nunez@redsalud.gob.cl"/>
    <x v="24"/>
    <m/>
    <n v="0"/>
    <m/>
    <n v="0"/>
    <n v="0"/>
    <m/>
    <x v="1"/>
    <x v="4"/>
  </r>
  <r>
    <s v="SERVICIO DE SALUD OSORNO"/>
    <s v="Bienes y Servicios"/>
    <x v="148"/>
    <s v="Proyecto operacional"/>
    <s v="Enviado"/>
    <s v="22.06.001"/>
    <x v="149"/>
    <s v="Agosto 2026."/>
    <n v="1"/>
    <s v="Mantencion"/>
    <n v="4"/>
    <n v="160"/>
    <n v="15625"/>
    <n v="2500000"/>
    <x v="4"/>
    <x v="36"/>
    <x v="44"/>
    <x v="58"/>
    <s v="64-2335588-"/>
    <s v="roberto.nunez@redsalud.gob.cl"/>
    <x v="24"/>
    <m/>
    <n v="0"/>
    <m/>
    <n v="0"/>
    <n v="0"/>
    <m/>
    <x v="1"/>
    <x v="4"/>
  </r>
  <r>
    <s v="SERVICIO DE SALUD OSORNO"/>
    <s v="Bienes y Servicios"/>
    <x v="149"/>
    <s v="Proyecto operacional"/>
    <s v="Enviado"/>
    <s v="22.08.007"/>
    <x v="150"/>
    <s v="SE REQUIERE EL SERVICIO DE MOVILIZACIÓN PARA COSAM ORIENTE A PARTIR DE ENERO A DICIEMBRE DEL 2027"/>
    <n v="1"/>
    <s v="Movilización"/>
    <n v="4"/>
    <n v="1"/>
    <n v="18300000"/>
    <n v="0"/>
    <x v="11"/>
    <x v="43"/>
    <x v="44"/>
    <x v="24"/>
    <s v="64-2335610-"/>
    <s v="pedro.fritz@redsalud.gob.cl"/>
    <x v="18"/>
    <m/>
    <n v="0"/>
    <m/>
    <n v="0"/>
    <n v="0"/>
    <m/>
    <x v="1"/>
    <x v="4"/>
  </r>
  <r>
    <s v="SERVICIO DE SALUD OSORNO"/>
    <s v="Administración de Fondos"/>
    <x v="150"/>
    <s v="Proyecto operacional"/>
    <s v="Enviado"/>
    <s v="29.05.001"/>
    <x v="151"/>
    <s v="QUE LOS FUNCIONARIOS/AS TENGANUN ENTORNO LABORAL ADECUADO PARA EL DESARROLLO DE SUS FUNCIONES. Inicio de ejecucion Marzo del 2026 hasta noviembre 2026"/>
    <n v="2"/>
    <s v="Equipos"/>
    <n v="4"/>
    <n v="1"/>
    <n v="21200000"/>
    <n v="21200000"/>
    <x v="4"/>
    <x v="32"/>
    <x v="54"/>
    <x v="59"/>
    <s v="64-2336339-"/>
    <s v="kassandra.fernandez@redsalud.gob.cl"/>
    <x v="21"/>
    <m/>
    <n v="0"/>
    <m/>
    <n v="0"/>
    <n v="0"/>
    <m/>
    <x v="1"/>
    <x v="2"/>
  </r>
  <r>
    <s v="SERVICIO DE SALUD OSORNO"/>
    <s v="Administración de Fondos"/>
    <x v="150"/>
    <s v="Proyecto operacional"/>
    <s v="Enviado"/>
    <s v="29.05.001"/>
    <x v="151"/>
    <s v="QUE LOS FUNCIONARIOS/AS TENGANUN ENTORNO LABORAL ADECUADO PARA EL DESARROLLO DE SUS FUNCIONES. Inicio de ejecucion Marzo del 2026 hasta noviembre 2026"/>
    <n v="2"/>
    <s v="Alimentación"/>
    <n v="4"/>
    <n v="1"/>
    <n v="9200000"/>
    <n v="9200000"/>
    <x v="4"/>
    <x v="32"/>
    <x v="54"/>
    <x v="59"/>
    <s v="64-2336339-"/>
    <s v="kassandra.fernandez@redsalud.gob.cl"/>
    <x v="21"/>
    <m/>
    <n v="0"/>
    <m/>
    <n v="0"/>
    <n v="0"/>
    <m/>
    <x v="1"/>
    <x v="2"/>
  </r>
  <r>
    <s v="SERVICIO DE SALUD OSORNO"/>
    <s v="Bienes y Servicios"/>
    <x v="151"/>
    <s v="Proyecto operacional"/>
    <s v="Enviado"/>
    <s v="22.04.001"/>
    <x v="152"/>
    <s v="Se requiere comprar en Marzo"/>
    <n v="1"/>
    <s v="Material de Oficina"/>
    <n v="4"/>
    <n v="134"/>
    <n v="6095"/>
    <n v="816730"/>
    <x v="4"/>
    <x v="32"/>
    <x v="44"/>
    <x v="24"/>
    <s v="64-2335610-"/>
    <s v="pedro.fritz@redsalud.gob.cl"/>
    <x v="21"/>
    <m/>
    <n v="0"/>
    <m/>
    <n v="0"/>
    <n v="0"/>
    <m/>
    <x v="1"/>
    <x v="4"/>
  </r>
  <r>
    <s v="SERVICIO DE SALUD OSORNO"/>
    <s v="Bienes y Servicios"/>
    <x v="152"/>
    <s v="Proyecto operacional"/>
    <s v="Enviado"/>
    <s v="22.03.001"/>
    <x v="153"/>
    <s v="Se requiere la compra de combustible para el funcionamiento de los móviles de la Dirección del Servicio de Salud Osorno y Ambulancias de la Base SAMU"/>
    <n v="1"/>
    <s v="Combustibles"/>
    <n v="4"/>
    <n v="1"/>
    <n v="60000000"/>
    <n v="60000000"/>
    <x v="11"/>
    <x v="20"/>
    <x v="35"/>
    <x v="38"/>
    <s v="64-2335660-"/>
    <s v="pablo.oyarzo@redsalud.gob.cl"/>
    <x v="13"/>
    <m/>
    <n v="0"/>
    <m/>
    <n v="0"/>
    <n v="0"/>
    <m/>
    <x v="1"/>
    <x v="4"/>
  </r>
  <r>
    <s v="SERVICIO DE SALUD OSORNO"/>
    <s v="Bienes y Servicios"/>
    <x v="153"/>
    <s v="Proyecto operacional"/>
    <s v="Enviado"/>
    <s v="23.03.003"/>
    <x v="154"/>
    <s v="Convenio Adquisición de 10.000 litros de combustible Diesel para equipos generadores dispositivos del SSO Cosam Rahue y Cosam Oriente año 2026"/>
    <n v="1"/>
    <s v="Combustibles"/>
    <n v="4"/>
    <n v="1"/>
    <n v="11000000"/>
    <n v="11000000"/>
    <x v="11"/>
    <x v="20"/>
    <x v="35"/>
    <x v="60"/>
    <s v="64-2335660-"/>
    <s v="pablo.oyarzo@redsalud.gob.cl"/>
    <x v="13"/>
    <m/>
    <n v="0"/>
    <m/>
    <n v="0"/>
    <n v="0"/>
    <m/>
    <x v="1"/>
    <x v="4"/>
  </r>
  <r>
    <s v="SERVICIO DE SALUD OSORNO"/>
    <s v="Administración de Fondos"/>
    <x v="154"/>
    <s v="Proyecto operacional"/>
    <s v="Enviado"/>
    <s v="22.01.001"/>
    <x v="155"/>
    <s v="Se requieren las compras para el mes de marzo"/>
    <n v="2"/>
    <s v="Alimentación"/>
    <n v="4"/>
    <n v="68"/>
    <n v="2595"/>
    <n v="176460"/>
    <x v="4"/>
    <x v="32"/>
    <x v="44"/>
    <x v="24"/>
    <s v="64-2335610-"/>
    <s v="pedro.fritz@redsalud.gob.cl"/>
    <x v="21"/>
    <m/>
    <n v="0"/>
    <m/>
    <n v="0"/>
    <n v="0"/>
    <m/>
    <x v="1"/>
    <x v="2"/>
  </r>
  <r>
    <s v="SERVICIO DE SALUD OSORNO"/>
    <s v="Administración de Fondos"/>
    <x v="154"/>
    <s v="Proyecto operacional"/>
    <s v="Enviado"/>
    <s v="22.01.001"/>
    <x v="155"/>
    <s v="Se requieren las compras para el mes de marzo"/>
    <n v="2"/>
    <s v="Menaje"/>
    <n v="4"/>
    <n v="5"/>
    <n v="7080"/>
    <n v="35400"/>
    <x v="4"/>
    <x v="32"/>
    <x v="44"/>
    <x v="24"/>
    <s v="64-2335610-"/>
    <s v="pedro.fritz@redsalud.gob.cl"/>
    <x v="21"/>
    <m/>
    <n v="0"/>
    <m/>
    <n v="0"/>
    <n v="0"/>
    <m/>
    <x v="1"/>
    <x v="2"/>
  </r>
  <r>
    <s v="SERVICIO DE SALUD OSORNO"/>
    <s v="Administración de Fondos"/>
    <x v="155"/>
    <s v="Proyecto operacional"/>
    <s v="Enviado"/>
    <s v="22.01.001"/>
    <x v="156"/>
    <s v="Se requieren los insumos para el mes de marzo"/>
    <n v="4"/>
    <s v="Alimentación"/>
    <n v="4"/>
    <n v="68"/>
    <n v="2595"/>
    <n v="176460"/>
    <x v="4"/>
    <x v="32"/>
    <x v="44"/>
    <x v="24"/>
    <s v="64-2335610-"/>
    <s v="pedro.fritz@redsalud.gob.cl"/>
    <x v="21"/>
    <m/>
    <n v="0"/>
    <m/>
    <n v="0"/>
    <n v="0"/>
    <m/>
    <x v="1"/>
    <x v="2"/>
  </r>
  <r>
    <s v="SERVICIO DE SALUD OSORNO"/>
    <s v="Administración de Fondos"/>
    <x v="155"/>
    <s v="Proyecto operacional"/>
    <s v="Enviado"/>
    <s v="22.01.001"/>
    <x v="156"/>
    <s v="Se requieren los insumos para el mes de marzo"/>
    <n v="4"/>
    <s v="Menaje"/>
    <n v="4"/>
    <n v="4"/>
    <n v="5100"/>
    <n v="20400"/>
    <x v="4"/>
    <x v="32"/>
    <x v="44"/>
    <x v="24"/>
    <s v="64-2335610-"/>
    <s v="pedro.fritz@redsalud.gob.cl"/>
    <x v="21"/>
    <m/>
    <n v="0"/>
    <m/>
    <n v="0"/>
    <n v="0"/>
    <m/>
    <x v="1"/>
    <x v="2"/>
  </r>
  <r>
    <s v="SERVICIO DE SALUD OSORNO"/>
    <s v="Administración de Fondos"/>
    <x v="155"/>
    <s v="Proyecto operacional"/>
    <s v="Enviado"/>
    <s v="22.01.001"/>
    <x v="156"/>
    <s v="Se requieren los insumos para el mes de marzo"/>
    <n v="4"/>
    <s v="Material de Oficina"/>
    <n v="4"/>
    <n v="1"/>
    <n v="15000"/>
    <n v="15000"/>
    <x v="4"/>
    <x v="32"/>
    <x v="44"/>
    <x v="24"/>
    <s v="64-2335610-"/>
    <s v="pedro.fritz@redsalud.gob.cl"/>
    <x v="21"/>
    <m/>
    <n v="0"/>
    <m/>
    <n v="0"/>
    <n v="0"/>
    <m/>
    <x v="1"/>
    <x v="2"/>
  </r>
  <r>
    <s v="SERVICIO DE SALUD OSORNO"/>
    <s v="Administración de Fondos"/>
    <x v="155"/>
    <s v="Proyecto operacional"/>
    <s v="Enviado"/>
    <s v="22.01.001"/>
    <x v="156"/>
    <s v="Se requieren los insumos para el mes de marzo"/>
    <n v="4"/>
    <s v="Pañuelos"/>
    <n v="4"/>
    <n v="2"/>
    <n v="26000"/>
    <n v="52000"/>
    <x v="4"/>
    <x v="32"/>
    <x v="44"/>
    <x v="24"/>
    <s v="64-2335610-"/>
    <s v="pedro.fritz@redsalud.gob.cl"/>
    <x v="21"/>
    <m/>
    <n v="0"/>
    <m/>
    <n v="0"/>
    <n v="0"/>
    <m/>
    <x v="1"/>
    <x v="2"/>
  </r>
  <r>
    <s v="SERVICIO DE SALUD OSORNO"/>
    <s v="Bienes y Servicios"/>
    <x v="156"/>
    <s v="Proyecto operacional"/>
    <s v="Enviado"/>
    <s v="22.01.001.003"/>
    <x v="157"/>
    <s v="Compra se servicio de cafetería mañana y tarde para 50 personas, centro de costo Trato Usuario. Instancia de encuentro orientada a compartir experiencias significativas, fortalecer la implementación de buenas prácticas en humanización del trato y cuidado, y promover la mejora continua en la atención centrada en las personas y sus familias."/>
    <n v="2"/>
    <s v="Capacitacion"/>
    <n v="4"/>
    <n v="50"/>
    <n v="8000"/>
    <n v="400000"/>
    <x v="4"/>
    <x v="27"/>
    <x v="45"/>
    <x v="49"/>
    <s v="64-2335775-"/>
    <s v="daniela.barriaa@redsalud.gob.cl"/>
    <x v="17"/>
    <m/>
    <n v="0"/>
    <m/>
    <n v="0"/>
    <n v="0"/>
    <m/>
    <x v="1"/>
    <x v="4"/>
  </r>
  <r>
    <s v="SERVICIO DE SALUD OSORNO"/>
    <s v="Bienes y Servicios"/>
    <x v="156"/>
    <s v="Proyecto operacional"/>
    <s v="Enviado"/>
    <s v="22.01.001.003"/>
    <x v="157"/>
    <s v="Compra se servicio de cafetería mañana y tarde para 50 personas, centro de costo Trato Usuario. Instancia de encuentro orientada a compartir experiencias significativas, fortalecer la implementación de buenas prácticas en humanización del trato y cuidado, y promover la mejora continua en la atención centrada en las personas y sus familias."/>
    <n v="2"/>
    <s v="Material de Oficina"/>
    <n v="4"/>
    <n v="26"/>
    <n v="4231"/>
    <n v="110006"/>
    <x v="4"/>
    <x v="27"/>
    <x v="45"/>
    <x v="49"/>
    <s v="64-2335775-"/>
    <s v="daniela.barriaa@redsalud.gob.cl"/>
    <x v="17"/>
    <m/>
    <n v="0"/>
    <m/>
    <n v="0"/>
    <n v="0"/>
    <m/>
    <x v="1"/>
    <x v="4"/>
  </r>
  <r>
    <s v="SERVICIO DE SALUD OSORNO"/>
    <s v="Bienes y Servicios"/>
    <x v="157"/>
    <s v="Proyecto operacional"/>
    <s v="Enviado"/>
    <s v="22.01.001"/>
    <x v="158"/>
    <s v="Compra de servicio de cafetería y materiales de apoyo (papelería, lápices, papelógrafos) para 50 personas, jornada de un día completo. Centro de costo Trato Usuario"/>
    <n v="2"/>
    <s v="Servicio Cafeteria"/>
    <n v="4"/>
    <n v="50"/>
    <n v="8000"/>
    <n v="400000"/>
    <x v="4"/>
    <x v="27"/>
    <x v="45"/>
    <x v="49"/>
    <s v="64-2335775-"/>
    <s v="daniela.barriaa@redsalud.gob.cl"/>
    <x v="17"/>
    <m/>
    <n v="0"/>
    <m/>
    <n v="0"/>
    <n v="0"/>
    <m/>
    <x v="1"/>
    <x v="4"/>
  </r>
  <r>
    <s v="SERVICIO DE SALUD OSORNO"/>
    <s v="Bienes y Servicios"/>
    <x v="157"/>
    <s v="Proyecto operacional"/>
    <s v="Enviado"/>
    <s v="22.01.001"/>
    <x v="158"/>
    <s v="Compra de servicio de cafetería y materiales de apoyo (papelería, lápices, papelógrafos) para 50 personas, jornada de un día completo. Centro de costo Trato Usuario"/>
    <n v="2"/>
    <s v="Material de Oficina"/>
    <n v="4"/>
    <n v="50"/>
    <n v="1000"/>
    <n v="50000"/>
    <x v="4"/>
    <x v="27"/>
    <x v="45"/>
    <x v="49"/>
    <s v="64-2335775-"/>
    <s v="daniela.barriaa@redsalud.gob.cl"/>
    <x v="17"/>
    <m/>
    <n v="0"/>
    <m/>
    <n v="0"/>
    <n v="0"/>
    <m/>
    <x v="1"/>
    <x v="4"/>
  </r>
  <r>
    <s v="SERVICIO DE SALUD OSORNO"/>
    <s v="Administración de Fondos"/>
    <x v="158"/>
    <s v="Proyecto operacional"/>
    <s v="Enviado"/>
    <s v="22.01.001"/>
    <x v="159"/>
    <s v="Compra de servicio de cafetería y papelería para 50 personas durante dos jornadas. Centro de costo Trato Usuario."/>
    <n v="2"/>
    <s v="Servicio Cafeteria"/>
    <n v="4"/>
    <n v="200"/>
    <n v="7500"/>
    <n v="1500000"/>
    <x v="4"/>
    <x v="27"/>
    <x v="45"/>
    <x v="49"/>
    <s v="64-2335775-"/>
    <s v="daniela.barriaa@redsalud.gob.cl"/>
    <x v="17"/>
    <m/>
    <n v="0"/>
    <m/>
    <n v="0"/>
    <n v="0"/>
    <m/>
    <x v="1"/>
    <x v="2"/>
  </r>
  <r>
    <s v="SERVICIO DE SALUD OSORNO"/>
    <s v="Administración de Fondos"/>
    <x v="158"/>
    <s v="Proyecto operacional"/>
    <s v="Enviado"/>
    <s v="22.01.001"/>
    <x v="159"/>
    <s v="Compra de servicio de cafetería y papelería para 50 personas durante dos jornadas. Centro de costo Trato Usuario."/>
    <n v="2"/>
    <s v="Material de Oficina"/>
    <n v="4"/>
    <n v="50"/>
    <n v="5000"/>
    <n v="250000"/>
    <x v="4"/>
    <x v="27"/>
    <x v="45"/>
    <x v="49"/>
    <s v="64-2335775-"/>
    <s v="daniela.barriaa@redsalud.gob.cl"/>
    <x v="16"/>
    <m/>
    <n v="0"/>
    <m/>
    <n v="0"/>
    <n v="0"/>
    <m/>
    <x v="1"/>
    <x v="2"/>
  </r>
  <r>
    <s v="SERVICIO DE SALUD OSORNO"/>
    <s v="Bienes y Servicios"/>
    <x v="159"/>
    <s v="Proyecto operacional"/>
    <s v="Enviado"/>
    <s v="22.04.001"/>
    <x v="160"/>
    <s v="Adquirir recetarios médicos para la Unidad SAFU enero 2026"/>
    <n v="1"/>
    <s v="Recetarios"/>
    <n v="4"/>
    <n v="150"/>
    <n v="3000"/>
    <n v="450000"/>
    <x v="4"/>
    <x v="35"/>
    <x v="50"/>
    <x v="54"/>
    <s v="64-2337034-"/>
    <s v="lhya.kortmann@redsalud.gob.cl"/>
    <x v="13"/>
    <m/>
    <n v="0"/>
    <m/>
    <n v="0"/>
    <n v="0"/>
    <m/>
    <x v="1"/>
    <x v="4"/>
  </r>
  <r>
    <s v="SERVICIO DE SALUD OSORNO"/>
    <s v="Bienes y Servicios"/>
    <x v="160"/>
    <s v="Proyecto operacional"/>
    <s v="Enviado"/>
    <s v="22.04.001"/>
    <x v="161"/>
    <s v="Materiales e insumos que no se encuentran en bodega general y son necesarios para las actividades y salidas a terreno que desarrolla Prevención de Riesgos , S.O. y G.A."/>
    <n v="1"/>
    <s v="Material de Oficina"/>
    <n v="4"/>
    <n v="8"/>
    <n v="21125"/>
    <n v="169000"/>
    <x v="4"/>
    <x v="38"/>
    <x v="55"/>
    <x v="61"/>
    <s v="64-2336130-"/>
    <s v="david.serrano@redsalud.gob.cl"/>
    <x v="19"/>
    <m/>
    <n v="0"/>
    <m/>
    <n v="0"/>
    <n v="0"/>
    <m/>
    <x v="1"/>
    <x v="4"/>
  </r>
  <r>
    <s v="SERVICIO DE SALUD OSORNO"/>
    <s v="Bienes y Servicios"/>
    <x v="161"/>
    <s v="Proyecto operacional"/>
    <s v="Enviado"/>
    <s v="22.02.002"/>
    <x v="162"/>
    <s v="Vestuario institucional y de proteccion para actividades de terreno del SDPR."/>
    <n v="1"/>
    <s v="Geologo"/>
    <n v="4"/>
    <n v="4"/>
    <n v="25000"/>
    <n v="100000"/>
    <x v="4"/>
    <x v="32"/>
    <x v="55"/>
    <x v="61"/>
    <s v="64-2336130-"/>
    <s v="venecia.recabarren@redsalud.gob.cl"/>
    <x v="21"/>
    <m/>
    <n v="0"/>
    <m/>
    <n v="0"/>
    <n v="0"/>
    <m/>
    <x v="1"/>
    <x v="4"/>
  </r>
  <r>
    <s v="SERVICIO DE SALUD OSORNO"/>
    <s v="Bienes y Servicios"/>
    <x v="162"/>
    <s v="Proyecto operacional"/>
    <s v="Enviado"/>
    <s v="22.04.005"/>
    <x v="163"/>
    <s v="Se requiere adquirir insumos del área de enfermería para dar continuidad a la atención y una mejora de ésta a la comunidad funcionaria durante el mes de febrero 2026."/>
    <n v="1"/>
    <s v="Insumos de Enfermeria"/>
    <n v="4"/>
    <n v="4300"/>
    <n v="82"/>
    <n v="352600"/>
    <x v="4"/>
    <x v="35"/>
    <x v="50"/>
    <x v="54"/>
    <s v="64-2337034-"/>
    <s v="lhya.kortmann@redsalud.gob.cl"/>
    <x v="13"/>
    <m/>
    <n v="0"/>
    <m/>
    <n v="0"/>
    <n v="0"/>
    <m/>
    <x v="1"/>
    <x v="4"/>
  </r>
  <r>
    <s v="SERVICIO DE SALUD OSORNO"/>
    <s v="Bienes y Servicios"/>
    <x v="163"/>
    <s v="Proyecto operacional"/>
    <s v="Enviado"/>
    <s v="22.04.014"/>
    <x v="164"/>
    <s v="Se requiere adquirir cajas de almacenamiento de 28 LT para la conservación y resguardo de los insumos de enfermería, con el fin de prevenir deterioro de los insumos , mes de ejecución febrero 2026"/>
    <n v="1"/>
    <s v="Caja"/>
    <n v="4"/>
    <n v="6"/>
    <n v="8334"/>
    <n v="50004"/>
    <x v="4"/>
    <x v="38"/>
    <x v="50"/>
    <x v="54"/>
    <s v="64-2337034-"/>
    <s v="lhya.kortmann@redsalud.gob.cl"/>
    <x v="19"/>
    <m/>
    <n v="0"/>
    <m/>
    <n v="0"/>
    <n v="0"/>
    <m/>
    <x v="1"/>
    <x v="4"/>
  </r>
  <r>
    <s v="SERVICIO DE SALUD OSORNO"/>
    <s v="Bienes y Servicios"/>
    <x v="164"/>
    <s v="Proyecto operacional"/>
    <s v="Enviado"/>
    <s v="22.04.001"/>
    <x v="165"/>
    <s v="COMPRAR CROQUERAS PEQUEÑAS Y LAPICES GEL PARA QUE CADA FUNCIONARIO/A, PUEDA, A TRAVÉS, DE LA PSICOTERAPIA NARRATIVA EXPLORAR RECURSOS PERSONALES, HABILIDADES Y COMPETENCIAS QUE FAVORECEN EL CUIDADO Y LA PROTECCIÓN DE LA SALUD MENTAL EN LOS CONTEXTOS LABORALES. ESTAS JORNADAS SE REALIZARAN EN TODOS LOS DISPOSITIVOS DE LA RED DURANTE LA SEGUNDA SEMANA DE OCTUBRE (CONMEMORACIÓN DIA MUNDIAL DE LA SALUD MENTAL)"/>
    <n v="1"/>
    <s v="Material de Oficina"/>
    <n v="4"/>
    <n v="302"/>
    <n v="2067"/>
    <n v="624234"/>
    <x v="4"/>
    <x v="27"/>
    <x v="56"/>
    <x v="62"/>
    <s v="64-2337096-"/>
    <s v="pilar.mora@redsalud.gob.cl"/>
    <x v="17"/>
    <m/>
    <n v="0"/>
    <m/>
    <n v="0"/>
    <n v="0"/>
    <m/>
    <x v="1"/>
    <x v="4"/>
  </r>
  <r>
    <s v="SERVICIO DE SALUD OSORNO"/>
    <s v="Bienes y Servicios"/>
    <x v="165"/>
    <s v="Proyecto operacional"/>
    <s v="Enviado"/>
    <s v="22.01.001"/>
    <x v="166"/>
    <s v="SE NECESITAN INSUMOS PARA REALIZAR COFFEE PARA EXPOSITORES EXTERNOS, Y COMUNIDAD USUARIA Y FUNCIONARIA, LA CUAL ACTIVIDAD ESTA DIRIGIDO A AMBOS PUBLICO OBJETIVO, COMPRA EN MAYO 2026."/>
    <n v="2"/>
    <s v="Alimentación"/>
    <n v="4"/>
    <n v="242"/>
    <n v="509"/>
    <n v="123178"/>
    <x v="4"/>
    <x v="25"/>
    <x v="27"/>
    <x v="30"/>
    <s v="64-2337096-"/>
    <s v="claudia.munozga@redsalud.gob.cl"/>
    <x v="15"/>
    <m/>
    <n v="0"/>
    <m/>
    <n v="0"/>
    <n v="0"/>
    <m/>
    <x v="1"/>
    <x v="4"/>
  </r>
  <r>
    <s v="SERVICIO DE SALUD OSORNO"/>
    <s v="Bienes y Servicios"/>
    <x v="165"/>
    <s v="Proyecto operacional"/>
    <s v="Enviado"/>
    <s v="22.01.001"/>
    <x v="166"/>
    <s v="SE NECESITAN INSUMOS PARA REALIZAR COFFEE PARA EXPOSITORES EXTERNOS, Y COMUNIDAD USUARIA Y FUNCIONARIA, LA CUAL ACTIVIDAD ESTA DIRIGIDO A AMBOS PUBLICO OBJETIVO, COMPRA EN MAYO 2026."/>
    <n v="2"/>
    <s v="Menaje"/>
    <n v="4"/>
    <n v="210"/>
    <n v="286"/>
    <n v="60060"/>
    <x v="4"/>
    <x v="25"/>
    <x v="27"/>
    <x v="30"/>
    <s v="64-2337096-"/>
    <s v="claudia.munozga@redsalud.gob.cl"/>
    <x v="15"/>
    <m/>
    <n v="0"/>
    <m/>
    <n v="0"/>
    <n v="0"/>
    <m/>
    <x v="1"/>
    <x v="4"/>
  </r>
  <r>
    <s v="SERVICIO DE SALUD OSORNO"/>
    <s v="Bienes y Servicios"/>
    <x v="166"/>
    <s v="Proyecto operacional"/>
    <s v="Enviado"/>
    <s v="31.02.002"/>
    <x v="167"/>
    <s v="se requiere contratar las visitas de los siguientes proyectistas para el mes de octubre 2026; 1 visita proyectista Mecánica de suelos 20 uf; 1 visita proyectista Arquitectura 20 uf; 2 visitas proyectista Calculo Estructural 20 uf; 2 visitas proyectista Instalaciones electricas 20 uf; 1 visita proyectista Paisajismo 15 uf; 1 visita Revisor independiente de arquitectura 20 uf ( nota el valor de la uf será del dia de la visita del especialista)."/>
    <n v="1"/>
    <s v="Consultorias"/>
    <n v="4"/>
    <n v="7"/>
    <n v="813715"/>
    <n v="5696005"/>
    <x v="4"/>
    <x v="27"/>
    <x v="57"/>
    <x v="63"/>
    <s v="64-2335596-"/>
    <s v="raul.rojasc@redsalud.gob.cl"/>
    <x v="17"/>
    <m/>
    <n v="0"/>
    <m/>
    <n v="0"/>
    <n v="0"/>
    <m/>
    <x v="1"/>
    <x v="4"/>
  </r>
  <r>
    <s v="SERVICIO DE SALUD OSORNO"/>
    <s v="Bienes y Servicios"/>
    <x v="167"/>
    <s v="Proyecto operacional"/>
    <s v="Enviado"/>
    <s v="22.01.001"/>
    <x v="168"/>
    <s v="LA ACTIVIDAD REQUIERE COMPRA DE INSUMOS, SERVCIOS Y MATERIALES NECESARIOS PARA LA ORGANIZACIÓN, LA COMPRA DEBE HACERSE EL MES DE JULIO 2026."/>
    <n v="2"/>
    <s v="Alimentación"/>
    <n v="4"/>
    <n v="138"/>
    <n v="1087"/>
    <n v="150006"/>
    <x v="4"/>
    <x v="33"/>
    <x v="27"/>
    <x v="30"/>
    <s v="64-2337096-"/>
    <s v="claudia.munozga@redsalud.gob.cl"/>
    <x v="22"/>
    <m/>
    <n v="0"/>
    <m/>
    <n v="0"/>
    <n v="0"/>
    <m/>
    <x v="1"/>
    <x v="4"/>
  </r>
  <r>
    <s v="SERVICIO DE SALUD OSORNO"/>
    <s v="Bienes y Servicios"/>
    <x v="167"/>
    <s v="Proyecto operacional"/>
    <s v="Enviado"/>
    <s v="22.01.001"/>
    <x v="168"/>
    <s v="LA ACTIVIDAD REQUIERE COMPRA DE INSUMOS, SERVCIOS Y MATERIALES NECESARIOS PARA LA ORGANIZACIÓN, LA COMPRA DEBE HACERSE EL MES DE JULIO 2026."/>
    <n v="2"/>
    <s v="Decoración"/>
    <n v="4"/>
    <n v="70"/>
    <n v="1072"/>
    <n v="75040"/>
    <x v="4"/>
    <x v="33"/>
    <x v="27"/>
    <x v="30"/>
    <s v="64-2337096-"/>
    <s v="claudia.munozga@redsalud.gob.cl"/>
    <x v="22"/>
    <m/>
    <n v="0"/>
    <m/>
    <n v="0"/>
    <n v="0"/>
    <m/>
    <x v="1"/>
    <x v="4"/>
  </r>
  <r>
    <s v="SERVICIO DE SALUD OSORNO"/>
    <s v="Bienes y Servicios"/>
    <x v="168"/>
    <s v="Proyecto operacional"/>
    <s v="Enviado"/>
    <s v="22.09.005.002"/>
    <x v="169"/>
    <s v="EL SERVICIO DE SALUD OSORNO REQUIERE SUSCRIBIR UN CONVENIO CON EL OBJETIVO DE CONTRATAR EL SERVICIO DE ARRIENDO DE EQUIPOS CON SISTEMA INFORMATICO INTEGRADO, PARA LA REALIZACION DE EXAMENES DE QUIMICA CLINICA, ORINAS, HORMONAS, HEMATOLOGIA, MICROBIOLOGIA Y COAGULACION, JUNTO A LOS REACTIVOS E INSUMOS NECESARIOS PARA EL PROCESAMIENTO DE EXAMENES. LOS ESTABLECIMIENTOS SON HPU, HRN, HPO, HPMQ Y HFSLKMM. LA COMPRA SE REQUIERE EN ABRIL 2026 (PUBLICADO EN MERCADO PUBLICO), Y EL CONVENIO TENDRA VIGENCIA 5 AÑOS (60 MESES)."/>
    <n v="1"/>
    <s v="Convenio Equipos"/>
    <n v="4"/>
    <n v="1"/>
    <n v="2783713888"/>
    <n v="371161848"/>
    <x v="3"/>
    <x v="44"/>
    <x v="15"/>
    <x v="51"/>
    <s v="64-2335827-"/>
    <s v="sofiav.reyes@redsalud.gob.cl"/>
    <x v="14"/>
    <m/>
    <n v="0"/>
    <m/>
    <n v="0"/>
    <n v="0"/>
    <m/>
    <x v="1"/>
    <x v="4"/>
  </r>
  <r>
    <s v="SERVICIO DE SALUD OSORNO"/>
    <s v="Bienes y Servicios"/>
    <x v="169"/>
    <s v="Proyecto operacional"/>
    <s v="Enviado"/>
    <s v="22.04.012"/>
    <x v="170"/>
    <s v="Adquisición Carro de Transporte Droguería-Bodega General"/>
    <n v="1"/>
    <s v="Carro"/>
    <n v="4"/>
    <n v="3"/>
    <n v="200000"/>
    <n v="600000"/>
    <x v="4"/>
    <x v="32"/>
    <x v="58"/>
    <x v="64"/>
    <s v="64-2335651-"/>
    <s v="LEONOR.ARANEDAA@REDSALUD.GOB.CL"/>
    <x v="21"/>
    <m/>
    <n v="0"/>
    <m/>
    <n v="0"/>
    <n v="0"/>
    <m/>
    <x v="1"/>
    <x v="4"/>
  </r>
  <r>
    <s v="SERVICIO DE SALUD OSORNO"/>
    <s v="Bienes y Servicios"/>
    <x v="170"/>
    <s v="Proyecto operacional"/>
    <s v="Enviado"/>
    <s v="22.04.001"/>
    <x v="171"/>
    <s v="Adquisición de Amarras Plásticas y Elásticos para Optimizar el Almacenamiento y Distribución primer Trimestre del año 2026. Adquirir 300 bolsas de 1/2 kilo dividido en 3 colores diferentes de tal manera poder ligar cajas con diferentes colores según su lote . Adquirir 20.000 unidades de amarras plásticas o amarras cables para el cierre de los contenedores de transporte de medicamentos."/>
    <n v="1"/>
    <s v="Amarras y Elasticos"/>
    <n v="4"/>
    <n v="10000"/>
    <n v="170"/>
    <n v="1700000"/>
    <x v="4"/>
    <x v="32"/>
    <x v="58"/>
    <x v="64"/>
    <s v="64-2335651-"/>
    <s v="LEONOR.ARANEDAA@REDSALUD.GOB.CL"/>
    <x v="21"/>
    <m/>
    <n v="0"/>
    <m/>
    <n v="0"/>
    <n v="0"/>
    <m/>
    <x v="1"/>
    <x v="4"/>
  </r>
  <r>
    <s v="SERVICIO DE SALUD OSORNO"/>
    <s v="Bienes y Servicios"/>
    <x v="171"/>
    <s v="Proyecto operacional"/>
    <s v="Enviado"/>
    <s v="22.02.002"/>
    <x v="172"/>
    <s v="Ropa- Zapatos : DT: 02 Poleras, 01 Parka , 01Polar ; 2 TENS- 2 Bodegueros : 02 Poleras c/u, 02 Pantalones c/u , 01 Parka c/u , 01 Polar c/u y 01 Zapatos de Seguridad c/u. ; 2 Administrativas: 02 Poleras c/u , 01 polar c/u , 01 parka c/u. Cascos : 4unidades Guantes para carga: 14 pares de guantes."/>
    <n v="1"/>
    <s v="EPP"/>
    <n v="4"/>
    <n v="64"/>
    <n v="26094"/>
    <n v="1670016"/>
    <x v="4"/>
    <x v="32"/>
    <x v="58"/>
    <x v="64"/>
    <s v="64-2335651-"/>
    <s v="LEONOR.ARANEDAA@REDSALUD.GOB.CL"/>
    <x v="21"/>
    <m/>
    <n v="0"/>
    <m/>
    <n v="0"/>
    <n v="0"/>
    <m/>
    <x v="1"/>
    <x v="4"/>
  </r>
  <r>
    <s v="SERVICIO DE SALUD OSORNO"/>
    <s v="Bienes y Servicios"/>
    <x v="172"/>
    <s v="Proyecto operacional"/>
    <s v="Enviado"/>
    <s v="22.06.001"/>
    <x v="173"/>
    <s v="Adquisición de 3 cerraduras digitales para el acceso a Droguería y Bodega General. Primer Trimestre 2026."/>
    <n v="1"/>
    <s v="Cerraduras"/>
    <n v="4"/>
    <n v="3"/>
    <n v="300000"/>
    <n v="900000"/>
    <x v="4"/>
    <x v="32"/>
    <x v="58"/>
    <x v="64"/>
    <s v="64-2335651-"/>
    <s v="LEONOR.ARANEDAA@REDSALUD.GOB.CL"/>
    <x v="21"/>
    <m/>
    <n v="0"/>
    <m/>
    <n v="0"/>
    <n v="0"/>
    <m/>
    <x v="1"/>
    <x v="4"/>
  </r>
  <r>
    <s v="SERVICIO DE SALUD OSORNO"/>
    <s v="Bienes y Servicios"/>
    <x v="173"/>
    <s v="Proyecto operacional"/>
    <s v="Enviado"/>
    <s v="29.05.999"/>
    <x v="174"/>
    <s v="Adquisición de 15 Sensores de Temperatura y humedad calibrados para Droguería ( Bodega de Dispositivos Médicos) Primer Trimestre 2026. Velar por monitoreo de temperatura y humedad en espacios de almacenamiento de Dispositivos Médicos, se debe considerar poder :poder contar con un sensor en 3 puntos de cada zona de almacenamiento. ( Mas variable, mayor temperatura y menor temperatura) y descargar la información para realizar un monitoreo continuo."/>
    <n v="1"/>
    <s v="Sensores"/>
    <n v="4"/>
    <n v="15"/>
    <n v="233334"/>
    <n v="3500010"/>
    <x v="4"/>
    <x v="32"/>
    <x v="58"/>
    <x v="64"/>
    <s v="64-2335651-"/>
    <s v="LEONOR.ARANEDAA@REDSALUD.GOB.CL"/>
    <x v="21"/>
    <m/>
    <n v="0"/>
    <m/>
    <n v="0"/>
    <n v="0"/>
    <m/>
    <x v="1"/>
    <x v="4"/>
  </r>
  <r>
    <s v="SERVICIO DE SALUD OSORNO"/>
    <s v="Administración de Fondos"/>
    <x v="174"/>
    <s v="Proyecto operacional"/>
    <s v="Enviado"/>
    <s v="22.01.001"/>
    <x v="175"/>
    <s v="Ceremonia a realizar en septiembre del 2026"/>
    <n v="4"/>
    <s v="Alimentación"/>
    <n v="4"/>
    <n v="16"/>
    <n v="5594"/>
    <n v="89504"/>
    <x v="4"/>
    <x v="36"/>
    <x v="44"/>
    <x v="24"/>
    <s v="64-2335610-"/>
    <s v="pedro.fritz@redsalud.gob.cl"/>
    <x v="24"/>
    <m/>
    <n v="0"/>
    <m/>
    <n v="0"/>
    <n v="0"/>
    <m/>
    <x v="1"/>
    <x v="2"/>
  </r>
  <r>
    <s v="SERVICIO DE SALUD OSORNO"/>
    <s v="Administración de Fondos"/>
    <x v="174"/>
    <s v="Proyecto operacional"/>
    <s v="Enviado"/>
    <s v="22.01.001"/>
    <x v="175"/>
    <s v="Ceremonia a realizar en septiembre del 2026"/>
    <n v="4"/>
    <s v="Tazon"/>
    <n v="4"/>
    <n v="5"/>
    <n v="5000"/>
    <n v="25000"/>
    <x v="4"/>
    <x v="36"/>
    <x v="44"/>
    <x v="24"/>
    <s v="64-2335610-"/>
    <s v="pedro.fritz@redsalud.gob.cl"/>
    <x v="24"/>
    <m/>
    <n v="0"/>
    <m/>
    <n v="0"/>
    <n v="0"/>
    <m/>
    <x v="1"/>
    <x v="2"/>
  </r>
  <r>
    <s v="SERVICIO DE SALUD OSORNO"/>
    <s v="Administración de Fondos"/>
    <x v="174"/>
    <s v="Proyecto operacional"/>
    <s v="Enviado"/>
    <s v="22.01.001"/>
    <x v="175"/>
    <s v="Ceremonia a realizar en septiembre del 2026"/>
    <n v="4"/>
    <s v="Lapiz Pasta"/>
    <n v="4"/>
    <n v="5"/>
    <n v="5000"/>
    <n v="25000"/>
    <x v="4"/>
    <x v="36"/>
    <x v="44"/>
    <x v="24"/>
    <s v="64-2335610-"/>
    <s v="pedro.fritz@redsalud.gob.cl"/>
    <x v="24"/>
    <m/>
    <n v="0"/>
    <m/>
    <n v="0"/>
    <n v="0"/>
    <m/>
    <x v="1"/>
    <x v="2"/>
  </r>
  <r>
    <s v="SERVICIO DE SALUD OSORNO"/>
    <s v="Administración de Fondos"/>
    <x v="174"/>
    <s v="Proyecto operacional"/>
    <s v="Enviado"/>
    <s v="22.01.001"/>
    <x v="175"/>
    <s v="Ceremonia a realizar en septiembre del 2026"/>
    <n v="4"/>
    <s v="Arreglos"/>
    <n v="4"/>
    <n v="10"/>
    <n v="11000"/>
    <n v="110000"/>
    <x v="4"/>
    <x v="36"/>
    <x v="44"/>
    <x v="24"/>
    <s v="64-2335610-"/>
    <s v="pedro.fritz@redsalud.gob.cl"/>
    <x v="24"/>
    <m/>
    <n v="0"/>
    <m/>
    <n v="0"/>
    <n v="0"/>
    <m/>
    <x v="1"/>
    <x v="2"/>
  </r>
  <r>
    <s v="SERVICIO DE SALUD OSORNO"/>
    <s v="Administración de Fondos"/>
    <x v="175"/>
    <s v="Proyecto operacional"/>
    <s v="Enviado"/>
    <s v="22.01.001"/>
    <x v="176"/>
    <s v="Servicio de cafetería e insumos de librería para la realización de capacitación en talleres prenatales."/>
    <n v="3"/>
    <s v="Servicio Cafeteria"/>
    <n v="4"/>
    <n v="15"/>
    <n v="18000"/>
    <n v="270000"/>
    <x v="4"/>
    <x v="24"/>
    <x v="59"/>
    <x v="65"/>
    <s v="64-2335829-"/>
    <s v="estrella.azocarv@redsalud.gob.cl"/>
    <x v="14"/>
    <m/>
    <n v="0"/>
    <m/>
    <n v="0"/>
    <n v="0"/>
    <m/>
    <x v="1"/>
    <x v="2"/>
  </r>
  <r>
    <s v="SERVICIO DE SALUD OSORNO"/>
    <s v="Administración de Fondos"/>
    <x v="175"/>
    <s v="Proyecto operacional"/>
    <s v="Enviado"/>
    <s v="22.01.001"/>
    <x v="176"/>
    <s v="Servicio de cafetería e insumos de librería para la realización de capacitación en talleres prenatales."/>
    <n v="3"/>
    <s v="Bolsas Ecologicas"/>
    <n v="4"/>
    <n v="100"/>
    <n v="500"/>
    <n v="50000"/>
    <x v="4"/>
    <x v="24"/>
    <x v="59"/>
    <x v="65"/>
    <s v="64-2335829-"/>
    <s v="estrella.azocarv@redsalud.gob.cl"/>
    <x v="14"/>
    <m/>
    <n v="0"/>
    <m/>
    <n v="0"/>
    <n v="0"/>
    <m/>
    <x v="1"/>
    <x v="2"/>
  </r>
  <r>
    <s v="SERVICIO DE SALUD OSORNO"/>
    <s v="Administración de Fondos"/>
    <x v="175"/>
    <s v="Proyecto operacional"/>
    <s v="Enviado"/>
    <s v="22.01.001"/>
    <x v="176"/>
    <s v="Servicio de cafetería e insumos de librería para la realización de capacitación en talleres prenatales."/>
    <n v="3"/>
    <s v="Material de Oficina"/>
    <n v="4"/>
    <n v="272"/>
    <n v="1295"/>
    <n v="352240"/>
    <x v="4"/>
    <x v="24"/>
    <x v="59"/>
    <x v="65"/>
    <s v="64-2335829-"/>
    <s v="estrella.azocarv@redsalud.gob.cl"/>
    <x v="14"/>
    <m/>
    <n v="0"/>
    <m/>
    <n v="0"/>
    <n v="0"/>
    <m/>
    <x v="1"/>
    <x v="2"/>
  </r>
  <r>
    <s v="SERVICIO DE SALUD OSORNO"/>
    <s v="Bienes y Servicios"/>
    <x v="176"/>
    <s v="Proyecto operacional"/>
    <s v="Enviado"/>
    <s v="22.06"/>
    <x v="177"/>
    <s v="Dar cobertura a las necesidades de calibración y mantención de equipos médicos e industriales de los establecimientos de la Red del Servicio de Salud Osorno. Corresponde a diferentes servicios a ejecutarse en dichos equipos los años 2026 y 2027, para mantener su buen, continuo y seguro funcionamiento asociados a la atención en unidades clinicas y unidades de apoyo de los diferentes establecimientos y dispositivos de la Red del Servicio de Salud Osorno, dando así continuidad a las prestaciones de salud de la provincia."/>
    <n v="5"/>
    <s v="Servicio Calibración-Certificación"/>
    <n v="4"/>
    <n v="4"/>
    <n v="1112500"/>
    <n v="4450000"/>
    <x v="15"/>
    <x v="45"/>
    <x v="60"/>
    <x v="15"/>
    <s v="64-2337431-"/>
    <s v="khris.silva@redsalud.gob.cl"/>
    <x v="21"/>
    <m/>
    <n v="0"/>
    <m/>
    <n v="0"/>
    <n v="0"/>
    <m/>
    <x v="1"/>
    <x v="4"/>
  </r>
  <r>
    <s v="SERVICIO DE SALUD OSORNO"/>
    <s v="Bienes y Servicios"/>
    <x v="176"/>
    <s v="Proyecto operacional"/>
    <s v="Enviado"/>
    <s v="22.06"/>
    <x v="177"/>
    <s v="Dar cobertura a las necesidades de calibración y mantención de equipos médicos e industriales de los establecimientos de la Red del Servicio de Salud Osorno. Corresponde a diferentes servicios a ejecutarse en dichos equipos los años 2026 y 2027, para mantener su buen, continuo y seguro funcionamiento asociados a la atención en unidades clinicas y unidades de apoyo de los diferentes establecimientos y dispositivos de la Red del Servicio de Salud Osorno, dando así continuidad a las prestaciones de salud de la provincia."/>
    <n v="5"/>
    <s v="Mantención equipos médicos"/>
    <n v="4"/>
    <n v="6"/>
    <n v="616667"/>
    <n v="3700002"/>
    <x v="4"/>
    <x v="25"/>
    <x v="60"/>
    <x v="15"/>
    <s v="64-2337431-"/>
    <s v="khris.silva@redsalud.gob.cl"/>
    <x v="15"/>
    <m/>
    <n v="0"/>
    <m/>
    <n v="0"/>
    <n v="0"/>
    <m/>
    <x v="1"/>
    <x v="4"/>
  </r>
  <r>
    <s v="SERVICIO DE SALUD OSORNO"/>
    <s v="Bienes y Servicios"/>
    <x v="176"/>
    <s v="Proyecto operacional"/>
    <s v="Enviado"/>
    <s v="22.06"/>
    <x v="177"/>
    <s v="Dar cobertura a las necesidades de calibración y mantención de equipos médicos e industriales de los establecimientos de la Red del Servicio de Salud Osorno. Corresponde a diferentes servicios a ejecutarse en dichos equipos los años 2026 y 2027, para mantener su buen, continuo y seguro funcionamiento asociados a la atención en unidades clinicas y unidades de apoyo de los diferentes establecimientos y dispositivos de la Red del Servicio de Salud Osorno, dando así continuidad a las prestaciones de salud de la provincia."/>
    <n v="5"/>
    <s v="Mantenciones correctivas"/>
    <n v="4"/>
    <n v="1"/>
    <n v="3000000"/>
    <n v="3000000"/>
    <x v="4"/>
    <x v="25"/>
    <x v="60"/>
    <x v="15"/>
    <s v="64-2337431-"/>
    <s v="khris.silva@redsalud.gob.cl"/>
    <x v="15"/>
    <m/>
    <n v="0"/>
    <m/>
    <n v="0"/>
    <n v="0"/>
    <m/>
    <x v="1"/>
    <x v="4"/>
  </r>
  <r>
    <s v="SERVICIO DE SALUD OSORNO"/>
    <s v="Bienes y Servicios"/>
    <x v="176"/>
    <s v="Proyecto operacional"/>
    <s v="Enviado"/>
    <s v="22.06"/>
    <x v="177"/>
    <s v="Dar cobertura a las necesidades de calibración y mantención de equipos médicos e industriales de los establecimientos de la Red del Servicio de Salud Osorno. Corresponde a diferentes servicios a ejecutarse en dichos equipos los años 2026 y 2027, para mantener su buen, continuo y seguro funcionamiento asociados a la atención en unidades clinicas y unidades de apoyo de los diferentes establecimientos y dispositivos de la Red del Servicio de Salud Osorno, dando así continuidad a las prestaciones de salud de la provincia."/>
    <n v="5"/>
    <s v="Mantenciones Preventivas"/>
    <n v="4"/>
    <n v="1"/>
    <n v="600000"/>
    <n v="600000"/>
    <x v="4"/>
    <x v="25"/>
    <x v="60"/>
    <x v="15"/>
    <s v="64-2337431-"/>
    <s v="khris.silva@redsalud.gob.cl"/>
    <x v="15"/>
    <m/>
    <n v="0"/>
    <m/>
    <n v="0"/>
    <n v="0"/>
    <m/>
    <x v="1"/>
    <x v="4"/>
  </r>
  <r>
    <s v="SERVICIO DE SALUD OSORNO"/>
    <s v="Bienes y Servicios"/>
    <x v="176"/>
    <s v="Proyecto operacional"/>
    <s v="Enviado"/>
    <s v="22.06"/>
    <x v="177"/>
    <s v="Dar cobertura a las necesidades de calibración y mantención de equipos médicos e industriales de los establecimientos de la Red del Servicio de Salud Osorno. Corresponde a diferentes servicios a ejecutarse en dichos equipos los años 2026 y 2027, para mantener su buen, continuo y seguro funcionamiento asociados a la atención en unidades clinicas y unidades de apoyo de los diferentes establecimientos y dispositivos de la Red del Servicio de Salud Osorno, dando así continuidad a las prestaciones de salud de la provincia."/>
    <n v="5"/>
    <s v="Mantención Correctiva Equipos"/>
    <n v="4"/>
    <n v="1"/>
    <n v="6000000"/>
    <n v="6000000"/>
    <x v="4"/>
    <x v="25"/>
    <x v="60"/>
    <x v="15"/>
    <s v="64-2337431-"/>
    <s v="khris.silva@redsalud.gob.cl"/>
    <x v="15"/>
    <m/>
    <n v="0"/>
    <m/>
    <n v="0"/>
    <n v="0"/>
    <m/>
    <x v="1"/>
    <x v="4"/>
  </r>
  <r>
    <s v="SERVICIO DE SALUD OSORNO"/>
    <s v="Bienes y Servicios"/>
    <x v="177"/>
    <s v="Proyecto operacional"/>
    <s v="Enviado"/>
    <s v="22.04.999"/>
    <x v="178"/>
    <s v="Dar cobertura a las necesidades de accesorios y consumibles asociados al funcionamiento de equipos médicos criticos de ambulancias de emergencia de Base SAMU (enero a diciembre 2027)"/>
    <n v="1"/>
    <s v="Convenio"/>
    <n v="4"/>
    <n v="346"/>
    <n v="89596"/>
    <n v="0"/>
    <x v="11"/>
    <x v="43"/>
    <x v="60"/>
    <x v="15"/>
    <s v="64-2337431-"/>
    <s v="khris.silva@redsalud.gob.cl"/>
    <x v="16"/>
    <m/>
    <n v="0"/>
    <m/>
    <n v="0"/>
    <n v="0"/>
    <m/>
    <x v="1"/>
    <x v="4"/>
  </r>
  <r>
    <s v="SERVICIO DE SALUD OSORNO"/>
    <s v="Administración de Fondos"/>
    <x v="178"/>
    <s v="Proyecto operacional"/>
    <s v="Enviado"/>
    <s v="22.04.002"/>
    <x v="179"/>
    <s v="Insumos para aumentar la lactancia materna exclusiva, mes de julio. Fantoma mamario/Pechera de Lactancia Insumos de lactancia."/>
    <n v="4"/>
    <s v="Material Educativo"/>
    <n v="4"/>
    <n v="1"/>
    <n v="1350000"/>
    <n v="1350000"/>
    <x v="4"/>
    <x v="25"/>
    <x v="59"/>
    <x v="65"/>
    <s v="64-2335829-"/>
    <s v="estrella.azocarv@redsalud.gob.cl"/>
    <x v="15"/>
    <m/>
    <n v="0"/>
    <m/>
    <n v="0"/>
    <n v="0"/>
    <m/>
    <x v="1"/>
    <x v="2"/>
  </r>
  <r>
    <s v="SERVICIO DE SALUD OSORNO"/>
    <s v="Administración de Fondos"/>
    <x v="178"/>
    <s v="Proyecto operacional"/>
    <s v="Enviado"/>
    <s v="22.04.002"/>
    <x v="179"/>
    <s v="Insumos para aumentar la lactancia materna exclusiva, mes de julio. Fantoma mamario/Pechera de Lactancia Insumos de lactancia."/>
    <n v="4"/>
    <s v="Insumos Clinicos"/>
    <n v="4"/>
    <n v="98"/>
    <n v="10152"/>
    <n v="994896"/>
    <x v="4"/>
    <x v="25"/>
    <x v="59"/>
    <x v="65"/>
    <s v="64-2335829-"/>
    <s v="estrella.azocarv@redsalud.gob.cl"/>
    <x v="15"/>
    <m/>
    <n v="0"/>
    <m/>
    <n v="0"/>
    <n v="0"/>
    <m/>
    <x v="1"/>
    <x v="2"/>
  </r>
  <r>
    <s v="SERVICIO DE SALUD OSORNO"/>
    <s v="Administración de Fondos"/>
    <x v="178"/>
    <s v="Proyecto operacional"/>
    <s v="Enviado"/>
    <s v="22.04.002"/>
    <x v="179"/>
    <s v="Insumos para aumentar la lactancia materna exclusiva, mes de julio. Fantoma mamario/Pechera de Lactancia Insumos de lactancia."/>
    <n v="4"/>
    <s v="Cooler"/>
    <n v="4"/>
    <n v="5"/>
    <n v="10000"/>
    <n v="50000"/>
    <x v="4"/>
    <x v="25"/>
    <x v="59"/>
    <x v="65"/>
    <s v="64-2335829-"/>
    <s v="estrella.azocarv@redsalud.gob.cl"/>
    <x v="15"/>
    <m/>
    <n v="0"/>
    <m/>
    <n v="0"/>
    <n v="0"/>
    <m/>
    <x v="1"/>
    <x v="2"/>
  </r>
  <r>
    <s v="SERVICIO DE SALUD OSORNO"/>
    <s v="Administración de Fondos"/>
    <x v="178"/>
    <s v="Proyecto operacional"/>
    <s v="Enviado"/>
    <s v="22.04.002"/>
    <x v="179"/>
    <s v="Insumos para aumentar la lactancia materna exclusiva, mes de julio. Fantoma mamario/Pechera de Lactancia Insumos de lactancia."/>
    <n v="4"/>
    <s v="Equipamiento Medico"/>
    <n v="4"/>
    <n v="1"/>
    <n v="580665"/>
    <n v="580665"/>
    <x v="4"/>
    <x v="25"/>
    <x v="59"/>
    <x v="65"/>
    <s v="64-2335829-"/>
    <s v="estrella.azocarv@redsalud.gob.cl"/>
    <x v="15"/>
    <m/>
    <n v="0"/>
    <m/>
    <n v="0"/>
    <n v="0"/>
    <m/>
    <x v="1"/>
    <x v="2"/>
  </r>
  <r>
    <s v="SERVICIO DE SALUD OSORNO"/>
    <s v="Bienes y Servicios"/>
    <x v="179"/>
    <s v="Proyecto operacional"/>
    <s v="Enviado"/>
    <s v="22.04.999"/>
    <x v="180"/>
    <s v="La adquisición de implementos kinésicos para el box es fundamental para garantizar la calidad y la eficacia de los servicios de rehabilitación y tratamiento hacia los funcionarios del servicio y el Hospital (marzo- abril)"/>
    <n v="1"/>
    <s v="Insumos Kinesicos"/>
    <n v="4"/>
    <n v="15"/>
    <n v="46400"/>
    <n v="696000"/>
    <x v="4"/>
    <x v="32"/>
    <x v="61"/>
    <x v="66"/>
    <s v="64-2337034-"/>
    <s v="felipe.barriga@redsalud.gob.cl"/>
    <x v="21"/>
    <m/>
    <n v="0"/>
    <m/>
    <n v="0"/>
    <n v="0"/>
    <m/>
    <x v="1"/>
    <x v="4"/>
  </r>
  <r>
    <s v="SERVICIO DE SALUD OSORNO"/>
    <s v="Bienes y Servicios"/>
    <x v="180"/>
    <s v="Proyecto operacional"/>
    <s v="Enviado"/>
    <s v="22.12.003"/>
    <x v="181"/>
    <s v="Compra de Servicio de cafetería, artículos de librería y arriendo de pantalla led con atril para una asistencia promedio de 300 personas."/>
    <n v="1"/>
    <s v="Gesto Ceremonial"/>
    <n v="4"/>
    <n v="1505"/>
    <n v="1917"/>
    <n v="2885085"/>
    <x v="4"/>
    <x v="31"/>
    <x v="45"/>
    <x v="49"/>
    <s v="64-2335775-"/>
    <s v="daniela.barriaa@redsalud.gob.cl"/>
    <x v="20"/>
    <m/>
    <n v="0"/>
    <m/>
    <n v="0"/>
    <n v="0"/>
    <m/>
    <x v="1"/>
    <x v="4"/>
  </r>
  <r>
    <s v="SERVICIO DE SALUD OSORNO"/>
    <s v="Bienes y Servicios"/>
    <x v="181"/>
    <s v="Proyecto operacional"/>
    <s v="Enviado"/>
    <s v="22.01.001"/>
    <x v="182"/>
    <s v="Compra de servicio de cafetería para comunidad asistente y autoridades asistentes a la actividad, compra de artículos de librería que se ocuparan en dinámicas de trabajo, además de carpetas y lápices. También se necesita adquirir 300 vasos de polipapel y 300 yogurt."/>
    <n v="5"/>
    <s v="Servicio Cafeteria"/>
    <n v="4"/>
    <n v="1"/>
    <n v="1500000"/>
    <n v="1500000"/>
    <x v="4"/>
    <x v="27"/>
    <x v="45"/>
    <x v="49"/>
    <s v="64-2335775-"/>
    <s v="daniela.barriaa@redsalud.gob.cl"/>
    <x v="17"/>
    <m/>
    <n v="0"/>
    <m/>
    <n v="0"/>
    <n v="0"/>
    <m/>
    <x v="1"/>
    <x v="4"/>
  </r>
  <r>
    <s v="SERVICIO DE SALUD OSORNO"/>
    <s v="Bienes y Servicios"/>
    <x v="181"/>
    <s v="Proyecto operacional"/>
    <s v="Enviado"/>
    <s v="22.01.001"/>
    <x v="182"/>
    <s v="Compra de servicio de cafetería para comunidad asistente y autoridades asistentes a la actividad, compra de artículos de librería que se ocuparan en dinámicas de trabajo, además de carpetas y lápices. También se necesita adquirir 300 vasos de polipapel y 300 yogurt."/>
    <n v="5"/>
    <s v="Evento"/>
    <n v="4"/>
    <n v="1"/>
    <n v="1000000"/>
    <n v="1000000"/>
    <x v="4"/>
    <x v="27"/>
    <x v="45"/>
    <x v="49"/>
    <s v="64-2335775-"/>
    <s v="daniela.barriaa@redsalud.gob.cl"/>
    <x v="17"/>
    <m/>
    <n v="0"/>
    <m/>
    <n v="0"/>
    <n v="0"/>
    <m/>
    <x v="1"/>
    <x v="4"/>
  </r>
  <r>
    <s v="SERVICIO DE SALUD OSORNO"/>
    <s v="Bienes y Servicios"/>
    <x v="181"/>
    <s v="Proyecto operacional"/>
    <s v="Enviado"/>
    <s v="22.01.001"/>
    <x v="182"/>
    <s v="Compra de servicio de cafetería para comunidad asistente y autoridades asistentes a la actividad, compra de artículos de librería que se ocuparan en dinámicas de trabajo, además de carpetas y lápices. También se necesita adquirir 300 vasos de polipapel y 300 yogurt."/>
    <n v="5"/>
    <s v="Material de Oficina"/>
    <n v="4"/>
    <n v="600"/>
    <n v="500"/>
    <n v="300000"/>
    <x v="4"/>
    <x v="27"/>
    <x v="45"/>
    <x v="49"/>
    <s v="64-2335775-"/>
    <s v="daniela.barriaa@redsalud.gob.cl"/>
    <x v="17"/>
    <m/>
    <n v="0"/>
    <m/>
    <n v="0"/>
    <n v="0"/>
    <m/>
    <x v="1"/>
    <x v="4"/>
  </r>
  <r>
    <s v="SERVICIO DE SALUD OSORNO"/>
    <s v="Bienes y Servicios"/>
    <x v="181"/>
    <s v="Proyecto operacional"/>
    <s v="Enviado"/>
    <s v="22.01.001"/>
    <x v="182"/>
    <s v="Compra de servicio de cafetería para comunidad asistente y autoridades asistentes a la actividad, compra de artículos de librería que se ocuparan en dinámicas de trabajo, además de carpetas y lápices. También se necesita adquirir 300 vasos de polipapel y 300 yogurt."/>
    <n v="5"/>
    <s v="Menaje"/>
    <n v="4"/>
    <n v="303"/>
    <n v="156"/>
    <n v="47268"/>
    <x v="4"/>
    <x v="27"/>
    <x v="45"/>
    <x v="49"/>
    <s v="64-2335775-"/>
    <s v="daniela.barriaa@redsalud.gob.cl"/>
    <x v="17"/>
    <m/>
    <n v="0"/>
    <m/>
    <n v="0"/>
    <n v="0"/>
    <m/>
    <x v="1"/>
    <x v="4"/>
  </r>
  <r>
    <s v="SERVICIO DE SALUD OSORNO"/>
    <s v="Bienes y Servicios"/>
    <x v="181"/>
    <s v="Proyecto operacional"/>
    <s v="Enviado"/>
    <s v="22.01.001"/>
    <x v="182"/>
    <s v="Compra de servicio de cafetería para comunidad asistente y autoridades asistentes a la actividad, compra de artículos de librería que se ocuparan en dinámicas de trabajo, además de carpetas y lápices. También se necesita adquirir 300 vasos de polipapel y 300 yogurt."/>
    <n v="5"/>
    <s v="Yogurth"/>
    <n v="4"/>
    <n v="300"/>
    <n v="500"/>
    <n v="150000"/>
    <x v="4"/>
    <x v="27"/>
    <x v="45"/>
    <x v="49"/>
    <s v="64-2335775-"/>
    <s v="daniela.barriaa@redsalud.gob.cl"/>
    <x v="17"/>
    <m/>
    <n v="0"/>
    <m/>
    <n v="0"/>
    <n v="0"/>
    <m/>
    <x v="1"/>
    <x v="4"/>
  </r>
  <r>
    <s v="SERVICIO DE SALUD OSORNO"/>
    <s v="Administración de Fondos"/>
    <x v="182"/>
    <s v="Proyecto operacional"/>
    <s v="Enviado"/>
    <s v="22.12.999.015"/>
    <x v="183"/>
    <s v="Compra de servicio de cafetería para 200 personas en total. La actividad contempla 02 jornadas de día completo y se realizaran una en julio y la segunda en octubre."/>
    <n v="2"/>
    <s v="Servicio Cafeteria"/>
    <n v="4"/>
    <n v="1"/>
    <n v="750000"/>
    <n v="750000"/>
    <x v="4"/>
    <x v="33"/>
    <x v="42"/>
    <x v="47"/>
    <s v="64-2335814-"/>
    <s v="pedro.huito@redsalud.gob.cl"/>
    <x v="22"/>
    <m/>
    <n v="0"/>
    <m/>
    <n v="0"/>
    <n v="0"/>
    <m/>
    <x v="1"/>
    <x v="2"/>
  </r>
  <r>
    <s v="SERVICIO DE SALUD OSORNO"/>
    <s v="Administración de Fondos"/>
    <x v="182"/>
    <s v="Proyecto operacional"/>
    <s v="Enviado"/>
    <s v="22.12.999.015"/>
    <x v="183"/>
    <s v="Compra de servicio de cafetería para 200 personas en total. La actividad contempla 02 jornadas de día completo y se realizaran una en julio y la segunda en octubre."/>
    <n v="2"/>
    <s v="Servicio Cafeteria"/>
    <n v="4"/>
    <n v="1"/>
    <n v="750000"/>
    <n v="750000"/>
    <x v="4"/>
    <x v="27"/>
    <x v="42"/>
    <x v="47"/>
    <s v="64-2335814-"/>
    <s v="pedro.huito@redsalud.gob.cl"/>
    <x v="17"/>
    <m/>
    <n v="0"/>
    <m/>
    <n v="0"/>
    <n v="0"/>
    <m/>
    <x v="1"/>
    <x v="2"/>
  </r>
  <r>
    <s v="SERVICIO DE SALUD OSORNO"/>
    <s v="Compras Convenio GORE Region de Los Lagos"/>
    <x v="183"/>
    <s v="Proyecto operacional"/>
    <s v="Enviado"/>
    <s v="31.02.002"/>
    <x v="184"/>
    <s v="SE REQUIERE CONTRATAR LAS VISITAS DE LOS SIGUIENTES PROYECTISTAS PARA EL MES DE DICIEMBRE DE 2026 DEL PROYECTO MEJORAMIENTO ELECTRICIDAD Y CORRIENTES DEBILES DEL HOSPITAL DE RIO NEGRO; 3 VISITAS DEL PROYECTISTA, VALOR POR VISITA 14 UF IVA INCLUIDO. Y MEJORAMIENTO CLIMATIZACION DEL HOSPITAL DE RIO NEGRO; 3 VISITAS DEL PROYECTISTA, VALOR POR VISITA 14 UF IVA INCLUIDO. NOTA: EL VALOR DE LA UF SERA DEL DÍA DE LA VISITA"/>
    <n v="1"/>
    <s v="Remodelación"/>
    <n v="4"/>
    <n v="6"/>
    <n v="571667"/>
    <n v="3430002"/>
    <x v="4"/>
    <x v="29"/>
    <x v="62"/>
    <x v="36"/>
    <s v="64-2337385-"/>
    <s v="gustavo.marin@redsalud.gob.cl"/>
    <x v="23"/>
    <m/>
    <n v="0"/>
    <m/>
    <n v="0"/>
    <n v="0"/>
    <m/>
    <x v="1"/>
    <x v="3"/>
  </r>
  <r>
    <s v="SERVICIO DE SALUD OSORNO"/>
    <s v="Compras Convenio GORE Region de Los Lagos"/>
    <x v="184"/>
    <s v="Proyecto operacional"/>
    <s v="Enviado"/>
    <s v="31.02.002"/>
    <x v="185"/>
    <s v="Desarrollar las adecuaciones a los proyectos de arquitectura y especialidades del diseño de la PSR tipo para el sector de Hueyusca, comuna de Purranque."/>
    <n v="1"/>
    <s v="Consultorias"/>
    <n v="4"/>
    <n v="1"/>
    <n v="37000000"/>
    <n v="37000000"/>
    <x v="4"/>
    <x v="28"/>
    <x v="39"/>
    <x v="44"/>
    <s v="64-2335843-"/>
    <s v="mario.barrientos@redsalud.gob.cl"/>
    <x v="18"/>
    <m/>
    <n v="0"/>
    <m/>
    <n v="0"/>
    <n v="0"/>
    <m/>
    <x v="1"/>
    <x v="3"/>
  </r>
  <r>
    <s v="SERVICIO DE SALUD OSORNO"/>
    <s v="Bienes y Servicios"/>
    <x v="185"/>
    <s v="Proyecto operacional"/>
    <s v="Enviado"/>
    <s v="22.04.007"/>
    <x v="186"/>
    <s v="Se requiere la adquisición de insumos de limpieza y artículos de higiene, destinados al mantenimiento y sanitización de las dependencias del Dispositivo Comunitario, asegurando condiciones adecuadas de funcionamiento e higiene para usuarios y personal, a partir de marzo de 2026."/>
    <n v="1"/>
    <s v="Artículos de limpieza"/>
    <n v="4"/>
    <n v="41"/>
    <n v="4830"/>
    <n v="198030"/>
    <x v="4"/>
    <x v="24"/>
    <x v="63"/>
    <x v="19"/>
    <s v="64-2337366-"/>
    <s v="luis.floresme@redsalud.gob.cl"/>
    <x v="21"/>
    <m/>
    <n v="0"/>
    <m/>
    <n v="0"/>
    <n v="0"/>
    <m/>
    <x v="1"/>
    <x v="4"/>
  </r>
  <r>
    <s v="SERVICIO DE SALUD OSORNO"/>
    <s v="Bienes y Servicios"/>
    <x v="186"/>
    <s v="Proyecto operacional"/>
    <s v="Enviado"/>
    <s v="22.01.001"/>
    <x v="187"/>
    <s v="Adquisición de insumos destinados al desarrollo de taller socio recreativo que se realizara con usuarios/as de UID Newen a contar del mes de enero de 2026."/>
    <n v="1"/>
    <s v="Productos Cafeteria"/>
    <n v="4"/>
    <n v="91"/>
    <n v="1391"/>
    <n v="126581"/>
    <x v="4"/>
    <x v="35"/>
    <x v="22"/>
    <x v="67"/>
    <s v="64-2337766-"/>
    <s v="camila.roa@redsalud.gob.cl"/>
    <x v="13"/>
    <m/>
    <n v="0"/>
    <m/>
    <n v="0"/>
    <n v="0"/>
    <m/>
    <x v="1"/>
    <x v="4"/>
  </r>
  <r>
    <s v="SERVICIO DE SALUD OSORNO"/>
    <s v="Bienes y Servicios"/>
    <x v="187"/>
    <s v="Proyecto operacional"/>
    <s v="Enviado"/>
    <s v="22.04.999"/>
    <x v="188"/>
    <s v="Adquisición de insumos orientados al desarrollo de actividades de promoción, prevención e intervenciones que se realizaran con usuarios/as y familiares de UID Newen a contar del mes de enero del 2026."/>
    <n v="2"/>
    <s v="Sillas, Toldos, Mesas"/>
    <n v="4"/>
    <n v="4"/>
    <n v="31750"/>
    <n v="127000"/>
    <x v="4"/>
    <x v="35"/>
    <x v="22"/>
    <x v="67"/>
    <s v="64-2337766-"/>
    <s v="camila.roa@redsalud.gob.cl"/>
    <x v="13"/>
    <m/>
    <n v="0"/>
    <m/>
    <n v="0"/>
    <n v="0"/>
    <m/>
    <x v="1"/>
    <x v="4"/>
  </r>
  <r>
    <s v="SERVICIO DE SALUD OSORNO"/>
    <s v="Bienes y Servicios"/>
    <x v="187"/>
    <s v="Proyecto operacional"/>
    <s v="Enviado"/>
    <s v="22.04.999"/>
    <x v="188"/>
    <s v="Adquisición de insumos orientados al desarrollo de actividades de promoción, prevención e intervenciones que se realizaran con usuarios/as y familiares de UID Newen a contar del mes de enero del 2026."/>
    <n v="2"/>
    <s v="Parlante"/>
    <n v="4"/>
    <n v="1"/>
    <n v="45000"/>
    <n v="45000"/>
    <x v="4"/>
    <x v="35"/>
    <x v="22"/>
    <x v="67"/>
    <s v="64-2337766-"/>
    <s v="camila.roa@redsalud.gob.cl"/>
    <x v="13"/>
    <m/>
    <n v="0"/>
    <m/>
    <n v="0"/>
    <n v="0"/>
    <m/>
    <x v="1"/>
    <x v="4"/>
  </r>
  <r>
    <s v="SERVICIO DE SALUD OSORNO"/>
    <s v="Bienes y Servicios"/>
    <x v="188"/>
    <s v="Proyecto operacional"/>
    <s v="Enviado"/>
    <s v="22.04.001"/>
    <x v="189"/>
    <s v="La presente adquisición corresponde a la compra de materiales de papelería y oficina destinados al funcionamiento operativo del Centro Comunitario de Apoyo a Personas con Demencia Kümelen. Los insumos serán utilizados para el desarrollo de talleres grupales, atenciones individuales, actividades comunitarias y labores administrativas internas, permitiendo asegurar la continuidad de las prestaciones clínicas y comunitarias que realiza el equipo multidisciplinario del centro. el mes de ejecución es para Abril del 2026"/>
    <n v="2"/>
    <s v="Material de Oficina"/>
    <n v="4"/>
    <n v="29"/>
    <n v="23966"/>
    <n v="695014"/>
    <x v="4"/>
    <x v="24"/>
    <x v="63"/>
    <x v="19"/>
    <s v="64-2337366-"/>
    <s v="luis.floresme@redsalud.gob.cl"/>
    <x v="14"/>
    <m/>
    <n v="0"/>
    <m/>
    <n v="0"/>
    <n v="0"/>
    <m/>
    <x v="1"/>
    <x v="4"/>
  </r>
  <r>
    <s v="SERVICIO DE SALUD OSORNO"/>
    <s v="Bienes y Servicios"/>
    <x v="188"/>
    <s v="Proyecto operacional"/>
    <s v="Enviado"/>
    <s v="22.04.001"/>
    <x v="189"/>
    <s v="La presente adquisición corresponde a la compra de materiales de papelería y oficina destinados al funcionamiento operativo del Centro Comunitario de Apoyo a Personas con Demencia Kümelen. Los insumos serán utilizados para el desarrollo de talleres grupales, atenciones individuales, actividades comunitarias y labores administrativas internas, permitiendo asegurar la continuidad de las prestaciones clínicas y comunitarias que realiza el equipo multidisciplinario del centro. el mes de ejecución es para Abril del 2026"/>
    <n v="2"/>
    <s v="Reloj"/>
    <n v="4"/>
    <n v="1"/>
    <n v="20000"/>
    <n v="20000"/>
    <x v="4"/>
    <x v="24"/>
    <x v="63"/>
    <x v="19"/>
    <s v="64-2337366-"/>
    <s v="luis.floresme@redsalud.gob.cl"/>
    <x v="14"/>
    <m/>
    <n v="0"/>
    <m/>
    <n v="0"/>
    <n v="0"/>
    <m/>
    <x v="1"/>
    <x v="4"/>
  </r>
  <r>
    <s v="SERVICIO DE SALUD OSORNO"/>
    <s v="Bienes y Servicios"/>
    <x v="189"/>
    <s v="Proyecto operacional"/>
    <s v="Enviado"/>
    <s v="22.04.001"/>
    <x v="190"/>
    <s v="Contar con 2 mochilas acordes a funcionamiento en terreno de EMT y herramientas manuales básicas necesarias para despliegues en emergencias. mes ejecucion: enero"/>
    <n v="2"/>
    <s v="Caja"/>
    <n v="4"/>
    <n v="1"/>
    <n v="30000"/>
    <n v="30000"/>
    <x v="4"/>
    <x v="35"/>
    <x v="2"/>
    <x v="3"/>
    <s v="64-2337728-"/>
    <s v="CATALINA.VERAC@REDSALUD.GOB.CL"/>
    <x v="13"/>
    <m/>
    <n v="0"/>
    <m/>
    <n v="0"/>
    <n v="0"/>
    <m/>
    <x v="1"/>
    <x v="4"/>
  </r>
  <r>
    <s v="SERVICIO DE SALUD OSORNO"/>
    <s v="Bienes y Servicios"/>
    <x v="189"/>
    <s v="Proyecto operacional"/>
    <s v="Enviado"/>
    <s v="22.04.001"/>
    <x v="190"/>
    <s v="Contar con 2 mochilas acordes a funcionamiento en terreno de EMT y herramientas manuales básicas necesarias para despliegues en emergencias. mes ejecucion: enero"/>
    <n v="2"/>
    <s v="Mochila"/>
    <n v="4"/>
    <n v="2"/>
    <n v="450000"/>
    <n v="900000"/>
    <x v="4"/>
    <x v="35"/>
    <x v="2"/>
    <x v="3"/>
    <s v="64-2337728-"/>
    <s v="CATALINA.VERAC@REDSALUD.GOB.CL"/>
    <x v="13"/>
    <m/>
    <n v="0"/>
    <m/>
    <n v="0"/>
    <n v="0"/>
    <m/>
    <x v="1"/>
    <x v="4"/>
  </r>
  <r>
    <s v="SERVICIO DE SALUD OSORNO"/>
    <s v="Bienes y Servicios"/>
    <x v="190"/>
    <s v="Proyecto operacional"/>
    <s v="Enviado"/>
    <s v="22.11.003"/>
    <x v="191"/>
    <s v="Contar con licencia de software de cartografía web, para la creación de mapas territoriales y análisis de amenazas 12 meses. Desde mes de enero"/>
    <n v="1"/>
    <s v="Software"/>
    <n v="4"/>
    <n v="1"/>
    <n v="1400000"/>
    <n v="1400000"/>
    <x v="4"/>
    <x v="38"/>
    <x v="2"/>
    <x v="3"/>
    <s v="64-2337728-"/>
    <s v="CATALINA.VERAC@REDSALUD.GOB.CL"/>
    <x v="13"/>
    <m/>
    <n v="0"/>
    <m/>
    <n v="0"/>
    <n v="0"/>
    <m/>
    <x v="1"/>
    <x v="4"/>
  </r>
  <r>
    <s v="SERVICIO DE SALUD OSORNO"/>
    <s v="Activos Fijos"/>
    <x v="191"/>
    <s v="Proyecto operacional"/>
    <s v="Enviado"/>
    <s v="29.03"/>
    <x v="192"/>
    <s v="COMPRA DE AMBULANCIA PARA CESFAM CON SAR DE RAHUE ALTO // MES DE FEBRERO 2026."/>
    <n v="1"/>
    <s v="Ambulancia"/>
    <n v="4"/>
    <n v="1"/>
    <n v="108183000"/>
    <n v="108183000"/>
    <x v="4"/>
    <x v="24"/>
    <x v="5"/>
    <x v="39"/>
    <s v="64-2335654-"/>
    <s v="felipe.salvob@redsalud.gob.cl"/>
    <x v="14"/>
    <m/>
    <n v="0"/>
    <m/>
    <n v="0"/>
    <n v="0"/>
    <m/>
    <x v="1"/>
    <x v="5"/>
  </r>
  <r>
    <s v="SERVICIO DE SALUD OSORNO"/>
    <s v="Bienes y Servicios"/>
    <x v="192"/>
    <s v="Proyecto operacional"/>
    <s v="Enviado"/>
    <s v="22.02"/>
    <x v="193"/>
    <s v="COMPRA DE EPP PARA PERSONAL DE LA SECCION DE MANTENIMIENTO DE VEHICULOS DEL SSO"/>
    <n v="3"/>
    <s v="Calzado"/>
    <n v="4"/>
    <n v="2"/>
    <n v="80000"/>
    <n v="160000"/>
    <x v="4"/>
    <x v="38"/>
    <x v="5"/>
    <x v="39"/>
    <s v="64-2335654-"/>
    <s v="felipe.salvob@redsalud.gob.cl"/>
    <x v="19"/>
    <m/>
    <n v="0"/>
    <m/>
    <n v="0"/>
    <n v="0"/>
    <m/>
    <x v="1"/>
    <x v="4"/>
  </r>
  <r>
    <s v="SERVICIO DE SALUD OSORNO"/>
    <s v="Bienes y Servicios"/>
    <x v="192"/>
    <s v="Proyecto operacional"/>
    <s v="Enviado"/>
    <s v="22.02"/>
    <x v="193"/>
    <s v="COMPRA DE EPP PARA PERSONAL DE LA SECCION DE MANTENIMIENTO DE VEHICULOS DEL SSO"/>
    <n v="3"/>
    <s v="Vestuario"/>
    <n v="4"/>
    <n v="26"/>
    <n v="15000"/>
    <n v="390000"/>
    <x v="4"/>
    <x v="38"/>
    <x v="5"/>
    <x v="39"/>
    <s v="64-2335654-"/>
    <s v="felipe.salvob@redsalud.gob.cl"/>
    <x v="19"/>
    <m/>
    <n v="0"/>
    <m/>
    <n v="0"/>
    <n v="0"/>
    <m/>
    <x v="1"/>
    <x v="4"/>
  </r>
  <r>
    <s v="SERVICIO DE SALUD OSORNO"/>
    <s v="Bienes y Servicios"/>
    <x v="192"/>
    <s v="Proyecto operacional"/>
    <s v="Enviado"/>
    <s v="22.02"/>
    <x v="193"/>
    <s v="COMPRA DE EPP PARA PERSONAL DE LA SECCION DE MANTENIMIENTO DE VEHICULOS DEL SSO"/>
    <n v="3"/>
    <s v="Bloqueador solar"/>
    <n v="4"/>
    <n v="2"/>
    <n v="30000"/>
    <n v="60000"/>
    <x v="4"/>
    <x v="38"/>
    <x v="5"/>
    <x v="39"/>
    <s v="64-2335654-"/>
    <s v="felipe.salvob@redsalud.gob.cl"/>
    <x v="19"/>
    <m/>
    <n v="0"/>
    <m/>
    <n v="0"/>
    <n v="0"/>
    <m/>
    <x v="1"/>
    <x v="4"/>
  </r>
  <r>
    <s v="SERVICIO DE SALUD OSORNO"/>
    <s v="Bienes y Servicios"/>
    <x v="193"/>
    <s v="Proyecto operacional"/>
    <s v="Enviado"/>
    <s v="22.04.001"/>
    <x v="194"/>
    <s v="MES DE EJECUCION DE LA COMPRA DE TARJETAS BLANCAS PARA CREDENCIALES SE REALIZARA EN EL MES DE FEBRERO DE 2026."/>
    <n v="1"/>
    <s v="Tarjeta"/>
    <n v="4"/>
    <n v="400"/>
    <n v="130"/>
    <n v="52000"/>
    <x v="4"/>
    <x v="38"/>
    <x v="64"/>
    <x v="68"/>
    <s v="64-2335819-"/>
    <s v="gustavo.aravena@redsalud.gob.cl"/>
    <x v="19"/>
    <m/>
    <n v="0"/>
    <m/>
    <n v="0"/>
    <n v="0"/>
    <m/>
    <x v="1"/>
    <x v="4"/>
  </r>
  <r>
    <s v="SERVICIO DE SALUD OSORNO"/>
    <s v="Bienes y Servicios"/>
    <x v="194"/>
    <s v="Proyecto operacional"/>
    <s v="Enviado"/>
    <s v="22.04"/>
    <x v="195"/>
    <s v="Brindar una atención integral, segura y oportuna a los usuarios/as de UID Newen, a contar de enero y durante el año 2026."/>
    <n v="2"/>
    <s v="Insumos Clínicos"/>
    <n v="4"/>
    <n v="1700"/>
    <n v="53"/>
    <n v="90100"/>
    <x v="4"/>
    <x v="35"/>
    <x v="22"/>
    <x v="67"/>
    <s v="64-2337766-"/>
    <s v="camila.roa@redsalud.gob.cl"/>
    <x v="13"/>
    <m/>
    <n v="0"/>
    <m/>
    <n v="0"/>
    <n v="0"/>
    <m/>
    <x v="1"/>
    <x v="4"/>
  </r>
  <r>
    <s v="SERVICIO DE SALUD OSORNO"/>
    <s v="Bienes y Servicios"/>
    <x v="194"/>
    <s v="Proyecto operacional"/>
    <s v="Enviado"/>
    <s v="22.04"/>
    <x v="195"/>
    <s v="Brindar una atención integral, segura y oportuna a los usuarios/as de UID Newen, a contar de enero y durante el año 2026."/>
    <n v="2"/>
    <s v="Insumos de Pastillas"/>
    <n v="4"/>
    <n v="125"/>
    <n v="2240"/>
    <n v="280000"/>
    <x v="4"/>
    <x v="35"/>
    <x v="22"/>
    <x v="67"/>
    <s v="64-2337766-"/>
    <s v="camila.roa@redsalud.gob.cl"/>
    <x v="13"/>
    <m/>
    <n v="0"/>
    <m/>
    <n v="0"/>
    <n v="0"/>
    <m/>
    <x v="1"/>
    <x v="4"/>
  </r>
  <r>
    <s v="SERVICIO DE SALUD OSORNO"/>
    <s v="Administración de Fondos"/>
    <x v="195"/>
    <s v="Proyecto operacional"/>
    <s v="Enviado"/>
    <s v="22.04-22-01"/>
    <x v="196"/>
    <s v="Se espera adquisición para el mes de enero y/o febrero del 2026 para dar inicio a intervenciones desde abril."/>
    <n v="3"/>
    <s v="Material de Enseñanza"/>
    <n v="4"/>
    <n v="187"/>
    <n v="1313"/>
    <n v="245531"/>
    <x v="4"/>
    <x v="32"/>
    <x v="44"/>
    <x v="24"/>
    <s v="64-2335610-"/>
    <s v="pedro.fritz@redsalud.gob.cl"/>
    <x v="21"/>
    <m/>
    <n v="0"/>
    <m/>
    <n v="0"/>
    <n v="0"/>
    <m/>
    <x v="1"/>
    <x v="2"/>
  </r>
  <r>
    <s v="SERVICIO DE SALUD OSORNO"/>
    <s v="Administración de Fondos"/>
    <x v="195"/>
    <s v="Proyecto operacional"/>
    <s v="Enviado"/>
    <s v="22.04-22-01"/>
    <x v="196"/>
    <s v="Se espera adquisición para el mes de enero y/o febrero del 2026 para dar inicio a intervenciones desde abril."/>
    <n v="3"/>
    <s v="Abarrotes"/>
    <n v="4"/>
    <n v="6"/>
    <n v="2600"/>
    <n v="15600"/>
    <x v="4"/>
    <x v="32"/>
    <x v="44"/>
    <x v="24"/>
    <s v="64-2335610-"/>
    <s v="pedro.fritz@redsalud.gob.cl"/>
    <x v="21"/>
    <m/>
    <n v="0"/>
    <m/>
    <n v="0"/>
    <n v="0"/>
    <m/>
    <x v="1"/>
    <x v="2"/>
  </r>
  <r>
    <s v="SERVICIO DE SALUD OSORNO"/>
    <s v="Administración de Fondos"/>
    <x v="195"/>
    <s v="Proyecto operacional"/>
    <s v="Enviado"/>
    <s v="22.04-22-01"/>
    <x v="196"/>
    <s v="Se espera adquisición para el mes de enero y/o febrero del 2026 para dar inicio a intervenciones desde abril."/>
    <n v="3"/>
    <s v="Pañuelos faciales"/>
    <n v="4"/>
    <n v="4"/>
    <n v="4000"/>
    <n v="16000"/>
    <x v="4"/>
    <x v="32"/>
    <x v="44"/>
    <x v="24"/>
    <s v="64-2335610-"/>
    <s v="pedro.fritz@redsalud.gob.cl"/>
    <x v="21"/>
    <m/>
    <n v="0"/>
    <m/>
    <n v="0"/>
    <n v="0"/>
    <m/>
    <x v="1"/>
    <x v="2"/>
  </r>
  <r>
    <s v="SERVICIO DE SALUD OSORNO"/>
    <s v="Bienes y Servicios"/>
    <x v="196"/>
    <s v="Proyecto operacional"/>
    <s v="Enviado"/>
    <s v="22.04.001"/>
    <x v="197"/>
    <s v="TRIMESTRAL, SEGUN NECESIDAD DEL STOCK"/>
    <n v="5"/>
    <s v="Cinta Porta Credencial"/>
    <n v="4"/>
    <n v="200"/>
    <n v="990"/>
    <n v="198000"/>
    <x v="4"/>
    <x v="35"/>
    <x v="65"/>
    <x v="36"/>
    <s v="64-2335712-"/>
    <s v="karen.silva@redsalud.gob.cl"/>
    <x v="13"/>
    <m/>
    <n v="0"/>
    <m/>
    <n v="0"/>
    <n v="0"/>
    <m/>
    <x v="1"/>
    <x v="4"/>
  </r>
  <r>
    <s v="SERVICIO DE SALUD OSORNO"/>
    <s v="Bienes y Servicios"/>
    <x v="196"/>
    <s v="Proyecto operacional"/>
    <s v="Enviado"/>
    <s v="22.04.001"/>
    <x v="197"/>
    <s v="TRIMESTRAL, SEGUN NECESIDAD DEL STOCK"/>
    <n v="5"/>
    <s v="Porta Credencial"/>
    <n v="4"/>
    <n v="200"/>
    <n v="530"/>
    <n v="106000"/>
    <x v="4"/>
    <x v="35"/>
    <x v="65"/>
    <x v="36"/>
    <s v="64-2335712-"/>
    <s v="karen.silva@redsalud.gob.cl"/>
    <x v="13"/>
    <m/>
    <n v="0"/>
    <m/>
    <n v="0"/>
    <n v="0"/>
    <m/>
    <x v="1"/>
    <x v="4"/>
  </r>
  <r>
    <s v="SERVICIO DE SALUD OSORNO"/>
    <s v="Bienes y Servicios"/>
    <x v="196"/>
    <s v="Proyecto operacional"/>
    <s v="Enviado"/>
    <s v="22.04.001"/>
    <x v="197"/>
    <s v="TRIMESTRAL, SEGUN NECESIDAD DEL STOCK"/>
    <n v="5"/>
    <s v="Cinta Color Impresora"/>
    <n v="4"/>
    <n v="4"/>
    <n v="41000"/>
    <n v="164000"/>
    <x v="4"/>
    <x v="32"/>
    <x v="65"/>
    <x v="36"/>
    <s v="64-2335712-"/>
    <s v="karen.silva@redsalud.gob.cl"/>
    <x v="21"/>
    <m/>
    <n v="0"/>
    <m/>
    <n v="0"/>
    <n v="0"/>
    <m/>
    <x v="1"/>
    <x v="4"/>
  </r>
  <r>
    <s v="SERVICIO DE SALUD OSORNO"/>
    <s v="Bienes y Servicios"/>
    <x v="196"/>
    <s v="Proyecto operacional"/>
    <s v="Enviado"/>
    <s v="22.04.001"/>
    <x v="197"/>
    <s v="TRIMESTRAL, SEGUN NECESIDAD DEL STOCK"/>
    <n v="5"/>
    <s v="Tarjeta PVC"/>
    <n v="4"/>
    <n v="500"/>
    <n v="120"/>
    <n v="60000"/>
    <x v="4"/>
    <x v="32"/>
    <x v="65"/>
    <x v="36"/>
    <s v="64-2335712-"/>
    <s v="karen.silva@redsalud.gob.cl"/>
    <x v="21"/>
    <m/>
    <n v="0"/>
    <m/>
    <n v="0"/>
    <n v="0"/>
    <m/>
    <x v="1"/>
    <x v="4"/>
  </r>
  <r>
    <s v="SERVICIO DE SALUD OSORNO"/>
    <s v="Bienes y Servicios"/>
    <x v="196"/>
    <s v="Proyecto operacional"/>
    <s v="Enviado"/>
    <s v="22.04.001"/>
    <x v="197"/>
    <s v="TRIMESTRAL, SEGUN NECESIDAD DEL STOCK"/>
    <n v="5"/>
    <s v="Kit Limpieza"/>
    <n v="5"/>
    <n v="3"/>
    <n v="25000"/>
    <n v="75000"/>
    <x v="4"/>
    <x v="32"/>
    <x v="65"/>
    <x v="36"/>
    <s v="64-2335712-"/>
    <s v="karen.silva@redsalud.gob.cl"/>
    <x v="21"/>
    <m/>
    <n v="0"/>
    <m/>
    <n v="0"/>
    <n v="0"/>
    <m/>
    <x v="1"/>
    <x v="4"/>
  </r>
  <r>
    <s v="SERVICIO DE SALUD OSORNO"/>
    <s v="Compras Convenio GORE Region de Los Lagos"/>
    <x v="197"/>
    <s v="Proyecto operacional"/>
    <s v="Enviado"/>
    <s v="31.02.002"/>
    <x v="198"/>
    <s v="Ejecutar un Pozo profundo para la PSR Forrahue, comuna de Osorno."/>
    <n v="1"/>
    <s v="Consultorias"/>
    <n v="4"/>
    <n v="1"/>
    <n v="25000000"/>
    <n v="25000000"/>
    <x v="4"/>
    <x v="27"/>
    <x v="39"/>
    <x v="44"/>
    <s v="64-2335843-"/>
    <s v="mario.barrientos@redsalud.gob.cl"/>
    <x v="17"/>
    <m/>
    <n v="0"/>
    <m/>
    <n v="0"/>
    <n v="0"/>
    <m/>
    <x v="1"/>
    <x v="3"/>
  </r>
  <r>
    <s v="SERVICIO DE SALUD OSORNO"/>
    <s v="Compras Convenio GORE Region de Los Lagos"/>
    <x v="198"/>
    <s v="Proyecto operacional"/>
    <s v="Enviado"/>
    <s v="31.02.002"/>
    <x v="199"/>
    <s v="Desarrollar las adecuaciones a los proyectos de arquitectura y especialidades del diseño del la PSR tipo para el sector de Forrahue, comuna de Osorno."/>
    <n v="1"/>
    <s v="Consultorias"/>
    <n v="4"/>
    <n v="1"/>
    <n v="37000000"/>
    <n v="37000000"/>
    <x v="4"/>
    <x v="28"/>
    <x v="39"/>
    <x v="44"/>
    <s v="64-2335843-"/>
    <s v="mario.barrientos@redsalud.gob.cl"/>
    <x v="18"/>
    <m/>
    <n v="0"/>
    <m/>
    <n v="0"/>
    <n v="0"/>
    <m/>
    <x v="1"/>
    <x v="3"/>
  </r>
  <r>
    <s v="SERVICIO DE SALUD OSORNO"/>
    <s v="Compras Convenio GORE Region de Los Lagos"/>
    <x v="199"/>
    <s v="Proyecto operacional"/>
    <s v="Enviado"/>
    <s v="31.02.002"/>
    <x v="200"/>
    <s v="Consultoría para el desarrollo de los proyectos de arquitectura, estructuras y especialidades concurrentes para el diseño del Servicio de Alta Resolutividad (SAR), comuna de Puyehue"/>
    <n v="1"/>
    <s v="Consultorias"/>
    <n v="4"/>
    <n v="1"/>
    <n v="60000000"/>
    <n v="60000000"/>
    <x v="4"/>
    <x v="36"/>
    <x v="39"/>
    <x v="44"/>
    <s v="64-2335843-"/>
    <s v="mario.barrientos@redsalud.gob.cl"/>
    <x v="24"/>
    <m/>
    <n v="0"/>
    <m/>
    <n v="0"/>
    <n v="0"/>
    <m/>
    <x v="1"/>
    <x v="3"/>
  </r>
  <r>
    <s v="SERVICIO DE SALUD OSORNO"/>
    <s v="Activos Fijos"/>
    <x v="200"/>
    <s v="Proyecto operacional"/>
    <s v="Enviado"/>
    <s v="29.04"/>
    <x v="201"/>
    <s v="Se requieren para enero 2026"/>
    <n v="1"/>
    <s v="Sillas"/>
    <n v="4"/>
    <n v="15"/>
    <n v="266667"/>
    <n v="4000005"/>
    <x v="4"/>
    <x v="35"/>
    <x v="44"/>
    <x v="24"/>
    <s v="64-2336510-"/>
    <s v="pedro.fritz@redsalud.gob.cl"/>
    <x v="13"/>
    <m/>
    <n v="0"/>
    <m/>
    <n v="0"/>
    <n v="0"/>
    <m/>
    <x v="1"/>
    <x v="5"/>
  </r>
  <r>
    <s v="SERVICIO DE SALUD OSORNO"/>
    <s v="Activos Fijos"/>
    <x v="201"/>
    <s v="Proyecto operacional"/>
    <s v="Enviado"/>
    <s v="31.02.005"/>
    <x v="202"/>
    <s v="Proyecto con fuente de financiamiento sectorial. Ejecución proyectada para abril 2026."/>
    <n v="2"/>
    <s v="Equipamiento Medico"/>
    <n v="4"/>
    <n v="1"/>
    <n v="75964000"/>
    <n v="75964000"/>
    <x v="4"/>
    <x v="24"/>
    <x v="66"/>
    <x v="69"/>
    <s v="64-2337386-"/>
    <s v="maria.munozp@redsalud.gob.cl"/>
    <x v="14"/>
    <m/>
    <n v="0"/>
    <m/>
    <n v="0"/>
    <n v="0"/>
    <m/>
    <x v="1"/>
    <x v="5"/>
  </r>
  <r>
    <s v="SERVICIO DE SALUD OSORNO"/>
    <s v="Activos Fijos"/>
    <x v="201"/>
    <s v="Proyecto operacional"/>
    <s v="Enviado"/>
    <s v="31.02.005"/>
    <x v="202"/>
    <s v="Proyecto con fuente de financiamiento sectorial. Ejecución proyectada para abril 2026."/>
    <n v="2"/>
    <s v="Equipo Medico"/>
    <n v="4"/>
    <n v="1"/>
    <n v="66699000"/>
    <n v="66699000"/>
    <x v="4"/>
    <x v="24"/>
    <x v="66"/>
    <x v="69"/>
    <s v="64-2337386-"/>
    <s v="maria.munozp@redsalud.gob.cl"/>
    <x v="14"/>
    <m/>
    <n v="0"/>
    <m/>
    <n v="0"/>
    <n v="0"/>
    <m/>
    <x v="1"/>
    <x v="5"/>
  </r>
  <r>
    <s v="SERVICIO DE SALUD OSORNO"/>
    <s v="Obras Civiles"/>
    <x v="202"/>
    <s v="Proyecto operacional"/>
    <s v="Enviado"/>
    <n v="31"/>
    <x v="203"/>
    <s v="Desarrollar los proyectos de arquitectura, estructuras, especialidades y estudios concurrentes del diseño del nuevo Hospital de Purranque."/>
    <n v="1"/>
    <s v="Consultorias"/>
    <n v="4"/>
    <n v="1"/>
    <n v="1680000000"/>
    <n v="1680000000"/>
    <x v="4"/>
    <x v="28"/>
    <x v="39"/>
    <x v="44"/>
    <s v="64-2335843-"/>
    <s v="mario.barrientos@redsalud.gob.cl"/>
    <x v="16"/>
    <m/>
    <n v="0"/>
    <m/>
    <n v="0"/>
    <n v="0"/>
    <m/>
    <x v="1"/>
    <x v="6"/>
  </r>
  <r>
    <s v="SERVICIO DE SALUD OSORNO"/>
    <s v="Obras Civiles"/>
    <x v="203"/>
    <s v="Proyecto operacional"/>
    <s v="Enviado"/>
    <s v="31.02.002"/>
    <x v="204"/>
    <s v="Desarrollar los proyectos de arquitectura, estructura y especialidades para la habilitación de un centro de diálisis municipal, el que se ubicara en el ex edificio de la PDI de Osorno."/>
    <n v="1"/>
    <s v="Consultorias"/>
    <n v="4"/>
    <n v="1"/>
    <n v="80000000"/>
    <n v="80000000"/>
    <x v="4"/>
    <x v="28"/>
    <x v="39"/>
    <x v="44"/>
    <s v="64-2335843-"/>
    <s v="mario.barrientos@redsalud.gob.cl"/>
    <x v="18"/>
    <m/>
    <n v="0"/>
    <m/>
    <n v="0"/>
    <n v="0"/>
    <m/>
    <x v="1"/>
    <x v="6"/>
  </r>
  <r>
    <s v="SERVICIO DE SALUD OSORNO"/>
    <s v="Obras Civiles"/>
    <x v="204"/>
    <s v="Proyecto operacional"/>
    <s v="Enviado"/>
    <s v="31.02.003"/>
    <x v="205"/>
    <s v="Contratación del estudio de preinversión hospitalario para el proyecto de reposición del Hospital de alta complejidad de la provincia, el cual contempla los módulos de producción, recursos humanos, TICs, equipos y equipamiento, infraestructura y sustentabilidad financiera. Subtitulo 31"/>
    <n v="1"/>
    <s v="Consultorias"/>
    <n v="4"/>
    <n v="1"/>
    <n v="250000000"/>
    <n v="250000000"/>
    <x v="4"/>
    <x v="28"/>
    <x v="67"/>
    <x v="70"/>
    <s v="64-2335823-"/>
    <s v="sandra.cardenass@redsalud.gob.cl"/>
    <x v="16"/>
    <m/>
    <n v="0"/>
    <m/>
    <n v="0"/>
    <n v="0"/>
    <m/>
    <x v="1"/>
    <x v="6"/>
  </r>
  <r>
    <s v="SERVICIO DE SALUD OSORNO"/>
    <s v="Obras Civiles"/>
    <x v="205"/>
    <s v="Proyecto operacional"/>
    <s v="Enviado"/>
    <s v="31.02.002"/>
    <x v="206"/>
    <s v="Desarrollar los proyectos de arquitectura, estructuras y especialidades concurrentes para la nueva Base SAMU Provincial y Centro de Despacho."/>
    <n v="1"/>
    <s v="Consultorias"/>
    <n v="4"/>
    <n v="1"/>
    <n v="55000000"/>
    <n v="55000000"/>
    <x v="4"/>
    <x v="26"/>
    <x v="39"/>
    <x v="44"/>
    <s v="64-2335843-"/>
    <s v="mario.barrientos@redsalud.gob.cl"/>
    <x v="24"/>
    <m/>
    <n v="0"/>
    <m/>
    <n v="0"/>
    <n v="0"/>
    <m/>
    <x v="1"/>
    <x v="6"/>
  </r>
  <r>
    <s v="SERVICIO DE SALUD OSORNO"/>
    <s v="Obras Civiles"/>
    <x v="206"/>
    <s v="Proyecto operacional"/>
    <s v="Enviado"/>
    <s v="31.02.002"/>
    <x v="207"/>
    <s v="Contratación del estudio de preinversión hospitalario para el proyecto de reposición del Hospital de baja complejidad de Río Negro, el cual contempla los módulos de producción, recursos humanos, TICs, equipo y equipamiento, infraestructura y sustentabilidad financiera. Subtítulo 31"/>
    <n v="1"/>
    <s v="Consultorias"/>
    <n v="4"/>
    <n v="1"/>
    <n v="80000000"/>
    <n v="80000000"/>
    <x v="4"/>
    <x v="27"/>
    <x v="68"/>
    <x v="71"/>
    <s v="64-2335764-"/>
    <s v="JAVIER.DONOSO@REDSALUD.GOB.CL"/>
    <x v="17"/>
    <m/>
    <n v="0"/>
    <m/>
    <n v="0"/>
    <n v="0"/>
    <m/>
    <x v="1"/>
    <x v="6"/>
  </r>
  <r>
    <s v="SERVICIO DE SALUD OSORNO"/>
    <s v="Obras Civiles"/>
    <x v="207"/>
    <s v="Proyecto operacional"/>
    <s v="Enviado"/>
    <s v="31.02.002"/>
    <x v="208"/>
    <s v="Contratación del estudio de preinversión hospitalario para el proyecto de reposición del Hospital de baja complejidad de Puerto Octay, el cual contempla los módulos de producción, recursos humanos, TICs, equipo y equipamiento, infraestructura y sustentabilidad financiera. Subtítulo 31"/>
    <n v="1"/>
    <s v="Consultorias"/>
    <n v="4"/>
    <n v="1"/>
    <n v="80000000"/>
    <n v="80000000"/>
    <x v="4"/>
    <x v="27"/>
    <x v="68"/>
    <x v="71"/>
    <s v="64-2335663-"/>
    <s v="JAVIER.DONOSO@REDSALUD.GOB.CL"/>
    <x v="17"/>
    <m/>
    <n v="0"/>
    <m/>
    <n v="0"/>
    <n v="0"/>
    <m/>
    <x v="1"/>
    <x v="6"/>
  </r>
  <r>
    <s v="SERVICIO DE SALUD OSORNO"/>
    <s v="Obras Civiles"/>
    <x v="208"/>
    <s v="Proyecto operacional"/>
    <s v="Enviado"/>
    <s v="31.02.002"/>
    <x v="209"/>
    <s v="Desarrollar los diseños de Arquitectura, Estructuras y Especialidades concurrentes para el nuevo CESFAM de la comuna de Puerto Octay."/>
    <n v="1"/>
    <s v="Consultorias"/>
    <n v="4"/>
    <n v="1"/>
    <n v="90000000"/>
    <n v="90000000"/>
    <x v="4"/>
    <x v="27"/>
    <x v="39"/>
    <x v="44"/>
    <s v="64-2335843-"/>
    <s v="mario.barrientos@redsalud.gob.cl"/>
    <x v="17"/>
    <m/>
    <n v="0"/>
    <m/>
    <n v="0"/>
    <n v="0"/>
    <m/>
    <x v="1"/>
    <x v="6"/>
  </r>
  <r>
    <s v="SERVICIO DE SALUD OSORNO"/>
    <s v="Obras Civiles"/>
    <x v="209"/>
    <s v="Proyecto operacional"/>
    <s v="Enviado"/>
    <s v="31.02.002"/>
    <x v="210"/>
    <s v="Contratar visitas para diciembre de 2026 de: *02 visita Estructural por 20 UF *02 visita Electricidad por 14 UF *02 visita Clima por 14 UF *01 visita Gas por 14 UF *01 visita Seguridad por 14 UF *01 visita Gases Clínicos por 14 UF *02 visita Pav. y AA.LL por 20UF *02 visita A.P y Alcantarillado por 15 UF * 01 Visita Revisor Independiente de Arquitectura Nota: el valor de la UF será calculado el día de la visita del especialista."/>
    <n v="1"/>
    <s v="Consultorias"/>
    <n v="4"/>
    <n v="14"/>
    <n v="701054"/>
    <n v="9814756"/>
    <x v="4"/>
    <x v="29"/>
    <x v="69"/>
    <x v="63"/>
    <s v="64-2337385-"/>
    <s v="rodrigo.neirar@redsalud.gob.cl"/>
    <x v="23"/>
    <m/>
    <n v="0"/>
    <m/>
    <n v="0"/>
    <n v="0"/>
    <m/>
    <x v="1"/>
    <x v="6"/>
  </r>
  <r>
    <s v="SERVICIO DE SALUD OSORNO"/>
    <s v="Obras Civiles"/>
    <x v="210"/>
    <s v="Proyecto operacional"/>
    <s v="Enviado"/>
    <s v="31.02.002"/>
    <x v="211"/>
    <s v="SE REQUIETE 1 VISITA DE ESPECIALIDAD DE ARQUITECTURA PARA LA OBRA CONSTRUCCION CESFAM CON SAR CHUYACA OSORNO PARA EL MES DE JUNIO DE 2026. EL COSTO DE LA VISITA ES DE 14 UF IVA INCLUIDO. NOTA: EL VALOR DE LA UF SERA DEL DIA DE LA VISITA."/>
    <n v="1"/>
    <s v="Consultorias"/>
    <n v="4"/>
    <n v="1"/>
    <n v="525000"/>
    <n v="525000"/>
    <x v="4"/>
    <x v="25"/>
    <x v="70"/>
    <x v="72"/>
    <s v="64-2337385-"/>
    <s v="fernando.wulf@redsalud.gob.cl"/>
    <x v="15"/>
    <m/>
    <n v="0"/>
    <m/>
    <n v="0"/>
    <n v="0"/>
    <m/>
    <x v="1"/>
    <x v="6"/>
  </r>
  <r>
    <s v="SERVICIO DE SALUD OSORNO"/>
    <s v="Bienes y Servicios"/>
    <x v="211"/>
    <s v="Proyecto operacional"/>
    <s v="Enviado"/>
    <s v="22..02.002"/>
    <x v="212"/>
    <s v="Fuente de financiamiento con recursos propios del Servicio de Salud Osorno. Ejecución proyectada para abril 2026"/>
    <n v="1"/>
    <s v="EPP"/>
    <n v="4"/>
    <n v="1"/>
    <n v="150000"/>
    <n v="150000"/>
    <x v="4"/>
    <x v="24"/>
    <x v="66"/>
    <x v="69"/>
    <s v="64-2337386-"/>
    <s v="maria.munozp@redsalud.gob.cl"/>
    <x v="14"/>
    <m/>
    <n v="0"/>
    <m/>
    <n v="0"/>
    <n v="0"/>
    <m/>
    <x v="1"/>
    <x v="4"/>
  </r>
  <r>
    <s v="SERVICIO DE SALUD OSORNO"/>
    <s v="Activos Fijos"/>
    <x v="212"/>
    <s v="Proyecto operacional"/>
    <s v="Enviado"/>
    <s v="29.05.002"/>
    <x v="213"/>
    <s v="Proyecto con fuente de financiamiento sectorial. Ejecución proyectada para abril 2026"/>
    <n v="2"/>
    <s v="Equipamiento Medico"/>
    <n v="4"/>
    <n v="1"/>
    <n v="10000000"/>
    <n v="10000000"/>
    <x v="4"/>
    <x v="24"/>
    <x v="66"/>
    <x v="69"/>
    <s v="64-2337386-"/>
    <s v="maria.munozp@redsalud.gob.cl"/>
    <x v="14"/>
    <m/>
    <n v="0"/>
    <m/>
    <n v="0"/>
    <n v="0"/>
    <m/>
    <x v="1"/>
    <x v="5"/>
  </r>
  <r>
    <s v="SERVICIO DE SALUD OSORNO"/>
    <s v="Activos Fijos"/>
    <x v="212"/>
    <s v="Proyecto operacional"/>
    <s v="Enviado"/>
    <s v="29.05.002"/>
    <x v="213"/>
    <s v="Proyecto con fuente de financiamiento sectorial. Ejecución proyectada para abril 2026"/>
    <n v="2"/>
    <s v="Equipo Medico"/>
    <n v="4"/>
    <n v="1"/>
    <n v="200000000"/>
    <n v="200000000"/>
    <x v="4"/>
    <x v="24"/>
    <x v="66"/>
    <x v="69"/>
    <s v="64-2337386-"/>
    <s v="maria.munozp@redsalud.gob.cl"/>
    <x v="14"/>
    <m/>
    <n v="0"/>
    <m/>
    <n v="0"/>
    <n v="0"/>
    <m/>
    <x v="1"/>
    <x v="5"/>
  </r>
  <r>
    <s v="SERVICIO DE SALUD OSORNO"/>
    <s v="Activos Fijos"/>
    <x v="213"/>
    <s v="Proyecto operacional"/>
    <s v="Enviado"/>
    <s v="31.02.005"/>
    <x v="214"/>
    <s v="Proyecto con fuente de financiamiento F.N.D.R. Ejecución proyectada para julio 2026"/>
    <n v="2"/>
    <s v="Equipamiento Medico"/>
    <n v="4"/>
    <n v="1"/>
    <n v="86892000"/>
    <n v="86892000"/>
    <x v="4"/>
    <x v="33"/>
    <x v="66"/>
    <x v="69"/>
    <s v="64-2337386-"/>
    <s v="maria.munozp@redsalud.gob.cl"/>
    <x v="22"/>
    <m/>
    <n v="0"/>
    <m/>
    <n v="0"/>
    <n v="0"/>
    <m/>
    <x v="1"/>
    <x v="5"/>
  </r>
  <r>
    <s v="SERVICIO DE SALUD OSORNO"/>
    <s v="Activos Fijos"/>
    <x v="213"/>
    <s v="Proyecto operacional"/>
    <s v="Enviado"/>
    <s v="31.02.005"/>
    <x v="214"/>
    <s v="Proyecto con fuente de financiamiento F.N.D.R. Ejecución proyectada para julio 2026"/>
    <n v="2"/>
    <s v="Equipo Medico"/>
    <n v="4"/>
    <n v="1"/>
    <n v="42183000"/>
    <n v="42183000"/>
    <x v="4"/>
    <x v="33"/>
    <x v="66"/>
    <x v="69"/>
    <s v="64-2337386-"/>
    <s v="maria.munozp@redsalud.gob.cl"/>
    <x v="22"/>
    <m/>
    <n v="0"/>
    <m/>
    <n v="0"/>
    <n v="0"/>
    <m/>
    <x v="1"/>
    <x v="5"/>
  </r>
  <r>
    <s v="SERVICIO DE SALUD OSORNO"/>
    <s v="Compras Convenio GORE Region de Los Lagos"/>
    <x v="214"/>
    <s v="Proyecto operacional"/>
    <s v="Enviado"/>
    <s v="31.02.005"/>
    <x v="215"/>
    <s v="Proyecto con fuente de financiamiento F.N.D.R. Ejecución proyectada para julio 2026"/>
    <n v="2"/>
    <s v="Equipamiento Medico"/>
    <n v="4"/>
    <n v="1"/>
    <n v="9566000"/>
    <n v="9566000"/>
    <x v="4"/>
    <x v="33"/>
    <x v="66"/>
    <x v="69"/>
    <s v="64-2337386-"/>
    <s v="maria.munozp@redsalud.gob.cl"/>
    <x v="22"/>
    <m/>
    <n v="0"/>
    <m/>
    <n v="0"/>
    <n v="0"/>
    <m/>
    <x v="1"/>
    <x v="3"/>
  </r>
  <r>
    <s v="SERVICIO DE SALUD OSORNO"/>
    <s v="Compras Convenio GORE Region de Los Lagos"/>
    <x v="214"/>
    <s v="Proyecto operacional"/>
    <s v="Enviado"/>
    <s v="31.02.005"/>
    <x v="215"/>
    <s v="Proyecto con fuente de financiamiento F.N.D.R. Ejecución proyectada para julio 2026"/>
    <n v="2"/>
    <s v="Equipo Medico"/>
    <n v="4"/>
    <n v="1"/>
    <n v="7621000"/>
    <n v="7621000"/>
    <x v="4"/>
    <x v="33"/>
    <x v="66"/>
    <x v="69"/>
    <s v="64-2337386-"/>
    <s v="maria.munozp@redsalud.gob.cl"/>
    <x v="22"/>
    <m/>
    <n v="0"/>
    <m/>
    <n v="0"/>
    <n v="0"/>
    <m/>
    <x v="1"/>
    <x v="3"/>
  </r>
  <r>
    <s v="SERVICIO DE SALUD OSORNO"/>
    <s v="Compras Convenio GORE Region de Los Lagos"/>
    <x v="215"/>
    <s v="Proyecto operacional"/>
    <s v="Enviado"/>
    <s v="31.02.005"/>
    <x v="216"/>
    <s v="Proyecto con fuente de financiamiento F.N.D.R. Ejecución proyectada para junio 2026"/>
    <n v="2"/>
    <s v="Equipamiento Medico"/>
    <n v="4"/>
    <n v="1"/>
    <n v="97703000"/>
    <n v="97703000"/>
    <x v="4"/>
    <x v="25"/>
    <x v="66"/>
    <x v="69"/>
    <s v="64-2337386-"/>
    <s v="maria.munozp@redsalud.gob.cl"/>
    <x v="15"/>
    <m/>
    <n v="0"/>
    <m/>
    <n v="0"/>
    <n v="0"/>
    <m/>
    <x v="1"/>
    <x v="3"/>
  </r>
  <r>
    <s v="SERVICIO DE SALUD OSORNO"/>
    <s v="Compras Convenio GORE Region de Los Lagos"/>
    <x v="215"/>
    <s v="Proyecto operacional"/>
    <s v="Enviado"/>
    <s v="31.02.005"/>
    <x v="216"/>
    <s v="Proyecto con fuente de financiamiento F.N.D.R. Ejecución proyectada para junio 2026"/>
    <n v="2"/>
    <s v="Equipo Medico"/>
    <n v="4"/>
    <n v="1"/>
    <n v="196076000"/>
    <n v="196076000"/>
    <x v="4"/>
    <x v="25"/>
    <x v="66"/>
    <x v="69"/>
    <s v="64-2337386-"/>
    <s v="maria.munozp@redsalud.gob.cl"/>
    <x v="15"/>
    <m/>
    <n v="0"/>
    <m/>
    <n v="0"/>
    <n v="0"/>
    <m/>
    <x v="1"/>
    <x v="3"/>
  </r>
  <r>
    <s v="SERVICIO DE SALUD OSORNO"/>
    <s v="Compras Convenio GORE Region de Los Lagos"/>
    <x v="216"/>
    <s v="Proyecto operacional"/>
    <s v="Enviado"/>
    <s v="31.02.002"/>
    <x v="217"/>
    <s v="Desarrollar las adecuaciones a los proyectos de arquitectura y especialidades del diseño de la PSR tipo para el sector de Cuinco, comuna de San Juan de La Costa."/>
    <n v="1"/>
    <s v="Consultorias"/>
    <n v="4"/>
    <n v="1"/>
    <n v="37000000"/>
    <n v="37000000"/>
    <x v="4"/>
    <x v="26"/>
    <x v="39"/>
    <x v="44"/>
    <s v="64-2335843-"/>
    <s v="mario.barrientos@redsalud.gob.cl"/>
    <x v="16"/>
    <m/>
    <n v="0"/>
    <m/>
    <n v="0"/>
    <n v="0"/>
    <m/>
    <x v="1"/>
    <x v="3"/>
  </r>
  <r>
    <s v="SERVICIO DE SALUD OSORNO"/>
    <s v="Compras Convenio GORE Region de Los Lagos"/>
    <x v="217"/>
    <s v="Proyecto operacional"/>
    <s v="Enviado"/>
    <s v="31.02.005"/>
    <x v="218"/>
    <s v="Proyecto con fuente de financiamiento F.N.D.R. Ejecución proyectada para mayo 2026"/>
    <n v="2"/>
    <s v="Equipamiento Medico"/>
    <n v="4"/>
    <n v="1"/>
    <n v="44778000"/>
    <n v="44778000"/>
    <x v="4"/>
    <x v="31"/>
    <x v="66"/>
    <x v="69"/>
    <s v="64-2337386-"/>
    <s v="maria.munozp@redsalud.gob.cl"/>
    <x v="20"/>
    <m/>
    <n v="0"/>
    <m/>
    <n v="0"/>
    <n v="0"/>
    <m/>
    <x v="1"/>
    <x v="3"/>
  </r>
  <r>
    <s v="SERVICIO DE SALUD OSORNO"/>
    <s v="Compras Convenio GORE Region de Los Lagos"/>
    <x v="217"/>
    <s v="Proyecto operacional"/>
    <s v="Enviado"/>
    <s v="31.02.005"/>
    <x v="218"/>
    <s v="Proyecto con fuente de financiamiento F.N.D.R. Ejecución proyectada para mayo 2026"/>
    <n v="2"/>
    <s v="Equipo Medico"/>
    <n v="4"/>
    <n v="1"/>
    <n v="57632000"/>
    <n v="57632000"/>
    <x v="4"/>
    <x v="31"/>
    <x v="66"/>
    <x v="69"/>
    <s v="64-2337386-"/>
    <s v="maria.munozp@redsalud.gob.cl"/>
    <x v="20"/>
    <m/>
    <n v="0"/>
    <m/>
    <n v="0"/>
    <n v="0"/>
    <m/>
    <x v="1"/>
    <x v="3"/>
  </r>
  <r>
    <s v="SERVICIO DE SALUD OSORNO"/>
    <s v="Compras Convenio GORE Region de Los Lagos"/>
    <x v="218"/>
    <s v="Proyecto operacional"/>
    <s v="Enviado"/>
    <s v="31.02.002"/>
    <x v="219"/>
    <s v="Desarrollar el diseño de arquitectura, estructuras y especialidades para la ampliación y normalización del actual CESFAM de San Pablo."/>
    <n v="1"/>
    <s v="Consultorias"/>
    <n v="4"/>
    <n v="1"/>
    <n v="103000000"/>
    <n v="103000000"/>
    <x v="4"/>
    <x v="26"/>
    <x v="39"/>
    <x v="44"/>
    <s v="64-2335843-"/>
    <s v="mario.barrientos@redsalud.gob.cl"/>
    <x v="16"/>
    <m/>
    <n v="0"/>
    <m/>
    <n v="0"/>
    <n v="0"/>
    <m/>
    <x v="1"/>
    <x v="3"/>
  </r>
  <r>
    <s v="SERVICIO DE SALUD OSORNO"/>
    <s v="Activos Fijos"/>
    <x v="219"/>
    <s v="Proyecto operacional"/>
    <s v="Enviado"/>
    <s v="31.02.005"/>
    <x v="220"/>
    <s v="Proyecto con fuente de financiamiento sectorial. Ejecución proyectada para abril 2026"/>
    <n v="2"/>
    <s v="Equipamiento Medico"/>
    <n v="4"/>
    <n v="1"/>
    <n v="704255000"/>
    <n v="704255000"/>
    <x v="4"/>
    <x v="24"/>
    <x v="66"/>
    <x v="69"/>
    <s v="64-2337386-"/>
    <s v="maria.munozp@redsalud.gob.cl"/>
    <x v="14"/>
    <m/>
    <n v="0"/>
    <m/>
    <n v="0"/>
    <n v="0"/>
    <m/>
    <x v="1"/>
    <x v="5"/>
  </r>
  <r>
    <s v="SERVICIO DE SALUD OSORNO"/>
    <s v="Activos Fijos"/>
    <x v="219"/>
    <s v="Proyecto operacional"/>
    <s v="Enviado"/>
    <s v="31.02.005"/>
    <x v="220"/>
    <s v="Proyecto con fuente de financiamiento sectorial. Ejecución proyectada para abril 2026"/>
    <n v="2"/>
    <s v="Equipo Medico"/>
    <n v="4"/>
    <n v="1"/>
    <n v="874576000"/>
    <n v="874576000"/>
    <x v="4"/>
    <x v="24"/>
    <x v="66"/>
    <x v="69"/>
    <s v="64-2337386-"/>
    <s v="maria.munozp@redsalud.gob.cl"/>
    <x v="14"/>
    <m/>
    <n v="0"/>
    <m/>
    <n v="0"/>
    <n v="0"/>
    <m/>
    <x v="1"/>
    <x v="5"/>
  </r>
  <r>
    <s v="SERVICIO DE SALUD OSORNO"/>
    <s v="Obras Civiles"/>
    <x v="220"/>
    <s v="Proyecto estratégico"/>
    <s v="Enviado"/>
    <s v="31.02.004"/>
    <x v="221"/>
    <s v="SE REQUIERE LICITAR PARA EL MES DE ABRIL DE 2026 EL SERVICIO DE CONSTRUCCION DE POSTA DE SALUD RURAL EL PONCHO."/>
    <n v="1"/>
    <s v="Construcción"/>
    <n v="4"/>
    <n v="1"/>
    <n v="1058222000"/>
    <n v="1058222000"/>
    <x v="4"/>
    <x v="25"/>
    <x v="62"/>
    <x v="36"/>
    <s v="64-2337385-"/>
    <s v="gustavo.marin@redsalud.gob.cl"/>
    <x v="14"/>
    <m/>
    <n v="0"/>
    <m/>
    <n v="0"/>
    <n v="0"/>
    <m/>
    <x v="1"/>
    <x v="6"/>
  </r>
  <r>
    <s v="SERVICIO DE SALUD OSORNO"/>
    <s v="Obras Civiles"/>
    <x v="221"/>
    <s v="Proyecto operacional"/>
    <s v="Enviado"/>
    <s v="31.02.004"/>
    <x v="222"/>
    <s v="SE REQUIERE CONTRATAR EL SERCIVIO DE CONSTRUCCION DE POSTA DE SALUD RURAL DE HUILMA, UBICADO EN EL CRUCE HUILMA COMUNA DE RIO NEGRO ENTRE LA RUTA U-72 Y LA RUTA U-506. SE CONTEMPLA LA CONSTRUCCION DE UNA INFRAESTRUCTURA DE 225,6 M2 MAS UNA CASA DE PARAMEDICO DE 55 M2 EN UN TERRENO DE 11.000 M2. COMPUESTA DE MATERIALIDAD DE ACERO GALVANIZADO, CUBIERTA DE ZINC ALUM, REVESTIMIENTO EXTERIOR AISLADO, FUNDACIONES DE HORMIGON ARMADO, REVESTIMIENTO INTERIOR DE YESO CARTON . EL SERVICIO DEBERA ESTAR DISPONIBLE PARA ABRIL DEL 2026."/>
    <n v="1"/>
    <s v="Construcción"/>
    <n v="4"/>
    <n v="1"/>
    <n v="916961000"/>
    <n v="916961000"/>
    <x v="4"/>
    <x v="25"/>
    <x v="62"/>
    <x v="36"/>
    <s v="64-2337385-"/>
    <s v="gustavo.marin@redsalud.gob.cl"/>
    <x v="14"/>
    <m/>
    <n v="0"/>
    <m/>
    <n v="0"/>
    <n v="0"/>
    <m/>
    <x v="1"/>
    <x v="6"/>
  </r>
  <r>
    <s v="SERVICIO DE SALUD OSORNO"/>
    <s v="Obras Civiles"/>
    <x v="222"/>
    <s v="Proyecto estratégico"/>
    <s v="Enviado"/>
    <s v="31.02.004"/>
    <x v="223"/>
    <s v="SE REQUIERE CONTRATAR PARA EL MES DE ABRIL DE 2026, EL SERVICIO DE CONSTRUCCION DE POSTA DE SALUD RURAL DE RUPANCO, COMUNA DE PUERTO OCTAY UBICADO EN EL KM 60,3 LADO DERECHO DE LA RUTA U911,COMUNA DE DE PUERTO OCTAY ( SECTOR ADMINISTRACION HACIENDA RUPANCO) CONTEMPLA UNA CONSTRUCCION DE 295 M2 PARA LA POSTA Y UNA VIVIENDA DE PARAMEDICO DE 55 M2 AMBAS EN ESTRUCTURA DE ACERO GALVANIZADO,RADIER DE HORMIGON ARMADO, REVESTIMIENTO EXTERIOR CON AISLACION, CUBIERTA DE ZIN ALUM Y REVESTIMIENTO INTERIOR DE YESO-CARTON"/>
    <n v="1"/>
    <s v="Construcción"/>
    <n v="4"/>
    <n v="1"/>
    <n v="888441000"/>
    <n v="888441000"/>
    <x v="4"/>
    <x v="24"/>
    <x v="62"/>
    <x v="36"/>
    <s v="64-2337385-"/>
    <s v="gustavo.marin@redsalud.gob.cl"/>
    <x v="14"/>
    <m/>
    <n v="0"/>
    <m/>
    <n v="0"/>
    <n v="0"/>
    <m/>
    <x v="1"/>
    <x v="6"/>
  </r>
  <r>
    <s v="SERVICIO DE SALUD OSORNO"/>
    <s v="Compras Convenio GORE Region de Los Lagos"/>
    <x v="223"/>
    <s v="Proyecto operacional"/>
    <s v="Enviado"/>
    <s v="31.02.005"/>
    <x v="224"/>
    <s v="Proyecto con fuente de financiamiento F.N.D.R. Ejecución proyectada para abril 2026"/>
    <n v="1"/>
    <s v="Equipamiento Medico"/>
    <n v="4"/>
    <n v="1"/>
    <n v="6442000"/>
    <n v="6442000"/>
    <x v="4"/>
    <x v="24"/>
    <x v="66"/>
    <x v="69"/>
    <s v="64-2337386-"/>
    <s v="maria.munozp@redsalud.gob.cl"/>
    <x v="14"/>
    <m/>
    <n v="0"/>
    <m/>
    <n v="0"/>
    <n v="0"/>
    <m/>
    <x v="1"/>
    <x v="3"/>
  </r>
  <r>
    <s v="SERVICIO DE SALUD OSORNO"/>
    <s v="Activos Fijos"/>
    <x v="224"/>
    <s v="Proyecto operacional"/>
    <s v="Enviado"/>
    <s v="31.02.005"/>
    <x v="225"/>
    <s v="Proyecto con fuente de financiamiento sectorial. Ejecución proyectada para abril 2026"/>
    <n v="2"/>
    <s v="Equipamiento Medico"/>
    <n v="4"/>
    <n v="1"/>
    <n v="64156000"/>
    <n v="64156000"/>
    <x v="4"/>
    <x v="24"/>
    <x v="66"/>
    <x v="69"/>
    <s v="64-2337386-"/>
    <s v="maria.munozp@redsalud.gob.cl"/>
    <x v="14"/>
    <m/>
    <n v="0"/>
    <m/>
    <n v="0"/>
    <n v="0"/>
    <m/>
    <x v="1"/>
    <x v="5"/>
  </r>
  <r>
    <s v="SERVICIO DE SALUD OSORNO"/>
    <s v="Activos Fijos"/>
    <x v="224"/>
    <s v="Proyecto operacional"/>
    <s v="Enviado"/>
    <s v="31.02.005"/>
    <x v="225"/>
    <s v="Proyecto con fuente de financiamiento sectorial. Ejecución proyectada para abril 2026"/>
    <n v="2"/>
    <s v="Equipo Medico"/>
    <n v="4"/>
    <n v="1"/>
    <n v="1904912000"/>
    <n v="1904912000"/>
    <x v="4"/>
    <x v="24"/>
    <x v="66"/>
    <x v="69"/>
    <s v="64-2337386-"/>
    <s v="maria.munozp@redsalud.gob.cl"/>
    <x v="14"/>
    <m/>
    <n v="0"/>
    <m/>
    <n v="0"/>
    <n v="0"/>
    <m/>
    <x v="1"/>
    <x v="5"/>
  </r>
  <r>
    <s v="SERVICIO DE SALUD OSORNO"/>
    <s v="Activos Fijos"/>
    <x v="225"/>
    <s v="Proyecto estratégico"/>
    <s v="Enviado"/>
    <s v="31.02.005"/>
    <x v="226"/>
    <s v="Proyecto con fuente de financiamiento sectorial. Ejecución proyectada para abril 2026"/>
    <n v="2"/>
    <s v="Equipamiento Medico"/>
    <n v="4"/>
    <n v="1"/>
    <n v="12678000"/>
    <n v="12678000"/>
    <x v="4"/>
    <x v="24"/>
    <x v="66"/>
    <x v="69"/>
    <s v="64-2337386-"/>
    <s v="maria.munozp@redsalud.gob.cl"/>
    <x v="14"/>
    <m/>
    <n v="0"/>
    <m/>
    <n v="0"/>
    <n v="0"/>
    <m/>
    <x v="1"/>
    <x v="5"/>
  </r>
  <r>
    <s v="SERVICIO DE SALUD OSORNO"/>
    <s v="Activos Fijos"/>
    <x v="225"/>
    <s v="Proyecto estratégico"/>
    <s v="Enviado"/>
    <s v="31.02.005"/>
    <x v="226"/>
    <s v="Proyecto con fuente de financiamiento sectorial. Ejecución proyectada para abril 2026"/>
    <n v="2"/>
    <s v="Equipo Medico"/>
    <n v="4"/>
    <n v="1"/>
    <n v="5954000"/>
    <n v="5954000"/>
    <x v="4"/>
    <x v="24"/>
    <x v="66"/>
    <x v="69"/>
    <s v="64-2337386-"/>
    <s v="maria.munozp@redsalud.gob.cl"/>
    <x v="14"/>
    <m/>
    <n v="0"/>
    <m/>
    <n v="0"/>
    <n v="0"/>
    <m/>
    <x v="1"/>
    <x v="5"/>
  </r>
  <r>
    <s v="SERVICIO DE SALUD OSORNO"/>
    <s v="Obras Civiles"/>
    <x v="226"/>
    <s v="Proyecto estratégico"/>
    <s v="Enviado"/>
    <s v="31.02.002"/>
    <x v="227"/>
    <s v="SE REQUIERE LA CONTRATACION DE 01 VISITA DE ESPECIALIDAD DE ARQUITECTURA PARA LA OBRA REPOSICIÓN CESFAM CON SAR RAHUE ALTO OSORNO PARA EL MES DE JUNIO DE 2026. EL COSTO DE LA VISITA ES DE 16 UF IVA INCLUIDO. NOTA EL VALOR DE LA UF SERA CALCULADO DEL DIA DE LA VISITA. INSPECCION DE PROYECTISTA DE ESPECIALIDAD DE ARQUITECTURA PARA INFORME FAVORABLE DE RECEPCION DE OBRA."/>
    <n v="1"/>
    <s v="Consultorias"/>
    <n v="4"/>
    <n v="1"/>
    <n v="630000"/>
    <n v="630000"/>
    <x v="4"/>
    <x v="25"/>
    <x v="70"/>
    <x v="73"/>
    <s v="64-2337385-"/>
    <s v="fernando.wulf@redsalud.gob.cl"/>
    <x v="15"/>
    <m/>
    <n v="0"/>
    <m/>
    <n v="0"/>
    <n v="0"/>
    <m/>
    <x v="1"/>
    <x v="6"/>
  </r>
  <r>
    <s v="SERVICIO DE SALUD OSORNO"/>
    <s v="Activos Fijos"/>
    <x v="227"/>
    <s v="Proyecto operacional"/>
    <s v="Enviado"/>
    <s v="29.05.002"/>
    <x v="228"/>
    <s v="Proyecto con fuente de financiamiento sectorial. Ejecución proyectada para abril 2026"/>
    <n v="2"/>
    <s v="Equipamiento Medico"/>
    <n v="4"/>
    <n v="1"/>
    <n v="30000000"/>
    <n v="30000000"/>
    <x v="4"/>
    <x v="24"/>
    <x v="66"/>
    <x v="69"/>
    <s v="64-2337386-"/>
    <s v="maria.munozp@redsalud.gob.cl"/>
    <x v="14"/>
    <m/>
    <n v="0"/>
    <m/>
    <n v="0"/>
    <n v="0"/>
    <m/>
    <x v="1"/>
    <x v="5"/>
  </r>
  <r>
    <s v="SERVICIO DE SALUD OSORNO"/>
    <s v="Activos Fijos"/>
    <x v="227"/>
    <s v="Proyecto operacional"/>
    <s v="Enviado"/>
    <s v="29.05.002"/>
    <x v="228"/>
    <s v="Proyecto con fuente de financiamiento sectorial. Ejecución proyectada para abril 2026"/>
    <n v="2"/>
    <s v="Equipo Medico"/>
    <n v="4"/>
    <n v="1"/>
    <n v="250000000"/>
    <n v="250000000"/>
    <x v="4"/>
    <x v="24"/>
    <x v="66"/>
    <x v="69"/>
    <s v="64-2337386-"/>
    <s v="maria.munozp@redsalud.gob.cl"/>
    <x v="14"/>
    <m/>
    <n v="0"/>
    <m/>
    <n v="0"/>
    <n v="0"/>
    <m/>
    <x v="1"/>
    <x v="5"/>
  </r>
  <r>
    <s v="SERVICIO DE SALUD OSORNO"/>
    <s v="Bienes y Servicios"/>
    <x v="228"/>
    <s v="Proyecto operacional"/>
    <s v="Enviado"/>
    <s v="22.02"/>
    <x v="229"/>
    <s v="elementos de protección personal y vestuario institucional para actividades en terreno de nuevo funcionario de Sub Depto. Fecha ejecucion: febrero"/>
    <n v="1"/>
    <s v="EPP"/>
    <n v="4"/>
    <n v="6"/>
    <n v="83334"/>
    <n v="500004"/>
    <x v="4"/>
    <x v="38"/>
    <x v="2"/>
    <x v="3"/>
    <s v="64-2337728-"/>
    <s v="CATALINA.VERAC@REDSALUD.GOB.CL"/>
    <x v="19"/>
    <m/>
    <n v="0"/>
    <m/>
    <n v="0"/>
    <n v="0"/>
    <m/>
    <x v="1"/>
    <x v="4"/>
  </r>
  <r>
    <s v="SERVICIO DE SALUD OSORNO"/>
    <s v="Activos Fijos"/>
    <x v="229"/>
    <s v="Proyecto operacional"/>
    <s v="Enviado"/>
    <s v="29.05.002"/>
    <x v="230"/>
    <s v="Fuente de financiamiento con recursos propios del Servicio de Salud Osorno. Ejecución proyectada para mayo 2026"/>
    <n v="2"/>
    <s v="Equipamiento Medico"/>
    <n v="4"/>
    <n v="1"/>
    <n v="6000000"/>
    <n v="6000000"/>
    <x v="4"/>
    <x v="31"/>
    <x v="66"/>
    <x v="69"/>
    <s v="64-2337386-"/>
    <s v="maria.munozp@redsalud.gob.cl"/>
    <x v="20"/>
    <m/>
    <n v="0"/>
    <m/>
    <n v="0"/>
    <n v="0"/>
    <m/>
    <x v="1"/>
    <x v="5"/>
  </r>
  <r>
    <s v="SERVICIO DE SALUD OSORNO"/>
    <s v="Activos Fijos"/>
    <x v="229"/>
    <s v="Proyecto operacional"/>
    <s v="Enviado"/>
    <s v="29.05.002"/>
    <x v="230"/>
    <s v="Fuente de financiamiento con recursos propios del Servicio de Salud Osorno. Ejecución proyectada para mayo 2026"/>
    <n v="2"/>
    <s v="Equipo Medico"/>
    <n v="4"/>
    <n v="1"/>
    <n v="55000000"/>
    <n v="55000000"/>
    <x v="4"/>
    <x v="31"/>
    <x v="66"/>
    <x v="69"/>
    <s v="64-2337386-"/>
    <s v="maria.munozp@redsalud.gob.cl"/>
    <x v="20"/>
    <m/>
    <n v="0"/>
    <m/>
    <n v="0"/>
    <n v="0"/>
    <m/>
    <x v="1"/>
    <x v="5"/>
  </r>
  <r>
    <s v="SERVICIO DE SALUD OSORNO"/>
    <s v="Compras Convenio GORE Region de Los Lagos"/>
    <x v="230"/>
    <s v="Proyecto estratégico"/>
    <s v="Enviado"/>
    <s v="31.02.005"/>
    <x v="231"/>
    <s v="Proyecto con fuente de financiamiento F.N.D.R. Ejecución proyectada para mayo 2026"/>
    <n v="2"/>
    <s v="Equipamiento Medico"/>
    <n v="4"/>
    <n v="1"/>
    <n v="40289000"/>
    <n v="40289000"/>
    <x v="4"/>
    <x v="31"/>
    <x v="66"/>
    <x v="69"/>
    <s v="64-2337386-"/>
    <s v="maria.munozp@redsalud.gob.cl"/>
    <x v="20"/>
    <m/>
    <n v="0"/>
    <m/>
    <n v="0"/>
    <n v="0"/>
    <m/>
    <x v="1"/>
    <x v="3"/>
  </r>
  <r>
    <s v="SERVICIO DE SALUD OSORNO"/>
    <s v="Compras Convenio GORE Region de Los Lagos"/>
    <x v="230"/>
    <s v="Proyecto estratégico"/>
    <s v="Enviado"/>
    <s v="31.02.005"/>
    <x v="231"/>
    <s v="Proyecto con fuente de financiamiento F.N.D.R. Ejecución proyectada para mayo 2026"/>
    <n v="2"/>
    <s v="Equipo Medico"/>
    <n v="4"/>
    <n v="1"/>
    <n v="316236000"/>
    <n v="316236000"/>
    <x v="4"/>
    <x v="31"/>
    <x v="66"/>
    <x v="69"/>
    <s v="64-2337386-"/>
    <s v="maria.munozp@redsalud.gob.cl"/>
    <x v="20"/>
    <m/>
    <n v="0"/>
    <m/>
    <n v="0"/>
    <n v="0"/>
    <m/>
    <x v="1"/>
    <x v="3"/>
  </r>
  <r>
    <s v="SERVICIO DE SALUD OSORNO"/>
    <s v="Bienes y Servicios"/>
    <x v="231"/>
    <s v="Proyecto operacional"/>
    <s v="Enviado"/>
    <s v="22.01.001"/>
    <x v="232"/>
    <s v="Se requiere productos para la elaboracion de un Coffe para jornada de conmemoración del día internacional de la eliminación de la violencia contra la mujer."/>
    <n v="3"/>
    <s v="Alimentación"/>
    <n v="4"/>
    <n v="74"/>
    <n v="2076"/>
    <n v="153624"/>
    <x v="4"/>
    <x v="28"/>
    <x v="54"/>
    <x v="59"/>
    <s v="64-2336339-"/>
    <s v="kassandra.fernandez@redsalud.gob.cl"/>
    <x v="18"/>
    <m/>
    <n v="0"/>
    <m/>
    <n v="0"/>
    <n v="0"/>
    <m/>
    <x v="1"/>
    <x v="4"/>
  </r>
  <r>
    <s v="SERVICIO DE SALUD OSORNO"/>
    <s v="Bienes y Servicios"/>
    <x v="231"/>
    <s v="Proyecto operacional"/>
    <s v="Enviado"/>
    <s v="22.01.001"/>
    <x v="232"/>
    <s v="Se requiere productos para la elaboracion de un Coffe para jornada de conmemoración del día internacional de la eliminación de la violencia contra la mujer."/>
    <n v="3"/>
    <s v="Menaje"/>
    <n v="4"/>
    <n v="100"/>
    <n v="170"/>
    <n v="17000"/>
    <x v="4"/>
    <x v="28"/>
    <x v="54"/>
    <x v="59"/>
    <s v="64-2336339-"/>
    <s v="kassandra.fernandez@redsalud.gob.cl"/>
    <x v="18"/>
    <m/>
    <n v="0"/>
    <m/>
    <n v="0"/>
    <n v="0"/>
    <m/>
    <x v="1"/>
    <x v="4"/>
  </r>
  <r>
    <s v="SERVICIO DE SALUD OSORNO"/>
    <s v="Bienes y Servicios"/>
    <x v="231"/>
    <s v="Proyecto operacional"/>
    <s v="Enviado"/>
    <s v="22.01.001"/>
    <x v="232"/>
    <s v="Se requiere productos para la elaboracion de un Coffe para jornada de conmemoración del día internacional de la eliminación de la violencia contra la mujer."/>
    <n v="3"/>
    <s v="Servilletas"/>
    <n v="4"/>
    <n v="2"/>
    <n v="1500"/>
    <n v="3000"/>
    <x v="4"/>
    <x v="28"/>
    <x v="54"/>
    <x v="59"/>
    <s v="64-2336339-"/>
    <s v="kassandra.fernandez@redsalud.gob.cl"/>
    <x v="18"/>
    <m/>
    <n v="0"/>
    <m/>
    <n v="0"/>
    <n v="0"/>
    <m/>
    <x v="1"/>
    <x v="4"/>
  </r>
  <r>
    <s v="SERVICIO DE SALUD OSORNO"/>
    <s v="Bienes y Servicios"/>
    <x v="232"/>
    <s v="Proyecto operacional"/>
    <s v="Enviado"/>
    <s v="22.04.002"/>
    <x v="233"/>
    <s v="Compra para realizar rehabilitación Terapia Ocupacional (confección de Ortesis) bajo la estrategia de rehabilitación del equipo Rural de la Dirección de Servicio. La población beneficiaria serán aquellos usuarios(as) de todo el ciclo vital y de localidades rurales de la Provincia. se espera lograr una mejora o mantención de sus participación de la comunidad a través del desarrollo de la rehabilitación, logrando la participación en la comunidad"/>
    <n v="1"/>
    <s v="Equipo Terapia"/>
    <n v="4"/>
    <n v="1"/>
    <n v="80000"/>
    <n v="80000"/>
    <x v="4"/>
    <x v="32"/>
    <x v="37"/>
    <x v="42"/>
    <s v="64-2335807-"/>
    <s v="karin.avila@redsalud.gob.cl"/>
    <x v="21"/>
    <m/>
    <n v="0"/>
    <m/>
    <n v="0"/>
    <n v="0"/>
    <m/>
    <x v="1"/>
    <x v="4"/>
  </r>
  <r>
    <s v="SERVICIO DE SALUD OSORNO"/>
    <s v="Bienes y Servicios"/>
    <x v="233"/>
    <s v="Proyecto operacional"/>
    <s v="Enviado"/>
    <s v="22.06.006"/>
    <x v="234"/>
    <s v="CONTRATAR LOS TRABAJOS DE MANTENCIMIENTO DEL SISTEMA DE ALMACENAMIENTO E IMPULSIÓN DE AGUA POTABLE DE LA BASE SAMU OSORNO. EJECUCCIÓN PARA EL MES DE JUNIO"/>
    <n v="1"/>
    <s v="Mantenciones"/>
    <n v="4"/>
    <n v="1"/>
    <n v="2000000"/>
    <n v="2000000"/>
    <x v="4"/>
    <x v="25"/>
    <x v="71"/>
    <x v="36"/>
    <s v="64-2335596-"/>
    <s v="GARIBE.GALLARDO@REDSALUD.GOB.CL"/>
    <x v="15"/>
    <m/>
    <n v="0"/>
    <m/>
    <n v="0"/>
    <n v="0"/>
    <m/>
    <x v="1"/>
    <x v="4"/>
  </r>
  <r>
    <s v="SERVICIO DE SALUD OSORNO"/>
    <s v="Bienes y Servicios"/>
    <x v="234"/>
    <s v="Proyecto operacional"/>
    <s v="Enviado"/>
    <s v="22.06.001"/>
    <x v="235"/>
    <s v="REALIZAR MANTENCIONES EMERGENTES EN CUALQUIERA DE LOS ESTABLECIMIENTOS DEPENDIENTES DEL SERVICIO DE SALUD OSORNO. EJECUCCIÓN DICIEMBRE."/>
    <n v="1"/>
    <s v="Mantencion"/>
    <n v="4"/>
    <n v="1"/>
    <n v="6000000"/>
    <n v="6000000"/>
    <x v="4"/>
    <x v="29"/>
    <x v="71"/>
    <x v="36"/>
    <s v="64-2335596-"/>
    <s v="GARIBE.GALLARDO@REDSALUD.GOB.CL"/>
    <x v="23"/>
    <m/>
    <n v="0"/>
    <m/>
    <n v="0"/>
    <n v="0"/>
    <m/>
    <x v="1"/>
    <x v="4"/>
  </r>
  <r>
    <s v="SERVICIO DE SALUD OSORNO"/>
    <s v="Bienes y Servicios"/>
    <x v="235"/>
    <s v="Proyecto operacional"/>
    <s v="Enviado"/>
    <s v="22.06.001"/>
    <x v="236"/>
    <s v="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DESDE ENERO A DICIEMBRE 2027. MES DE EJECUCIÓN DEL CONVENIO DICIEMBRE 2026"/>
    <n v="1"/>
    <s v="Mantenciones"/>
    <n v="4"/>
    <n v="1"/>
    <n v="80000000"/>
    <n v="0"/>
    <x v="11"/>
    <x v="43"/>
    <x v="71"/>
    <x v="36"/>
    <s v="64-2335596-"/>
    <s v="GARIBE.GALLARDO@REDSALUD.GOB.CL"/>
    <x v="23"/>
    <m/>
    <n v="0"/>
    <m/>
    <n v="0"/>
    <n v="0"/>
    <m/>
    <x v="1"/>
    <x v="4"/>
  </r>
  <r>
    <s v="SERVICIO DE SALUD OSORNO"/>
    <s v="Bienes y Servicios"/>
    <x v="236"/>
    <s v="Proyecto operacional"/>
    <s v="Enviado"/>
    <s v="22.06.001"/>
    <x v="237"/>
    <s v="Realizar la mantención de cubierta de los Edificios y dispositivos dependientes del Servicio de Salud Osorno, para mantener su infraestructura en buenas condiciones y evitar filtraciones al interior de los dispositivos . EJECUCCIÓN NOVIEMBRE 2026."/>
    <n v="1"/>
    <s v="Mantenimiento Cubiertas"/>
    <n v="4"/>
    <n v="1"/>
    <n v="25000000"/>
    <n v="25000000"/>
    <x v="4"/>
    <x v="28"/>
    <x v="71"/>
    <x v="36"/>
    <s v="64-2335596-"/>
    <s v="GARIBE.GALLARDO@REDSALUD.GOB.CL"/>
    <x v="18"/>
    <m/>
    <n v="0"/>
    <m/>
    <n v="0"/>
    <n v="0"/>
    <m/>
    <x v="1"/>
    <x v="4"/>
  </r>
  <r>
    <s v="SERVICIO DE SALUD OSORNO"/>
    <s v="Bienes y Servicios"/>
    <x v="237"/>
    <s v="Proyecto operacional"/>
    <s v="Enviado"/>
    <s v="22.06.001"/>
    <x v="238"/>
    <s v="Mejoramiento de Oficina 2do piso correspondiente a trabajos eléctricos y datos, en Edificio Institucional de Manuel Rodríguez. NOVIEMBRE 2026."/>
    <n v="1"/>
    <s v="Mantencion"/>
    <n v="4"/>
    <n v="1"/>
    <n v="10000000"/>
    <n v="10000000"/>
    <x v="4"/>
    <x v="28"/>
    <x v="71"/>
    <x v="36"/>
    <s v="64-2335596-"/>
    <s v="GARIBE.GALLARDO@REDSALUD.GOB.CL"/>
    <x v="18"/>
    <m/>
    <n v="0"/>
    <m/>
    <n v="0"/>
    <n v="0"/>
    <m/>
    <x v="1"/>
    <x v="4"/>
  </r>
  <r>
    <s v="SERVICIO DE SALUD OSORNO"/>
    <s v="Bienes y Servicios"/>
    <x v="238"/>
    <s v="Proyecto operacional"/>
    <s v="Enviado"/>
    <s v="22.06.001"/>
    <x v="239"/>
    <s v="Mantenimiento preventivo a protecciones termomagnéticas, dispositivos de fuerza y control, en conjunto con diversos sistemas y componentes que conforman los tableros de distribución de energía eléctrica en el Hospital Intercultural Futa Sruka Lawenche Kunko Mapu Mo. Igualmente en los Hospitales de Purranque y Puerto Octay. Establecimiento COSAM Oriente y dispositivos de la red. Ejecución mes octubre 2026."/>
    <n v="1"/>
    <s v="Mantencion"/>
    <n v="4"/>
    <n v="112"/>
    <n v="315219"/>
    <n v="35304528"/>
    <x v="4"/>
    <x v="27"/>
    <x v="72"/>
    <x v="74"/>
    <s v="64-2335653-"/>
    <s v="diego.saldivia@redsalud.gob.cl"/>
    <x v="17"/>
    <m/>
    <n v="0"/>
    <m/>
    <n v="0"/>
    <n v="0"/>
    <m/>
    <x v="1"/>
    <x v="4"/>
  </r>
  <r>
    <s v="SERVICIO DE SALUD OSORNO"/>
    <s v="Bienes y Servicios"/>
    <x v="239"/>
    <s v="Proyecto operacional"/>
    <s v="Enviado"/>
    <s v="22.04-22.02"/>
    <x v="240"/>
    <s v="Adquirir materiales para la caracterización de victimas de los simulacros con tecnica moulage, aumentando el realismo de las lesiones. mes de ejecucion de la compra: agosto."/>
    <n v="3"/>
    <s v="Porta Credencial"/>
    <n v="4"/>
    <n v="30"/>
    <n v="1000"/>
    <n v="30000"/>
    <x v="4"/>
    <x v="36"/>
    <x v="2"/>
    <x v="3"/>
    <s v="64-2337728-"/>
    <s v="CATALINA.VERAC@REDSALUD.GOB.CL"/>
    <x v="24"/>
    <m/>
    <n v="0"/>
    <m/>
    <n v="0"/>
    <n v="0"/>
    <m/>
    <x v="1"/>
    <x v="4"/>
  </r>
  <r>
    <s v="SERVICIO DE SALUD OSORNO"/>
    <s v="Bienes y Servicios"/>
    <x v="239"/>
    <s v="Proyecto operacional"/>
    <s v="Enviado"/>
    <s v="22.04-22.02"/>
    <x v="240"/>
    <s v="Adquirir materiales para la caracterización de victimas de los simulacros con tecnica moulage, aumentando el realismo de las lesiones. mes de ejecucion de la compra: agosto."/>
    <n v="3"/>
    <s v="Chalecos"/>
    <n v="4"/>
    <n v="10"/>
    <n v="5000"/>
    <n v="50000"/>
    <x v="4"/>
    <x v="36"/>
    <x v="2"/>
    <x v="3"/>
    <s v="64-2337728-"/>
    <s v="CATALINA.VERAC@REDSALUD.GOB.CL"/>
    <x v="24"/>
    <m/>
    <n v="0"/>
    <m/>
    <n v="0"/>
    <n v="0"/>
    <m/>
    <x v="1"/>
    <x v="4"/>
  </r>
  <r>
    <s v="SERVICIO DE SALUD OSORNO"/>
    <s v="Bienes y Servicios"/>
    <x v="239"/>
    <s v="Proyecto operacional"/>
    <s v="Enviado"/>
    <s v="22.04-22.02"/>
    <x v="240"/>
    <s v="Adquirir materiales para la caracterización de victimas de los simulacros con tecnica moulage, aumentando el realismo de las lesiones. mes de ejecucion de la compra: agosto."/>
    <n v="3"/>
    <s v="Moulage"/>
    <n v="4"/>
    <n v="1"/>
    <n v="420000"/>
    <n v="420000"/>
    <x v="4"/>
    <x v="36"/>
    <x v="2"/>
    <x v="3"/>
    <s v="64-2337728-"/>
    <s v="CATALINA.VERAC@REDSALUD.GOB.CL"/>
    <x v="24"/>
    <m/>
    <n v="0"/>
    <m/>
    <n v="0"/>
    <n v="0"/>
    <m/>
    <x v="1"/>
    <x v="4"/>
  </r>
  <r>
    <s v="SERVICIO DE SALUD OSORNO"/>
    <s v="Bienes y Servicios"/>
    <x v="240"/>
    <s v="Proyecto operacional"/>
    <s v="Enviado"/>
    <s v="22.04.002"/>
    <x v="241"/>
    <s v="La compra se realizará en el mes de Febrero 2026 por una única vez. La vigencia será solamente por Febrero 2026."/>
    <n v="1"/>
    <s v="Material de Enseñanza"/>
    <n v="4"/>
    <n v="6"/>
    <n v="49990"/>
    <n v="299940"/>
    <x v="4"/>
    <x v="38"/>
    <x v="73"/>
    <x v="75"/>
    <s v="64-2335806-"/>
    <s v="francisca.contreras.c@redsalud.gob.cl"/>
    <x v="19"/>
    <m/>
    <n v="0"/>
    <m/>
    <n v="0"/>
    <n v="0"/>
    <m/>
    <x v="1"/>
    <x v="4"/>
  </r>
  <r>
    <s v="SERVICIO DE SALUD OSORNO"/>
    <s v="Bienes y Servicios"/>
    <x v="241"/>
    <s v="Proyecto operacional"/>
    <s v="Enviado"/>
    <s v="22.02"/>
    <x v="242"/>
    <s v="Elementos de proteccion personal para funcionarios del del subdepto. prevencion de riesgos del SSO."/>
    <n v="2"/>
    <s v="EPP"/>
    <n v="4"/>
    <n v="16"/>
    <n v="14375"/>
    <n v="230000"/>
    <x v="4"/>
    <x v="32"/>
    <x v="55"/>
    <x v="61"/>
    <s v="64-2336130-"/>
    <s v="venecia.recabarren@redsalud.gob.cl"/>
    <x v="21"/>
    <m/>
    <n v="0"/>
    <m/>
    <n v="0"/>
    <n v="0"/>
    <m/>
    <x v="1"/>
    <x v="4"/>
  </r>
  <r>
    <s v="SERVICIO DE SALUD OSORNO"/>
    <s v="Bienes y Servicios"/>
    <x v="241"/>
    <s v="Proyecto operacional"/>
    <s v="Enviado"/>
    <s v="22.02"/>
    <x v="242"/>
    <s v="Elementos de proteccion personal para funcionarios del del subdepto. prevencion de riesgos del SSO."/>
    <n v="2"/>
    <s v="Zapatos Seguridad"/>
    <n v="4"/>
    <n v="2"/>
    <n v="80000"/>
    <n v="160000"/>
    <x v="4"/>
    <x v="35"/>
    <x v="55"/>
    <x v="61"/>
    <s v="64-2336130-"/>
    <s v="venecia.recabarren@redsalud.gob.cl"/>
    <x v="13"/>
    <m/>
    <n v="0"/>
    <m/>
    <n v="0"/>
    <n v="0"/>
    <m/>
    <x v="1"/>
    <x v="4"/>
  </r>
  <r>
    <s v="SERVICIO DE SALUD OSORNO"/>
    <s v="Bienes y Servicios"/>
    <x v="242"/>
    <s v="Proyecto operacional"/>
    <s v="Enviado"/>
    <s v="22.01.001"/>
    <x v="243"/>
    <s v="Ejecución en el mes de Abril 2026. Compra una única vez."/>
    <n v="1"/>
    <s v="Servicio Cafeteria"/>
    <n v="4"/>
    <n v="2"/>
    <n v="360000"/>
    <n v="720000"/>
    <x v="4"/>
    <x v="24"/>
    <x v="73"/>
    <x v="75"/>
    <s v="64-2335806-"/>
    <s v="francisca.contreras.c@redsalud.gob.cl"/>
    <x v="14"/>
    <m/>
    <n v="0"/>
    <m/>
    <n v="0"/>
    <n v="0"/>
    <m/>
    <x v="1"/>
    <x v="4"/>
  </r>
  <r>
    <s v="SERVICIO DE SALUD OSORNO"/>
    <s v="Bienes y Servicios"/>
    <x v="243"/>
    <s v="Proyecto operacional"/>
    <s v="Enviado"/>
    <s v="22.04.012"/>
    <x v="244"/>
    <s v="Se requiere la adquisición de herramientas básicas y elementos de mantención (como taladro, destornilladores, martillos ,alicates ,set de llaves, entre otros) destinados a l mantenimiento de centro Kümelen , estas herramientas permitan realizar reparaciones menores, ajustes y mejoras en infraestructura y mobiliario, asegurando condiciones adecuadas para la atención y desarrollo de actividades comunitarias. la compra se ejecuta en febrero 2026."/>
    <n v="1"/>
    <s v="Materiales"/>
    <n v="4"/>
    <n v="9"/>
    <n v="18889"/>
    <n v="170001"/>
    <x v="4"/>
    <x v="38"/>
    <x v="63"/>
    <x v="19"/>
    <s v="64-2337366-"/>
    <s v="luis.floresme@redsalud.gob.cl"/>
    <x v="19"/>
    <m/>
    <n v="0"/>
    <m/>
    <n v="0"/>
    <n v="0"/>
    <m/>
    <x v="1"/>
    <x v="4"/>
  </r>
  <r>
    <s v="SERVICIO DE SALUD OSORNO"/>
    <s v="Bienes y Servicios"/>
    <x v="244"/>
    <s v="Proyecto operacional"/>
    <s v="Enviado"/>
    <s v="22.04.999"/>
    <x v="245"/>
    <s v="Elementos y dispositivos ergonómicos para funcionarios de la DSSO."/>
    <n v="1"/>
    <s v="Apoya Pies - Alzador Pies - Alza Monitor"/>
    <n v="4"/>
    <n v="189"/>
    <n v="43366"/>
    <n v="8196174"/>
    <x v="4"/>
    <x v="35"/>
    <x v="55"/>
    <x v="61"/>
    <s v="64-2336130-"/>
    <s v="venecia.recabarren@redsalud.gob.cl"/>
    <x v="13"/>
    <m/>
    <n v="0"/>
    <m/>
    <n v="0"/>
    <n v="0"/>
    <m/>
    <x v="1"/>
    <x v="4"/>
  </r>
  <r>
    <s v="SERVICIO DE SALUD OSORNO"/>
    <s v="Activos Fijos"/>
    <x v="245"/>
    <s v="Proyecto operacional"/>
    <s v="Actualizado"/>
    <s v="29.04"/>
    <x v="246"/>
    <s v="Elementos y dispositivos ergonómicos para funcionarios de la DSSO."/>
    <n v="1"/>
    <s v="Sillas"/>
    <n v="4"/>
    <n v="10"/>
    <n v="100000"/>
    <n v="1000000"/>
    <x v="4"/>
    <x v="35"/>
    <x v="55"/>
    <x v="61"/>
    <s v="64-2336130-"/>
    <s v="venecia.recabarren@redsalud.gob.cl"/>
    <x v="13"/>
    <m/>
    <n v="0"/>
    <m/>
    <n v="0"/>
    <n v="0"/>
    <m/>
    <x v="1"/>
    <x v="5"/>
  </r>
  <r>
    <s v="SERVICIO DE SALUD OSORNO"/>
    <s v="Bienes y Servicios"/>
    <x v="246"/>
    <s v="Proyecto operacional"/>
    <s v="Enviado"/>
    <s v="22.04.001"/>
    <x v="247"/>
    <s v="EL MES DE EJECUCION DE LA COMPRA DE TEST PSICOLOGICOS SE REALIZARA EN FEBRERO DE 2026."/>
    <n v="1"/>
    <s v="Test"/>
    <n v="4"/>
    <n v="47"/>
    <n v="106383"/>
    <n v="5000001"/>
    <x v="4"/>
    <x v="38"/>
    <x v="74"/>
    <x v="76"/>
    <s v="64-2335640-"/>
    <s v="guisella.franco@redsalud.gob.cl"/>
    <x v="19"/>
    <m/>
    <n v="0"/>
    <m/>
    <n v="0"/>
    <n v="0"/>
    <m/>
    <x v="1"/>
    <x v="4"/>
  </r>
  <r>
    <s v="SERVICIO DE SALUD OSORNO"/>
    <s v="Bienes y Servicios"/>
    <x v="247"/>
    <s v="Proyecto operacional"/>
    <s v="Enviado"/>
    <s v="22.04.012"/>
    <x v="248"/>
    <s v="ADQUISICION INSUMOS MANTENCION RED DE RADIOCOMUNICACIONES EN EMERGERNCIAS SERVICIO DE SALUD OSORNO (COMPRA ENERO A MARZO DE 2026)"/>
    <n v="1"/>
    <s v="Articulos Mantenimiento"/>
    <n v="4"/>
    <n v="63"/>
    <n v="4762"/>
    <n v="300006"/>
    <x v="4"/>
    <x v="35"/>
    <x v="75"/>
    <x v="13"/>
    <s v="64-2335606-"/>
    <s v="ESTEBAN.ALARCONB@REDSALUD.GOB.CL"/>
    <x v="13"/>
    <m/>
    <n v="0"/>
    <m/>
    <n v="0"/>
    <n v="0"/>
    <m/>
    <x v="1"/>
    <x v="4"/>
  </r>
  <r>
    <s v="SERVICIO DE SALUD OSORNO"/>
    <s v="Bienes y Servicios"/>
    <x v="248"/>
    <s v="Proyecto operacional"/>
    <s v="Actualizado"/>
    <s v="22.01.001.003"/>
    <x v="249"/>
    <s v="Ejecución en Abril 2026. Compra única."/>
    <n v="1"/>
    <s v="Servicio Cafeteria"/>
    <n v="4"/>
    <n v="1"/>
    <n v="220000"/>
    <n v="220000"/>
    <x v="4"/>
    <x v="31"/>
    <x v="73"/>
    <x v="75"/>
    <s v="64-2335806-"/>
    <s v="francisca.contreras.c@redsalud.gob.cl"/>
    <x v="14"/>
    <m/>
    <n v="0"/>
    <m/>
    <n v="0"/>
    <n v="0"/>
    <m/>
    <x v="1"/>
    <x v="4"/>
  </r>
  <r>
    <s v="SERVICIO DE SALUD OSORNO"/>
    <s v="Bienes y Servicios"/>
    <x v="249"/>
    <s v="Proyecto operacional"/>
    <s v="Enviado"/>
    <s v="22.04.012"/>
    <x v="250"/>
    <s v="ADQUISICION DE INSUMOS RADIALES PARA REPOSICION Y MANTENIMIENTO PORTATILES VHF DE DIRECCION DEL SERVICIO DE SALUD OSORNO (COMPRA ENERO A MARZO 2026)"/>
    <n v="1"/>
    <s v="Materiales"/>
    <n v="4"/>
    <n v="26"/>
    <n v="57693"/>
    <n v="1500018"/>
    <x v="4"/>
    <x v="35"/>
    <x v="75"/>
    <x v="13"/>
    <s v="64-2335606-"/>
    <s v="ESTEBAN.ALARCONB@REDSALUD.GOB.CL"/>
    <x v="13"/>
    <m/>
    <n v="0"/>
    <m/>
    <n v="0"/>
    <n v="0"/>
    <m/>
    <x v="1"/>
    <x v="4"/>
  </r>
  <r>
    <s v="SERVICIO DE SALUD OSORNO"/>
    <s v="Activos Fijos"/>
    <x v="250"/>
    <s v="Proyecto operacional"/>
    <s v="Enviado"/>
    <s v="29.05.001"/>
    <x v="251"/>
    <s v="Se requiere adquisición de un micrófono de escritorio con reducción de ruido y una cámara web de alta definición, ambos con conexión USB, destinados a mejorar la calidad de sonido e imagen durante videoconferencias, reuniones técnicas y consejerías familiares virtuales realizadas por el equipo clínico-comunitario. La compra se ejecutará en el mes de Febrero del 2026, asegurando la continuidad y calidad de la atención remota y la participación en actividades interinstitucionales."/>
    <n v="1"/>
    <s v="Cámara - Micrófono"/>
    <n v="4"/>
    <n v="1"/>
    <n v="250000"/>
    <n v="250000"/>
    <x v="4"/>
    <x v="38"/>
    <x v="63"/>
    <x v="19"/>
    <s v="64-2337366-"/>
    <s v="luis.floresme@redsalud.gob.cl"/>
    <x v="19"/>
    <m/>
    <n v="0"/>
    <m/>
    <n v="0"/>
    <n v="0"/>
    <m/>
    <x v="1"/>
    <x v="5"/>
  </r>
  <r>
    <s v="SERVICIO DE SALUD OSORNO"/>
    <s v="Bienes y Servicios"/>
    <x v="251"/>
    <s v="Proyecto operacional"/>
    <s v="Enviado"/>
    <s v="22.01.001"/>
    <x v="252"/>
    <s v="Se requiere de insumos alimenticios para apoyo en jornada PM de Curso de Monitores realizado desde Abril a Diciembre 2026 (mes de ejecución Abril 2026)."/>
    <n v="1"/>
    <s v="Alimentación"/>
    <n v="4"/>
    <n v="220"/>
    <n v="991"/>
    <n v="218020"/>
    <x v="4"/>
    <x v="24"/>
    <x v="63"/>
    <x v="19"/>
    <s v="64-2337366-"/>
    <s v="luis.floresme@redsalud.gob.cl"/>
    <x v="14"/>
    <m/>
    <n v="0"/>
    <m/>
    <n v="0"/>
    <n v="0"/>
    <m/>
    <x v="1"/>
    <x v="4"/>
  </r>
  <r>
    <s v="SERVICIO DE SALUD OSORNO"/>
    <s v="Bienes y Servicios"/>
    <x v="252"/>
    <s v="Proyecto operacional"/>
    <s v="Enviado"/>
    <s v="22.04.990"/>
    <x v="253"/>
    <s v="Compra de Equipo de Terapia para rehabilitación fonoaudiologica a través de estrategia Equipo Rural de Rehabilitación. Equipo de Rehabilitación Fonoaudiologica Kit esta compuesto por: Batería Flex Cervical Estándar (Flex estándar, 50 etiquetas protectoras, 50 alcohol pads y bolso protector) Balón Terapéutico Tubo Terapéutico Bandas de goma marcadora; Estimulador Térmico Oral"/>
    <n v="1"/>
    <s v="Equipo Terapia"/>
    <n v="4"/>
    <n v="1"/>
    <n v="100000"/>
    <n v="100000"/>
    <x v="4"/>
    <x v="32"/>
    <x v="37"/>
    <x v="42"/>
    <s v="23-35807-"/>
    <s v="karin.avila@redsalud.gob.cl"/>
    <x v="21"/>
    <m/>
    <n v="0"/>
    <m/>
    <n v="0"/>
    <n v="0"/>
    <m/>
    <x v="1"/>
    <x v="4"/>
  </r>
  <r>
    <s v="SERVICIO DE SALUD OSORNO"/>
    <s v="Bienes y Servicios"/>
    <x v="253"/>
    <s v="Proyecto operacional"/>
    <s v="Enviado"/>
    <s v="22.04.001"/>
    <x v="254"/>
    <s v="Cintas de seguridad para demarcación e instalación de señaletica en zonas de peligro en lugares de trabajo."/>
    <n v="1"/>
    <s v="Cinta"/>
    <n v="4"/>
    <n v="11"/>
    <n v="30455"/>
    <n v="335005"/>
    <x v="4"/>
    <x v="32"/>
    <x v="55"/>
    <x v="61"/>
    <s v="64-2336130-"/>
    <s v="venecia.recabarren@redsalud.gob.cl"/>
    <x v="21"/>
    <m/>
    <n v="0"/>
    <m/>
    <n v="0"/>
    <n v="0"/>
    <m/>
    <x v="1"/>
    <x v="4"/>
  </r>
  <r>
    <s v="SERVICIO DE SALUD OSORNO"/>
    <s v="Bienes y Servicios"/>
    <x v="254"/>
    <s v="Proyecto operacional"/>
    <s v="Enviado"/>
    <s v="22.08.001"/>
    <x v="255"/>
    <s v="Retiro y traslado de residuos valorizables desde edificio plaza sur. Enero 2026"/>
    <n v="1"/>
    <s v="Retiro"/>
    <n v="4"/>
    <n v="1"/>
    <n v="2400000"/>
    <n v="2400000"/>
    <x v="11"/>
    <x v="20"/>
    <x v="76"/>
    <x v="27"/>
    <s v="64-2337030-"/>
    <s v="carloslopez.amb@gmail.com"/>
    <x v="13"/>
    <m/>
    <n v="0"/>
    <m/>
    <n v="0"/>
    <n v="0"/>
    <m/>
    <x v="1"/>
    <x v="4"/>
  </r>
  <r>
    <s v="SERVICIO DE SALUD OSORNO"/>
    <s v="Bienes y Servicios"/>
    <x v="255"/>
    <s v="Proyecto operacional"/>
    <s v="Enviado"/>
    <s v="22.04"/>
    <x v="256"/>
    <s v="Adquisición de Elementos de rehabilitación fonoaudiologica a través de la estrategia de equipo Rural de Rehabilitación"/>
    <n v="2"/>
    <s v="Balon-Pinza-Especulo"/>
    <n v="4"/>
    <n v="18"/>
    <n v="4227"/>
    <n v="76086"/>
    <x v="4"/>
    <x v="24"/>
    <x v="37"/>
    <x v="42"/>
    <s v="64-2335807-"/>
    <s v="karin.avila@redsalud.gob.cl"/>
    <x v="14"/>
    <m/>
    <n v="0"/>
    <m/>
    <n v="0"/>
    <n v="0"/>
    <m/>
    <x v="1"/>
    <x v="4"/>
  </r>
  <r>
    <s v="SERVICIO DE SALUD OSORNO"/>
    <s v="Bienes y Servicios"/>
    <x v="255"/>
    <s v="Proyecto operacional"/>
    <s v="Enviado"/>
    <s v="22.04"/>
    <x v="256"/>
    <s v="Adquisición de Elementos de rehabilitación fonoaudiologica a través de la estrategia de equipo Rural de Rehabilitación"/>
    <n v="2"/>
    <s v="Insumos Rehabilitación"/>
    <n v="4"/>
    <n v="6"/>
    <n v="37334"/>
    <n v="224004"/>
    <x v="4"/>
    <x v="24"/>
    <x v="37"/>
    <x v="42"/>
    <s v="64-2335807-"/>
    <s v="karin.avila@redsalud.gob.cl"/>
    <x v="14"/>
    <m/>
    <n v="0"/>
    <m/>
    <n v="0"/>
    <n v="0"/>
    <m/>
    <x v="1"/>
    <x v="4"/>
  </r>
  <r>
    <s v="SERVICIO DE SALUD OSORNO"/>
    <s v="Bienes y Servicios"/>
    <x v="256"/>
    <s v="Proyecto operacional"/>
    <s v="Actualizado"/>
    <s v="22.04.999"/>
    <x v="257"/>
    <s v="Bloqueador Solar para proteccion de radiacion UV de funcionarios (as) que se exponen habitualmente."/>
    <n v="1"/>
    <s v="Bloqueador Solar"/>
    <n v="4"/>
    <n v="6"/>
    <n v="25000"/>
    <n v="150000"/>
    <x v="4"/>
    <x v="26"/>
    <x v="55"/>
    <x v="61"/>
    <s v="64-2336130-"/>
    <s v="venecia.recabarren@redsalud.gob.cl"/>
    <x v="24"/>
    <m/>
    <n v="0"/>
    <m/>
    <n v="0"/>
    <n v="0"/>
    <m/>
    <x v="1"/>
    <x v="4"/>
  </r>
  <r>
    <s v="SERVICIO DE SALUD OSORNO"/>
    <s v="Bienes y Servicios"/>
    <x v="257"/>
    <s v="Proyecto operacional"/>
    <s v="Enviado"/>
    <s v="22.02-22.04"/>
    <x v="258"/>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3"/>
    <s v="Tela - Alfombra"/>
    <n v="4"/>
    <n v="96"/>
    <n v="10000"/>
    <n v="960000"/>
    <x v="4"/>
    <x v="31"/>
    <x v="43"/>
    <x v="48"/>
    <s v="64-2335492-"/>
    <s v="CAROLINA.SILVALL@REDSALUD.GOB.CL"/>
    <x v="20"/>
    <m/>
    <n v="0"/>
    <m/>
    <n v="0"/>
    <n v="0"/>
    <m/>
    <x v="1"/>
    <x v="4"/>
  </r>
  <r>
    <s v="SERVICIO DE SALUD OSORNO"/>
    <s v="Bienes y Servicios"/>
    <x v="257"/>
    <s v="Proyecto operacional"/>
    <s v="Enviado"/>
    <s v="22.02-22.04"/>
    <x v="258"/>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3"/>
    <s v="Cojines"/>
    <n v="4"/>
    <n v="12"/>
    <n v="4167"/>
    <n v="50004"/>
    <x v="4"/>
    <x v="31"/>
    <x v="43"/>
    <x v="48"/>
    <s v="64-2335492-"/>
    <s v="CAROLINA.SILVALL@REDSALUD.GOB.CL"/>
    <x v="20"/>
    <m/>
    <n v="0"/>
    <m/>
    <n v="0"/>
    <n v="0"/>
    <m/>
    <x v="1"/>
    <x v="4"/>
  </r>
  <r>
    <s v="SERVICIO DE SALUD OSORNO"/>
    <s v="Bienes y Servicios"/>
    <x v="257"/>
    <s v="Proyecto operacional"/>
    <s v="Enviado"/>
    <s v="22.02-22.04"/>
    <x v="258"/>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3"/>
    <s v="Equipamiento no Medico"/>
    <n v="4"/>
    <n v="52"/>
    <n v="12500"/>
    <n v="650000"/>
    <x v="4"/>
    <x v="31"/>
    <x v="43"/>
    <x v="48"/>
    <s v="64-2335492-"/>
    <s v="CAROLINA.SILVALL@REDSALUD.GOB.CL"/>
    <x v="20"/>
    <m/>
    <n v="0"/>
    <m/>
    <n v="0"/>
    <n v="0"/>
    <m/>
    <x v="1"/>
    <x v="4"/>
  </r>
  <r>
    <s v="SERVICIO DE SALUD OSORNO"/>
    <s v="Bienes y Servicios"/>
    <x v="258"/>
    <s v="Proyecto operacional"/>
    <s v="Enviado"/>
    <s v="22.04.007"/>
    <x v="255"/>
    <s v="Contenedores para segregación de residuos valorizables. La idea es reciclar residuos que permitan disminuir la huella de carbono del edificio plaza sur. ENERO 2026"/>
    <n v="1"/>
    <s v="Contenedor"/>
    <n v="4"/>
    <n v="36"/>
    <n v="107275"/>
    <n v="3861900"/>
    <x v="4"/>
    <x v="35"/>
    <x v="76"/>
    <x v="27"/>
    <s v="64-2337030-"/>
    <s v="carloslopez.amb@gmail.com"/>
    <x v="13"/>
    <m/>
    <n v="0"/>
    <m/>
    <n v="0"/>
    <n v="0"/>
    <m/>
    <x v="1"/>
    <x v="4"/>
  </r>
  <r>
    <s v="SERVICIO DE SALUD OSORNO"/>
    <s v="Bienes y Servicios"/>
    <x v="259"/>
    <s v="Proyecto operacional"/>
    <s v="Enviado"/>
    <s v="22.04.009"/>
    <x v="259"/>
    <s v="Equipamiento informático."/>
    <n v="2"/>
    <s v="Pendrive"/>
    <n v="4"/>
    <n v="2"/>
    <n v="10000"/>
    <n v="20000"/>
    <x v="4"/>
    <x v="31"/>
    <x v="55"/>
    <x v="61"/>
    <s v="64-2336130-"/>
    <s v="venecia.recabarren@redsalud.gob.cl"/>
    <x v="20"/>
    <m/>
    <n v="0"/>
    <m/>
    <n v="0"/>
    <n v="0"/>
    <m/>
    <x v="1"/>
    <x v="4"/>
  </r>
  <r>
    <s v="SERVICIO DE SALUD OSORNO"/>
    <s v="Bienes y Servicios"/>
    <x v="259"/>
    <s v="Proyecto operacional"/>
    <s v="Enviado"/>
    <s v="22.04.009"/>
    <x v="259"/>
    <s v="Equipamiento informático."/>
    <n v="2"/>
    <s v="Presentador láser"/>
    <n v="4"/>
    <n v="1"/>
    <n v="16000"/>
    <n v="16000"/>
    <x v="4"/>
    <x v="31"/>
    <x v="55"/>
    <x v="61"/>
    <s v="64-2336130-"/>
    <s v="venecia.recabarren@redsalud.gob.cl"/>
    <x v="20"/>
    <m/>
    <n v="0"/>
    <m/>
    <n v="0"/>
    <n v="0"/>
    <m/>
    <x v="1"/>
    <x v="4"/>
  </r>
  <r>
    <s v="SERVICIO DE SALUD OSORNO"/>
    <s v="Bienes y Servicios"/>
    <x v="260"/>
    <s v="Proyecto operacional"/>
    <s v="Enviado"/>
    <s v="22.04-22.02"/>
    <x v="260"/>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5"/>
    <s v="Cortinas"/>
    <n v="4"/>
    <n v="49"/>
    <n v="22449"/>
    <n v="1100001"/>
    <x v="4"/>
    <x v="31"/>
    <x v="43"/>
    <x v="48"/>
    <s v="64-2335492-"/>
    <s v="CAROLINA.SILVALL@REDSALUD.GOB.CL"/>
    <x v="20"/>
    <m/>
    <n v="0"/>
    <m/>
    <n v="0"/>
    <n v="0"/>
    <m/>
    <x v="1"/>
    <x v="4"/>
  </r>
  <r>
    <s v="SERVICIO DE SALUD OSORNO"/>
    <s v="Bienes y Servicios"/>
    <x v="260"/>
    <s v="Proyecto operacional"/>
    <s v="Enviado"/>
    <s v="22.04-22.02"/>
    <x v="260"/>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5"/>
    <s v="Materiales de Mantenimiento Reparaciones"/>
    <n v="4"/>
    <n v="115"/>
    <n v="9566"/>
    <n v="1100090"/>
    <x v="4"/>
    <x v="31"/>
    <x v="43"/>
    <x v="48"/>
    <s v="64-2335492-"/>
    <s v="CAROLINA.SILVALL@REDSALUD.GOB.CL"/>
    <x v="20"/>
    <m/>
    <n v="0"/>
    <m/>
    <n v="0"/>
    <n v="0"/>
    <m/>
    <x v="1"/>
    <x v="4"/>
  </r>
  <r>
    <s v="SERVICIO DE SALUD OSORNO"/>
    <s v="Bienes y Servicios"/>
    <x v="260"/>
    <s v="Proyecto operacional"/>
    <s v="Enviado"/>
    <s v="22.04-22.02"/>
    <x v="260"/>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5"/>
    <s v="Basurero"/>
    <n v="4"/>
    <n v="4"/>
    <n v="30000"/>
    <n v="120000"/>
    <x v="4"/>
    <x v="31"/>
    <x v="43"/>
    <x v="48"/>
    <s v="64-2335492-"/>
    <s v="CAROLINA.SILVALL@REDSALUD.GOB.CL"/>
    <x v="20"/>
    <m/>
    <n v="0"/>
    <m/>
    <n v="0"/>
    <n v="0"/>
    <m/>
    <x v="1"/>
    <x v="4"/>
  </r>
  <r>
    <s v="SERVICIO DE SALUD OSORNO"/>
    <s v="Bienes y Servicios"/>
    <x v="260"/>
    <s v="Proyecto operacional"/>
    <s v="Enviado"/>
    <s v="22.04-22.02"/>
    <x v="260"/>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5"/>
    <s v="Hacha"/>
    <n v="4"/>
    <n v="2"/>
    <n v="15000"/>
    <n v="30000"/>
    <x v="4"/>
    <x v="31"/>
    <x v="43"/>
    <x v="48"/>
    <s v="64-2335492-"/>
    <s v="CAROLINA.SILVALL@REDSALUD.GOB.CL"/>
    <x v="20"/>
    <m/>
    <n v="0"/>
    <m/>
    <n v="0"/>
    <n v="0"/>
    <m/>
    <x v="1"/>
    <x v="4"/>
  </r>
  <r>
    <s v="SERVICIO DE SALUD OSORNO"/>
    <s v="Bienes y Servicios"/>
    <x v="260"/>
    <s v="Proyecto operacional"/>
    <s v="Enviado"/>
    <s v="22.04-22.02"/>
    <x v="260"/>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5"/>
    <s v="Luces, manguera, tapa"/>
    <n v="4"/>
    <n v="25"/>
    <n v="15600"/>
    <n v="390000"/>
    <x v="4"/>
    <x v="31"/>
    <x v="43"/>
    <x v="48"/>
    <s v="64-2335492-"/>
    <s v="CAROLINA.SILVALL@REDSALUD.GOB.CL"/>
    <x v="20"/>
    <m/>
    <n v="0"/>
    <m/>
    <n v="0"/>
    <n v="0"/>
    <m/>
    <x v="1"/>
    <x v="4"/>
  </r>
  <r>
    <s v="SERVICIO DE SALUD OSORNO"/>
    <s v="Bienes y Servicios"/>
    <x v="261"/>
    <s v="Proyecto operacional"/>
    <s v="Enviado"/>
    <s v="22.01.001"/>
    <x v="261"/>
    <s v="La presente adquisición tiene como finalidad contar con los insumos y servicios necesarios para la realización de la ceremonia de egreso del curso de formación de monitores al cuidado de personas con demencia. La actividad esta dirigida a reconocer el proceso formación y el compromiso comunitario de las participantes que completaron la capacitación, quienes se integran como agente de apoyo y sensibilización en sus comunidades. Noviembre 2026."/>
    <n v="1"/>
    <s v="Evento"/>
    <n v="4"/>
    <n v="1"/>
    <n v="400000"/>
    <n v="400000"/>
    <x v="4"/>
    <x v="28"/>
    <x v="63"/>
    <x v="19"/>
    <s v="64-2337366-"/>
    <s v="luis.floresme@redsalud.gob.cl"/>
    <x v="18"/>
    <m/>
    <n v="0"/>
    <m/>
    <n v="0"/>
    <n v="0"/>
    <m/>
    <x v="1"/>
    <x v="4"/>
  </r>
  <r>
    <s v="SERVICIO DE SALUD OSORNO"/>
    <s v="Bienes y Servicios"/>
    <x v="262"/>
    <s v="Proyecto operacional"/>
    <s v="Actualizado"/>
    <s v="22.02.002"/>
    <x v="262"/>
    <s v="Lentes de seguridad con proteccion UV para conducción de vehículos."/>
    <n v="1"/>
    <s v="Lentes de Seguridad"/>
    <n v="4"/>
    <n v="100"/>
    <n v="8000"/>
    <n v="800000"/>
    <x v="4"/>
    <x v="33"/>
    <x v="55"/>
    <x v="61"/>
    <s v="64-2336130-"/>
    <s v="venecia.recabarren@redsalud.gob.cl"/>
    <x v="22"/>
    <m/>
    <n v="0"/>
    <m/>
    <n v="0"/>
    <n v="0"/>
    <m/>
    <x v="1"/>
    <x v="4"/>
  </r>
  <r>
    <s v="SERVICIO DE SALUD OSORNO"/>
    <s v="Bienes y Servicios"/>
    <x v="263"/>
    <s v="Proyecto operacional"/>
    <s v="Enviado"/>
    <s v="22.04.008"/>
    <x v="263"/>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3"/>
    <s v="Artículos Cocina"/>
    <n v="4"/>
    <n v="243"/>
    <n v="3070"/>
    <n v="746010"/>
    <x v="4"/>
    <x v="31"/>
    <x v="43"/>
    <x v="48"/>
    <s v="64-2335492-"/>
    <s v="CAROLINA.SILVALL@REDSALUD.GOB.CL"/>
    <x v="20"/>
    <m/>
    <n v="0"/>
    <m/>
    <n v="0"/>
    <n v="0"/>
    <m/>
    <x v="1"/>
    <x v="4"/>
  </r>
  <r>
    <s v="SERVICIO DE SALUD OSORNO"/>
    <s v="Bienes y Servicios"/>
    <x v="263"/>
    <s v="Proyecto operacional"/>
    <s v="Enviado"/>
    <s v="22.04.008"/>
    <x v="263"/>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3"/>
    <s v="Reloj"/>
    <n v="4"/>
    <n v="12"/>
    <n v="8000"/>
    <n v="96000"/>
    <x v="4"/>
    <x v="31"/>
    <x v="43"/>
    <x v="48"/>
    <s v="64-2335492-"/>
    <s v="CAROLINA.SILVALL@REDSALUD.GOB.CL"/>
    <x v="20"/>
    <m/>
    <n v="0"/>
    <m/>
    <n v="0"/>
    <n v="0"/>
    <m/>
    <x v="1"/>
    <x v="4"/>
  </r>
  <r>
    <s v="SERVICIO DE SALUD OSORNO"/>
    <s v="Bienes y Servicios"/>
    <x v="263"/>
    <s v="Proyecto operacional"/>
    <s v="Enviado"/>
    <s v="22.04.008"/>
    <x v="263"/>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3"/>
    <s v="Caja Plastica"/>
    <n v="4"/>
    <n v="56"/>
    <n v="8572"/>
    <n v="480032"/>
    <x v="4"/>
    <x v="31"/>
    <x v="43"/>
    <x v="48"/>
    <s v="64-2335492-"/>
    <s v="CAROLINA.SILVALL@REDSALUD.GOB.CL"/>
    <x v="20"/>
    <m/>
    <n v="0"/>
    <m/>
    <n v="0"/>
    <n v="0"/>
    <m/>
    <x v="1"/>
    <x v="4"/>
  </r>
  <r>
    <s v="SERVICIO DE SALUD OSORNO"/>
    <s v="Bienes y Servicios"/>
    <x v="264"/>
    <s v="Proyecto operacional"/>
    <s v="Enviado"/>
    <s v="22.08.003"/>
    <x v="264"/>
    <s v="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1"/>
    <s v="Artículos Jardín"/>
    <n v="4"/>
    <n v="91"/>
    <n v="3671"/>
    <n v="334061"/>
    <x v="4"/>
    <x v="31"/>
    <x v="43"/>
    <x v="48"/>
    <s v="64-2335492-"/>
    <s v="CAROLINA.SILVALL@REDSALUD.GOB.CL"/>
    <x v="20"/>
    <m/>
    <n v="0"/>
    <m/>
    <n v="0"/>
    <n v="0"/>
    <m/>
    <x v="1"/>
    <x v="4"/>
  </r>
  <r>
    <s v="SERVICIO DE SALUD OSORNO"/>
    <s v="Bienes y Servicios"/>
    <x v="265"/>
    <s v="Proyecto operacional"/>
    <s v="Enviado"/>
    <s v="22.12.999"/>
    <x v="265"/>
    <s v="Adquisición de 120 Endoscopias Digestivas Altas para Establecimientos de la red Asistencial del Servicio de Salud Osorno, a partir del mes de marzo 2026."/>
    <n v="1"/>
    <s v="Endoscopia"/>
    <n v="4"/>
    <n v="1"/>
    <n v="14500000"/>
    <n v="14500000"/>
    <x v="4"/>
    <x v="24"/>
    <x v="77"/>
    <x v="77"/>
    <s v="64-2335805-"/>
    <s v="omar.contreras@redsalud.gob.cl"/>
    <x v="21"/>
    <m/>
    <n v="0"/>
    <m/>
    <n v="0"/>
    <n v="0"/>
    <m/>
    <x v="1"/>
    <x v="4"/>
  </r>
  <r>
    <s v="SERVICIO DE SALUD OSORNO"/>
    <s v="Bienes y Servicios"/>
    <x v="266"/>
    <s v="Proyecto operacional"/>
    <s v="Enviado"/>
    <s v="22.07.002"/>
    <x v="232"/>
    <s v="Se requiere impresion de folletería (diseño realizado por diseñedor del SSO), y monitora de yoga para jornada de conmemoración del día internacional de la eliminación de la violencia contra la mujer. Objetivo de la Adquisición: Crear un espacio de conmemoración y reflexión sobre el Día Internacional de la Eliminación de la Violencia contra la Mujer. Monitora de yoga para desarrollar 10 de sesiones, durante los meses de noviembre y diciembre, inscripcion sera dirigida para todas las mujeres de la comunidad funcionaria con una capacidad de 40 cup"/>
    <n v="2"/>
    <s v="Folleteria"/>
    <n v="4"/>
    <n v="1"/>
    <n v="60000"/>
    <n v="60000"/>
    <x v="4"/>
    <x v="28"/>
    <x v="54"/>
    <x v="59"/>
    <s v="64-2336339-"/>
    <s v="kassandra.fernandez@redsalud.gob.cl"/>
    <x v="18"/>
    <m/>
    <n v="0"/>
    <m/>
    <n v="0"/>
    <n v="0"/>
    <m/>
    <x v="1"/>
    <x v="4"/>
  </r>
  <r>
    <s v="SERVICIO DE SALUD OSORNO"/>
    <s v="Bienes y Servicios"/>
    <x v="266"/>
    <s v="Proyecto operacional"/>
    <s v="Enviado"/>
    <s v="22.07.002"/>
    <x v="232"/>
    <s v="Se requiere impresion de folletería (diseño realizado por diseñedor del SSO), y monitora de yoga para jornada de conmemoración del día internacional de la eliminación de la violencia contra la mujer. Objetivo de la Adquisición: Crear un espacio de conmemoración y reflexión sobre el Día Internacional de la Eliminación de la Violencia contra la Mujer. Monitora de yoga para desarrollar 10 de sesiones, durante los meses de noviembre y diciembre, inscripcion sera dirigida para todas las mujeres de la comunidad funcionaria con una capacidad de 40 cup"/>
    <n v="2"/>
    <s v="Instructora"/>
    <n v="4"/>
    <n v="1"/>
    <n v="400000"/>
    <n v="400000"/>
    <x v="4"/>
    <x v="28"/>
    <x v="54"/>
    <x v="59"/>
    <s v="64-2336339-"/>
    <s v="kassandra.fernandez@redsalud.gob.cl"/>
    <x v="18"/>
    <m/>
    <n v="0"/>
    <m/>
    <n v="0"/>
    <n v="0"/>
    <m/>
    <x v="1"/>
    <x v="4"/>
  </r>
  <r>
    <s v="SERVICIO DE SALUD OSORNO"/>
    <s v="Bienes y Servicios"/>
    <x v="267"/>
    <s v="Proyecto operacional"/>
    <s v="Enviado"/>
    <s v="22.04.012"/>
    <x v="266"/>
    <s v="La presente adquisición tiene como finalidad dotar al centro de apoyo comunitario para personas con demencia Kümelen un carro de carga plegable destinado al traslado seguro y eficiente de materiales, equipos e insumos clínicos y comunitarios utilizados en actividades tanto dentro del recinto como en terreno, el carro debe contar con una estructura resistente, sistema plegable para fácil almacenamiento y mayor durabilidad, permitiendo optimizar el transporte de elementos durante jornadas, ceremonias y acciones comunitarias. Febrero 2026."/>
    <n v="1"/>
    <s v="Carro"/>
    <n v="4"/>
    <n v="1"/>
    <n v="120000"/>
    <n v="120000"/>
    <x v="4"/>
    <x v="38"/>
    <x v="63"/>
    <x v="19"/>
    <s v="64-2337366-"/>
    <s v="luis.floresme@redsalud.gob.cl"/>
    <x v="19"/>
    <m/>
    <n v="0"/>
    <m/>
    <n v="0"/>
    <n v="0"/>
    <m/>
    <x v="1"/>
    <x v="4"/>
  </r>
  <r>
    <s v="SERVICIO DE SALUD OSORNO"/>
    <s v="Bienes y Servicios"/>
    <x v="268"/>
    <s v="Proyecto operacional"/>
    <s v="Enviado"/>
    <s v="22.08.007"/>
    <x v="267"/>
    <s v="Contratación de servicio de movilización con conductor consistente en 1 móvil por periodo de 2 meses, para traslado de equipos de salud de la atención primaria y sus insumos y ejecutar actividades de vacunación de campaña de invierno, escolar y programática en área urbana y rural de las comunas de la provincia. Inicio del servicio durante el mes de marzo 2026 hasta mes de mayo de 2026."/>
    <n v="1"/>
    <s v="Servicio Movilización"/>
    <n v="4"/>
    <n v="1"/>
    <n v="7000000"/>
    <n v="7000000"/>
    <x v="4"/>
    <x v="32"/>
    <x v="78"/>
    <x v="78"/>
    <s v="64-2335829-"/>
    <s v="carolina.lagos@redsalud.gob.cl"/>
    <x v="21"/>
    <m/>
    <n v="0"/>
    <m/>
    <n v="0"/>
    <n v="0"/>
    <m/>
    <x v="1"/>
    <x v="4"/>
  </r>
  <r>
    <s v="SERVICIO DE SALUD OSORNO"/>
    <s v="Administración de Fondos"/>
    <x v="269"/>
    <s v="Proyecto operacional"/>
    <s v="Enviado"/>
    <s v="22.04.008"/>
    <x v="268"/>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n v="7"/>
    <s v="Mesa Pegable"/>
    <n v="4"/>
    <n v="2"/>
    <n v="60000"/>
    <n v="120000"/>
    <x v="4"/>
    <x v="31"/>
    <x v="43"/>
    <x v="48"/>
    <s v="64-2335492-"/>
    <s v="CAROLINA.SILVALL@REDSALUD.GOB.CL"/>
    <x v="19"/>
    <m/>
    <n v="0"/>
    <m/>
    <n v="0"/>
    <n v="0"/>
    <m/>
    <x v="1"/>
    <x v="2"/>
  </r>
  <r>
    <s v="SERVICIO DE SALUD OSORNO"/>
    <s v="Administración de Fondos"/>
    <x v="269"/>
    <s v="Proyecto operacional"/>
    <s v="Enviado"/>
    <s v="22.04.008"/>
    <x v="268"/>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n v="7"/>
    <s v="Alfombras"/>
    <n v="4"/>
    <n v="4"/>
    <n v="112500"/>
    <n v="450000"/>
    <x v="4"/>
    <x v="38"/>
    <x v="43"/>
    <x v="48"/>
    <s v="64-2335492-"/>
    <s v="CAROLINA.SILVALL@REDSALUD.GOB.CL"/>
    <x v="19"/>
    <m/>
    <n v="0"/>
    <m/>
    <n v="0"/>
    <n v="0"/>
    <m/>
    <x v="1"/>
    <x v="2"/>
  </r>
  <r>
    <s v="SERVICIO DE SALUD OSORNO"/>
    <s v="Administración de Fondos"/>
    <x v="269"/>
    <s v="Proyecto operacional"/>
    <s v="Enviado"/>
    <s v="22.04.008"/>
    <x v="268"/>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n v="7"/>
    <s v="Aire Acondicionado -Aspiradora - Congelador -Refrigerador - Televisor-Microondas"/>
    <n v="4"/>
    <n v="8"/>
    <n v="345000"/>
    <n v="2760000"/>
    <x v="4"/>
    <x v="38"/>
    <x v="43"/>
    <x v="48"/>
    <s v="64-2335492-"/>
    <s v="CAROLINA.SILVALL@REDSALUD.GOB.CL"/>
    <x v="19"/>
    <m/>
    <n v="0"/>
    <m/>
    <n v="0"/>
    <n v="0"/>
    <m/>
    <x v="1"/>
    <x v="2"/>
  </r>
  <r>
    <s v="SERVICIO DE SALUD OSORNO"/>
    <s v="Administración de Fondos"/>
    <x v="269"/>
    <s v="Proyecto operacional"/>
    <s v="Enviado"/>
    <s v="22.04.008"/>
    <x v="268"/>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n v="7"/>
    <s v="Sillas - Escritorios"/>
    <n v="4"/>
    <n v="7"/>
    <n v="330000"/>
    <n v="2310000"/>
    <x v="4"/>
    <x v="38"/>
    <x v="43"/>
    <x v="48"/>
    <s v="64-2335492-"/>
    <s v="CAROLINA.SILVALL@REDSALUD.GOB.CL"/>
    <x v="19"/>
    <m/>
    <n v="0"/>
    <m/>
    <n v="0"/>
    <n v="0"/>
    <m/>
    <x v="1"/>
    <x v="2"/>
  </r>
  <r>
    <s v="SERVICIO DE SALUD OSORNO"/>
    <s v="Administración de Fondos"/>
    <x v="269"/>
    <s v="Proyecto operacional"/>
    <s v="Enviado"/>
    <s v="22.04.008"/>
    <x v="268"/>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n v="7"/>
    <s v="Bodega Lata - Cocina a gas"/>
    <n v="4"/>
    <n v="2"/>
    <n v="400000"/>
    <n v="800000"/>
    <x v="4"/>
    <x v="38"/>
    <x v="43"/>
    <x v="48"/>
    <s v="64-2335492-"/>
    <s v="CAROLINA.SILVALL@REDSALUD.GOB.CL"/>
    <x v="19"/>
    <m/>
    <n v="0"/>
    <m/>
    <n v="0"/>
    <n v="0"/>
    <m/>
    <x v="1"/>
    <x v="2"/>
  </r>
  <r>
    <s v="SERVICIO DE SALUD OSORNO"/>
    <s v="Administración de Fondos"/>
    <x v="269"/>
    <s v="Proyecto operacional"/>
    <s v="Enviado"/>
    <s v="22.04.008"/>
    <x v="268"/>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n v="7"/>
    <s v="Calentador-Parlante-Aparato Electronico -"/>
    <n v="4"/>
    <n v="6"/>
    <n v="40000"/>
    <n v="240000"/>
    <x v="4"/>
    <x v="38"/>
    <x v="43"/>
    <x v="48"/>
    <s v="64-2335492-"/>
    <s v="CAROLINA.SILVALL@REDSALUD.GOB.CL"/>
    <x v="19"/>
    <m/>
    <n v="0"/>
    <m/>
    <n v="0"/>
    <n v="0"/>
    <m/>
    <x v="1"/>
    <x v="2"/>
  </r>
  <r>
    <s v="SERVICIO DE SALUD OSORNO"/>
    <s v="Administración de Fondos"/>
    <x v="269"/>
    <s v="Proyecto operacional"/>
    <s v="Enviado"/>
    <s v="22.04.008"/>
    <x v="268"/>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n v="7"/>
    <s v="Plancha"/>
    <n v="4"/>
    <n v="1"/>
    <n v="30000"/>
    <n v="30000"/>
    <x v="4"/>
    <x v="38"/>
    <x v="43"/>
    <x v="48"/>
    <s v="64-2335492-"/>
    <s v="CAROLINA.SILVALL@REDSALUD.GOB.CL"/>
    <x v="19"/>
    <m/>
    <n v="0"/>
    <m/>
    <n v="0"/>
    <n v="0"/>
    <m/>
    <x v="1"/>
    <x v="2"/>
  </r>
  <r>
    <s v="SERVICIO DE SALUD OSORNO"/>
    <s v="Bienes y Servicios"/>
    <x v="270"/>
    <s v="Proyecto operacional"/>
    <s v="Enviado"/>
    <s v="22.07.001"/>
    <x v="269"/>
    <s v="Se requiere contratación de servicio de grabación y emisión en emisora radial local, de 4 avisos radiales promocionales de vacunación influenza, COVID, Pneumo 23 y Nirsevimab, durante los meses de marzo y abril de 2026, en radio de alcance provincial, banda FM, que incluya de manera obligatoria a las comunas de Osorno, Purranque, Río Negro y San Pablo e idealmente a todas las comunas de la provinica de Osorno. Difusión de be realizarse de lunes a domingo al menos 7 veces al día."/>
    <n v="1"/>
    <s v="Espacio Radial"/>
    <n v="4"/>
    <n v="4"/>
    <n v="357000"/>
    <n v="1428000"/>
    <x v="4"/>
    <x v="32"/>
    <x v="78"/>
    <x v="78"/>
    <s v="64-2335829-"/>
    <s v="carolina.lagos@redsalud.gob.cl"/>
    <x v="21"/>
    <m/>
    <n v="0"/>
    <m/>
    <n v="0"/>
    <n v="0"/>
    <m/>
    <x v="1"/>
    <x v="4"/>
  </r>
  <r>
    <s v="SERVICIO DE SALUD OSORNO"/>
    <s v="Administración de Fondos"/>
    <x v="271"/>
    <s v="Proyecto operacional"/>
    <s v="Enviado"/>
    <s v="22.04.012"/>
    <x v="270"/>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n v="3"/>
    <s v="Escalera"/>
    <n v="4"/>
    <n v="1"/>
    <n v="150000"/>
    <n v="150000"/>
    <x v="4"/>
    <x v="31"/>
    <x v="43"/>
    <x v="48"/>
    <s v="64-2335492-"/>
    <s v="CAROLINA.SILVALL@REDSALUD.GOB.CL"/>
    <x v="20"/>
    <m/>
    <n v="0"/>
    <m/>
    <n v="0"/>
    <n v="0"/>
    <m/>
    <x v="1"/>
    <x v="2"/>
  </r>
  <r>
    <s v="SERVICIO DE SALUD OSORNO"/>
    <s v="Administración de Fondos"/>
    <x v="271"/>
    <s v="Proyecto operacional"/>
    <s v="Enviado"/>
    <s v="22.04.012"/>
    <x v="270"/>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n v="3"/>
    <s v="Orilladora"/>
    <n v="4"/>
    <n v="1"/>
    <n v="70000"/>
    <n v="70000"/>
    <x v="4"/>
    <x v="31"/>
    <x v="43"/>
    <x v="48"/>
    <s v="64-2335492-"/>
    <s v="CAROLINA.SILVALL@REDSALUD.GOB.CL"/>
    <x v="20"/>
    <m/>
    <n v="0"/>
    <m/>
    <n v="0"/>
    <n v="0"/>
    <m/>
    <x v="1"/>
    <x v="2"/>
  </r>
  <r>
    <s v="SERVICIO DE SALUD OSORNO"/>
    <s v="Administración de Fondos"/>
    <x v="271"/>
    <s v="Proyecto operacional"/>
    <s v="Enviado"/>
    <s v="22.04.012"/>
    <x v="270"/>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n v="3"/>
    <s v="FOCO - SECADOR"/>
    <n v="4"/>
    <n v="5"/>
    <n v="15000"/>
    <n v="75000"/>
    <x v="4"/>
    <x v="31"/>
    <x v="43"/>
    <x v="48"/>
    <s v="64-2335492-"/>
    <s v="CAROLINA.SILVALL@REDSALUD.GOB.CL"/>
    <x v="20"/>
    <m/>
    <n v="0"/>
    <m/>
    <n v="0"/>
    <n v="0"/>
    <m/>
    <x v="1"/>
    <x v="2"/>
  </r>
  <r>
    <s v="SERVICIO DE SALUD OSORNO"/>
    <s v="Administración de Fondos"/>
    <x v="272"/>
    <s v="Proyecto operacional"/>
    <s v="Enviado"/>
    <s v="29.06.001"/>
    <x v="271"/>
    <s v="Se requiere la adquisición de una impresora en reemplazo de la actualmente existente, la cual presenta deterioro y no se encuentra en condiciones óptimas de funcionamiento. Esta reposición es necesaria para asegurar la continuidad operativa y el adecuado desempeño de las labores de la unidad."/>
    <n v="1"/>
    <s v="Impresora"/>
    <n v="4"/>
    <n v="1"/>
    <n v="360000"/>
    <n v="360000"/>
    <x v="4"/>
    <x v="38"/>
    <x v="43"/>
    <x v="48"/>
    <s v="64-2335492-"/>
    <s v="CAROLINA.SILVALL@REDSALUD.GOB.CL"/>
    <x v="19"/>
    <m/>
    <n v="0"/>
    <m/>
    <n v="0"/>
    <n v="0"/>
    <m/>
    <x v="1"/>
    <x v="2"/>
  </r>
  <r>
    <s v="SERVICIO DE SALUD OSORNO"/>
    <s v="Bienes y Servicios"/>
    <x v="273"/>
    <s v="Proyecto operacional"/>
    <s v="Enviado"/>
    <s v="22.07.001"/>
    <x v="272"/>
    <s v="Se requiere servicio de grabación y emisión de 4 avisos radiales promocionales de vacunación escolar y otras vacunas del calendario programatico (4 mensajes totales), en radioemisora de alcance provincial y que tenga alcance obligatorio en las comunas de Osorno, Purranque, Río Negro y San Pablo. Emisión de lunes a domingo 7 veces al día por 2 meses, iniciando el mes de agosto hasta fines del mes de septiembre de 2026."/>
    <n v="1"/>
    <s v="Difusión Radial"/>
    <n v="4"/>
    <n v="4"/>
    <n v="357000"/>
    <n v="1428000"/>
    <x v="4"/>
    <x v="36"/>
    <x v="78"/>
    <x v="78"/>
    <s v="64-2335829-"/>
    <s v="carolina.lagos@redsalud.gob.cl"/>
    <x v="24"/>
    <m/>
    <n v="0"/>
    <m/>
    <n v="0"/>
    <n v="0"/>
    <m/>
    <x v="1"/>
    <x v="4"/>
  </r>
  <r>
    <s v="SERVICIO DE SALUD OSORNO"/>
    <s v="Bienes y Servicios"/>
    <x v="274"/>
    <s v="Proyecto operacional"/>
    <s v="Enviado"/>
    <s v="22.04.001"/>
    <x v="273"/>
    <s v="Etiquetas y rollos de papel para la dispensación de los medicamentos para el tratamiento farmacológico de los usuarios, y rollos de papel para la impresión de las citaciones agendada a usuarios."/>
    <n v="2"/>
    <s v="Etiquetas"/>
    <n v="4"/>
    <n v="60"/>
    <n v="6000"/>
    <n v="360000"/>
    <x v="4"/>
    <x v="35"/>
    <x v="79"/>
    <x v="22"/>
    <s v="64-2335608-"/>
    <s v="yuvit.garciachacur@redsalud.gob.cl"/>
    <x v="13"/>
    <m/>
    <n v="0"/>
    <m/>
    <n v="0"/>
    <n v="0"/>
    <m/>
    <x v="1"/>
    <x v="4"/>
  </r>
  <r>
    <s v="SERVICIO DE SALUD OSORNO"/>
    <s v="Bienes y Servicios"/>
    <x v="274"/>
    <s v="Proyecto operacional"/>
    <s v="Enviado"/>
    <s v="22.04.001"/>
    <x v="273"/>
    <s v="Etiquetas y rollos de papel para la dispensación de los medicamentos para el tratamiento farmacológico de los usuarios, y rollos de papel para la impresión de las citaciones agendada a usuarios."/>
    <n v="2"/>
    <s v="Insumos de Impresora"/>
    <n v="4"/>
    <n v="200"/>
    <n v="4000"/>
    <n v="800000"/>
    <x v="4"/>
    <x v="35"/>
    <x v="79"/>
    <x v="22"/>
    <s v="64-2335608-"/>
    <s v="yuvit.garciachacur@redsalud.gob.cl"/>
    <x v="13"/>
    <m/>
    <n v="0"/>
    <m/>
    <n v="0"/>
    <n v="0"/>
    <m/>
    <x v="1"/>
    <x v="4"/>
  </r>
  <r>
    <s v="SERVICIO DE SALUD OSORNO"/>
    <s v="Bienes y Servicios"/>
    <x v="275"/>
    <s v="Proyecto operacional"/>
    <s v="Enviado"/>
    <s v="22.01.001"/>
    <x v="274"/>
    <s v="MATERIAL PARA DIFUSIÓN, PROMOCIÓN Y PARA LAS ACCIONES PREVENTIVAS DEL PROGRAMA DE CÁNCERES MÁS PREVALENTES EN LAS MUJERES DE LA PROVINCIA, CON EL FIN DE LOGRAR SU COMETIDO, SE COMENZARÁ A EJECUTAR DESDE ENERO DEL 2026 HASTA DICIEMBRE DEL 2026."/>
    <n v="4"/>
    <s v="Servicio Cafeteria"/>
    <n v="4"/>
    <n v="4"/>
    <n v="375000"/>
    <n v="1500000"/>
    <x v="4"/>
    <x v="38"/>
    <x v="80"/>
    <x v="79"/>
    <s v="64-2335873-"/>
    <s v="franco.fuentes@redsalud.gob.cl"/>
    <x v="19"/>
    <m/>
    <n v="0"/>
    <m/>
    <n v="0"/>
    <n v="0"/>
    <m/>
    <x v="1"/>
    <x v="4"/>
  </r>
  <r>
    <s v="SERVICIO DE SALUD OSORNO"/>
    <s v="Bienes y Servicios"/>
    <x v="275"/>
    <s v="Proyecto operacional"/>
    <s v="Enviado"/>
    <s v="22.01.001"/>
    <x v="274"/>
    <s v="MATERIAL PARA DIFUSIÓN, PROMOCIÓN Y PARA LAS ACCIONES PREVENTIVAS DEL PROGRAMA DE CÁNCERES MÁS PREVALENTES EN LAS MUJERES DE LA PROVINCIA, CON EL FIN DE LOGRAR SU COMETIDO, SE COMENZARÁ A EJECUTAR DESDE ENERO DEL 2026 HASTA DICIEMBRE DEL 2026."/>
    <n v="4"/>
    <s v="Material Promocional"/>
    <n v="4"/>
    <n v="3"/>
    <n v="1666667"/>
    <n v="5000001"/>
    <x v="4"/>
    <x v="32"/>
    <x v="80"/>
    <x v="79"/>
    <s v="64-2335873-"/>
    <s v="franco.fuentes@redsalud.gob.cl"/>
    <x v="21"/>
    <m/>
    <n v="0"/>
    <m/>
    <n v="0"/>
    <n v="0"/>
    <m/>
    <x v="1"/>
    <x v="4"/>
  </r>
  <r>
    <s v="SERVICIO DE SALUD OSORNO"/>
    <s v="Bienes y Servicios"/>
    <x v="275"/>
    <s v="Proyecto operacional"/>
    <s v="Enviado"/>
    <s v="22.01.001"/>
    <x v="274"/>
    <s v="MATERIAL PARA DIFUSIÓN, PROMOCIÓN Y PARA LAS ACCIONES PREVENTIVAS DEL PROGRAMA DE CÁNCERES MÁS PREVALENTES EN LAS MUJERES DE LA PROVINCIA, CON EL FIN DE LOGRAR SU COMETIDO, SE COMENZARÁ A EJECUTAR DESDE ENERO DEL 2026 HASTA DICIEMBRE DEL 2026."/>
    <n v="4"/>
    <s v="Feria Salud"/>
    <n v="4"/>
    <n v="3"/>
    <n v="1666667"/>
    <n v="5000001"/>
    <x v="4"/>
    <x v="38"/>
    <x v="80"/>
    <x v="79"/>
    <s v="64-2335873-"/>
    <s v="franco.fuentes@redsalud.gob.cl"/>
    <x v="19"/>
    <m/>
    <n v="0"/>
    <m/>
    <n v="0"/>
    <n v="0"/>
    <m/>
    <x v="1"/>
    <x v="4"/>
  </r>
  <r>
    <s v="SERVICIO DE SALUD OSORNO"/>
    <s v="Bienes y Servicios"/>
    <x v="275"/>
    <s v="Proyecto operacional"/>
    <s v="Enviado"/>
    <s v="22.01.001"/>
    <x v="274"/>
    <s v="MATERIAL PARA DIFUSIÓN, PROMOCIÓN Y PARA LAS ACCIONES PREVENTIVAS DEL PROGRAMA DE CÁNCERES MÁS PREVALENTES EN LAS MUJERES DE LA PROVINCIA, CON EL FIN DE LOGRAR SU COMETIDO, SE COMENZARÁ A EJECUTAR DESDE ENERO DEL 2026 HASTA DICIEMBRE DEL 2026."/>
    <n v="4"/>
    <s v="Viales VPH"/>
    <n v="4"/>
    <n v="4000"/>
    <n v="12733"/>
    <n v="50932000"/>
    <x v="4"/>
    <x v="35"/>
    <x v="80"/>
    <x v="79"/>
    <s v="64-2335873-"/>
    <s v="franco.fuentes@redsalud.gob.cl"/>
    <x v="13"/>
    <m/>
    <n v="0"/>
    <m/>
    <n v="0"/>
    <n v="0"/>
    <m/>
    <x v="1"/>
    <x v="4"/>
  </r>
  <r>
    <s v="SERVICIO DE SALUD OSORNO"/>
    <s v="Bienes y Servicios"/>
    <x v="276"/>
    <s v="Proyecto operacional"/>
    <s v="Enviado"/>
    <s v="22.04.999"/>
    <x v="275"/>
    <s v="Se requiere la adquisición de 4 megáfonos y 6 gabinetes para la comunicación en emergencias, gestión de riesgos y protección de equipos, que serán instalados en las 6 vías de evacuación con que cuentan las nuevas instalaciones de COSAM Rahue, ubicadas en calle Guatemala 1402."/>
    <n v="1"/>
    <s v="Megafono"/>
    <n v="4"/>
    <n v="4"/>
    <n v="150000"/>
    <n v="600000"/>
    <x v="4"/>
    <x v="35"/>
    <x v="79"/>
    <x v="22"/>
    <s v="64-2335608-"/>
    <s v="yuvit.garciachacur@redsalud.gob.cl"/>
    <x v="13"/>
    <m/>
    <n v="0"/>
    <m/>
    <n v="0"/>
    <n v="0"/>
    <m/>
    <x v="1"/>
    <x v="4"/>
  </r>
  <r>
    <s v="SERVICIO DE SALUD OSORNO"/>
    <s v="Activos Fijos"/>
    <x v="277"/>
    <s v="Proyecto operacional"/>
    <s v="Enviado"/>
    <s v="29.04"/>
    <x v="275"/>
    <s v="Se requiere la adquisición de 4 megáfonos y 6 gabinetes para la comunicación en emergencias, gestión de riesgos y protección de equipos, que serán instalados en las 6 vías de evacuación con que cuentan las nuevas instalaciones de COSAM Rahue, ubicadas en calle Guatemala 1402."/>
    <n v="1"/>
    <s v="Mueble aéreo"/>
    <n v="4"/>
    <n v="6"/>
    <n v="130000"/>
    <n v="780000"/>
    <x v="4"/>
    <x v="35"/>
    <x v="79"/>
    <x v="22"/>
    <s v="64-2335608-"/>
    <s v="yuvit.garciachacur@redsalud.gob.cl"/>
    <x v="13"/>
    <m/>
    <n v="0"/>
    <m/>
    <n v="0"/>
    <n v="0"/>
    <m/>
    <x v="1"/>
    <x v="5"/>
  </r>
  <r>
    <s v="SERVICIO DE SALUD OSORNO"/>
    <s v="Bienes y Servicios"/>
    <x v="278"/>
    <s v="Proyecto operacional"/>
    <s v="Enviado"/>
    <s v="22.04"/>
    <x v="276"/>
    <s v="Adquisisón de insumos relacionados con la mantención adecuada de la cadena de frío de los productos biológicos que los centros de salud mantienen en custodia en los vacunatorios de la provincia, según normativa del Programa Nacional de Inmunizaciones. Se requiere compra de este material durante el mes de abril de 2026."/>
    <n v="3"/>
    <s v="Baterias"/>
    <n v="4"/>
    <n v="60"/>
    <n v="1050"/>
    <n v="63000"/>
    <x v="4"/>
    <x v="24"/>
    <x v="78"/>
    <x v="78"/>
    <s v="64-2335829-"/>
    <s v="carolina.lagos@redsalud.gob.cl"/>
    <x v="14"/>
    <m/>
    <n v="0"/>
    <m/>
    <n v="0"/>
    <n v="0"/>
    <m/>
    <x v="1"/>
    <x v="4"/>
  </r>
  <r>
    <s v="SERVICIO DE SALUD OSORNO"/>
    <s v="Bienes y Servicios"/>
    <x v="278"/>
    <s v="Proyecto operacional"/>
    <s v="Enviado"/>
    <s v="22.04"/>
    <x v="276"/>
    <s v="Adquisisón de insumos relacionados con la mantención adecuada de la cadena de frío de los productos biológicos que los centros de salud mantienen en custodia en los vacunatorios de la provincia, según normativa del Programa Nacional de Inmunizaciones. Se requiere compra de este material durante el mes de abril de 2026."/>
    <n v="3"/>
    <s v="Cables y Sensores"/>
    <n v="4"/>
    <n v="60"/>
    <n v="52734"/>
    <n v="3164040"/>
    <x v="4"/>
    <x v="24"/>
    <x v="78"/>
    <x v="78"/>
    <s v="64-2335829-"/>
    <s v="carolina.lagos@redsalud.gob.cl"/>
    <x v="14"/>
    <m/>
    <n v="0"/>
    <m/>
    <n v="0"/>
    <n v="0"/>
    <m/>
    <x v="1"/>
    <x v="4"/>
  </r>
  <r>
    <s v="SERVICIO DE SALUD OSORNO"/>
    <s v="Bienes y Servicios"/>
    <x v="278"/>
    <s v="Proyecto operacional"/>
    <s v="Enviado"/>
    <s v="22.04"/>
    <x v="276"/>
    <s v="Adquisisón de insumos relacionados con la mantención adecuada de la cadena de frío de los productos biológicos que los centros de salud mantienen en custodia en los vacunatorios de la provincia, según normativa del Programa Nacional de Inmunizaciones. Se requiere compra de este material durante el mes de abril de 2026."/>
    <n v="3"/>
    <s v="Maleta - Cooler"/>
    <n v="4"/>
    <n v="44"/>
    <n v="53495"/>
    <n v="2353780"/>
    <x v="4"/>
    <x v="24"/>
    <x v="78"/>
    <x v="78"/>
    <s v="64-2335829-"/>
    <s v="carolina.lagos@redsalud.gob.cl"/>
    <x v="14"/>
    <m/>
    <n v="0"/>
    <m/>
    <n v="0"/>
    <n v="0"/>
    <m/>
    <x v="1"/>
    <x v="4"/>
  </r>
  <r>
    <s v="SERVICIO DE SALUD OSORNO"/>
    <s v="Bienes y Servicios"/>
    <x v="279"/>
    <s v="Proyecto operacional"/>
    <s v="Enviado"/>
    <s v="22.01.001"/>
    <x v="277"/>
    <s v="Se requiere adquirir recursos para conmemorar el Día del Autocuidado en la comunidad funcionaria el 24 de julio de 2026, donde se realizará una feria de salud durante la jornada de mañana y tarde. En esta feria, se invitará a funcionarios/as con emprendimientos relacionados al autocuidado a tener un stand para mostrar y vender sus productos. También, se contará con una profesora de yoga que realizará una actividad por jornada, y una instructora que ofrecerá masajes durante el día."/>
    <n v="2"/>
    <s v="Profesor Instructor"/>
    <n v="4"/>
    <n v="2"/>
    <n v="180000"/>
    <n v="360000"/>
    <x v="4"/>
    <x v="33"/>
    <x v="50"/>
    <x v="54"/>
    <s v="64-2337034-"/>
    <s v="lhya.kortmann@redsalud.gob.cl"/>
    <x v="22"/>
    <m/>
    <n v="0"/>
    <m/>
    <n v="0"/>
    <n v="0"/>
    <m/>
    <x v="1"/>
    <x v="4"/>
  </r>
  <r>
    <s v="SERVICIO DE SALUD OSORNO"/>
    <s v="Bienes y Servicios"/>
    <x v="279"/>
    <s v="Proyecto operacional"/>
    <s v="Enviado"/>
    <s v="22.01.001"/>
    <x v="277"/>
    <s v="Se requiere adquirir recursos para conmemorar el Día del Autocuidado en la comunidad funcionaria el 24 de julio de 2026, donde se realizará una feria de salud durante la jornada de mañana y tarde. En esta feria, se invitará a funcionarios/as con emprendimientos relacionados al autocuidado a tener un stand para mostrar y vender sus productos. También, se contará con una profesora de yoga que realizará una actividad por jornada, y una instructora que ofrecerá masajes durante el día."/>
    <n v="2"/>
    <s v="Agua Mineral"/>
    <n v="4"/>
    <n v="80"/>
    <n v="1000"/>
    <n v="80000"/>
    <x v="4"/>
    <x v="33"/>
    <x v="50"/>
    <x v="54"/>
    <s v="64-2337034-"/>
    <s v="lhya.kortmann@redsalud.gob.cl"/>
    <x v="22"/>
    <m/>
    <n v="0"/>
    <m/>
    <n v="0"/>
    <n v="0"/>
    <m/>
    <x v="1"/>
    <x v="4"/>
  </r>
  <r>
    <s v="SERVICIO DE SALUD OSORNO"/>
    <s v="Bienes y Servicios"/>
    <x v="280"/>
    <s v="Proyecto operacional"/>
    <s v="Enviado"/>
    <s v="22.04.999"/>
    <x v="180"/>
    <s v="La adquisición de implementos kinésicos para el box es fundamental para garantizar la calidad y la eficacia de los servicios de rehabilitación y tratamiento hacia los funcionarios del servicio y el Hospital (marzo- abril)"/>
    <n v="1"/>
    <s v="Insumos Kinesicos"/>
    <n v="4"/>
    <n v="7"/>
    <n v="16429"/>
    <n v="115003"/>
    <x v="4"/>
    <x v="32"/>
    <x v="61"/>
    <x v="66"/>
    <s v="64-2337034-"/>
    <s v="felipe.barriga@redsalud.gob.cl"/>
    <x v="21"/>
    <m/>
    <n v="0"/>
    <m/>
    <n v="0"/>
    <n v="0"/>
    <m/>
    <x v="1"/>
    <x v="4"/>
  </r>
  <r>
    <s v="SERVICIO DE SALUD OSORNO"/>
    <s v="Bienes y Servicios"/>
    <x v="281"/>
    <s v="Proyecto operacional"/>
    <s v="Enviado"/>
    <s v="22.04.001"/>
    <x v="278"/>
    <s v="Se solicita adquirir articulos de oficina para box de atención, salas de taller y oficinas administrativas de edificio Matta."/>
    <n v="1"/>
    <s v="Articulos de Oficina"/>
    <n v="4"/>
    <n v="45"/>
    <n v="9000"/>
    <n v="405000"/>
    <x v="4"/>
    <x v="32"/>
    <x v="81"/>
    <x v="80"/>
    <s v="64-2337363-"/>
    <s v="ximena.campos@redsalud.gob.cl"/>
    <x v="21"/>
    <m/>
    <n v="0"/>
    <m/>
    <n v="0"/>
    <n v="0"/>
    <m/>
    <x v="1"/>
    <x v="4"/>
  </r>
  <r>
    <s v="SERVICIO DE SALUD OSORNO"/>
    <s v="Administración de Fondos"/>
    <x v="282"/>
    <s v="Proyecto operacional"/>
    <s v="Enviado"/>
    <s v="29.06.001"/>
    <x v="279"/>
    <s v="Se requiere la adquisición de insumos computacionales destinados a la Unidad Ambulatoria, con el objetivo de mantener el correcto funcionamiento de los equipos y asegurar el desarrollo eficiente de las labores administrativas y técnicas del servicio."/>
    <n v="1"/>
    <s v="Equipos Computacionales"/>
    <n v="4"/>
    <n v="6"/>
    <n v="693334"/>
    <n v="4160004"/>
    <x v="4"/>
    <x v="36"/>
    <x v="82"/>
    <x v="48"/>
    <s v="64-2335492-"/>
    <s v="CAROLINA.SILVALL@REDSALUD.GOB.CL"/>
    <x v="24"/>
    <m/>
    <n v="0"/>
    <m/>
    <n v="0"/>
    <n v="0"/>
    <m/>
    <x v="1"/>
    <x v="2"/>
  </r>
  <r>
    <s v="SERVICIO DE SALUD OSORNO"/>
    <s v="Administración de Fondos"/>
    <x v="283"/>
    <s v="Proyecto operacional"/>
    <s v="Enviado"/>
    <s v="22.04.008"/>
    <x v="280"/>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n v="1"/>
    <s v="Articulos de Cocina"/>
    <n v="4"/>
    <n v="7"/>
    <n v="28572"/>
    <n v="200004"/>
    <x v="4"/>
    <x v="31"/>
    <x v="43"/>
    <x v="48"/>
    <s v="64-2335492-"/>
    <s v="CAROLINA.SILVALL@REDSALUD.GOB.CL"/>
    <x v="20"/>
    <m/>
    <n v="0"/>
    <m/>
    <n v="0"/>
    <n v="0"/>
    <m/>
    <x v="1"/>
    <x v="2"/>
  </r>
  <r>
    <s v="SERVICIO DE SALUD OSORNO"/>
    <s v="Administración de Fondos"/>
    <x v="284"/>
    <s v="Proyecto operacional"/>
    <s v="Enviado"/>
    <s v="22.04.012"/>
    <x v="281"/>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n v="3"/>
    <s v="Escalera"/>
    <n v="4"/>
    <n v="1"/>
    <n v="150000"/>
    <n v="150000"/>
    <x v="4"/>
    <x v="31"/>
    <x v="43"/>
    <x v="48"/>
    <s v="64-2335492-"/>
    <s v="CAROLINA.SILVALL@REDSALUD.GOB.CL"/>
    <x v="20"/>
    <m/>
    <n v="0"/>
    <m/>
    <n v="0"/>
    <n v="0"/>
    <m/>
    <x v="1"/>
    <x v="2"/>
  </r>
  <r>
    <s v="SERVICIO DE SALUD OSORNO"/>
    <s v="Administración de Fondos"/>
    <x v="284"/>
    <s v="Proyecto operacional"/>
    <s v="Enviado"/>
    <s v="22.04.012"/>
    <x v="281"/>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n v="3"/>
    <s v="Orilladora"/>
    <n v="4"/>
    <n v="1"/>
    <n v="70000"/>
    <n v="70000"/>
    <x v="4"/>
    <x v="31"/>
    <x v="43"/>
    <x v="48"/>
    <s v="64-2335492-"/>
    <s v="CAROLINA.SILVALL@REDSALUD.GOB.CL"/>
    <x v="20"/>
    <m/>
    <n v="0"/>
    <m/>
    <n v="0"/>
    <n v="0"/>
    <m/>
    <x v="1"/>
    <x v="2"/>
  </r>
  <r>
    <s v="SERVICIO DE SALUD OSORNO"/>
    <s v="Administración de Fondos"/>
    <x v="284"/>
    <s v="Proyecto operacional"/>
    <s v="Enviado"/>
    <s v="22.04.012"/>
    <x v="281"/>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n v="3"/>
    <s v="Focos"/>
    <n v="4"/>
    <n v="4"/>
    <n v="15000"/>
    <n v="60000"/>
    <x v="4"/>
    <x v="31"/>
    <x v="43"/>
    <x v="48"/>
    <s v="64-2335492-"/>
    <s v="CAROLINA.SILVALL@REDSALUD.GOB.CL"/>
    <x v="20"/>
    <m/>
    <n v="0"/>
    <m/>
    <n v="0"/>
    <n v="0"/>
    <m/>
    <x v="1"/>
    <x v="2"/>
  </r>
  <r>
    <s v="SERVICIO DE SALUD OSORNO"/>
    <s v="Administración de Fondos"/>
    <x v="285"/>
    <s v="Proyecto operacional"/>
    <s v="Enviado"/>
    <s v="22.01.001"/>
    <x v="282"/>
    <s v="Adquisicion de productos e insumos para la prevencion, promocion, localizacion de casos, diagnostico y adherencia al tratamiento de usuarios/as con Tuberculosis."/>
    <n v="6"/>
    <s v="Servicio Cafeteria"/>
    <n v="4"/>
    <n v="1"/>
    <n v="4600000"/>
    <n v="4600000"/>
    <x v="4"/>
    <x v="36"/>
    <x v="83"/>
    <x v="81"/>
    <s v="64-2335465-"/>
    <s v="mariapaz.gomez.n@redsalud.gob.cl"/>
    <x v="24"/>
    <m/>
    <n v="0"/>
    <m/>
    <n v="0"/>
    <n v="0"/>
    <m/>
    <x v="1"/>
    <x v="2"/>
  </r>
  <r>
    <s v="SERVICIO DE SALUD OSORNO"/>
    <s v="Administración de Fondos"/>
    <x v="285"/>
    <s v="Proyecto operacional"/>
    <s v="Enviado"/>
    <s v="22.01.001"/>
    <x v="282"/>
    <s v="Adquisicion de productos e insumos para la prevencion, promocion, localizacion de casos, diagnostico y adherencia al tratamiento de usuarios/as con Tuberculosis."/>
    <n v="6"/>
    <s v="Alimentación"/>
    <n v="4"/>
    <n v="76"/>
    <n v="83816"/>
    <n v="6370016"/>
    <x v="4"/>
    <x v="26"/>
    <x v="83"/>
    <x v="81"/>
    <s v="64-2335465-"/>
    <s v="mariapaz.gomez.n@redsalud.gob.cl"/>
    <x v="24"/>
    <m/>
    <n v="0"/>
    <m/>
    <n v="0"/>
    <n v="0"/>
    <m/>
    <x v="1"/>
    <x v="2"/>
  </r>
  <r>
    <s v="SERVICIO DE SALUD OSORNO"/>
    <s v="Administración de Fondos"/>
    <x v="285"/>
    <s v="Proyecto operacional"/>
    <s v="Enviado"/>
    <s v="22.01.001"/>
    <x v="282"/>
    <s v="Adquisicion de productos e insumos para la prevencion, promocion, localizacion de casos, diagnostico y adherencia al tratamiento de usuarios/as con Tuberculosis."/>
    <n v="6"/>
    <s v="Menaje"/>
    <n v="4"/>
    <n v="3"/>
    <n v="13334"/>
    <n v="40002"/>
    <x v="4"/>
    <x v="26"/>
    <x v="83"/>
    <x v="81"/>
    <s v="64-2335465-"/>
    <s v="mariapaz.gomez.n@redsalud.gob.cl"/>
    <x v="24"/>
    <m/>
    <n v="0"/>
    <m/>
    <n v="0"/>
    <n v="0"/>
    <m/>
    <x v="1"/>
    <x v="2"/>
  </r>
  <r>
    <s v="SERVICIO DE SALUD OSORNO"/>
    <s v="Administración de Fondos"/>
    <x v="285"/>
    <s v="Proyecto operacional"/>
    <s v="Enviado"/>
    <s v="22.01.001"/>
    <x v="282"/>
    <s v="Adquisicion de productos e insumos para la prevencion, promocion, localizacion de casos, diagnostico y adherencia al tratamiento de usuarios/as con Tuberculosis."/>
    <n v="6"/>
    <s v="Kit de aseo"/>
    <n v="4"/>
    <n v="60"/>
    <n v="20000"/>
    <n v="1200000"/>
    <x v="4"/>
    <x v="26"/>
    <x v="83"/>
    <x v="81"/>
    <s v="64-2335465-"/>
    <s v="mariapaz.gomez.n@redsalud.gob.cl"/>
    <x v="24"/>
    <m/>
    <n v="0"/>
    <m/>
    <n v="0"/>
    <n v="0"/>
    <m/>
    <x v="1"/>
    <x v="2"/>
  </r>
  <r>
    <s v="SERVICIO DE SALUD OSORNO"/>
    <s v="Administración de Fondos"/>
    <x v="285"/>
    <s v="Proyecto operacional"/>
    <s v="Enviado"/>
    <s v="22.01.001"/>
    <x v="282"/>
    <s v="Adquisicion de productos e insumos para la prevencion, promocion, localizacion de casos, diagnostico y adherencia al tratamiento de usuarios/as con Tuberculosis."/>
    <n v="6"/>
    <s v="Quantiferon"/>
    <n v="4"/>
    <n v="1"/>
    <n v="4000000"/>
    <n v="4000000"/>
    <x v="4"/>
    <x v="26"/>
    <x v="83"/>
    <x v="81"/>
    <s v="64-2335465-"/>
    <s v="mariapaz.gomez.n@redsalud.gob.cl"/>
    <x v="24"/>
    <m/>
    <n v="0"/>
    <m/>
    <n v="0"/>
    <n v="0"/>
    <m/>
    <x v="1"/>
    <x v="2"/>
  </r>
  <r>
    <s v="SERVICIO DE SALUD OSORNO"/>
    <s v="Administración de Fondos"/>
    <x v="285"/>
    <s v="Proyecto operacional"/>
    <s v="Enviado"/>
    <s v="22.01.001"/>
    <x v="282"/>
    <s v="Adquisicion de productos e insumos para la prevencion, promocion, localizacion de casos, diagnostico y adherencia al tratamiento de usuarios/as con Tuberculosis."/>
    <n v="6"/>
    <s v="Mantención equipos críticos"/>
    <n v="4"/>
    <n v="1"/>
    <n v="2500000"/>
    <n v="2500000"/>
    <x v="4"/>
    <x v="26"/>
    <x v="83"/>
    <x v="81"/>
    <s v="64-2335465-"/>
    <s v="mariapaz.gomez.n@redsalud.gob.cl"/>
    <x v="24"/>
    <m/>
    <n v="0"/>
    <m/>
    <n v="0"/>
    <n v="0"/>
    <m/>
    <x v="1"/>
    <x v="2"/>
  </r>
  <r>
    <s v="SERVICIO DE SALUD OSORNO"/>
    <s v="Bienes y Servicios"/>
    <x v="286"/>
    <s v="Proyecto operacional"/>
    <s v="Enviado"/>
    <s v="22.01.001"/>
    <x v="283"/>
    <s v="Apoyo logístico (materiales de trabajo, libreria, insumos de cafeteria,etc.) para 4 convocatorias a capacitaciones, talleres, jornadas y reuniones de trabajo con la red de coordinadores de emergencia de la red. meses de ejecucion febrero - marzo - junio-septiembre-diciembre"/>
    <n v="3"/>
    <s v="Pendrives"/>
    <n v="4"/>
    <n v="30"/>
    <n v="5000"/>
    <n v="150000"/>
    <x v="4"/>
    <x v="38"/>
    <x v="2"/>
    <x v="3"/>
    <s v="64-2337728-"/>
    <s v="CATALINA.VERAC@REDSALUD.GOB.CL"/>
    <x v="19"/>
    <m/>
    <n v="0"/>
    <m/>
    <n v="0"/>
    <n v="0"/>
    <m/>
    <x v="1"/>
    <x v="4"/>
  </r>
  <r>
    <s v="SERVICIO DE SALUD OSORNO"/>
    <s v="Bienes y Servicios"/>
    <x v="286"/>
    <s v="Proyecto operacional"/>
    <s v="Enviado"/>
    <s v="22.01.001"/>
    <x v="283"/>
    <s v="Apoyo logístico (materiales de trabajo, libreria, insumos de cafeteria,etc.) para 4 convocatorias a capacitaciones, talleres, jornadas y reuniones de trabajo con la red de coordinadores de emergencia de la red. meses de ejecucion febrero - marzo - junio-septiembre-diciembre"/>
    <n v="3"/>
    <s v="Porta Planos + Cinta Credencial"/>
    <n v="4"/>
    <n v="31"/>
    <n v="807"/>
    <n v="25017"/>
    <x v="4"/>
    <x v="38"/>
    <x v="2"/>
    <x v="3"/>
    <s v="64-2337728-"/>
    <s v="CATALINA.VERAC@REDSALUD.GOB.CL"/>
    <x v="19"/>
    <m/>
    <n v="0"/>
    <m/>
    <n v="0"/>
    <n v="0"/>
    <m/>
    <x v="1"/>
    <x v="4"/>
  </r>
  <r>
    <s v="SERVICIO DE SALUD OSORNO"/>
    <s v="Bienes y Servicios"/>
    <x v="286"/>
    <s v="Proyecto operacional"/>
    <s v="Enviado"/>
    <s v="22.01.001"/>
    <x v="283"/>
    <s v="Apoyo logístico (materiales de trabajo, libreria, insumos de cafeteria,etc.) para 4 convocatorias a capacitaciones, talleres, jornadas y reuniones de trabajo con la red de coordinadores de emergencia de la red. meses de ejecucion febrero - marzo - junio-septiembre-diciembre"/>
    <n v="3"/>
    <s v="Alimentación"/>
    <n v="4"/>
    <n v="308"/>
    <n v="1192"/>
    <n v="367136"/>
    <x v="7"/>
    <x v="46"/>
    <x v="2"/>
    <x v="3"/>
    <s v="64-2337728-"/>
    <s v="CATALINA.VERAC@REDSALUD.GOB.CL"/>
    <x v="21"/>
    <m/>
    <n v="0"/>
    <m/>
    <n v="0"/>
    <n v="0"/>
    <m/>
    <x v="1"/>
    <x v="4"/>
  </r>
  <r>
    <s v="SERVICIO DE SALUD OSORNO"/>
    <s v="Activos Fijos"/>
    <x v="287"/>
    <s v="Proyecto operacional"/>
    <s v="Enviado"/>
    <s v="31.02.005"/>
    <x v="284"/>
    <s v="Proyecto con fuente de financiamiento sectorial. Ejecución proyectada para abril 2026"/>
    <n v="2"/>
    <s v="Equipamiento Medico"/>
    <n v="4"/>
    <n v="1"/>
    <n v="5731000"/>
    <n v="5731000"/>
    <x v="4"/>
    <x v="24"/>
    <x v="66"/>
    <x v="69"/>
    <s v="64-2337386-"/>
    <s v="maria.munozp@redsalud.gob.cl"/>
    <x v="14"/>
    <m/>
    <n v="0"/>
    <m/>
    <n v="0"/>
    <n v="0"/>
    <m/>
    <x v="1"/>
    <x v="5"/>
  </r>
  <r>
    <s v="SERVICIO DE SALUD OSORNO"/>
    <s v="Activos Fijos"/>
    <x v="287"/>
    <s v="Proyecto operacional"/>
    <s v="Enviado"/>
    <s v="31.02.005"/>
    <x v="284"/>
    <s v="Proyecto con fuente de financiamiento sectorial. Ejecución proyectada para abril 2026"/>
    <n v="2"/>
    <s v="Equipo Medico"/>
    <n v="4"/>
    <n v="1"/>
    <n v="1042000"/>
    <n v="1042000"/>
    <x v="4"/>
    <x v="24"/>
    <x v="66"/>
    <x v="69"/>
    <s v="64-2337386-"/>
    <s v="maria.munozp@redsalud.gob.cl"/>
    <x v="14"/>
    <m/>
    <n v="0"/>
    <m/>
    <n v="0"/>
    <n v="0"/>
    <m/>
    <x v="1"/>
    <x v="5"/>
  </r>
  <r>
    <s v="SERVICIO DE SALUD OSORNO"/>
    <s v="Bienes y Servicios"/>
    <x v="288"/>
    <s v="Proyecto operacional"/>
    <s v="Enviado"/>
    <s v="22.07.999"/>
    <x v="282"/>
    <s v="Adquisición de productos e insumos para la prevención, promoción, localización de casos, diagnostico y adherencia al tratamiento de usuarios/as con Tuberculosis."/>
    <n v="2"/>
    <s v="Pendones"/>
    <n v="4"/>
    <n v="20"/>
    <n v="60000"/>
    <n v="1200000"/>
    <x v="4"/>
    <x v="25"/>
    <x v="83"/>
    <x v="81"/>
    <s v="64-2335465-"/>
    <s v="mariapaz.gomez.n@redsalud.gob.cl"/>
    <x v="15"/>
    <m/>
    <n v="0"/>
    <m/>
    <n v="0"/>
    <n v="0"/>
    <m/>
    <x v="1"/>
    <x v="4"/>
  </r>
  <r>
    <s v="SERVICIO DE SALUD OSORNO"/>
    <s v="Bienes y Servicios"/>
    <x v="288"/>
    <s v="Proyecto operacional"/>
    <s v="Enviado"/>
    <s v="22.07.999"/>
    <x v="282"/>
    <s v="Adquisición de productos e insumos para la prevención, promoción, localización de casos, diagnostico y adherencia al tratamiento de usuarios/as con Tuberculosis."/>
    <n v="2"/>
    <s v="Material Promocional"/>
    <n v="4"/>
    <n v="10020"/>
    <n v="130"/>
    <n v="1302600"/>
    <x v="4"/>
    <x v="25"/>
    <x v="83"/>
    <x v="81"/>
    <s v="64-2335465-"/>
    <s v="mariapaz.gomez.n@redsalud.gob.cl"/>
    <x v="15"/>
    <m/>
    <n v="0"/>
    <m/>
    <n v="0"/>
    <n v="0"/>
    <m/>
    <x v="1"/>
    <x v="4"/>
  </r>
  <r>
    <s v="SERVICIO DE SALUD OSORNO"/>
    <s v="Bienes y Servicios"/>
    <x v="289"/>
    <s v="Proyecto operacional"/>
    <s v="Enviado"/>
    <n v="2496"/>
    <x v="285"/>
    <s v="Adquisición de artículos de oficina y materiales para el desarrollo de funciones administrativas y actividades programadas por las distintas unidades del Departamento de Calidad de Vida."/>
    <n v="3"/>
    <s v="Material de Oficina"/>
    <n v="4"/>
    <n v="18"/>
    <n v="10223"/>
    <n v="184014"/>
    <x v="4"/>
    <x v="35"/>
    <x v="27"/>
    <x v="82"/>
    <s v="64-2337096-"/>
    <s v="claudia.munozga@redsalud.gob.cl"/>
    <x v="13"/>
    <m/>
    <n v="0"/>
    <m/>
    <n v="0"/>
    <n v="0"/>
    <m/>
    <x v="1"/>
    <x v="4"/>
  </r>
  <r>
    <s v="SERVICIO DE SALUD OSORNO"/>
    <s v="Bienes y Servicios"/>
    <x v="289"/>
    <s v="Proyecto operacional"/>
    <s v="Enviado"/>
    <n v="2496"/>
    <x v="285"/>
    <s v="Adquisición de artículos de oficina y materiales para el desarrollo de funciones administrativas y actividades programadas por las distintas unidades del Departamento de Calidad de Vida."/>
    <n v="3"/>
    <s v="Papelero"/>
    <n v="4"/>
    <n v="2"/>
    <n v="10000"/>
    <n v="20000"/>
    <x v="4"/>
    <x v="35"/>
    <x v="27"/>
    <x v="82"/>
    <s v="64-2337096-"/>
    <s v="claudia.munozga@redsalud.gob.cl"/>
    <x v="13"/>
    <m/>
    <n v="0"/>
    <m/>
    <n v="0"/>
    <n v="0"/>
    <m/>
    <x v="1"/>
    <x v="4"/>
  </r>
  <r>
    <s v="SERVICIO DE SALUD OSORNO"/>
    <s v="Bienes y Servicios"/>
    <x v="289"/>
    <s v="Proyecto operacional"/>
    <s v="Enviado"/>
    <n v="2496"/>
    <x v="285"/>
    <s v="Adquisición de artículos de oficina y materiales para el desarrollo de funciones administrativas y actividades programadas por las distintas unidades del Departamento de Calidad de Vida."/>
    <n v="3"/>
    <s v="Caja Plastica"/>
    <n v="4"/>
    <n v="2"/>
    <n v="9000"/>
    <n v="18000"/>
    <x v="4"/>
    <x v="35"/>
    <x v="27"/>
    <x v="82"/>
    <s v="64-2337096-"/>
    <s v="claudia.munozga@redsalud.gob.cl"/>
    <x v="13"/>
    <m/>
    <n v="0"/>
    <m/>
    <n v="0"/>
    <n v="0"/>
    <m/>
    <x v="1"/>
    <x v="4"/>
  </r>
  <r>
    <s v="SERVICIO DE SALUD OSORNO"/>
    <s v="Bienes y Servicios"/>
    <x v="290"/>
    <s v="Proyecto operacional"/>
    <s v="Enviado"/>
    <n v="2497"/>
    <x v="286"/>
    <s v="Adquirir talonarios de recetas médicas y ordenes de examenes propias de los dispositivos (psiconeurogeriatria) para dispensación de fármacos y toma de examenes en HBSJO. (realizadas de acuerdo a protocolos de referencia y contrareferencias de los dispositivos de Ayekan y Kumelen)."/>
    <n v="1"/>
    <s v="Talonarios"/>
    <n v="4"/>
    <n v="100"/>
    <n v="2000"/>
    <n v="200000"/>
    <x v="4"/>
    <x v="38"/>
    <x v="81"/>
    <x v="80"/>
    <s v="64-2337363-"/>
    <s v="ximena.campos@redsalud.gob.cl"/>
    <x v="19"/>
    <m/>
    <n v="0"/>
    <m/>
    <n v="0"/>
    <n v="0"/>
    <m/>
    <x v="1"/>
    <x v="4"/>
  </r>
  <r>
    <s v="SERVICIO DE SALUD OSORNO"/>
    <s v="Bienes y Servicios"/>
    <x v="291"/>
    <s v="Proyecto operacional"/>
    <s v="Enviado"/>
    <n v="2498"/>
    <x v="287"/>
    <s v="SE REQUIERE LA COMPRA DE LOS INSUMOS DE OFICINA PARA EL DEPARTAMENTO DE OBRAS, EN EL MES DE MARZO 2026"/>
    <n v="2"/>
    <s v="Material de Oficina"/>
    <n v="4"/>
    <n v="13"/>
    <n v="17693"/>
    <n v="230009"/>
    <x v="4"/>
    <x v="32"/>
    <x v="84"/>
    <x v="50"/>
    <s v="64-2337382-"/>
    <s v="marta.borquez@redsalud.gob.cl"/>
    <x v="21"/>
    <m/>
    <n v="0"/>
    <m/>
    <n v="0"/>
    <n v="0"/>
    <m/>
    <x v="1"/>
    <x v="4"/>
  </r>
  <r>
    <s v="SERVICIO DE SALUD OSORNO"/>
    <s v="Bienes y Servicios"/>
    <x v="291"/>
    <s v="Proyecto operacional"/>
    <s v="Enviado"/>
    <n v="2498"/>
    <x v="287"/>
    <s v="SE REQUIERE LA COMPRA DE LOS INSUMOS DE OFICINA PARA EL DEPARTAMENTO DE OBRAS, EN EL MES DE MARZO 2026"/>
    <n v="2"/>
    <s v="Tintas y Toner"/>
    <n v="4"/>
    <n v="16"/>
    <n v="112250"/>
    <n v="1796000"/>
    <x v="4"/>
    <x v="32"/>
    <x v="84"/>
    <x v="50"/>
    <s v="64-2337382-"/>
    <s v="marta.borquez@redsalud.gob.cl"/>
    <x v="21"/>
    <m/>
    <n v="0"/>
    <m/>
    <n v="0"/>
    <n v="0"/>
    <m/>
    <x v="1"/>
    <x v="4"/>
  </r>
  <r>
    <s v="SERVICIO DE SALUD OSORNO"/>
    <s v="Bienes y Servicios"/>
    <x v="292"/>
    <s v="Proyecto operacional"/>
    <s v="Enviado"/>
    <s v="22.07.002"/>
    <x v="288"/>
    <s v="Impresión de material educativo visual y didáctico reutilizable para fortalecer las actividades de educación alimentaria en la red APS de la provincia de Osorno. La compra se ejecutará en mayo de 2025, financiada con recursos del Programa de Salud Cardiovascular."/>
    <n v="1"/>
    <s v="Folleteria"/>
    <n v="4"/>
    <n v="23"/>
    <n v="108696"/>
    <n v="2500008"/>
    <x v="4"/>
    <x v="31"/>
    <x v="24"/>
    <x v="83"/>
    <s v="64-2335808-"/>
    <s v="consuelo.cordova@redsalud.gob.cl"/>
    <x v="20"/>
    <m/>
    <n v="0"/>
    <m/>
    <n v="0"/>
    <n v="0"/>
    <m/>
    <x v="1"/>
    <x v="4"/>
  </r>
  <r>
    <s v="SERVICIO DE SALUD OSORNO"/>
    <s v="Bienes y Servicios"/>
    <x v="293"/>
    <s v="Proyecto operacional"/>
    <s v="Enviado"/>
    <s v="22.04.001"/>
    <x v="282"/>
    <s v="Adquisición de productos e insumos para la prevención, promoción, localización de casos, diagnostico y adherencia al tratamiento de usuarios/as con Tuberculosis."/>
    <n v="1"/>
    <s v="Material de Oficina"/>
    <n v="4"/>
    <n v="165"/>
    <n v="3031"/>
    <n v="500115"/>
    <x v="4"/>
    <x v="25"/>
    <x v="83"/>
    <x v="81"/>
    <s v="64-2335465-"/>
    <s v="mariapaz.gomez.n@redsalud.gob.cl"/>
    <x v="15"/>
    <m/>
    <n v="0"/>
    <m/>
    <n v="0"/>
    <n v="0"/>
    <m/>
    <x v="1"/>
    <x v="4"/>
  </r>
  <r>
    <s v="SERVICIO DE SALUD OSORNO"/>
    <s v="Bienes y Servicios"/>
    <x v="294"/>
    <s v="Proyecto operacional"/>
    <s v="Enviado"/>
    <n v="2403"/>
    <x v="289"/>
    <s v="Solicita la compra en el mes de mayo 2026 por única vez en el año de insumos de higiene oral que consiste en: cepillo dental adulto, cepillo interproximal, pasta dental adulto 1450ppm flúor, cepillo para prótesis dental, cepillo dental eléctrico recargable y repuestos para cepillo dental eléctrico recargable."/>
    <n v="1"/>
    <s v="Insumos Higiene Oral"/>
    <n v="4"/>
    <n v="555"/>
    <n v="7315"/>
    <n v="4059825"/>
    <x v="4"/>
    <x v="31"/>
    <x v="85"/>
    <x v="84"/>
    <s v="64-2335810-"/>
    <s v="gonzalo.schulz@redsalud.gob.cl"/>
    <x v="20"/>
    <m/>
    <n v="0"/>
    <m/>
    <n v="0"/>
    <n v="0"/>
    <m/>
    <x v="1"/>
    <x v="4"/>
  </r>
  <r>
    <s v="SERVICIO DE SALUD OSORNO"/>
    <s v="Bienes y Servicios"/>
    <x v="295"/>
    <s v="Proyecto operacional"/>
    <s v="Enviado"/>
    <n v="2502"/>
    <x v="290"/>
    <s v="Adquirir pilas para equipos clínicos de la unidad SAFU, tales como pesa portátil, hemoglucotest y equipo de electroterapia."/>
    <n v="1"/>
    <s v="Bateria"/>
    <n v="4"/>
    <n v="10"/>
    <n v="55000"/>
    <n v="550000"/>
    <x v="4"/>
    <x v="35"/>
    <x v="53"/>
    <x v="57"/>
    <s v="64-2337032-"/>
    <s v="daniela.cancino01@redsalud.gob.cl"/>
    <x v="13"/>
    <m/>
    <n v="0"/>
    <m/>
    <n v="0"/>
    <n v="0"/>
    <m/>
    <x v="1"/>
    <x v="4"/>
  </r>
  <r>
    <s v="SERVICIO DE SALUD OSORNO"/>
    <s v="Bienes y Servicios"/>
    <x v="296"/>
    <s v="Proyecto operacional"/>
    <s v="Enviado"/>
    <s v="22.01.001"/>
    <x v="291"/>
    <s v="Jornada de capacitación de Salud Repiratoria para 110 personas, enfocado en la Prevención, Diagnóstico y tratamiento de patologías respiratorias agudas y crónicas en el ciclo vital, destinada a profesionales médicos, enfermeras, kinesiólogos y otros que realicen atenciones de esta población, en la atención primaria."/>
    <n v="1"/>
    <s v="Servicio Cafeteria"/>
    <n v="4"/>
    <n v="110"/>
    <n v="7119"/>
    <n v="783090"/>
    <x v="4"/>
    <x v="32"/>
    <x v="78"/>
    <x v="78"/>
    <s v="64-2335829-"/>
    <s v="carolina.lagos@redsalud.gob.cl"/>
    <x v="21"/>
    <m/>
    <n v="0"/>
    <m/>
    <n v="0"/>
    <n v="0"/>
    <m/>
    <x v="1"/>
    <x v="4"/>
  </r>
  <r>
    <s v="SERVICIO DE SALUD OSORNO"/>
    <s v="Bienes y Servicios"/>
    <x v="297"/>
    <s v="Proyecto operacional"/>
    <s v="Enviado"/>
    <n v="2504"/>
    <x v="292"/>
    <s v="Jornada de capacitación de Salud Repiratoria para 110 personas, enfocado en la Prevención, Diagnóstico y tratamiento de patologías respiratorias agudas y crónicas en el ciclo vital, destinada a profesionales médicos, enfermeras, kinesiólogos y otros que realicen atenciones de esta población, en la atención primaria. Se requiere adquirir escalera para acceder a repisas de bodega de insumos, en el mes de Enero 2026."/>
    <n v="1"/>
    <s v="Escalera"/>
    <n v="4"/>
    <n v="1"/>
    <n v="60000"/>
    <n v="60000"/>
    <x v="4"/>
    <x v="35"/>
    <x v="53"/>
    <x v="57"/>
    <s v="64-2337032-"/>
    <s v="daniela.cancino01@redsalud.gob.cl"/>
    <x v="13"/>
    <m/>
    <n v="0"/>
    <m/>
    <n v="0"/>
    <n v="0"/>
    <m/>
    <x v="1"/>
    <x v="4"/>
  </r>
  <r>
    <s v="SERVICIO DE SALUD OSORNO"/>
    <s v="Bienes y Servicios"/>
    <x v="298"/>
    <s v="Proyecto operacional"/>
    <s v="Enviado"/>
    <n v="2510"/>
    <x v="293"/>
    <s v="Contrato suministro de oxígeno medicinal para la Red de Hospitales de Baja y Mediana Complejidad así como para Base SAMU y Cosam dependientes del Servicio Salud Osorno, en formato de cilindros de 0,4 m3 - 0,7 m3 - 6 m3 y 10 m3, el cual debe comenzar vigencia a partir de enero 2027, con duración de 2 años."/>
    <n v="1"/>
    <s v="Convenio Oxigenoterapia"/>
    <n v="4"/>
    <n v="1"/>
    <n v="296000000"/>
    <n v="0"/>
    <x v="1"/>
    <x v="47"/>
    <x v="86"/>
    <x v="10"/>
    <s v="64-2335809-"/>
    <s v="mario.aburto@redsalud.gov.cl"/>
    <x v="15"/>
    <m/>
    <n v="0"/>
    <m/>
    <n v="0"/>
    <n v="0"/>
    <m/>
    <x v="1"/>
    <x v="4"/>
  </r>
  <r>
    <s v="SERVICIO DE SALUD OSORNO"/>
    <s v="Bienes y Servicios"/>
    <x v="299"/>
    <s v="Proyecto operacional"/>
    <s v="Enviado"/>
    <n v="2511"/>
    <x v="294"/>
    <s v="Se solicita la contratación de servicios de mantención integral del edificio, considerando limpieza y retiro de hojas en techumbres , limpieza de canaletas y bajadas de agua, reparación de vidrios o marcos de ventanas, . mes mayo 2026"/>
    <n v="1"/>
    <s v="Mantencion"/>
    <n v="4"/>
    <n v="1"/>
    <n v="900000"/>
    <n v="900000"/>
    <x v="4"/>
    <x v="31"/>
    <x v="63"/>
    <x v="19"/>
    <s v="64-2337366-"/>
    <s v="luis.floresme@redsalud.gob.cl"/>
    <x v="20"/>
    <m/>
    <n v="0"/>
    <m/>
    <n v="0"/>
    <n v="0"/>
    <m/>
    <x v="1"/>
    <x v="4"/>
  </r>
  <r>
    <s v="SERVICIO DE SALUD OSORNO"/>
    <s v="Bienes y Servicios"/>
    <x v="300"/>
    <s v="Proyecto operacional"/>
    <s v="Enviado"/>
    <n v="2512"/>
    <x v="295"/>
    <s v="Se solicita la contratación de servicios de mantención integral del edificio, reparación de filtraciones de techo y canaletas, revisión y reposición de enchufes e iluminarias, reparación de pisos flotantes levantados o dañados, tratamiento y pintura de paredes afectadas por humedad y hongos, mantención de cerraduras y manillas, revisión de sistema eléctrico y tableros. Mes de Diciembre 2026."/>
    <n v="1"/>
    <s v="Mantenciones"/>
    <n v="4"/>
    <n v="1"/>
    <n v="1500000"/>
    <n v="1500000"/>
    <x v="4"/>
    <x v="29"/>
    <x v="63"/>
    <x v="19"/>
    <s v="64-2337366-"/>
    <s v="luis.floresme@redsalud.gob.cl"/>
    <x v="23"/>
    <m/>
    <n v="0"/>
    <m/>
    <n v="0"/>
    <n v="0"/>
    <m/>
    <x v="1"/>
    <x v="4"/>
  </r>
  <r>
    <s v="SERVICIO DE SALUD OSORNO"/>
    <s v="Bienes y Servicios"/>
    <x v="301"/>
    <s v="Proyecto operacional"/>
    <s v="Enviado"/>
    <s v="22.04.001"/>
    <x v="296"/>
    <s v="Adquisición de material de librería necesario para realizar las actividades diarias de registro en los vacunatorios y material necesario para ejecutar las capacitaciones y certificaciones programadas por el Servicio de Salud a los equipos de salud de la red asistencial, respesto del Programa Nacional de Inmunizaciones y Salud Respiratoria. Se requiere adquisisción a inicios de mes de marzo para ejecutar 1° capacitación a fines de marzo."/>
    <n v="1"/>
    <s v="Articulos de Oficina"/>
    <n v="4"/>
    <n v="1450"/>
    <n v="501"/>
    <n v="726450"/>
    <x v="4"/>
    <x v="32"/>
    <x v="78"/>
    <x v="78"/>
    <s v="64-2335829-"/>
    <s v="carolina.lagos@redsalud.gob.cl"/>
    <x v="21"/>
    <m/>
    <n v="0"/>
    <m/>
    <n v="0"/>
    <n v="0"/>
    <m/>
    <x v="1"/>
    <x v="4"/>
  </r>
  <r>
    <s v="SERVICIO DE SALUD OSORNO"/>
    <s v="Bienes y Servicios"/>
    <x v="302"/>
    <s v="Proyecto operacional"/>
    <s v="Enviado"/>
    <s v="22.11.001"/>
    <x v="297"/>
    <s v="Desarrollar la consultoría de análisis estructural del Ex - edificio de la PDI, que incluye: testigos de losas y muros, modelamiento estructural y recomendaciones que permitan determinar el estado actual de la construcción y determinar las consideraciones técnicas para habilitar un Centro de Diálisis para la comuna de Osorno."/>
    <n v="1"/>
    <s v="Consultorias"/>
    <n v="4"/>
    <n v="1"/>
    <n v="5000000"/>
    <n v="5000000"/>
    <x v="4"/>
    <x v="31"/>
    <x v="39"/>
    <x v="44"/>
    <s v="64-2335843-"/>
    <s v="mario.barrientos@redsalud.gob.cl"/>
    <x v="20"/>
    <m/>
    <n v="0"/>
    <m/>
    <n v="0"/>
    <n v="0"/>
    <m/>
    <x v="1"/>
    <x v="4"/>
  </r>
  <r>
    <s v="SERVICIO DE SALUD OSORNO"/>
    <s v="Bienes y Servicios"/>
    <x v="303"/>
    <s v="Proyecto operacional"/>
    <s v="Enviado"/>
    <s v="22.01.001"/>
    <x v="298"/>
    <s v="Adquisición servicio de cafetería para 100 asistentes a actividad de capacitación dirigida a profesionales de salud en contexto de preparación para Campaña de Invierno 2026. Considera Jornada de mañana y tarde. Esta actividad se ejecutará en abril."/>
    <n v="1"/>
    <s v="Servicio Cafeteria"/>
    <n v="4"/>
    <n v="100"/>
    <n v="5000"/>
    <n v="500000"/>
    <x v="4"/>
    <x v="24"/>
    <x v="86"/>
    <x v="10"/>
    <s v="64-2335809-"/>
    <s v="mario.aburto@redsalud.gov.cl"/>
    <x v="14"/>
    <m/>
    <n v="0"/>
    <m/>
    <n v="0"/>
    <n v="0"/>
    <m/>
    <x v="1"/>
    <x v="4"/>
  </r>
  <r>
    <s v="SERVICIO DE SALUD OSORNO"/>
    <s v="Bienes y Servicios"/>
    <x v="304"/>
    <s v="Proyecto operacional"/>
    <s v="Enviado"/>
    <n v="2519"/>
    <x v="299"/>
    <s v="Contar en marzo 2026 con artículos de librería para realizar jornadas de planificación con la red"/>
    <n v="1"/>
    <s v="Material de Oficina"/>
    <n v="4"/>
    <n v="493"/>
    <n v="641"/>
    <n v="316013"/>
    <x v="4"/>
    <x v="32"/>
    <x v="87"/>
    <x v="85"/>
    <s v="64-2335661-"/>
    <s v="munirih.soto@redsalud.gob.cl"/>
    <x v="21"/>
    <m/>
    <n v="0"/>
    <m/>
    <n v="0"/>
    <n v="0"/>
    <m/>
    <x v="1"/>
    <x v="4"/>
  </r>
  <r>
    <s v="SERVICIO DE SALUD OSORNO"/>
    <s v="Bienes y Servicios"/>
    <x v="305"/>
    <s v="Proyecto operacional"/>
    <s v="Enviado"/>
    <n v="2521"/>
    <x v="300"/>
    <s v="Compra de insumos odontológicos para dos nuevos boxes dentales SAFU. Año 2026 88 horas de atención clínica."/>
    <n v="1"/>
    <s v="Insumos Odontologicos - Instrumentales"/>
    <n v="4"/>
    <n v="1"/>
    <n v="10000000"/>
    <n v="10000000"/>
    <x v="4"/>
    <x v="35"/>
    <x v="88"/>
    <x v="86"/>
    <s v="64-2332563-"/>
    <s v="luis.oyarzun@redesalud.gob.cl"/>
    <x v="13"/>
    <m/>
    <n v="0"/>
    <m/>
    <n v="0"/>
    <n v="0"/>
    <m/>
    <x v="1"/>
    <x v="4"/>
  </r>
  <r>
    <s v="SERVICIO DE SALUD OSORNO"/>
    <s v="Bienes y Servicios"/>
    <x v="306"/>
    <s v="Proyecto operacional"/>
    <s v="Enviado"/>
    <n v="2524"/>
    <x v="301"/>
    <s v="Adquisición Licencias de Software GstarCAD por 24 meses, Junio 2026"/>
    <n v="1"/>
    <s v="Software"/>
    <n v="4"/>
    <n v="29"/>
    <n v="517242"/>
    <n v="15000018"/>
    <x v="4"/>
    <x v="26"/>
    <x v="89"/>
    <x v="87"/>
    <s v="64-2335685-"/>
    <s v="alejandro.nunez01@redsalud.gob.cl"/>
    <x v="15"/>
    <m/>
    <n v="0"/>
    <m/>
    <n v="0"/>
    <n v="0"/>
    <m/>
    <x v="1"/>
    <x v="4"/>
  </r>
  <r>
    <s v="SERVICIO DE SALUD OSORNO"/>
    <s v="Bienes y Servicios"/>
    <x v="307"/>
    <s v="Proyecto operacional"/>
    <s v="Enviado"/>
    <n v="2525"/>
    <x v="302"/>
    <s v="Adquisición Licencias de Software ArchiCAD por 24 meses, para apoyar los proyectos de diseño y construcción del Servicio de Salud Osorno. Junio 2026"/>
    <n v="1"/>
    <s v="Licencia"/>
    <n v="4"/>
    <n v="5"/>
    <n v="6000000"/>
    <n v="30000000"/>
    <x v="4"/>
    <x v="33"/>
    <x v="89"/>
    <x v="87"/>
    <s v="64-2335685-"/>
    <s v="alejandro.nunez01@redsalud.gob.cl"/>
    <x v="15"/>
    <m/>
    <n v="0"/>
    <m/>
    <n v="0"/>
    <n v="0"/>
    <m/>
    <x v="1"/>
    <x v="4"/>
  </r>
  <r>
    <s v="SERVICIO DE SALUD OSORNO"/>
    <s v="Bienes y Servicios"/>
    <x v="308"/>
    <s v="Proyecto operacional"/>
    <s v="Enviado"/>
    <n v="2526"/>
    <x v="303"/>
    <s v="La compra de impresoras térmicas para el SOME de la Unidad de Memoria Ayekan, se fundamenta en la necesidad de modernizar y optimizar los procesos de citación y registro de atenciones, mejorando la eficiencia del equipo administrativo y la calidad del servicio que se entrega a las personas mayores, sus familiares y cuidadores. La compra de impresoras térmicas representa una inversión costo-efectiva que permitirá fortalecer los procesos administrativos y ofrecer un servicio más eficiente, humanizado y centrado en las personas."/>
    <n v="2"/>
    <s v="Impresora"/>
    <n v="4"/>
    <n v="2"/>
    <n v="65000"/>
    <n v="130000"/>
    <x v="4"/>
    <x v="32"/>
    <x v="81"/>
    <x v="80"/>
    <s v="64-2337363-"/>
    <s v="ximena.campos@redsalud.gob.cl"/>
    <x v="21"/>
    <m/>
    <n v="0"/>
    <m/>
    <n v="0"/>
    <n v="0"/>
    <m/>
    <x v="1"/>
    <x v="4"/>
  </r>
  <r>
    <s v="SERVICIO DE SALUD OSORNO"/>
    <s v="Bienes y Servicios"/>
    <x v="308"/>
    <s v="Proyecto operacional"/>
    <s v="Enviado"/>
    <n v="2526"/>
    <x v="303"/>
    <s v="La compra de impresoras térmicas para el SOME de la Unidad de Memoria Ayekan, se fundamenta en la necesidad de modernizar y optimizar los procesos de citación y registro de atenciones, mejorando la eficiencia del equipo administrativo y la calidad del servicio que se entrega a las personas mayores, sus familiares y cuidadores. La compra de impresoras térmicas representa una inversión costo-efectiva que permitirá fortalecer los procesos administrativos y ofrecer un servicio más eficiente, humanizado y centrado en las personas."/>
    <n v="2"/>
    <s v="Rollos"/>
    <n v="4"/>
    <n v="100"/>
    <n v="1500"/>
    <n v="150000"/>
    <x v="4"/>
    <x v="32"/>
    <x v="81"/>
    <x v="80"/>
    <s v="64-2337363-"/>
    <s v="ximena.campos@redsalud.gob.cl"/>
    <x v="21"/>
    <m/>
    <n v="0"/>
    <m/>
    <n v="0"/>
    <n v="0"/>
    <m/>
    <x v="1"/>
    <x v="4"/>
  </r>
  <r>
    <s v="SERVICIO DE SALUD OSORNO"/>
    <s v="Bienes y Servicios"/>
    <x v="309"/>
    <s v="Proyecto operacional"/>
    <s v="Actualizado"/>
    <n v="2527"/>
    <x v="304"/>
    <s v="SERVICIO ANUAL DE SOPORTE TÉCNICO SOFTWARE DESDE EL MES DE ABRIL 2026"/>
    <n v="1"/>
    <s v="Software"/>
    <n v="4"/>
    <n v="1"/>
    <n v="7000000"/>
    <n v="7000000"/>
    <x v="4"/>
    <x v="24"/>
    <x v="90"/>
    <x v="88"/>
    <s v="64-2335599-"/>
    <s v="pablo.mirandaa@redsalud.gob.cl"/>
    <x v="14"/>
    <m/>
    <n v="0"/>
    <m/>
    <n v="0"/>
    <n v="0"/>
    <m/>
    <x v="1"/>
    <x v="4"/>
  </r>
  <r>
    <s v="SERVICIO DE SALUD OSORNO"/>
    <s v="Bienes y Servicios"/>
    <x v="310"/>
    <s v="Proyecto operacional"/>
    <s v="Enviado"/>
    <n v="2528"/>
    <x v="305"/>
    <s v="Adquisición 2 coffee break para Jornada de Plan de Salud Comunal y Priorización como planes de monitoreo de las estrategias desarrolladas durante el 2024, la idea es que se ejecuten en abril - junio 2026"/>
    <n v="1"/>
    <s v="Servicio Cafeteria"/>
    <n v="4"/>
    <n v="2"/>
    <n v="600000"/>
    <n v="1200000"/>
    <x v="4"/>
    <x v="31"/>
    <x v="87"/>
    <x v="85"/>
    <s v="64-2335661-"/>
    <s v="munirih.soto@redsalud.gob.cl"/>
    <x v="20"/>
    <m/>
    <n v="0"/>
    <m/>
    <n v="0"/>
    <n v="0"/>
    <m/>
    <x v="1"/>
    <x v="4"/>
  </r>
  <r>
    <s v="SERVICIO DE SALUD OSORNO"/>
    <s v="Bienes y Servicios"/>
    <x v="311"/>
    <s v="Proyecto operacional"/>
    <s v="Enviado"/>
    <n v="2529"/>
    <x v="306"/>
    <s v="Contar en marzo 2026 con artículos de cafetería para realizar jornadas de planificación y procesos con la red asistencial."/>
    <n v="1"/>
    <s v="Alimentación"/>
    <n v="4"/>
    <n v="1"/>
    <n v="150100"/>
    <n v="150100"/>
    <x v="4"/>
    <x v="32"/>
    <x v="87"/>
    <x v="85"/>
    <s v="64-2335661-"/>
    <s v="munirih.soto@redsalud.gob.cl"/>
    <x v="21"/>
    <m/>
    <n v="0"/>
    <m/>
    <n v="0"/>
    <n v="0"/>
    <m/>
    <x v="1"/>
    <x v="4"/>
  </r>
  <r>
    <s v="SERVICIO DE SALUD OSORNO"/>
    <s v="Bienes y Servicios"/>
    <x v="312"/>
    <s v="Proyecto operacional"/>
    <s v="Enviado"/>
    <s v="22.06.001"/>
    <x v="307"/>
    <s v="COMPRA DE MATERIALES PARA CONSTRUCCIÓN DE REPISAS PARA MEJORAR LA UTILIZACIÓN DEL ESPACIO EN LA BODEGA"/>
    <n v="1"/>
    <s v="Repisas"/>
    <n v="4"/>
    <n v="5"/>
    <n v="300000"/>
    <n v="1500000"/>
    <x v="4"/>
    <x v="32"/>
    <x v="90"/>
    <x v="88"/>
    <s v="64-2335599-"/>
    <s v="pablo.mirandaa@redsalud.gob.cl"/>
    <x v="21"/>
    <m/>
    <n v="0"/>
    <m/>
    <n v="0"/>
    <n v="0"/>
    <m/>
    <x v="1"/>
    <x v="4"/>
  </r>
  <r>
    <s v="SERVICIO DE SALUD OSORNO"/>
    <s v="Bienes y Servicios"/>
    <x v="313"/>
    <s v="Proyecto operacional"/>
    <s v="Enviado"/>
    <n v="2531"/>
    <x v="308"/>
    <s v="La tercera Jornada para cuidadores, es una actividad comunitaria abierta a todas las personas que que ejercen el rol de cuidador/a. Está centrada en la celebración del Dia internacional de las Personas Cuidadoras, que se celebra el 05 de noviembre de cada año. Esta es la 3°version proyectada a 100 participantes y se desarrolla en el mes de noviembre."/>
    <n v="3"/>
    <s v="Material de Oficina"/>
    <n v="4"/>
    <n v="102"/>
    <n v="824"/>
    <n v="84048"/>
    <x v="4"/>
    <x v="26"/>
    <x v="81"/>
    <x v="80"/>
    <s v="64-2337363-"/>
    <s v="ximena.campos@redsalud.gob.cl"/>
    <x v="16"/>
    <m/>
    <n v="0"/>
    <m/>
    <n v="0"/>
    <n v="0"/>
    <m/>
    <x v="1"/>
    <x v="4"/>
  </r>
  <r>
    <s v="SERVICIO DE SALUD OSORNO"/>
    <s v="Bienes y Servicios"/>
    <x v="313"/>
    <s v="Proyecto operacional"/>
    <s v="Enviado"/>
    <n v="2531"/>
    <x v="308"/>
    <s v="La tercera Jornada para cuidadores, es una actividad comunitaria abierta a todas las personas que que ejercen el rol de cuidador/a. Está centrada en la celebración del Dia internacional de las Personas Cuidadoras, que se celebra el 05 de noviembre de cada año. Esta es la 3°version proyectada a 100 participantes y se desarrolla en el mes de noviembre."/>
    <n v="3"/>
    <s v="Menaje"/>
    <n v="4"/>
    <n v="200"/>
    <n v="70"/>
    <n v="14000"/>
    <x v="4"/>
    <x v="26"/>
    <x v="81"/>
    <x v="80"/>
    <s v="64-2337363-"/>
    <s v="ximena.campos@redsalud.gob.cl"/>
    <x v="16"/>
    <m/>
    <n v="0"/>
    <m/>
    <n v="0"/>
    <n v="0"/>
    <m/>
    <x v="1"/>
    <x v="4"/>
  </r>
  <r>
    <s v="SERVICIO DE SALUD OSORNO"/>
    <s v="Bienes y Servicios"/>
    <x v="313"/>
    <s v="Proyecto operacional"/>
    <s v="Enviado"/>
    <n v="2531"/>
    <x v="308"/>
    <s v="La tercera Jornada para cuidadores, es una actividad comunitaria abierta a todas las personas que que ejercen el rol de cuidador/a. Está centrada en la celebración del Dia internacional de las Personas Cuidadoras, que se celebra el 05 de noviembre de cada año. Esta es la 3°version proyectada a 100 participantes y se desarrolla en el mes de noviembre."/>
    <n v="3"/>
    <s v="Alimentación"/>
    <n v="4"/>
    <n v="4"/>
    <n v="5125"/>
    <n v="20500"/>
    <x v="4"/>
    <x v="26"/>
    <x v="81"/>
    <x v="80"/>
    <s v="64-2337363-"/>
    <s v="ximena.campos@redsalud.gob.cl"/>
    <x v="16"/>
    <m/>
    <n v="0"/>
    <m/>
    <n v="0"/>
    <n v="0"/>
    <m/>
    <x v="1"/>
    <x v="4"/>
  </r>
  <r>
    <s v="SERVICIO DE SALUD OSORNO"/>
    <s v="Bienes y Servicios"/>
    <x v="314"/>
    <s v="Proyecto operacional"/>
    <s v="Enviado"/>
    <n v="2532"/>
    <x v="309"/>
    <s v="SERVICIO DE TRASLADO DE MOBILIARIO, TRASLADO DE OFICINAS"/>
    <n v="1"/>
    <s v="Servicio Traslado"/>
    <n v="4"/>
    <n v="1"/>
    <n v="1000000"/>
    <n v="1000000"/>
    <x v="4"/>
    <x v="38"/>
    <x v="90"/>
    <x v="88"/>
    <s v="64-2335599-"/>
    <s v="pablo.mirandaa@redsalud.gob.cl"/>
    <x v="19"/>
    <m/>
    <n v="0"/>
    <m/>
    <n v="0"/>
    <n v="0"/>
    <m/>
    <x v="1"/>
    <x v="4"/>
  </r>
  <r>
    <s v="SERVICIO DE SALUD OSORNO"/>
    <s v="Bienes y Servicios"/>
    <x v="315"/>
    <s v="Proyecto operacional"/>
    <s v="Enviado"/>
    <n v="2534"/>
    <x v="310"/>
    <s v="Adquirir equipamiento de telecomunicaciones para los profesionales clínicos del departamento de calidad de vida, con el fin de desarrollar actividades de promoción y prevención en salud mental vía digital y redes sociales (instagram sso.conectados). Iniciativa que pretende educar a funcionarios/as y que puedan tener acceso libre a la información a través de la plataforma social. Médicos y psicólogos realizan videos y transmisiones en vivo para informar sobre diversas patologías y aclarar consultas a la comunidad funcionaria."/>
    <n v="2"/>
    <s v="Artículos Computacionales"/>
    <n v="4"/>
    <n v="4"/>
    <n v="16250"/>
    <n v="65000"/>
    <x v="4"/>
    <x v="35"/>
    <x v="91"/>
    <x v="89"/>
    <s v="64-2337033-"/>
    <s v="constanza.garcia.j@redsalud.gob.cl"/>
    <x v="13"/>
    <m/>
    <n v="0"/>
    <m/>
    <n v="0"/>
    <n v="0"/>
    <m/>
    <x v="1"/>
    <x v="4"/>
  </r>
  <r>
    <s v="SERVICIO DE SALUD OSORNO"/>
    <s v="Bienes y Servicios"/>
    <x v="315"/>
    <s v="Proyecto operacional"/>
    <s v="Enviado"/>
    <n v="2534"/>
    <x v="310"/>
    <s v="Adquirir equipamiento de telecomunicaciones para los profesionales clínicos del departamento de calidad de vida, con el fin de desarrollar actividades de promoción y prevención en salud mental vía digital y redes sociales (instagram sso.conectados). Iniciativa que pretende educar a funcionarios/as y que puedan tener acceso libre a la información a través de la plataforma social. Médicos y psicólogos realizan videos y transmisiones en vivo para informar sobre diversas patologías y aclarar consultas a la comunidad funcionaria."/>
    <n v="2"/>
    <s v="Termolaminadora"/>
    <n v="4"/>
    <n v="1"/>
    <n v="45000"/>
    <n v="45000"/>
    <x v="4"/>
    <x v="35"/>
    <x v="91"/>
    <x v="89"/>
    <s v="64-2337033-"/>
    <s v="constanza.garcia.j@redsalud.gob.cl"/>
    <x v="13"/>
    <m/>
    <n v="0"/>
    <m/>
    <n v="0"/>
    <n v="0"/>
    <m/>
    <x v="1"/>
    <x v="4"/>
  </r>
  <r>
    <s v="SERVICIO DE SALUD OSORNO"/>
    <s v="Bienes y Servicios"/>
    <x v="316"/>
    <s v="Proyecto operacional"/>
    <s v="Enviado"/>
    <s v="22.04.001"/>
    <x v="311"/>
    <s v="Se requiere adquisición 200 Carpetas impresion 4/0 color, couche 350 gr con polimate, bolsillo troquel de imprenta con logo CPU institucional a ejecutarse el mes de febrero 2026"/>
    <n v="1"/>
    <s v="Material de Oficina"/>
    <n v="4"/>
    <n v="200"/>
    <n v="3000"/>
    <n v="600000"/>
    <x v="4"/>
    <x v="38"/>
    <x v="92"/>
    <x v="37"/>
    <s v="64-2335809-"/>
    <s v="maria.jaramillov@redsalud.gob.cl"/>
    <x v="19"/>
    <m/>
    <n v="0"/>
    <m/>
    <n v="0"/>
    <n v="0"/>
    <m/>
    <x v="1"/>
    <x v="4"/>
  </r>
  <r>
    <s v="SERVICIO DE SALUD OSORNO"/>
    <s v="Bienes y Servicios"/>
    <x v="317"/>
    <s v="Proyecto operacional"/>
    <s v="Enviado"/>
    <n v="2537"/>
    <x v="312"/>
    <s v="Insumos Odontológicos para dar atención clínica dental a funcionarios de la Red del SSO. Enero a diciembre 2026"/>
    <n v="1"/>
    <s v="Insumos Odontologicos - Insumos Dentales"/>
    <n v="4"/>
    <n v="1"/>
    <n v="10000000"/>
    <n v="10000000"/>
    <x v="4"/>
    <x v="35"/>
    <x v="88"/>
    <x v="86"/>
    <s v="64-2332563-"/>
    <s v="luis.oyarzun@redesalud.gob.cl"/>
    <x v="13"/>
    <m/>
    <n v="0"/>
    <m/>
    <n v="0"/>
    <n v="0"/>
    <m/>
    <x v="1"/>
    <x v="4"/>
  </r>
  <r>
    <s v="SERVICIO DE SALUD OSORNO"/>
    <s v="Bienes y Servicios"/>
    <x v="318"/>
    <s v="Proyecto operacional"/>
    <s v="Enviado"/>
    <s v="22.04.002"/>
    <x v="313"/>
    <s v="El proceso psicoterapéutico requiere de múltiples herramientas que faciliten la comprensión, trabajo emocional, autorreflexión, autoobservación y el cambio conductual en los pacientes. En este contexto, el material terapéutico y bibliografía se convierte en un recurso esencial que complementa la intervención psicológica y potencia los resultados del tratamiento. Esta adquisición, busca argumentar la necesidad de contar con material terapéutico estructurado, actualizado y adaptado a las distintas modalidades de atención y sus grupos etarios."/>
    <n v="1"/>
    <s v="Libros"/>
    <n v="4"/>
    <n v="20"/>
    <n v="25000"/>
    <n v="500000"/>
    <x v="4"/>
    <x v="35"/>
    <x v="91"/>
    <x v="89"/>
    <s v="64-2337033-"/>
    <s v="constanza.garcia.j@redsalud.gob.cl"/>
    <x v="13"/>
    <m/>
    <n v="0"/>
    <m/>
    <n v="0"/>
    <n v="0"/>
    <m/>
    <x v="1"/>
    <x v="4"/>
  </r>
  <r>
    <s v="SERVICIO DE SALUD OSORNO"/>
    <s v="Bienes y Servicios"/>
    <x v="319"/>
    <s v="Proyecto operacional"/>
    <s v="Enviado"/>
    <n v="2542"/>
    <x v="314"/>
    <s v="El aumento de consultas de personas mayores con mayor funcionalidad y la necesidad de evaluar usuarios con patología de graduación leve para el diagnóstico de deterioro cognitivo hace necesario implementar talleres y atenciones individuales con implementos con los que actualmente no contamos y otros que requiren renovación por desgaste en su uso."/>
    <n v="1"/>
    <s v="Insumos Kinesicos"/>
    <n v="4"/>
    <n v="13"/>
    <n v="34616"/>
    <n v="450008"/>
    <x v="4"/>
    <x v="24"/>
    <x v="81"/>
    <x v="80"/>
    <s v="64-2337363-"/>
    <s v="ximena.campos@redsalud.gob.cl"/>
    <x v="14"/>
    <m/>
    <n v="0"/>
    <m/>
    <n v="0"/>
    <n v="0"/>
    <m/>
    <x v="1"/>
    <x v="4"/>
  </r>
  <r>
    <s v="SERVICIO DE SALUD OSORNO"/>
    <s v="Bienes y Servicios"/>
    <x v="320"/>
    <s v="Proyecto operacional"/>
    <s v="Enviado"/>
    <n v="2545"/>
    <x v="315"/>
    <s v="Adquisición de 1.000 boquillas espiratorias desechables para flujometría, con válvula unidireccional. Compra a ejecutar en Junio."/>
    <n v="1"/>
    <s v="Insumos Clinicos"/>
    <n v="4"/>
    <n v="1000"/>
    <n v="700"/>
    <n v="700000"/>
    <x v="4"/>
    <x v="25"/>
    <x v="86"/>
    <x v="10"/>
    <s v="64-2335809-"/>
    <s v="mario.aburto@redsalud.gov.cl"/>
    <x v="15"/>
    <m/>
    <n v="0"/>
    <m/>
    <n v="0"/>
    <n v="0"/>
    <m/>
    <x v="1"/>
    <x v="4"/>
  </r>
  <r>
    <s v="SERVICIO DE SALUD OSORNO"/>
    <s v="Bienes y Servicios"/>
    <x v="321"/>
    <s v="Proyecto operacional"/>
    <s v="Enviado"/>
    <n v="2547"/>
    <x v="316"/>
    <s v="Adquisición de 720 turbinas desechables para espirometrías con equipos actualmente en uso en la red asistencial, a ejecutar en Abril."/>
    <n v="1"/>
    <s v="Insumos Clínicos"/>
    <n v="4"/>
    <n v="720"/>
    <n v="2778"/>
    <n v="2000160"/>
    <x v="4"/>
    <x v="24"/>
    <x v="86"/>
    <x v="10"/>
    <s v="64-2335809-"/>
    <s v="mario.aburto@redsalud.gov.cl"/>
    <x v="14"/>
    <m/>
    <n v="0"/>
    <m/>
    <n v="0"/>
    <n v="0"/>
    <m/>
    <x v="1"/>
    <x v="4"/>
  </r>
  <r>
    <s v="SERVICIO DE SALUD OSORNO"/>
    <s v="Bienes y Servicios"/>
    <x v="322"/>
    <s v="Proyecto operacional"/>
    <s v="Enviado"/>
    <n v="2548"/>
    <x v="317"/>
    <s v="Servicio de cafetería Jornada de capacitación CPU a ejecutarse el mes de abril 2026"/>
    <n v="1"/>
    <s v="Servicio Cafeteria"/>
    <n v="4"/>
    <n v="1"/>
    <n v="420000"/>
    <n v="420000"/>
    <x v="4"/>
    <x v="24"/>
    <x v="92"/>
    <x v="37"/>
    <s v="64-2335809-"/>
    <s v="maria.jaramillov@redsalud.gob.cl"/>
    <x v="14"/>
    <m/>
    <n v="0"/>
    <m/>
    <n v="0"/>
    <n v="0"/>
    <m/>
    <x v="1"/>
    <x v="4"/>
  </r>
  <r>
    <s v="SERVICIO DE SALUD OSORNO"/>
    <s v="Compras Convenio GORE Region de Los Lagos"/>
    <x v="323"/>
    <s v="Proyecto estratégico"/>
    <s v="Enviado"/>
    <n v="2549"/>
    <x v="318"/>
    <s v="Adquisición de 12 Equipos para evaluación de saturación oxigeno (oxímetros) en pacientes de Piloto Cesación Tabáquica que ingresan a un Programa de Rehabilitación Respiratoria, en el marco de la estrategia. Compra a ejecutar en Enero."/>
    <n v="1"/>
    <s v="Oximetro"/>
    <n v="4"/>
    <n v="12"/>
    <n v="600000"/>
    <n v="7200000"/>
    <x v="4"/>
    <x v="35"/>
    <x v="86"/>
    <x v="90"/>
    <s v="64-2335809-"/>
    <s v="mario.aburto@redsalud.gov.cl"/>
    <x v="13"/>
    <m/>
    <n v="0"/>
    <m/>
    <n v="0"/>
    <n v="0"/>
    <m/>
    <x v="1"/>
    <x v="3"/>
  </r>
  <r>
    <s v="SERVICIO DE SALUD OSORNO"/>
    <s v="Bienes y Servicios"/>
    <x v="324"/>
    <s v="Proyecto operacional"/>
    <s v="Enviado"/>
    <n v="2552"/>
    <x v="319"/>
    <s v="La Unidad de Memoria Ayekan requiere material de folleteria para actividades de difusión, implementación de punto lector, ferias y exposiciones a la comunidad y también de material de estimulación cognitiva que permita a los usuarios trabajar en sala de espera o en domicilios."/>
    <n v="2"/>
    <s v="Material de Oficina"/>
    <n v="4"/>
    <n v="1000"/>
    <n v="400"/>
    <n v="400000"/>
    <x v="4"/>
    <x v="25"/>
    <x v="81"/>
    <x v="80"/>
    <s v="64-2337363-"/>
    <s v="ximena.campos@redsalud.gob.cl"/>
    <x v="15"/>
    <m/>
    <n v="0"/>
    <m/>
    <n v="0"/>
    <n v="0"/>
    <m/>
    <x v="1"/>
    <x v="4"/>
  </r>
  <r>
    <s v="SERVICIO DE SALUD OSORNO"/>
    <s v="Bienes y Servicios"/>
    <x v="324"/>
    <s v="Proyecto operacional"/>
    <s v="Enviado"/>
    <n v="2552"/>
    <x v="319"/>
    <s v="La Unidad de Memoria Ayekan requiere material de folleteria para actividades de difusión, implementación de punto lector, ferias y exposiciones a la comunidad y también de material de estimulación cognitiva que permita a los usuarios trabajar en sala de espera o en domicilios."/>
    <n v="2"/>
    <s v="Folleteria"/>
    <n v="4"/>
    <n v="3000"/>
    <n v="200"/>
    <n v="600000"/>
    <x v="4"/>
    <x v="25"/>
    <x v="81"/>
    <x v="80"/>
    <s v="64-2337363-"/>
    <s v="ximena.campos@redsalud.gob.cl"/>
    <x v="15"/>
    <m/>
    <n v="0"/>
    <m/>
    <n v="0"/>
    <n v="0"/>
    <m/>
    <x v="1"/>
    <x v="4"/>
  </r>
  <r>
    <s v="SERVICIO DE SALUD OSORNO"/>
    <s v="Bienes y Servicios"/>
    <x v="325"/>
    <s v="Proyecto operacional"/>
    <s v="Enviado"/>
    <n v="2554"/>
    <x v="320"/>
    <s v="Los talleres para cuidadores/as de usuarios de Unidad de Memoria se realizaran todos los días martes desde el mes de marzo a diciembre 2026, se trata de mantener un espacio tanto de esparcimiento como educativo para las cuidadores con alto grado de sobrecarga por su rol de cuidador. Durante 2025 se han desarrollado con muy buena evaluación y adherencia por parte de familiares de usuarios. Favorece el autocuidado tanto físico como emocional."/>
    <n v="1"/>
    <s v="Material de Libreria"/>
    <n v="4"/>
    <n v="380"/>
    <n v="1158"/>
    <n v="440040"/>
    <x v="4"/>
    <x v="36"/>
    <x v="81"/>
    <x v="80"/>
    <s v="64-2337363-"/>
    <s v="ximena.campos@redsalud.gob.cl"/>
    <x v="24"/>
    <m/>
    <n v="0"/>
    <m/>
    <n v="0"/>
    <n v="0"/>
    <m/>
    <x v="1"/>
    <x v="4"/>
  </r>
  <r>
    <s v="SERVICIO DE SALUD OSORNO"/>
    <s v="Bienes y Servicios"/>
    <x v="326"/>
    <s v="Proyecto operacional"/>
    <s v="Enviado"/>
    <s v="22.04.005"/>
    <x v="321"/>
    <s v="Compra de insumos clínicos para realizar vacunación de los usuarios en campaña de invierno, vacunación escolar y vacunas programáticas. Compra para el mes de abril de 2026."/>
    <n v="1"/>
    <s v="Insumos Clínicos"/>
    <n v="4"/>
    <n v="1000"/>
    <n v="2578"/>
    <n v="2578000"/>
    <x v="4"/>
    <x v="24"/>
    <x v="78"/>
    <x v="78"/>
    <s v="64-2335829-"/>
    <s v="carolina.lagos@redsalud.gob.cl"/>
    <x v="14"/>
    <m/>
    <n v="0"/>
    <m/>
    <n v="0"/>
    <n v="0"/>
    <m/>
    <x v="1"/>
    <x v="4"/>
  </r>
  <r>
    <s v="SERVICIO DE SALUD OSORNO"/>
    <s v="Bienes y Servicios"/>
    <x v="327"/>
    <s v="Proyecto operacional"/>
    <s v="Enviado"/>
    <n v="2556"/>
    <x v="322"/>
    <s v="Adquisición de Neumáticos para vehículos de la Dirección Servicio de Salud Osorno y Base SAMU Osorno año 2026"/>
    <n v="1"/>
    <s v="Neumaticos"/>
    <n v="4"/>
    <n v="12"/>
    <n v="250000"/>
    <n v="3000000"/>
    <x v="4"/>
    <x v="31"/>
    <x v="5"/>
    <x v="39"/>
    <s v="64-2335654-"/>
    <s v="felipe.salvob@redsalud.gob.cl"/>
    <x v="20"/>
    <m/>
    <n v="0"/>
    <m/>
    <n v="0"/>
    <n v="0"/>
    <m/>
    <x v="1"/>
    <x v="4"/>
  </r>
  <r>
    <s v="SERVICIO DE SALUD OSORNO"/>
    <s v="Bienes y Servicios"/>
    <x v="328"/>
    <s v="Proyecto operacional"/>
    <s v="Enviado"/>
    <s v="22.01.001"/>
    <x v="323"/>
    <s v="1 Servicio de coffe para 115 personas aproximadamente, por 2 días en jornada AM, para los asistentes a la Jornada Anual de Capacitación del Programa Nacional de Inmunizaciones a realizar durante el segundo semestre de 2026. A ejecutar el mes de septiembre de 2025."/>
    <n v="1"/>
    <s v="Servicio Cafeteria"/>
    <n v="4"/>
    <n v="1"/>
    <n v="1428000"/>
    <n v="1428000"/>
    <x v="4"/>
    <x v="26"/>
    <x v="78"/>
    <x v="78"/>
    <s v="64-2335829-"/>
    <s v="carolina.lagos@redsalud.gob.cl"/>
    <x v="16"/>
    <m/>
    <n v="0"/>
    <m/>
    <n v="0"/>
    <n v="0"/>
    <m/>
    <x v="1"/>
    <x v="4"/>
  </r>
  <r>
    <s v="SERVICIO DE SALUD OSORNO"/>
    <s v="Bienes y Servicios"/>
    <x v="329"/>
    <s v="Proyecto operacional"/>
    <s v="Enviado"/>
    <n v="2558"/>
    <x v="324"/>
    <s v="Impresión de 6.000 unid. de carnet de control integral para la Red de APS. Tamaño 13.5 x 21.5 cms, impresión a color 4/4, tapas dúplex de 300 gramos emplacado, termolaminado por tiro, anillado continuo (plástico), interior Bond 90 gramos. Número de páginas totales 50 (incluye 5 separaciones en couché 170 gramos, 100 por lado y lado). Compra planificada para el mes de marzo."/>
    <n v="1"/>
    <s v="Cuaderno"/>
    <n v="4"/>
    <n v="6000"/>
    <n v="1500"/>
    <n v="9000000"/>
    <x v="4"/>
    <x v="32"/>
    <x v="24"/>
    <x v="91"/>
    <s v="64-2335810-"/>
    <s v="consuelo.cordova@redsalud.gob.cl"/>
    <x v="21"/>
    <m/>
    <n v="0"/>
    <m/>
    <n v="0"/>
    <n v="0"/>
    <m/>
    <x v="1"/>
    <x v="4"/>
  </r>
  <r>
    <s v="SERVICIO DE SALUD OSORNO"/>
    <s v="Bienes y Servicios"/>
    <x v="330"/>
    <s v="Proyecto operacional"/>
    <s v="Enviado"/>
    <n v="2558"/>
    <x v="325"/>
    <s v="Compra única en el mes de Febrero 2026"/>
    <n v="1"/>
    <s v="Equipamiento Medico"/>
    <n v="4"/>
    <n v="240"/>
    <n v="12500"/>
    <n v="3000000"/>
    <x v="4"/>
    <x v="38"/>
    <x v="73"/>
    <x v="75"/>
    <s v="64-2335806-"/>
    <s v="francisca.contreras.c@redsalud.gob.cl"/>
    <x v="19"/>
    <m/>
    <n v="0"/>
    <m/>
    <n v="0"/>
    <n v="0"/>
    <m/>
    <x v="1"/>
    <x v="4"/>
  </r>
  <r>
    <s v="SERVICIO DE SALUD OSORNO"/>
    <s v="Bienes y Servicios"/>
    <x v="331"/>
    <s v="Proyecto operacional"/>
    <s v="Enviado"/>
    <n v="2562"/>
    <x v="326"/>
    <s v="Adquirir test que nos permitan Evalúa para orientar la personalidad desde orientación vocacional y diagnóstico de la personalidad. Adquirir un test proyectivo que consta de 13 láminas que se dividen en tres series que reciben los nombres de A, B y C en las que se emplean figuras humanas para representar situaciones típicas de relación de objeto con el objetivo de que la persona a la que se le administra pueda proyectar sus relaciones objétales."/>
    <n v="1"/>
    <s v="TEST"/>
    <n v="4"/>
    <n v="2"/>
    <n v="625000"/>
    <n v="1250000"/>
    <x v="4"/>
    <x v="25"/>
    <x v="43"/>
    <x v="48"/>
    <s v="64-2335492-"/>
    <s v="CAROLINA.SILVALL@REDSALUD.GOB.CL"/>
    <x v="15"/>
    <m/>
    <n v="0"/>
    <m/>
    <n v="0"/>
    <n v="0"/>
    <m/>
    <x v="1"/>
    <x v="4"/>
  </r>
  <r>
    <s v="SERVICIO DE SALUD OSORNO"/>
    <s v="Bienes y Servicios"/>
    <x v="332"/>
    <s v="Proyecto operacional"/>
    <s v="Enviado"/>
    <n v="2563"/>
    <x v="327"/>
    <s v="Realizar actividades de sensibilización y promoción del cuidado de la salud mental (desde ENERO). Además, se realizará una jornada especial el día 10 de Octubre de 2026 para conmemorar el día mundial de la Salud Mental, iniciativa que pretende cuidar la dimensión psicológica y emocional de los funcionarios/as procurando su autocuidado y salud integral, para lo cual se invitara a diversos actores de la comunidad de salud mental a presentar sus programas."/>
    <n v="3"/>
    <s v="Material de Oficina"/>
    <n v="4"/>
    <n v="172"/>
    <n v="1576"/>
    <n v="271072"/>
    <x v="4"/>
    <x v="38"/>
    <x v="91"/>
    <x v="89"/>
    <s v="64-2337033-"/>
    <s v="constanza.garcia.j@redsalud.gob.cl"/>
    <x v="13"/>
    <m/>
    <n v="0"/>
    <m/>
    <n v="0"/>
    <n v="0"/>
    <m/>
    <x v="1"/>
    <x v="4"/>
  </r>
  <r>
    <s v="SERVICIO DE SALUD OSORNO"/>
    <s v="Bienes y Servicios"/>
    <x v="332"/>
    <s v="Proyecto operacional"/>
    <s v="Enviado"/>
    <n v="2563"/>
    <x v="327"/>
    <s v="Realizar actividades de sensibilización y promoción del cuidado de la salud mental (desde ENERO). Además, se realizará una jornada especial el día 10 de Octubre de 2026 para conmemorar el día mundial de la Salud Mental, iniciativa que pretende cuidar la dimensión psicológica y emocional de los funcionarios/as procurando su autocuidado y salud integral, para lo cual se invitara a diversos actores de la comunidad de salud mental a presentar sus programas."/>
    <n v="3"/>
    <s v="Cartucho color"/>
    <n v="4"/>
    <n v="6"/>
    <n v="20000"/>
    <n v="120000"/>
    <x v="4"/>
    <x v="38"/>
    <x v="91"/>
    <x v="89"/>
    <s v="64-2337033-"/>
    <s v="constanza.garcia.j@redsalud.gob.cl"/>
    <x v="13"/>
    <m/>
    <n v="0"/>
    <m/>
    <n v="0"/>
    <n v="0"/>
    <m/>
    <x v="1"/>
    <x v="4"/>
  </r>
  <r>
    <s v="SERVICIO DE SALUD OSORNO"/>
    <s v="Bienes y Servicios"/>
    <x v="332"/>
    <s v="Proyecto operacional"/>
    <s v="Enviado"/>
    <n v="2563"/>
    <x v="327"/>
    <s v="Realizar actividades de sensibilización y promoción del cuidado de la salud mental (desde ENERO). Además, se realizará una jornada especial el día 10 de Octubre de 2026 para conmemorar el día mundial de la Salud Mental, iniciativa que pretende cuidar la dimensión psicológica y emocional de los funcionarios/as procurando su autocuidado y salud integral, para lo cual se invitara a diversos actores de la comunidad de salud mental a presentar sus programas."/>
    <n v="3"/>
    <s v="Artículos de librería"/>
    <n v="4"/>
    <n v="18"/>
    <n v="3223"/>
    <n v="58014"/>
    <x v="4"/>
    <x v="38"/>
    <x v="91"/>
    <x v="89"/>
    <s v="64-2337033-"/>
    <s v="constanza.garcia.j@redsalud.gob.cl"/>
    <x v="13"/>
    <m/>
    <n v="0"/>
    <m/>
    <n v="0"/>
    <n v="0"/>
    <m/>
    <x v="1"/>
    <x v="4"/>
  </r>
  <r>
    <s v="SERVICIO DE SALUD OSORNO"/>
    <s v="Bienes y Servicios"/>
    <x v="333"/>
    <s v="Proyecto operacional"/>
    <s v="Enviado"/>
    <s v="22.01.001"/>
    <x v="328"/>
    <s v="Se requiere la compra de insumos de cafetería para las reuniones mensuales (12) de CIRA, de la Subdirección de Gestión Asistencial."/>
    <n v="2"/>
    <s v="Alimentación"/>
    <n v="4"/>
    <n v="85"/>
    <n v="4530"/>
    <n v="385050"/>
    <x v="4"/>
    <x v="35"/>
    <x v="93"/>
    <x v="92"/>
    <s v="64-2335754-"/>
    <s v="esteban.oyarzo.a@redsalud.gob.cl"/>
    <x v="13"/>
    <m/>
    <n v="0"/>
    <m/>
    <n v="0"/>
    <n v="0"/>
    <m/>
    <x v="1"/>
    <x v="4"/>
  </r>
  <r>
    <s v="SERVICIO DE SALUD OSORNO"/>
    <s v="Bienes y Servicios"/>
    <x v="333"/>
    <s v="Proyecto operacional"/>
    <s v="Enviado"/>
    <s v="22.01.001"/>
    <x v="328"/>
    <s v="Se requiere la compra de insumos de cafetería para las reuniones mensuales (12) de CIRA, de la Subdirección de Gestión Asistencial."/>
    <n v="2"/>
    <s v="Menaje"/>
    <n v="4"/>
    <n v="2030"/>
    <n v="60"/>
    <n v="121800"/>
    <x v="4"/>
    <x v="35"/>
    <x v="93"/>
    <x v="92"/>
    <s v="64-2335754-"/>
    <s v="esteban.oyarzo.a@redsalud.gob.cl"/>
    <x v="13"/>
    <m/>
    <n v="0"/>
    <m/>
    <n v="0"/>
    <n v="0"/>
    <m/>
    <x v="1"/>
    <x v="4"/>
  </r>
  <r>
    <s v="SERVICIO DE SALUD OSORNO"/>
    <s v="Bienes y Servicios"/>
    <x v="334"/>
    <s v="Proyecto operacional"/>
    <s v="Enviado"/>
    <n v="2565"/>
    <x v="329"/>
    <s v="El Festival de la Voz de las Mujeres es una actividad que se realiza la primera semana de marzo con la finalidad de conmemorar el Día internacional de la Mujer. El propósito del Festival es fomentar la participación y recreación de la comunidad funcionaria ofreciendo un espectáculo de calidad que promueva y estimule las habilidades artísticas musicales de las funcionarias de los distintos Hospitales y Dispositivos de la red del Servicio de Salud de Osorno, a la vez que se concientiza sobre la importancia de conmemorar el día internacional d"/>
    <n v="3"/>
    <s v="Material de Oficina"/>
    <n v="4"/>
    <n v="137"/>
    <n v="964"/>
    <n v="132068"/>
    <x v="4"/>
    <x v="32"/>
    <x v="94"/>
    <x v="93"/>
    <s v="64-2337033-"/>
    <s v="ignacio.sotomayor@redsalud.gob.cl"/>
    <x v="21"/>
    <m/>
    <n v="0"/>
    <m/>
    <n v="0"/>
    <n v="0"/>
    <m/>
    <x v="1"/>
    <x v="4"/>
  </r>
  <r>
    <s v="SERVICIO DE SALUD OSORNO"/>
    <s v="Bienes y Servicios"/>
    <x v="334"/>
    <s v="Proyecto operacional"/>
    <s v="Enviado"/>
    <n v="2565"/>
    <x v="329"/>
    <s v="El Festival de la Voz de las Mujeres es una actividad que se realiza la primera semana de marzo con la finalidad de conmemorar el Día internacional de la Mujer. El propósito del Festival es fomentar la participación y recreación de la comunidad funcionaria ofreciendo un espectáculo de calidad que promueva y estimule las habilidades artísticas musicales de las funcionarias de los distintos Hospitales y Dispositivos de la red del Servicio de Salud de Osorno, a la vez que se concientiza sobre la importancia de conmemorar el día internacional d"/>
    <n v="3"/>
    <s v="Decoración y Premios"/>
    <n v="4"/>
    <n v="40"/>
    <n v="7625"/>
    <n v="305000"/>
    <x v="4"/>
    <x v="32"/>
    <x v="94"/>
    <x v="93"/>
    <s v="64-2337033-"/>
    <s v="ignacio.sotomayor@redsalud.gob.cl"/>
    <x v="21"/>
    <m/>
    <n v="0"/>
    <m/>
    <n v="0"/>
    <n v="0"/>
    <m/>
    <x v="1"/>
    <x v="4"/>
  </r>
  <r>
    <s v="SERVICIO DE SALUD OSORNO"/>
    <s v="Bienes y Servicios"/>
    <x v="334"/>
    <s v="Proyecto operacional"/>
    <s v="Enviado"/>
    <n v="2565"/>
    <x v="329"/>
    <s v="El Festival de la Voz de las Mujeres es una actividad que se realiza la primera semana de marzo con la finalidad de conmemorar el Día internacional de la Mujer. El propósito del Festival es fomentar la participación y recreación de la comunidad funcionaria ofreciendo un espectáculo de calidad que promueva y estimule las habilidades artísticas musicales de las funcionarias de los distintos Hospitales y Dispositivos de la red del Servicio de Salud de Osorno, a la vez que se concientiza sobre la importancia de conmemorar el día internacional d"/>
    <n v="3"/>
    <s v="Alimentación"/>
    <n v="4"/>
    <n v="4"/>
    <n v="17000"/>
    <n v="68000"/>
    <x v="4"/>
    <x v="32"/>
    <x v="94"/>
    <x v="93"/>
    <s v="64-2337033-"/>
    <s v="ignacio.sotomayor@redsalud.gob.cl"/>
    <x v="21"/>
    <m/>
    <n v="0"/>
    <m/>
    <n v="0"/>
    <n v="0"/>
    <m/>
    <x v="1"/>
    <x v="4"/>
  </r>
  <r>
    <s v="SERVICIO DE SALUD OSORNO"/>
    <s v="Bienes y Servicios"/>
    <x v="335"/>
    <s v="Proyecto operacional"/>
    <s v="Enviado"/>
    <s v="22.06.001"/>
    <x v="330"/>
    <s v="Obras civiles para montaje de 2 futuros contenedores de largo 20 pies. Construcción de vereda de hormigón de dimensiones 25mx2,5m para acceso de funcionarios, construcción de losa de hormigón de dimensiones 12x10m, construcción de techo para los contenedores."/>
    <n v="1"/>
    <s v="Construcción"/>
    <n v="4"/>
    <n v="1"/>
    <n v="12000000"/>
    <n v="12000000"/>
    <x v="4"/>
    <x v="36"/>
    <x v="44"/>
    <x v="58"/>
    <s v="64-2335588-"/>
    <s v="robertonunez123@gmail.com"/>
    <x v="24"/>
    <m/>
    <n v="0"/>
    <m/>
    <n v="0"/>
    <n v="0"/>
    <m/>
    <x v="1"/>
    <x v="4"/>
  </r>
  <r>
    <s v="SERVICIO DE SALUD OSORNO"/>
    <s v="Bienes y Servicios"/>
    <x v="336"/>
    <s v="Proyecto operacional"/>
    <s v="Enviado"/>
    <s v="22.04.009"/>
    <x v="331"/>
    <s v="Dado el proceso de recambio de Equipamiento PC MINSAL, los equipos pertenecientes a Empresa UPGRADE (Aprox. 40) quedarán en calidad de donación al Servicio de Salud Osorno, pero sin discos de almacenamiento. Por esta razón se requiere adquirir 40 Discos SSD y así dejar operativos 40 PC para uso de los establecimientos de nuestra Red."/>
    <n v="1"/>
    <s v="Disco Duros"/>
    <n v="4"/>
    <n v="40"/>
    <n v="88750"/>
    <n v="3550000"/>
    <x v="4"/>
    <x v="32"/>
    <x v="89"/>
    <x v="87"/>
    <s v="64-2335685-"/>
    <s v="alejandro.nunez01@redsalud.gob.cl"/>
    <x v="21"/>
    <m/>
    <n v="0"/>
    <m/>
    <n v="0"/>
    <n v="0"/>
    <m/>
    <x v="1"/>
    <x v="4"/>
  </r>
  <r>
    <s v="SERVICIO DE SALUD OSORNO"/>
    <s v="Obras Civiles"/>
    <x v="337"/>
    <s v="Proyecto operacional"/>
    <s v="Enviado"/>
    <n v="2220"/>
    <x v="332"/>
    <s v="Se requiere licitar para el mes de mayo año 2025, Mejoramiento Hospital de Rio Negro (4 LICITACIONES)"/>
    <n v="4"/>
    <s v="Remodelación"/>
    <n v="4"/>
    <n v="1"/>
    <n v="876984814"/>
    <n v="876984814"/>
    <x v="4"/>
    <x v="29"/>
    <x v="62"/>
    <x v="36"/>
    <s v="64-2337385-"/>
    <s v="gustavo.marin@redsalud.gob.cl"/>
    <x v="23"/>
    <m/>
    <n v="0"/>
    <m/>
    <n v="0"/>
    <n v="0"/>
    <m/>
    <x v="1"/>
    <x v="6"/>
  </r>
  <r>
    <s v="SERVICIO DE SALUD OSORNO"/>
    <s v="Obras Civiles"/>
    <x v="337"/>
    <s v="Proyecto operacional"/>
    <s v="Enviado"/>
    <n v="2220"/>
    <x v="332"/>
    <s v="Se requiere licitar para el mes de mayo año 2025, Mejoramiento Hospital de Rio Negro (4 LICITACIONES)"/>
    <n v="4"/>
    <s v="Remodelación"/>
    <n v="4"/>
    <n v="1"/>
    <n v="280246728"/>
    <n v="280246728"/>
    <x v="4"/>
    <x v="29"/>
    <x v="62"/>
    <x v="36"/>
    <s v="64-2337385-"/>
    <s v="gustavo.marin@redsalud.gob.cl"/>
    <x v="23"/>
    <m/>
    <n v="0"/>
    <m/>
    <n v="0"/>
    <n v="0"/>
    <m/>
    <x v="1"/>
    <x v="6"/>
  </r>
  <r>
    <s v="SERVICIO DE SALUD OSORNO"/>
    <s v="Obras Civiles"/>
    <x v="337"/>
    <s v="Proyecto operacional"/>
    <s v="Enviado"/>
    <n v="2220"/>
    <x v="332"/>
    <s v="Se requiere licitar para el mes de mayo año 2025, Mejoramiento Hospital de Rio Negro (4 LICITACIONES)"/>
    <n v="4"/>
    <s v="Remodelación"/>
    <n v="4"/>
    <n v="1"/>
    <n v="493463899"/>
    <n v="493463899"/>
    <x v="4"/>
    <x v="32"/>
    <x v="62"/>
    <x v="36"/>
    <s v="64-2337385-"/>
    <s v="gustavo.marin@redsalud.gob.cl"/>
    <x v="21"/>
    <m/>
    <n v="0"/>
    <m/>
    <n v="0"/>
    <n v="0"/>
    <m/>
    <x v="1"/>
    <x v="6"/>
  </r>
  <r>
    <s v="SERVICIO DE SALUD OSORNO"/>
    <s v="Obras Civiles"/>
    <x v="337"/>
    <s v="Proyecto operacional"/>
    <s v="Enviado"/>
    <n v="2220"/>
    <x v="332"/>
    <s v="Se requiere licitar para el mes de mayo año 2025, Mejoramiento Hospital de Rio Negro (4 LICITACIONES)"/>
    <n v="4"/>
    <s v="Remodelación"/>
    <n v="4"/>
    <n v="1"/>
    <n v="424384098"/>
    <n v="424384098"/>
    <x v="4"/>
    <x v="24"/>
    <x v="62"/>
    <x v="36"/>
    <s v="64-2337385-"/>
    <s v="gustavo.marin@redsalud.gob.cl"/>
    <x v="14"/>
    <m/>
    <n v="0"/>
    <m/>
    <n v="0"/>
    <n v="0"/>
    <m/>
    <x v="1"/>
    <x v="6"/>
  </r>
  <r>
    <s v="SERVICIO DE SALUD OSORNO"/>
    <s v="Bienes y Servicios"/>
    <x v="338"/>
    <s v="Proyecto operacional"/>
    <s v="Enviado"/>
    <n v="2771"/>
    <x v="333"/>
    <s v="4 CONTENEDORES DE PAPEL CON LAS SIGUIENTES MEDIDAS Alto 70 Cm Ancho 40 Cm Profundidad 39 Cm Peso 2,3 Kg Capacidad 60 Litros"/>
    <n v="1"/>
    <s v="Contenedor"/>
    <n v="4"/>
    <n v="4"/>
    <n v="17500"/>
    <n v="70000"/>
    <x v="4"/>
    <x v="35"/>
    <x v="95"/>
    <x v="94"/>
    <s v="64-2335752-"/>
    <s v="CRISTINA.COLLINAO@REDSALUD.GOB.CL"/>
    <x v="13"/>
    <m/>
    <n v="0"/>
    <m/>
    <n v="0"/>
    <n v="0"/>
    <m/>
    <x v="1"/>
    <x v="4"/>
  </r>
  <r>
    <s v="SERVICIO DE SALUD OSORNO"/>
    <s v="Bienes y Servicios"/>
    <x v="339"/>
    <s v="Proyecto estratégico"/>
    <s v="Enviado"/>
    <s v="Constanza García"/>
    <x v="334"/>
    <s v="Adquirir material necesario para el desarrollo de las atenciones de salud mental, favoreciendo una atención digna y de buena calidad, buscando brindar un estándar de comodidad medio para las y los pacientes, favoreciendo su apertura a la experiencia"/>
    <n v="3"/>
    <s v="Caja Plastica"/>
    <n v="4"/>
    <n v="2"/>
    <n v="17500"/>
    <n v="35000"/>
    <x v="4"/>
    <x v="35"/>
    <x v="91"/>
    <x v="89"/>
    <s v="64-2337033-"/>
    <s v="constanza.gj@gmail.com"/>
    <x v="13"/>
    <m/>
    <n v="0"/>
    <m/>
    <n v="0"/>
    <n v="0"/>
    <m/>
    <x v="1"/>
    <x v="4"/>
  </r>
  <r>
    <s v="SERVICIO DE SALUD OSORNO"/>
    <s v="Bienes y Servicios"/>
    <x v="339"/>
    <s v="Proyecto estratégico"/>
    <s v="Enviado"/>
    <s v="Constanza García"/>
    <x v="334"/>
    <s v="Adquirir material necesario para el desarrollo de las atenciones de salud mental, favoreciendo una atención digna y de buena calidad, buscando brindar un estándar de comodidad medio para las y los pacientes, favoreciendo su apertura a la experiencia"/>
    <n v="3"/>
    <s v="Material de Oficina"/>
    <n v="4"/>
    <n v="3"/>
    <n v="40000"/>
    <n v="120000"/>
    <x v="4"/>
    <x v="35"/>
    <x v="91"/>
    <x v="89"/>
    <s v="64-2337033-"/>
    <s v="constanza.gj@gmail.com"/>
    <x v="13"/>
    <m/>
    <n v="0"/>
    <m/>
    <n v="0"/>
    <n v="0"/>
    <m/>
    <x v="1"/>
    <x v="4"/>
  </r>
  <r>
    <s v="SERVICIO DE SALUD OSORNO"/>
    <s v="Bienes y Servicios"/>
    <x v="339"/>
    <s v="Proyecto estratégico"/>
    <s v="Enviado"/>
    <s v="Constanza García"/>
    <x v="334"/>
    <s v="Adquirir material necesario para el desarrollo de las atenciones de salud mental, favoreciendo una atención digna y de buena calidad, buscando brindar un estándar de comodidad medio para las y los pacientes, favoreciendo su apertura a la experiencia"/>
    <n v="3"/>
    <s v="Pañuelos"/>
    <n v="4"/>
    <n v="1"/>
    <n v="180000"/>
    <n v="180000"/>
    <x v="4"/>
    <x v="35"/>
    <x v="91"/>
    <x v="89"/>
    <s v="64-2337033-"/>
    <s v="constanza.gj@gmail.com"/>
    <x v="13"/>
    <m/>
    <n v="0"/>
    <m/>
    <n v="0"/>
    <n v="0"/>
    <m/>
    <x v="1"/>
    <x v="4"/>
  </r>
  <r>
    <s v="SERVICIO DE SALUD OSORNO"/>
    <s v="Bienes y Servicios"/>
    <x v="340"/>
    <s v="Proyecto operacional"/>
    <s v="Enviado"/>
    <s v="22.01-22.04"/>
    <x v="335"/>
    <s v="Fortalecer los procesos terapéuticos y comunitarios de las personas en tratamiento, mediante espacios mensuales de resignificación que promuevan la integración familiar, la reconstrucción de vínculos y la participación activa en actividades que refuercen el sentido de pertenencia, la autoestima y la continuidad del proceso de rehabilitación."/>
    <n v="3"/>
    <s v="Alimentación"/>
    <n v="4"/>
    <n v="4626"/>
    <n v="1136"/>
    <n v="5255136"/>
    <x v="4"/>
    <x v="38"/>
    <x v="43"/>
    <x v="48"/>
    <s v="64-2565492-"/>
    <s v="carolina.silvall@redsalud.gob.cl"/>
    <x v="13"/>
    <m/>
    <n v="0"/>
    <m/>
    <n v="0"/>
    <n v="0"/>
    <m/>
    <x v="1"/>
    <x v="4"/>
  </r>
  <r>
    <s v="SERVICIO DE SALUD OSORNO"/>
    <s v="Bienes y Servicios"/>
    <x v="340"/>
    <s v="Proyecto operacional"/>
    <s v="Enviado"/>
    <s v="22.01-22.04"/>
    <x v="335"/>
    <s v="Fortalecer los procesos terapéuticos y comunitarios de las personas en tratamiento, mediante espacios mensuales de resignificación que promuevan la integración familiar, la reconstrucción de vínculos y la participación activa en actividades que refuercen el sentido de pertenencia, la autoestima y la continuidad del proceso de rehabilitación."/>
    <n v="3"/>
    <s v="Insumos de alimentación"/>
    <n v="4"/>
    <n v="2406"/>
    <n v="205"/>
    <n v="493230"/>
    <x v="4"/>
    <x v="38"/>
    <x v="43"/>
    <x v="48"/>
    <s v="64-2565492-"/>
    <s v="carolina.silvall@redsalud.gob.cl"/>
    <x v="13"/>
    <m/>
    <n v="0"/>
    <m/>
    <n v="0"/>
    <n v="0"/>
    <m/>
    <x v="1"/>
    <x v="4"/>
  </r>
  <r>
    <s v="SERVICIO DE SALUD OSORNO"/>
    <s v="Bienes y Servicios"/>
    <x v="340"/>
    <s v="Proyecto operacional"/>
    <s v="Enviado"/>
    <s v="22.01-22.04"/>
    <x v="335"/>
    <s v="Fortalecer los procesos terapéuticos y comunitarios de las personas en tratamiento, mediante espacios mensuales de resignificación que promuevan la integración familiar, la reconstrucción de vínculos y la participación activa en actividades que refuercen el sentido de pertenencia, la autoestima y la continuidad del proceso de rehabilitación."/>
    <n v="3"/>
    <s v="Insumos de alimentación"/>
    <n v="4"/>
    <n v="1224"/>
    <n v="628"/>
    <n v="768672"/>
    <x v="4"/>
    <x v="38"/>
    <x v="43"/>
    <x v="48"/>
    <s v="64-2565492-"/>
    <s v="carolina.silvall@redsalud.gob.cl"/>
    <x v="13"/>
    <m/>
    <n v="0"/>
    <m/>
    <n v="0"/>
    <n v="0"/>
    <m/>
    <x v="1"/>
    <x v="4"/>
  </r>
  <r>
    <s v="SERVICIO DE SALUD OSORNO"/>
    <s v="Bienes y Servicios"/>
    <x v="341"/>
    <s v="Proyecto operacional"/>
    <s v="Enviado"/>
    <s v="22.01.001"/>
    <x v="336"/>
    <s v="ADQUISICIÓN DE INSUMOS DE ALIMENTACIÓN NECESARIOS PARA MANTENER LA CALIDAD DE ACTIVIDADES IMPORTANTES COMO REUNIONES CON EL INTERSECTOR , TALLERES Y CAPACITACIONES"/>
    <n v="1"/>
    <s v="Alimentos"/>
    <n v="4"/>
    <n v="40"/>
    <n v="4250"/>
    <n v="170000"/>
    <x v="4"/>
    <x v="35"/>
    <x v="91"/>
    <x v="89"/>
    <s v="64-2337033-"/>
    <s v="constanza.gj@gmail.com"/>
    <x v="13"/>
    <m/>
    <n v="0"/>
    <m/>
    <n v="0"/>
    <n v="0"/>
    <m/>
    <x v="1"/>
    <x v="4"/>
  </r>
  <r>
    <s v="SERVICIO DE SALUD OSORNO"/>
    <s v="Bienes y Servicios"/>
    <x v="342"/>
    <s v="Proyecto operacional"/>
    <s v="Enviado"/>
    <n v="2577"/>
    <x v="337"/>
    <s v="MUEBLE REPISERO PARA DOCUMENTOS DE MELAMINA"/>
    <n v="1"/>
    <s v="Mueble"/>
    <n v="4"/>
    <n v="1"/>
    <n v="100000"/>
    <n v="100000"/>
    <x v="4"/>
    <x v="35"/>
    <x v="95"/>
    <x v="94"/>
    <s v="64-2335752-"/>
    <s v="CRISTINA.COLLINAO@REDSALUD.GOB.CL"/>
    <x v="13"/>
    <m/>
    <n v="0"/>
    <m/>
    <n v="0"/>
    <n v="0"/>
    <m/>
    <x v="1"/>
    <x v="4"/>
  </r>
  <r>
    <s v="SERVICIO DE SALUD OSORNO"/>
    <s v="Bienes y Servicios"/>
    <x v="343"/>
    <s v="Proyecto operacional"/>
    <s v="Enviado"/>
    <s v="22.02.001"/>
    <x v="338"/>
    <s v="Ejecución de las olimpiadas del adolescente a realizar en contexto de prevención de la obesidad."/>
    <n v="2"/>
    <s v="Polera de trabajo"/>
    <n v="4"/>
    <n v="20"/>
    <n v="3500"/>
    <n v="70000"/>
    <x v="4"/>
    <x v="32"/>
    <x v="73"/>
    <x v="75"/>
    <s v="64-25806-"/>
    <s v="francisca.contreras.c@redsalud.gob.cl"/>
    <x v="19"/>
    <m/>
    <n v="0"/>
    <m/>
    <n v="0"/>
    <n v="0"/>
    <m/>
    <x v="1"/>
    <x v="4"/>
  </r>
  <r>
    <s v="SERVICIO DE SALUD OSORNO"/>
    <s v="Bienes y Servicios"/>
    <x v="343"/>
    <s v="Proyecto operacional"/>
    <s v="Enviado"/>
    <s v="22.02.001"/>
    <x v="338"/>
    <s v="Ejecución de las olimpiadas del adolescente a realizar en contexto de prevención de la obesidad."/>
    <n v="2"/>
    <s v="Bandanas"/>
    <n v="4"/>
    <n v="100"/>
    <n v="1500"/>
    <n v="150000"/>
    <x v="4"/>
    <x v="32"/>
    <x v="73"/>
    <x v="75"/>
    <s v="64-25806-"/>
    <s v="francisca.contreras.c@redsalud.gob.cl"/>
    <x v="19"/>
    <m/>
    <n v="0"/>
    <m/>
    <n v="0"/>
    <n v="0"/>
    <m/>
    <x v="1"/>
    <x v="4"/>
  </r>
  <r>
    <s v="SERVICIO DE SALUD OSORNO"/>
    <s v="Bienes y Servicios"/>
    <x v="344"/>
    <s v="Proyecto operacional"/>
    <s v="Enviado"/>
    <n v="2588"/>
    <x v="339"/>
    <s v="Tener stock para reuniones del Director durante el año y recepción parcializada en 4 meses."/>
    <n v="2"/>
    <s v="Alimentación"/>
    <n v="4"/>
    <n v="118"/>
    <n v="3221"/>
    <n v="380078"/>
    <x v="4"/>
    <x v="35"/>
    <x v="96"/>
    <x v="92"/>
    <s v="64-2335750-"/>
    <s v="claudia.veraa@redsalud.gob.cl"/>
    <x v="13"/>
    <m/>
    <n v="0"/>
    <m/>
    <n v="0"/>
    <n v="0"/>
    <m/>
    <x v="1"/>
    <x v="4"/>
  </r>
  <r>
    <s v="SERVICIO DE SALUD OSORNO"/>
    <s v="Bienes y Servicios"/>
    <x v="344"/>
    <s v="Proyecto operacional"/>
    <s v="Enviado"/>
    <n v="2588"/>
    <x v="339"/>
    <s v="Tener stock para reuniones del Director durante el año y recepción parcializada en 4 meses."/>
    <n v="2"/>
    <s v="Menaje"/>
    <n v="4"/>
    <n v="2022"/>
    <n v="65"/>
    <n v="131430"/>
    <x v="4"/>
    <x v="35"/>
    <x v="96"/>
    <x v="92"/>
    <s v="64-2335750-"/>
    <s v="claudia.veraa@redsalud.gob.cl"/>
    <x v="13"/>
    <m/>
    <n v="0"/>
    <m/>
    <n v="0"/>
    <n v="0"/>
    <m/>
    <x v="1"/>
    <x v="4"/>
  </r>
  <r>
    <s v="SERVICIO DE SALUD OSORNO"/>
    <s v="Bienes y Servicios"/>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n v="9"/>
    <s v="Servicio Relatoría"/>
    <n v="4"/>
    <n v="60"/>
    <n v="3250000"/>
    <n v="195000000"/>
    <x v="4"/>
    <x v="33"/>
    <x v="97"/>
    <x v="95"/>
    <s v="64-2335849-"/>
    <s v="angela.montesinos@redsalud.gob.cl"/>
    <x v="15"/>
    <m/>
    <n v="0"/>
    <m/>
    <n v="0"/>
    <n v="0"/>
    <m/>
    <x v="1"/>
    <x v="4"/>
  </r>
  <r>
    <s v="SERVICIO DE SALUD OSORNO"/>
    <s v="Bienes y Servicios"/>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n v="9"/>
    <s v="Tarjetas de Alimentación"/>
    <n v="4"/>
    <n v="300"/>
    <n v="6000"/>
    <n v="1800000"/>
    <x v="4"/>
    <x v="33"/>
    <x v="97"/>
    <x v="95"/>
    <s v="64-2335849-"/>
    <s v="angela.montesinos@redsalud.gob.cl"/>
    <x v="15"/>
    <m/>
    <n v="0"/>
    <m/>
    <n v="0"/>
    <n v="0"/>
    <m/>
    <x v="1"/>
    <x v="4"/>
  </r>
  <r>
    <s v="SERVICIO DE SALUD OSORNO"/>
    <s v="Bienes y Servicios"/>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n v="9"/>
    <s v="Servicio de Cafetería"/>
    <n v="4"/>
    <n v="1200"/>
    <n v="4500"/>
    <n v="5400000"/>
    <x v="4"/>
    <x v="26"/>
    <x v="97"/>
    <x v="95"/>
    <s v="64-2335849-"/>
    <s v="angela.montesinos@redsalud.gob.cl"/>
    <x v="24"/>
    <m/>
    <n v="0"/>
    <m/>
    <n v="0"/>
    <n v="0"/>
    <m/>
    <x v="1"/>
    <x v="4"/>
  </r>
  <r>
    <s v="SERVICIO DE SALUD OSORNO"/>
    <s v="Bienes y Servicios"/>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n v="9"/>
    <s v="Alimentación"/>
    <n v="4"/>
    <n v="880"/>
    <n v="839"/>
    <n v="738320"/>
    <x v="4"/>
    <x v="33"/>
    <x v="97"/>
    <x v="95"/>
    <s v="64-2335849-"/>
    <s v="angela.montesinos@redsalud.gob.cl"/>
    <x v="15"/>
    <m/>
    <n v="0"/>
    <m/>
    <n v="0"/>
    <n v="0"/>
    <m/>
    <x v="1"/>
    <x v="4"/>
  </r>
  <r>
    <s v="SERVICIO DE SALUD OSORNO"/>
    <s v="Bienes y Servicios"/>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n v="9"/>
    <s v="Insumos de Alimentación"/>
    <n v="4"/>
    <n v="80"/>
    <n v="2113"/>
    <n v="169040"/>
    <x v="4"/>
    <x v="33"/>
    <x v="97"/>
    <x v="95"/>
    <s v="64-2335849-"/>
    <s v="angela.montesinos@redsalud.gob.cl"/>
    <x v="15"/>
    <m/>
    <n v="0"/>
    <m/>
    <n v="0"/>
    <n v="0"/>
    <m/>
    <x v="1"/>
    <x v="4"/>
  </r>
  <r>
    <s v="SERVICIO DE SALUD OSORNO"/>
    <s v="Bienes y Servicios"/>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n v="9"/>
    <s v="Artículos de Oficina"/>
    <n v="4"/>
    <n v="3200"/>
    <n v="969"/>
    <n v="3100800"/>
    <x v="4"/>
    <x v="33"/>
    <x v="97"/>
    <x v="95"/>
    <s v="64-2335849-"/>
    <s v="angela.montesinos@redsalud.gob.cl"/>
    <x v="15"/>
    <m/>
    <n v="0"/>
    <m/>
    <n v="0"/>
    <n v="0"/>
    <m/>
    <x v="1"/>
    <x v="4"/>
  </r>
  <r>
    <s v="SERVICIO DE SALUD OSORNO"/>
    <s v="Bienes y Servicios"/>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n v="9"/>
    <s v="Pila"/>
    <n v="4"/>
    <n v="40"/>
    <n v="1250"/>
    <n v="50000"/>
    <x v="4"/>
    <x v="33"/>
    <x v="97"/>
    <x v="95"/>
    <s v="64-2335849-"/>
    <s v="angela.montesinos@redsalud.gob.cl"/>
    <x v="15"/>
    <m/>
    <n v="0"/>
    <m/>
    <n v="0"/>
    <n v="0"/>
    <m/>
    <x v="1"/>
    <x v="4"/>
  </r>
  <r>
    <s v="SERVICIO DE SALUD OSORNO"/>
    <s v="Bienes y Servicios"/>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n v="9"/>
    <s v="Caja plástica"/>
    <n v="4"/>
    <n v="5"/>
    <n v="10000"/>
    <n v="50000"/>
    <x v="4"/>
    <x v="33"/>
    <x v="97"/>
    <x v="95"/>
    <s v="64-2335849-"/>
    <s v="angela.montesinos@redsalud.gob.cl"/>
    <x v="15"/>
    <m/>
    <n v="0"/>
    <m/>
    <n v="0"/>
    <n v="0"/>
    <m/>
    <x v="1"/>
    <x v="4"/>
  </r>
  <r>
    <s v="SERVICIO DE SALUD OSORNO"/>
    <s v="Bienes y Servicios"/>
    <x v="345"/>
    <s v="Proyecto operacional"/>
    <s v="Enviado"/>
    <n v="2513"/>
    <x v="340"/>
    <s v="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con excepción del Hospital Base San José Osorno dado que es establecimiento autogestionado. Compra durante Primer Semestre 2026 y 3er Trim"/>
    <n v="9"/>
    <s v="Alojamiento"/>
    <n v="4"/>
    <n v="5"/>
    <n v="300000"/>
    <n v="1500000"/>
    <x v="4"/>
    <x v="26"/>
    <x v="97"/>
    <x v="95"/>
    <s v="64-2335849-"/>
    <s v="angela.montesinos@redsalud.gob.cl"/>
    <x v="24"/>
    <m/>
    <n v="0"/>
    <m/>
    <n v="0"/>
    <n v="0"/>
    <m/>
    <x v="1"/>
    <x v="4"/>
  </r>
  <r>
    <s v="SERVICIO DE SALUD OSORNO"/>
    <s v="Bienes y Servicios"/>
    <x v="346"/>
    <s v="Proyecto operacional"/>
    <s v="Enviado"/>
    <s v="22.04"/>
    <x v="341"/>
    <s v="Se requiere la reposición y adquisición de insumos médicos para los botiquines de las Unidades Residencial y Ambulatoria de la Comunidad Terapéutica. Con personal compuestos por enfermeros, técnicos paramédicos y médicos, se busca atender emergencias, aliviar el dolor, realizar curaciones y manejar patologías menores. Contar con botiquines equipados permite brindar atención primaria oportuna ante eventos ocurridos durante la estadía o actividades de la unidad."/>
    <n v="3"/>
    <s v="Artículos médicos y clínicos"/>
    <n v="4"/>
    <n v="23"/>
    <n v="10392"/>
    <n v="239016"/>
    <x v="4"/>
    <x v="33"/>
    <x v="43"/>
    <x v="48"/>
    <s v="64-2565492-"/>
    <s v="carolina.silvall@redsalud.gob.cl"/>
    <x v="15"/>
    <m/>
    <n v="0"/>
    <m/>
    <n v="0"/>
    <n v="0"/>
    <m/>
    <x v="1"/>
    <x v="4"/>
  </r>
  <r>
    <s v="SERVICIO DE SALUD OSORNO"/>
    <s v="Bienes y Servicios"/>
    <x v="346"/>
    <s v="Proyecto operacional"/>
    <s v="Enviado"/>
    <s v="22.04"/>
    <x v="341"/>
    <s v="Se requiere la reposición y adquisición de insumos médicos para los botiquines de las Unidades Residencial y Ambulatoria de la Comunidad Terapéutica. Con personal compuestos por enfermeros, técnicos paramédicos y médicos, se busca atender emergencias, aliviar el dolor, realizar curaciones y manejar patologías menores. Contar con botiquines equipados permite brindar atención primaria oportuna ante eventos ocurridos durante la estadía o actividades de la unidad."/>
    <n v="3"/>
    <s v="Materiales de curación"/>
    <n v="4"/>
    <n v="431"/>
    <n v="2492"/>
    <n v="1074052"/>
    <x v="4"/>
    <x v="33"/>
    <x v="43"/>
    <x v="48"/>
    <s v="64-2565492-"/>
    <s v="carolina.silvall@redsalud.gob.cl"/>
    <x v="15"/>
    <m/>
    <n v="0"/>
    <m/>
    <n v="0"/>
    <n v="0"/>
    <m/>
    <x v="1"/>
    <x v="4"/>
  </r>
  <r>
    <s v="SERVICIO DE SALUD OSORNO"/>
    <s v="Bienes y Servicios"/>
    <x v="346"/>
    <s v="Proyecto operacional"/>
    <s v="Enviado"/>
    <s v="22.04"/>
    <x v="341"/>
    <s v="Se requiere la reposición y adquisición de insumos médicos para los botiquines de las Unidades Residencial y Ambulatoria de la Comunidad Terapéutica. Con personal compuestos por enfermeros, técnicos paramédicos y médicos, se busca atender emergencias, aliviar el dolor, realizar curaciones y manejar patologías menores. Contar con botiquines equipados permite brindar atención primaria oportuna ante eventos ocurridos durante la estadía o actividades de la unidad."/>
    <n v="3"/>
    <s v="Equipamiento médico"/>
    <n v="4"/>
    <n v="3002"/>
    <n v="160"/>
    <n v="480320"/>
    <x v="4"/>
    <x v="33"/>
    <x v="43"/>
    <x v="48"/>
    <s v="64-2565492-"/>
    <s v="carolina.silvall@redsalud.gob.cl"/>
    <x v="15"/>
    <m/>
    <n v="0"/>
    <m/>
    <n v="0"/>
    <n v="0"/>
    <m/>
    <x v="1"/>
    <x v="4"/>
  </r>
  <r>
    <s v="SERVICIO DE SALUD OSORNO"/>
    <s v="Bienes y Servicios"/>
    <x v="347"/>
    <s v="Proyecto operacional"/>
    <s v="Enviado"/>
    <n v="2592"/>
    <x v="342"/>
    <s v="Adquisición de insumos médicos para el control cardiovascular/integral en APS. 1) EQUIPO DE CURACION DESECHABLE: 2.000 UNIDADES. 2) CURETAS FOX (3 mm o 4 mm): 500 UNIDADES (19 cajas c/25 unidades). 3) MONOFILAMENTO SEMMES WEINSTEIN: 250 UNIDADES. 4) CINTA MÉTRICA RETRÁCTIL: 150 UNIDADES. Compra para marzo 2025."/>
    <n v="1"/>
    <s v="Insumos Clínicos"/>
    <n v="4"/>
    <n v="2900"/>
    <n v="3449"/>
    <n v="10002100"/>
    <x v="4"/>
    <x v="32"/>
    <x v="24"/>
    <x v="91"/>
    <s v="64-2335810-"/>
    <s v="consuelo.cordova@redsalud.gob.cl"/>
    <x v="21"/>
    <m/>
    <n v="0"/>
    <m/>
    <n v="0"/>
    <n v="0"/>
    <m/>
    <x v="1"/>
    <x v="4"/>
  </r>
  <r>
    <s v="SERVICIO DE SALUD OSORNO"/>
    <s v="Bienes y Servicios"/>
    <x v="348"/>
    <s v="Proyecto operacional"/>
    <s v="Enviado"/>
    <s v="22.04"/>
    <x v="343"/>
    <s v="Mantener stock de recursos para el desarrollo de actividades psicopedagógicas y desde el abordaje cognitivo conductual de todos los terapeutas, todas dirigidas a que las personas en tratamientos y familiares logren a través de actividades grupales dirigidas, adquirir conocimientos de forma lúdica con estrategias que permitan el desarrollo de creatividad, estimulación y discriminación visual."/>
    <n v="2"/>
    <s v="Artículos de librería"/>
    <n v="4"/>
    <n v="731"/>
    <n v="1107"/>
    <n v="809217"/>
    <x v="4"/>
    <x v="24"/>
    <x v="43"/>
    <x v="48"/>
    <s v="64-2565492-"/>
    <s v="carolina.silvall@redsalud.gob.cl"/>
    <x v="21"/>
    <m/>
    <n v="0"/>
    <m/>
    <n v="0"/>
    <n v="0"/>
    <m/>
    <x v="1"/>
    <x v="4"/>
  </r>
  <r>
    <s v="SERVICIO DE SALUD OSORNO"/>
    <s v="Bienes y Servicios"/>
    <x v="348"/>
    <s v="Proyecto operacional"/>
    <s v="Enviado"/>
    <s v="22.04"/>
    <x v="343"/>
    <s v="Mantener stock de recursos para el desarrollo de actividades psicopedagógicas y desde el abordaje cognitivo conductual de todos los terapeutas, todas dirigidas a que las personas en tratamientos y familiares logren a través de actividades grupales dirigidas, adquirir conocimientos de forma lúdica con estrategias que permitan el desarrollo de creatividad, estimulación y discriminación visual."/>
    <n v="2"/>
    <s v="Artículos de oficina"/>
    <n v="4"/>
    <n v="70"/>
    <n v="4858"/>
    <n v="340060"/>
    <x v="4"/>
    <x v="24"/>
    <x v="43"/>
    <x v="48"/>
    <s v="64-2565492-"/>
    <s v="carolina.silvall@redsalud.gob.cl"/>
    <x v="21"/>
    <m/>
    <n v="0"/>
    <m/>
    <n v="0"/>
    <n v="0"/>
    <m/>
    <x v="1"/>
    <x v="4"/>
  </r>
  <r>
    <s v="SERVICIO DE SALUD OSORNO"/>
    <s v="Bienes y Servicios"/>
    <x v="349"/>
    <s v="Proyecto operacional"/>
    <s v="Enviado"/>
    <s v="22.04"/>
    <x v="344"/>
    <s v="Adquisición de insumos para la atención y educación en salud, a personas bajo control en distintos programas de la atención primaria: - 100 cajas Apositos - 10 linternas frontales - 10 diapazón - 10 tijera corta yeso dentada Bruns - 10 fonendoscopios pediátricos - 14 Podoscopio"/>
    <n v="3"/>
    <s v="Equipo Medico"/>
    <n v="4"/>
    <n v="44"/>
    <n v="90000"/>
    <n v="3960000"/>
    <x v="4"/>
    <x v="32"/>
    <x v="24"/>
    <x v="91"/>
    <s v="64-2335810-"/>
    <s v="consuelo.cordova@redsalud.gob.cl"/>
    <x v="21"/>
    <m/>
    <n v="0"/>
    <m/>
    <n v="0"/>
    <n v="0"/>
    <m/>
    <x v="1"/>
    <x v="4"/>
  </r>
  <r>
    <s v="SERVICIO DE SALUD OSORNO"/>
    <s v="Bienes y Servicios"/>
    <x v="349"/>
    <s v="Proyecto operacional"/>
    <s v="Enviado"/>
    <s v="22.04"/>
    <x v="344"/>
    <s v="Adquisición de insumos para la atención y educación en salud, a personas bajo control en distintos programas de la atención primaria: - 100 cajas Apositos - 10 linternas frontales - 10 diapazón - 10 tijera corta yeso dentada Bruns - 10 fonendoscopios pediátricos - 14 Podoscopio"/>
    <n v="3"/>
    <s v="Linterna"/>
    <n v="4"/>
    <n v="10"/>
    <n v="60000"/>
    <n v="600000"/>
    <x v="4"/>
    <x v="32"/>
    <x v="24"/>
    <x v="91"/>
    <s v="64-2335810-"/>
    <s v="consuelo.cordova@redsalud.gob.cl"/>
    <x v="21"/>
    <m/>
    <n v="0"/>
    <m/>
    <n v="0"/>
    <n v="0"/>
    <m/>
    <x v="1"/>
    <x v="4"/>
  </r>
  <r>
    <s v="SERVICIO DE SALUD OSORNO"/>
    <s v="Bienes y Servicios"/>
    <x v="349"/>
    <s v="Proyecto operacional"/>
    <s v="Enviado"/>
    <s v="22.04"/>
    <x v="344"/>
    <s v="Adquisición de insumos para la atención y educación en salud, a personas bajo control en distintos programas de la atención primaria: - 100 cajas Apositos - 10 linternas frontales - 10 diapazón - 10 tijera corta yeso dentada Bruns - 10 fonendoscopios pediátricos - 14 Podoscopio"/>
    <n v="3"/>
    <s v="Material de Curación"/>
    <n v="4"/>
    <n v="100"/>
    <n v="10000"/>
    <n v="1000000"/>
    <x v="4"/>
    <x v="32"/>
    <x v="24"/>
    <x v="91"/>
    <s v="64-2335810-"/>
    <s v="consuelo.cordova@redsalud.gob.cl"/>
    <x v="21"/>
    <m/>
    <n v="0"/>
    <m/>
    <n v="0"/>
    <n v="0"/>
    <m/>
    <x v="1"/>
    <x v="4"/>
  </r>
  <r>
    <s v="SERVICIO DE SALUD OSORNO"/>
    <s v="Bienes y Servicios"/>
    <x v="350"/>
    <s v="Proyecto operacional"/>
    <s v="Enviado"/>
    <n v="2590"/>
    <x v="345"/>
    <s v="Realizar actividad conmemorativa enmarcada en el cumplimiento de los 10 años de antigüedad del centro kümelen en septiembre 2026."/>
    <n v="3"/>
    <s v="Servicio Cafeteria"/>
    <n v="4"/>
    <n v="100"/>
    <n v="7000"/>
    <n v="700000"/>
    <x v="4"/>
    <x v="26"/>
    <x v="98"/>
    <x v="96"/>
    <s v="64-2337366-"/>
    <s v="carlos.utreras@redsalud.gob.cl"/>
    <x v="16"/>
    <m/>
    <n v="0"/>
    <m/>
    <n v="0"/>
    <n v="0"/>
    <m/>
    <x v="1"/>
    <x v="4"/>
  </r>
  <r>
    <s v="SERVICIO DE SALUD OSORNO"/>
    <s v="Bienes y Servicios"/>
    <x v="350"/>
    <s v="Proyecto operacional"/>
    <s v="Enviado"/>
    <n v="2590"/>
    <x v="345"/>
    <s v="Realizar actividad conmemorativa enmarcada en el cumplimiento de los 10 años de antigüedad del centro kümelen en septiembre 2026."/>
    <n v="3"/>
    <s v="Diptico"/>
    <n v="4"/>
    <n v="200"/>
    <n v="900"/>
    <n v="180000"/>
    <x v="4"/>
    <x v="26"/>
    <x v="98"/>
    <x v="96"/>
    <s v="64-2337366-"/>
    <s v="carlos.utreras@redsalud.gob.cl"/>
    <x v="16"/>
    <m/>
    <n v="0"/>
    <m/>
    <n v="0"/>
    <n v="0"/>
    <m/>
    <x v="1"/>
    <x v="4"/>
  </r>
  <r>
    <s v="SERVICIO DE SALUD OSORNO"/>
    <s v="Bienes y Servicios"/>
    <x v="350"/>
    <s v="Proyecto operacional"/>
    <s v="Enviado"/>
    <n v="2590"/>
    <x v="345"/>
    <s v="Realizar actividad conmemorativa enmarcada en el cumplimiento de los 10 años de antigüedad del centro kümelen en septiembre 2026."/>
    <n v="3"/>
    <s v="Decoración"/>
    <n v="4"/>
    <n v="100"/>
    <n v="400"/>
    <n v="40000"/>
    <x v="4"/>
    <x v="26"/>
    <x v="98"/>
    <x v="96"/>
    <s v="64-2337366-"/>
    <s v="carlos.utreras@redsalud.gob.cl"/>
    <x v="16"/>
    <m/>
    <n v="0"/>
    <m/>
    <n v="0"/>
    <n v="0"/>
    <m/>
    <x v="1"/>
    <x v="4"/>
  </r>
  <r>
    <s v="SERVICIO DE SALUD OSORNO"/>
    <s v="Administración de Fondos"/>
    <x v="351"/>
    <s v="Proyecto estratégico"/>
    <s v="Enviado"/>
    <s v="22.01-22.04-22.02"/>
    <x v="346"/>
    <s v="Consiste en enseñar a los usuarios de forma teórico-práctica habilidades para lograr la máxima independencia de los usuarios de salud mental. Fomentar máxima autonomía posible de los participantes según su nivel de funcionalidad, identificar las fortalezas y necesidades individuales de cada participante, desarrollar habilidades para la vida diaria en AVD básicas, instrumentales, en interacción y comunicación, explorar los recursos disponibles en la comunidad para brindar apoyo adicional."/>
    <n v="5"/>
    <s v="Artículos de cocina"/>
    <n v="4"/>
    <n v="17"/>
    <n v="6611"/>
    <n v="112387"/>
    <x v="4"/>
    <x v="38"/>
    <x v="44"/>
    <x v="97"/>
    <s v="64-2565610-"/>
    <s v="pedro.fritz@redsalud.gob.cl"/>
    <x v="13"/>
    <m/>
    <n v="0"/>
    <m/>
    <n v="0"/>
    <n v="0"/>
    <m/>
    <x v="1"/>
    <x v="2"/>
  </r>
  <r>
    <s v="SERVICIO DE SALUD OSORNO"/>
    <s v="Administración de Fondos"/>
    <x v="351"/>
    <s v="Proyecto estratégico"/>
    <s v="Enviado"/>
    <s v="22.01-22.04-22.02"/>
    <x v="346"/>
    <s v="Consiste en enseñar a los usuarios de forma teórico-práctica habilidades para lograr la máxima independencia de los usuarios de salud mental. Fomentar máxima autonomía posible de los participantes según su nivel de funcionalidad, identificar las fortalezas y necesidades individuales de cada participante, desarrollar habilidades para la vida diaria en AVD básicas, instrumentales, en interacción y comunicación, explorar los recursos disponibles en la comunidad para brindar apoyo adicional."/>
    <n v="5"/>
    <s v="Alimentación"/>
    <n v="4"/>
    <n v="24"/>
    <n v="1805"/>
    <n v="43320"/>
    <x v="4"/>
    <x v="38"/>
    <x v="44"/>
    <x v="97"/>
    <s v="64-2565610-"/>
    <s v="pedro.fritz@redsalud.gob.cl"/>
    <x v="13"/>
    <m/>
    <n v="0"/>
    <m/>
    <n v="0"/>
    <n v="0"/>
    <m/>
    <x v="1"/>
    <x v="2"/>
  </r>
  <r>
    <s v="SERVICIO DE SALUD OSORNO"/>
    <s v="Administración de Fondos"/>
    <x v="351"/>
    <s v="Proyecto estratégico"/>
    <s v="Enviado"/>
    <s v="22.01-22.04-22.02"/>
    <x v="346"/>
    <s v="Consiste en enseñar a los usuarios de forma teórico-práctica habilidades para lograr la máxima independencia de los usuarios de salud mental. Fomentar máxima autonomía posible de los participantes según su nivel de funcionalidad, identificar las fortalezas y necesidades individuales de cada participante, desarrollar habilidades para la vida diaria en AVD básicas, instrumentales, en interacción y comunicación, explorar los recursos disponibles en la comunidad para brindar apoyo adicional."/>
    <n v="5"/>
    <s v="Útiles de aseo"/>
    <n v="4"/>
    <n v="18"/>
    <n v="1389"/>
    <n v="25002"/>
    <x v="4"/>
    <x v="38"/>
    <x v="44"/>
    <x v="97"/>
    <s v="64-2565610-"/>
    <s v="pedro.fritz@redsalud.gob.cl"/>
    <x v="13"/>
    <m/>
    <n v="0"/>
    <m/>
    <n v="0"/>
    <n v="0"/>
    <m/>
    <x v="1"/>
    <x v="2"/>
  </r>
  <r>
    <s v="SERVICIO DE SALUD OSORNO"/>
    <s v="Administración de Fondos"/>
    <x v="351"/>
    <s v="Proyecto estratégico"/>
    <s v="Enviado"/>
    <s v="22.01-22.04-22.02"/>
    <x v="346"/>
    <s v="Consiste en enseñar a los usuarios de forma teórico-práctica habilidades para lograr la máxima independencia de los usuarios de salud mental. Fomentar máxima autonomía posible de los participantes según su nivel de funcionalidad, identificar las fortalezas y necesidades individuales de cada participante, desarrollar habilidades para la vida diaria en AVD básicas, instrumentales, en interacción y comunicación, explorar los recursos disponibles en la comunidad para brindar apoyo adicional."/>
    <n v="5"/>
    <s v="Artículos de cocina textiles"/>
    <n v="4"/>
    <n v="4"/>
    <n v="6250"/>
    <n v="25000"/>
    <x v="4"/>
    <x v="38"/>
    <x v="44"/>
    <x v="97"/>
    <s v="64-2565610-"/>
    <s v="pedro.fritz@redsalud.gob.cl"/>
    <x v="13"/>
    <m/>
    <n v="0"/>
    <m/>
    <n v="0"/>
    <n v="0"/>
    <m/>
    <x v="1"/>
    <x v="2"/>
  </r>
  <r>
    <s v="SERVICIO DE SALUD OSORNO"/>
    <s v="Administración de Fondos"/>
    <x v="351"/>
    <s v="Proyecto estratégico"/>
    <s v="Enviado"/>
    <s v="22.01-22.04-22.02"/>
    <x v="346"/>
    <s v="Consiste en enseñar a los usuarios de forma teórico-práctica habilidades para lograr la máxima independencia de los usuarios de salud mental. Fomentar máxima autonomía posible de los participantes según su nivel de funcionalidad, identificar las fortalezas y necesidades individuales de cada participante, desarrollar habilidades para la vida diaria en AVD básicas, instrumentales, en interacción y comunicación, explorar los recursos disponibles en la comunidad para brindar apoyo adicional."/>
    <n v="5"/>
    <s v="Fósforos"/>
    <n v="4"/>
    <n v="1"/>
    <n v="1700"/>
    <n v="1700"/>
    <x v="4"/>
    <x v="38"/>
    <x v="44"/>
    <x v="97"/>
    <s v="64-2565610-"/>
    <s v="pedro.fritz@redsalud.gob.cl"/>
    <x v="13"/>
    <m/>
    <n v="0"/>
    <m/>
    <n v="0"/>
    <n v="0"/>
    <m/>
    <x v="1"/>
    <x v="2"/>
  </r>
  <r>
    <s v="SERVICIO DE SALUD OSORNO"/>
    <s v="Bienes y Servicios"/>
    <x v="352"/>
    <s v="Proyecto operacional"/>
    <s v="Enviado"/>
    <n v="2591"/>
    <x v="347"/>
    <s v="Adquisición de ciclo de capacitaciones para la red asistencial en ECICEP, considerando capacitaciones transversales para el equipo de salud, capacitaciones para Médicos, Capacitaciones para Enfermeras y TENS."/>
    <n v="1"/>
    <s v="Curso"/>
    <n v="4"/>
    <n v="4"/>
    <n v="3996070"/>
    <n v="15984280"/>
    <x v="4"/>
    <x v="24"/>
    <x v="83"/>
    <x v="98"/>
    <s v="64-2335465-"/>
    <s v="mariapaz.gomez.n@redsalud.gob.cl"/>
    <x v="14"/>
    <m/>
    <n v="0"/>
    <m/>
    <n v="0"/>
    <n v="0"/>
    <m/>
    <x v="1"/>
    <x v="4"/>
  </r>
  <r>
    <s v="SERVICIO DE SALUD OSORNO"/>
    <s v="Bienes y Servicios"/>
    <x v="353"/>
    <s v="Proyecto operacional"/>
    <s v="Enviado"/>
    <s v="22.04.003"/>
    <x v="348"/>
    <s v="Adquisición de insumos clínicos necesarios para la atención de usuarias en un entorno limpio e higiénico."/>
    <n v="2"/>
    <s v="Productos Alcohol"/>
    <n v="4"/>
    <n v="412"/>
    <n v="850"/>
    <n v="350200"/>
    <x v="4"/>
    <x v="35"/>
    <x v="99"/>
    <x v="99"/>
    <s v="64-2331026-"/>
    <s v="barbara.mendez@redsalud.gob.cl"/>
    <x v="13"/>
    <m/>
    <n v="0"/>
    <m/>
    <n v="0"/>
    <n v="0"/>
    <m/>
    <x v="1"/>
    <x v="4"/>
  </r>
  <r>
    <s v="SERVICIO DE SALUD OSORNO"/>
    <s v="Bienes y Servicios"/>
    <x v="353"/>
    <s v="Proyecto operacional"/>
    <s v="Enviado"/>
    <s v="22.04.003"/>
    <x v="348"/>
    <s v="Adquisición de insumos clínicos necesarios para la atención de usuarias en un entorno limpio e higiénico."/>
    <n v="2"/>
    <s v="Toallas"/>
    <n v="4"/>
    <n v="1200"/>
    <n v="459"/>
    <n v="550800"/>
    <x v="4"/>
    <x v="35"/>
    <x v="99"/>
    <x v="99"/>
    <s v="64-2331026-"/>
    <s v="barbara.mendez@redsalud.gob.cl"/>
    <x v="13"/>
    <m/>
    <n v="0"/>
    <m/>
    <n v="0"/>
    <n v="0"/>
    <m/>
    <x v="1"/>
    <x v="4"/>
  </r>
  <r>
    <s v="SERVICIO DE SALUD OSORNO"/>
    <s v="Bienes y Servicios"/>
    <x v="354"/>
    <s v="Proyecto operacional"/>
    <s v="Enviado"/>
    <n v="2594"/>
    <x v="349"/>
    <s v="1) 10 Set de brazaletes tensiómetros reusables para la medición de la presión arterial. Cada Set viene brazaletes de 4 tamaños: Pediátrico (15-21 cms), Adulto pequeño/Adolescente (20-26 cms), Adulto mediano (25-34 cms), Adulto grande/Obeso (32-43 cms). Garantía técnica mínima 18 meses. 2) 10 unidades esfigmomanómetro automatizado, diseñado para la medición de la presión arterial y la frecuencia cardíaca en personas con edades superiores a los 3 años. Validado para Chile y autorizado por Minsal para uso profesional. Compra Marzo 2026."/>
    <n v="1"/>
    <s v="Equipo Medico"/>
    <n v="4"/>
    <n v="20"/>
    <n v="175000"/>
    <n v="3500000"/>
    <x v="4"/>
    <x v="24"/>
    <x v="24"/>
    <x v="91"/>
    <s v="64-2335810-"/>
    <s v="consuelo.cordova@redsalud.gob.cl"/>
    <x v="21"/>
    <m/>
    <n v="0"/>
    <m/>
    <n v="0"/>
    <n v="0"/>
    <m/>
    <x v="1"/>
    <x v="4"/>
  </r>
  <r>
    <s v="SERVICIO DE SALUD OSORNO"/>
    <s v="Bienes y Servicios"/>
    <x v="355"/>
    <s v="Proyecto operacional"/>
    <s v="Enviado"/>
    <s v="22.04.004"/>
    <x v="350"/>
    <s v="Adquisición de dispositivos médicos para el apoyo a la gestión de curaciones avanzadas en usuarios portadores de úlcera venosa y úlcera del pie diabético a ejecutarse en marzo 2026."/>
    <n v="1"/>
    <s v="Material de Curación"/>
    <n v="4"/>
    <n v="870"/>
    <n v="17397"/>
    <n v="15135390"/>
    <x v="4"/>
    <x v="32"/>
    <x v="24"/>
    <x v="100"/>
    <s v="64-2335810-"/>
    <s v="consuelo.cordova@redsalud.gob.cl"/>
    <x v="21"/>
    <m/>
    <n v="0"/>
    <m/>
    <n v="0"/>
    <n v="0"/>
    <m/>
    <x v="1"/>
    <x v="4"/>
  </r>
  <r>
    <s v="SERVICIO DE SALUD OSORNO"/>
    <s v="Bienes y Servicios"/>
    <x v="356"/>
    <s v="Proyecto operacional"/>
    <s v="Enviado"/>
    <n v="2597"/>
    <x v="351"/>
    <s v="Proveer de servicios de catering para jornada de capacitación Médicos Generales Imágenes Diagnósticas."/>
    <n v="1"/>
    <s v="Servicio Cafeteria"/>
    <n v="4"/>
    <n v="8"/>
    <n v="150000"/>
    <n v="1200000"/>
    <x v="4"/>
    <x v="24"/>
    <x v="99"/>
    <x v="99"/>
    <s v="64-2331026-"/>
    <s v="barbara.mendez@redsalud.gob.cl"/>
    <x v="14"/>
    <m/>
    <n v="0"/>
    <m/>
    <n v="0"/>
    <n v="0"/>
    <m/>
    <x v="1"/>
    <x v="4"/>
  </r>
  <r>
    <s v="SERVICIO DE SALUD OSORNO"/>
    <s v="Bienes y Servicios"/>
    <x v="357"/>
    <s v="Proyecto estratégico"/>
    <s v="Enviado"/>
    <n v="2598"/>
    <x v="352"/>
    <s v="Adquisición de exámenes con informe radiológico de ecotomografía abdominal y mamaria para los hospitales acreditados dependientes del Servicio de Salud Osorno."/>
    <n v="2"/>
    <s v="Ecotomografia Abdominal"/>
    <n v="4"/>
    <n v="1000"/>
    <n v="10000"/>
    <n v="10000000"/>
    <x v="11"/>
    <x v="20"/>
    <x v="99"/>
    <x v="99"/>
    <s v="64-2331026-"/>
    <s v="barbara.mendez@redsalud.gob.cl"/>
    <x v="13"/>
    <m/>
    <n v="0"/>
    <m/>
    <n v="0"/>
    <n v="0"/>
    <m/>
    <x v="1"/>
    <x v="4"/>
  </r>
  <r>
    <s v="SERVICIO DE SALUD OSORNO"/>
    <s v="Bienes y Servicios"/>
    <x v="357"/>
    <s v="Proyecto estratégico"/>
    <s v="Enviado"/>
    <n v="2598"/>
    <x v="352"/>
    <s v="Adquisición de exámenes con informe radiológico de ecotomografía abdominal y mamaria para los hospitales acreditados dependientes del Servicio de Salud Osorno."/>
    <n v="2"/>
    <s v="Ecotomografia Mamaria"/>
    <n v="4"/>
    <n v="1000"/>
    <n v="10000"/>
    <n v="10000000"/>
    <x v="11"/>
    <x v="20"/>
    <x v="99"/>
    <x v="99"/>
    <s v="64-2331026-"/>
    <s v="barbara.mendez@redsalud.gob.cl"/>
    <x v="13"/>
    <m/>
    <n v="0"/>
    <m/>
    <n v="0"/>
    <n v="0"/>
    <m/>
    <x v="1"/>
    <x v="4"/>
  </r>
  <r>
    <s v="SERVICIO DE SALUD OSORNO"/>
    <s v="Bienes y Servicios"/>
    <x v="358"/>
    <s v="Proyecto operacional"/>
    <s v="Enviado"/>
    <s v="22.01-22.04"/>
    <x v="353"/>
    <s v="Contar con insumos de cafetería para ser utilizados dentro de talleres y charlas mencionadas que están dirigidos a la comunidad usuaria del servicio. Los artículos de oficina son para hacer cuadernillos de manuales y orientaciones técnicas de la unidad, también para folletería que será entregada a la comunidad funcionaria y usuaria en talleres, charlas y ferias laborales de la provincia."/>
    <n v="4"/>
    <s v="Alimentación"/>
    <n v="4"/>
    <n v="685"/>
    <n v="231"/>
    <n v="158235"/>
    <x v="4"/>
    <x v="24"/>
    <x v="74"/>
    <x v="101"/>
    <s v="64-2565640-"/>
    <s v="guisella.franco@redsalud.gob.cl"/>
    <x v="21"/>
    <m/>
    <n v="0"/>
    <m/>
    <n v="0"/>
    <n v="0"/>
    <m/>
    <x v="1"/>
    <x v="4"/>
  </r>
  <r>
    <s v="SERVICIO DE SALUD OSORNO"/>
    <s v="Bienes y Servicios"/>
    <x v="358"/>
    <s v="Proyecto operacional"/>
    <s v="Enviado"/>
    <s v="22.01-22.04"/>
    <x v="353"/>
    <s v="Contar con insumos de cafetería para ser utilizados dentro de talleres y charlas mencionadas que están dirigidos a la comunidad usuaria del servicio. Los artículos de oficina son para hacer cuadernillos de manuales y orientaciones técnicas de la unidad, también para folletería que será entregada a la comunidad funcionaria y usuaria en talleres, charlas y ferias laborales de la provincia."/>
    <n v="4"/>
    <s v="Vasos desechables"/>
    <n v="4"/>
    <n v="200"/>
    <n v="100"/>
    <n v="20000"/>
    <x v="4"/>
    <x v="25"/>
    <x v="74"/>
    <x v="101"/>
    <s v="64-2565640-"/>
    <s v="guisella.franco@redsalud.gob.cl"/>
    <x v="20"/>
    <m/>
    <n v="0"/>
    <m/>
    <n v="0"/>
    <n v="0"/>
    <m/>
    <x v="1"/>
    <x v="4"/>
  </r>
  <r>
    <s v="SERVICIO DE SALUD OSORNO"/>
    <s v="Bienes y Servicios"/>
    <x v="358"/>
    <s v="Proyecto operacional"/>
    <s v="Enviado"/>
    <s v="22.01-22.04"/>
    <x v="353"/>
    <s v="Contar con insumos de cafetería para ser utilizados dentro de talleres y charlas mencionadas que están dirigidos a la comunidad usuaria del servicio. Los artículos de oficina son para hacer cuadernillos de manuales y orientaciones técnicas de la unidad, también para folletería que será entregada a la comunidad funcionaria y usuaria en talleres, charlas y ferias laborales de la provincia."/>
    <n v="4"/>
    <s v="Servilletas"/>
    <n v="4"/>
    <n v="4"/>
    <n v="1000"/>
    <n v="4000"/>
    <x v="4"/>
    <x v="25"/>
    <x v="74"/>
    <x v="101"/>
    <s v="64-2565640-"/>
    <s v="guisella.franco@redsalud.gob.cl"/>
    <x v="20"/>
    <m/>
    <n v="0"/>
    <m/>
    <n v="0"/>
    <n v="0"/>
    <m/>
    <x v="1"/>
    <x v="4"/>
  </r>
  <r>
    <s v="SERVICIO DE SALUD OSORNO"/>
    <s v="Bienes y Servicios"/>
    <x v="358"/>
    <s v="Proyecto operacional"/>
    <s v="Enviado"/>
    <s v="22.01-22.04"/>
    <x v="353"/>
    <s v="Contar con insumos de cafetería para ser utilizados dentro de talleres y charlas mencionadas que están dirigidos a la comunidad usuaria del servicio. Los artículos de oficina son para hacer cuadernillos de manuales y orientaciones técnicas de la unidad, también para folletería que será entregada a la comunidad funcionaria y usuaria en talleres, charlas y ferias laborales de la provincia."/>
    <n v="4"/>
    <s v="Artículos de oficina"/>
    <n v="4"/>
    <n v="452"/>
    <n v="1613"/>
    <n v="729076"/>
    <x v="4"/>
    <x v="32"/>
    <x v="74"/>
    <x v="101"/>
    <s v="64-2565640-"/>
    <s v="guisella.franco@redsalud.gob.cl"/>
    <x v="19"/>
    <m/>
    <n v="0"/>
    <m/>
    <n v="0"/>
    <n v="0"/>
    <m/>
    <x v="1"/>
    <x v="4"/>
  </r>
  <r>
    <s v="SERVICIO DE SALUD OSORNO"/>
    <s v="Bienes y Servicios"/>
    <x v="359"/>
    <s v="Proyecto operacional"/>
    <s v="Enviado"/>
    <n v="2599"/>
    <x v="354"/>
    <s v="Convenio de informes radiológicos simples y mamografia, en calidad de ambulatorios y urgentes, para los Establecimientos dependientes del Servicio de Salud Osorno."/>
    <n v="2"/>
    <s v="Informes Radiografias Mamografias"/>
    <n v="4"/>
    <n v="1000"/>
    <n v="10000"/>
    <n v="10000000"/>
    <x v="11"/>
    <x v="20"/>
    <x v="99"/>
    <x v="99"/>
    <s v="64-2331026-"/>
    <s v="barbara.mendez@redsalud.gob.cl"/>
    <x v="13"/>
    <m/>
    <n v="0"/>
    <m/>
    <n v="0"/>
    <n v="0"/>
    <m/>
    <x v="1"/>
    <x v="4"/>
  </r>
  <r>
    <s v="SERVICIO DE SALUD OSORNO"/>
    <s v="Bienes y Servicios"/>
    <x v="359"/>
    <s v="Proyecto operacional"/>
    <s v="Enviado"/>
    <n v="2599"/>
    <x v="354"/>
    <s v="Convenio de informes radiológicos simples y mamografia, en calidad de ambulatorios y urgentes, para los Establecimientos dependientes del Servicio de Salud Osorno."/>
    <n v="2"/>
    <s v="Informes Radiografias Simple"/>
    <n v="4"/>
    <n v="12000"/>
    <n v="3334"/>
    <n v="40008000"/>
    <x v="11"/>
    <x v="20"/>
    <x v="99"/>
    <x v="99"/>
    <s v="64-2331026-"/>
    <s v="barbara.mendez@redsalud.gob.cl"/>
    <x v="13"/>
    <m/>
    <n v="0"/>
    <m/>
    <n v="0"/>
    <n v="0"/>
    <m/>
    <x v="1"/>
    <x v="4"/>
  </r>
  <r>
    <s v="SERVICIO DE SALUD OSORNO"/>
    <s v="Bienes y Servicios"/>
    <x v="360"/>
    <s v="Proyecto operacional"/>
    <s v="Enviado"/>
    <s v="22.01.001"/>
    <x v="355"/>
    <s v="La presente adquisición tiene como finalidad contar con los insumos y servicios necesarios para la conmemoración del día mundial de la mujer, esta jornada esta dirigida y reconocer y visibilizar el rol de las mujeres en el ámbito laboral y las personas con demencias, cuidadoras y familiares, promoviendo la equidad de genero, bienestar y participación comunitaria. Se contempla material de difusión, ambientación y alimentación. Marzo 2026."/>
    <n v="3"/>
    <s v="Alimentos"/>
    <n v="4"/>
    <n v="22"/>
    <n v="2955"/>
    <n v="65010"/>
    <x v="4"/>
    <x v="32"/>
    <x v="98"/>
    <x v="96"/>
    <s v="64-2337366-"/>
    <s v="carlos.utreras@redsalud.gob.cl"/>
    <x v="21"/>
    <m/>
    <n v="0"/>
    <m/>
    <n v="0"/>
    <n v="0"/>
    <m/>
    <x v="1"/>
    <x v="4"/>
  </r>
  <r>
    <s v="SERVICIO DE SALUD OSORNO"/>
    <s v="Bienes y Servicios"/>
    <x v="360"/>
    <s v="Proyecto operacional"/>
    <s v="Enviado"/>
    <s v="22.01.001"/>
    <x v="355"/>
    <s v="La presente adquisición tiene como finalidad contar con los insumos y servicios necesarios para la conmemoración del día mundial de la mujer, esta jornada esta dirigida y reconocer y visibilizar el rol de las mujeres en el ámbito laboral y las personas con demencias, cuidadoras y familiares, promoviendo la equidad de genero, bienestar y participación comunitaria. Se contempla material de difusión, ambientación y alimentación. Marzo 2026."/>
    <n v="3"/>
    <s v="Bolsa Regalos"/>
    <n v="4"/>
    <n v="22"/>
    <n v="2046"/>
    <n v="45012"/>
    <x v="4"/>
    <x v="32"/>
    <x v="98"/>
    <x v="96"/>
    <s v="64-2337366-"/>
    <s v="carlos.utreras@redsalud.gob.cl"/>
    <x v="21"/>
    <m/>
    <n v="0"/>
    <m/>
    <n v="0"/>
    <n v="0"/>
    <m/>
    <x v="1"/>
    <x v="4"/>
  </r>
  <r>
    <s v="SERVICIO DE SALUD OSORNO"/>
    <s v="Bienes y Servicios"/>
    <x v="360"/>
    <s v="Proyecto operacional"/>
    <s v="Enviado"/>
    <s v="22.01.001"/>
    <x v="355"/>
    <s v="La presente adquisición tiene como finalidad contar con los insumos y servicios necesarios para la conmemoración del día mundial de la mujer, esta jornada esta dirigida y reconocer y visibilizar el rol de las mujeres en el ámbito laboral y las personas con demencias, cuidadoras y familiares, promoviendo la equidad de genero, bienestar y participación comunitaria. Se contempla material de difusión, ambientación y alimentación. Marzo 2026."/>
    <n v="3"/>
    <s v="Decoración"/>
    <n v="4"/>
    <n v="22"/>
    <n v="5455"/>
    <n v="120010"/>
    <x v="4"/>
    <x v="32"/>
    <x v="98"/>
    <x v="96"/>
    <s v="64-2337366-"/>
    <s v="carlos.utreras@redsalud.gob.cl"/>
    <x v="21"/>
    <m/>
    <n v="0"/>
    <m/>
    <n v="0"/>
    <n v="0"/>
    <m/>
    <x v="1"/>
    <x v="4"/>
  </r>
  <r>
    <s v="SERVICIO DE SALUD OSORNO"/>
    <s v="Bienes y Servicios"/>
    <x v="361"/>
    <s v="Proyecto operacional"/>
    <s v="Enviado"/>
    <n v="2601"/>
    <x v="356"/>
    <s v="Mantener suministro de servicio de dosimetría, para Trabajadores Ocupacionalmente Expuestos a radiaciones Ionizantes, para los 4 trimestres del año 2026"/>
    <n v="1"/>
    <s v="Dosimetria"/>
    <n v="4"/>
    <n v="15"/>
    <n v="46667"/>
    <n v="700005"/>
    <x v="4"/>
    <x v="35"/>
    <x v="99"/>
    <x v="99"/>
    <s v="64-2331026-"/>
    <s v="barbara.mendez@redsalud.gob.cl"/>
    <x v="13"/>
    <m/>
    <n v="0"/>
    <m/>
    <n v="0"/>
    <n v="0"/>
    <m/>
    <x v="1"/>
    <x v="4"/>
  </r>
  <r>
    <s v="SERVICIO DE SALUD OSORNO"/>
    <s v="Bienes y Servicios"/>
    <x v="362"/>
    <s v="Proyecto operacional"/>
    <s v="Enviado"/>
    <s v="22.08.007"/>
    <x v="357"/>
    <s v="Servicio de movilización sin conductor, para el traslado de funcionarios mamógrafo móvil del servicio de salud Osorno."/>
    <n v="1"/>
    <s v="Convenio Movil"/>
    <n v="4"/>
    <n v="1"/>
    <n v="10000000"/>
    <n v="10000000"/>
    <x v="11"/>
    <x v="20"/>
    <x v="99"/>
    <x v="99"/>
    <s v="64-2331026-"/>
    <s v="barbara.mendez@redsalud.gob.cl"/>
    <x v="13"/>
    <m/>
    <n v="0"/>
    <m/>
    <n v="0"/>
    <n v="0"/>
    <m/>
    <x v="1"/>
    <x v="4"/>
  </r>
  <r>
    <s v="SERVICIO DE SALUD OSORNO"/>
    <s v="Administración de Fondos"/>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n v="8"/>
    <s v="Insumos Dentales"/>
    <n v="4"/>
    <n v="500"/>
    <n v="1200"/>
    <n v="600000"/>
    <x v="4"/>
    <x v="32"/>
    <x v="100"/>
    <x v="102"/>
    <s v="64-2335687-"/>
    <s v="marco.gonzalezf@redsalud.gob.cl"/>
    <x v="21"/>
    <m/>
    <n v="0"/>
    <m/>
    <n v="0"/>
    <n v="0"/>
    <m/>
    <x v="1"/>
    <x v="2"/>
  </r>
  <r>
    <s v="SERVICIO DE SALUD OSORNO"/>
    <s v="Administración de Fondos"/>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n v="8"/>
    <s v="Pendones"/>
    <n v="4"/>
    <n v="2"/>
    <n v="197770"/>
    <n v="395540"/>
    <x v="4"/>
    <x v="32"/>
    <x v="100"/>
    <x v="102"/>
    <s v="64-2335687-"/>
    <s v="marco.gonzalezf@redsalud.gob.cl"/>
    <x v="21"/>
    <m/>
    <n v="0"/>
    <m/>
    <n v="0"/>
    <n v="0"/>
    <m/>
    <x v="1"/>
    <x v="2"/>
  </r>
  <r>
    <s v="SERVICIO DE SALUD OSORNO"/>
    <s v="Administración de Fondos"/>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n v="8"/>
    <s v="Cafeteria"/>
    <n v="4"/>
    <n v="1"/>
    <n v="250000"/>
    <n v="250000"/>
    <x v="4"/>
    <x v="32"/>
    <x v="100"/>
    <x v="102"/>
    <s v="64-2335687-"/>
    <s v="marco.gonzalezf@redsalud.gob.cl"/>
    <x v="21"/>
    <m/>
    <n v="0"/>
    <m/>
    <n v="0"/>
    <n v="0"/>
    <m/>
    <x v="1"/>
    <x v="2"/>
  </r>
  <r>
    <s v="SERVICIO DE SALUD OSORNO"/>
    <s v="Administración de Fondos"/>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n v="8"/>
    <s v="Bolsas Ecologicas"/>
    <n v="4"/>
    <n v="1000"/>
    <n v="930"/>
    <n v="930000"/>
    <x v="4"/>
    <x v="32"/>
    <x v="100"/>
    <x v="102"/>
    <s v="64-2335687-"/>
    <s v="marco.gonzalezf@redsalud.gob.cl"/>
    <x v="21"/>
    <m/>
    <n v="0"/>
    <m/>
    <n v="0"/>
    <n v="0"/>
    <m/>
    <x v="1"/>
    <x v="2"/>
  </r>
  <r>
    <s v="SERVICIO DE SALUD OSORNO"/>
    <s v="Administración de Fondos"/>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n v="8"/>
    <s v="Servicios de Impresion"/>
    <n v="4"/>
    <n v="1"/>
    <n v="1200000"/>
    <n v="1200000"/>
    <x v="4"/>
    <x v="32"/>
    <x v="100"/>
    <x v="102"/>
    <s v="64-2335687-"/>
    <s v="marco.gonzalezf@redsalud.gob.cl"/>
    <x v="21"/>
    <m/>
    <n v="0"/>
    <m/>
    <n v="0"/>
    <n v="0"/>
    <m/>
    <x v="1"/>
    <x v="2"/>
  </r>
  <r>
    <s v="SERVICIO DE SALUD OSORNO"/>
    <s v="Administración de Fondos"/>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n v="8"/>
    <s v="Material de Oficina"/>
    <n v="4"/>
    <n v="1000"/>
    <n v="1164"/>
    <n v="1164000"/>
    <x v="4"/>
    <x v="32"/>
    <x v="100"/>
    <x v="102"/>
    <s v="64-2335687-"/>
    <s v="marco.gonzalezf@redsalud.gob.cl"/>
    <x v="21"/>
    <m/>
    <n v="0"/>
    <m/>
    <n v="0"/>
    <n v="0"/>
    <m/>
    <x v="1"/>
    <x v="2"/>
  </r>
  <r>
    <s v="SERVICIO DE SALUD OSORNO"/>
    <s v="Administración de Fondos"/>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n v="8"/>
    <s v="Insumos Clinicos"/>
    <n v="4"/>
    <n v="1000"/>
    <n v="1195"/>
    <n v="1195000"/>
    <x v="4"/>
    <x v="32"/>
    <x v="100"/>
    <x v="102"/>
    <s v="64-2335687-"/>
    <s v="marco.gonzalezf@redsalud.gob.cl"/>
    <x v="21"/>
    <m/>
    <n v="0"/>
    <m/>
    <n v="0"/>
    <n v="0"/>
    <m/>
    <x v="1"/>
    <x v="2"/>
  </r>
  <r>
    <s v="SERVICIO DE SALUD OSORNO"/>
    <s v="Administración de Fondos"/>
    <x v="363"/>
    <s v="Proyecto operacional"/>
    <s v="Enviado"/>
    <n v="2603"/>
    <x v="358"/>
    <s v="Material e insumos de Promoción, prevención y tratamiento en ADM para NNA en el marco del Programa de Resolución de Ortodoncia - Construyendo Nuevas Sonrisas Ejecución entre los meses de marzo y abril, para cierre de programa."/>
    <n v="8"/>
    <s v="Kit Limpieza"/>
    <n v="4"/>
    <n v="500"/>
    <n v="3700"/>
    <n v="1850000"/>
    <x v="4"/>
    <x v="32"/>
    <x v="100"/>
    <x v="102"/>
    <s v="64-2335687-"/>
    <s v="marco.gonzalezf@redsalud.gob.cl"/>
    <x v="21"/>
    <m/>
    <n v="0"/>
    <m/>
    <n v="0"/>
    <n v="0"/>
    <m/>
    <x v="1"/>
    <x v="2"/>
  </r>
  <r>
    <s v="SERVICIO DE SALUD OSORNO"/>
    <s v="Activos Fijos"/>
    <x v="364"/>
    <s v="Proyecto operacional"/>
    <s v="Enviado"/>
    <n v="2505"/>
    <x v="282"/>
    <s v="Adquisición de productos e insumos para la prevención, promoción, localización de casos, diagnostico y adherencia al tratamiento de usuarios/as con Tuberculosis."/>
    <n v="2"/>
    <s v="Bodega Lata"/>
    <n v="4"/>
    <n v="15"/>
    <n v="1200000"/>
    <n v="18000000"/>
    <x v="4"/>
    <x v="25"/>
    <x v="101"/>
    <x v="81"/>
    <s v="64-2335465-"/>
    <s v="mariapaz.gomez.n@redsalud.gob.cl"/>
    <x v="15"/>
    <m/>
    <n v="0"/>
    <m/>
    <n v="0"/>
    <n v="0"/>
    <m/>
    <x v="1"/>
    <x v="5"/>
  </r>
  <r>
    <s v="SERVICIO DE SALUD OSORNO"/>
    <s v="Activos Fijos"/>
    <x v="364"/>
    <s v="Proyecto operacional"/>
    <s v="Enviado"/>
    <n v="2505"/>
    <x v="282"/>
    <s v="Adquisición de productos e insumos para la prevención, promoción, localización de casos, diagnostico y adherencia al tratamiento de usuarios/as con Tuberculosis."/>
    <n v="2"/>
    <s v="Balanza"/>
    <n v="4"/>
    <n v="1"/>
    <n v="1000000"/>
    <n v="1000000"/>
    <x v="4"/>
    <x v="25"/>
    <x v="101"/>
    <x v="81"/>
    <s v="64-2335465-"/>
    <s v="mariapaz.gomez.n@redsalud.gob.cl"/>
    <x v="15"/>
    <m/>
    <n v="0"/>
    <m/>
    <n v="0"/>
    <n v="0"/>
    <m/>
    <x v="1"/>
    <x v="5"/>
  </r>
  <r>
    <s v="SERVICIO DE SALUD OSORNO"/>
    <s v="Bienes y Servicios"/>
    <x v="365"/>
    <s v="Proyecto operacional"/>
    <s v="Enviado"/>
    <n v="2169"/>
    <x v="359"/>
    <s v="En el contexto de atención clínica a los usuarios del dispositivo COSAM Rahue, se mantiene presente la necesidad de contar con insumos clínicos y no clínicos para la realización procedimientos de enfermería los cuales son parte importante del tratamiento establecido para el cumplimiento de los objetivos terapéuticos del usuario durante su proceso de salud-enfermedad. Esto debido a que las cantidades que se requieren para hacer pedido en CENABAST son mucho mayores a las que se utilizan en el dispositivo. Además, se requieren ciertos insumos para"/>
    <n v="6"/>
    <s v="Insumos Computacionales"/>
    <n v="4"/>
    <n v="5"/>
    <n v="12000"/>
    <n v="60000"/>
    <x v="4"/>
    <x v="35"/>
    <x v="41"/>
    <x v="46"/>
    <s v="64-2335608-"/>
    <s v="camilo.martinez@redsalud.gob.cl"/>
    <x v="13"/>
    <m/>
    <n v="0"/>
    <m/>
    <n v="0"/>
    <n v="0"/>
    <m/>
    <x v="1"/>
    <x v="4"/>
  </r>
  <r>
    <s v="SERVICIO DE SALUD OSORNO"/>
    <s v="Bienes y Servicios"/>
    <x v="365"/>
    <s v="Proyecto operacional"/>
    <s v="Enviado"/>
    <n v="2169"/>
    <x v="359"/>
    <s v="En el contexto de atención clínica a los usuarios del dispositivo COSAM Rahue, se mantiene presente la necesidad de contar con insumos clínicos y no clínicos para la realización procedimientos de enfermería los cuales son parte importante del tratamiento establecido para el cumplimiento de los objetivos terapéuticos del usuario durante su proceso de salud-enfermedad. Esto debido a que las cantidades que se requieren para hacer pedido en CENABAST son mucho mayores a las que se utilizan en el dispositivo. Además, se requieren ciertos insumos para"/>
    <n v="6"/>
    <s v="Insumos Clínicos"/>
    <n v="4"/>
    <n v="100"/>
    <n v="8150"/>
    <n v="815000"/>
    <x v="4"/>
    <x v="35"/>
    <x v="41"/>
    <x v="46"/>
    <s v="64-2335608-"/>
    <s v="camilo.martinez@redsalud.gob.cl"/>
    <x v="13"/>
    <m/>
    <n v="0"/>
    <m/>
    <n v="0"/>
    <n v="0"/>
    <m/>
    <x v="1"/>
    <x v="4"/>
  </r>
  <r>
    <s v="SERVICIO DE SALUD OSORNO"/>
    <s v="Bienes y Servicios"/>
    <x v="365"/>
    <s v="Proyecto operacional"/>
    <s v="Enviado"/>
    <n v="2169"/>
    <x v="359"/>
    <s v="En el contexto de atención clínica a los usuarios del dispositivo COSAM Rahue, se mantiene presente la necesidad de contar con insumos clínicos y no clínicos para la realización procedimientos de enfermería los cuales son parte importante del tratamiento establecido para el cumplimiento de los objetivos terapéuticos del usuario durante su proceso de salud-enfermedad. Esto debido a que las cantidades que se requieren para hacer pedido en CENABAST son mucho mayores a las que se utilizan en el dispositivo. Además, se requieren ciertos insumos para"/>
    <n v="6"/>
    <s v="Riñones"/>
    <n v="4"/>
    <n v="20"/>
    <n v="41650"/>
    <n v="833000"/>
    <x v="4"/>
    <x v="35"/>
    <x v="41"/>
    <x v="46"/>
    <s v="64-2335608-"/>
    <s v="camilo.martinez@redsalud.gob.cl"/>
    <x v="13"/>
    <m/>
    <n v="0"/>
    <m/>
    <n v="0"/>
    <n v="0"/>
    <m/>
    <x v="1"/>
    <x v="4"/>
  </r>
  <r>
    <s v="SERVICIO DE SALUD OSORNO"/>
    <s v="Bienes y Servicios"/>
    <x v="365"/>
    <s v="Proyecto operacional"/>
    <s v="Enviado"/>
    <n v="2169"/>
    <x v="359"/>
    <s v="En el contexto de atención clínica a los usuarios del dispositivo COSAM Rahue, se mantiene presente la necesidad de contar con insumos clínicos y no clínicos para la realización procedimientos de enfermería los cuales son parte importante del tratamiento establecido para el cumplimiento de los objetivos terapéuticos del usuario durante su proceso de salud-enfermedad. Esto debido a que las cantidades que se requieren para hacer pedido en CENABAST son mucho mayores a las que se utilizan en el dispositivo. Además, se requieren ciertos insumos para"/>
    <n v="6"/>
    <s v="Test"/>
    <n v="4"/>
    <n v="6"/>
    <n v="91667"/>
    <n v="550002"/>
    <x v="4"/>
    <x v="35"/>
    <x v="41"/>
    <x v="46"/>
    <s v="64-2335608-"/>
    <s v="camilo.martinez@redsalud.gob.cl"/>
    <x v="13"/>
    <m/>
    <n v="0"/>
    <m/>
    <n v="0"/>
    <n v="0"/>
    <m/>
    <x v="1"/>
    <x v="4"/>
  </r>
  <r>
    <s v="SERVICIO DE SALUD OSORNO"/>
    <s v="Bienes y Servicios"/>
    <x v="365"/>
    <s v="Proyecto operacional"/>
    <s v="Enviado"/>
    <n v="2169"/>
    <x v="359"/>
    <s v="En el contexto de atención clínica a los usuarios del dispositivo COSAM Rahue, se mantiene presente la necesidad de contar con insumos clínicos y no clínicos para la realización procedimientos de enfermería los cuales son parte importante del tratamiento establecido para el cumplimiento de los objetivos terapéuticos del usuario durante su proceso de salud-enfermedad. Esto debido a que las cantidades que se requieren para hacer pedido en CENABAST son mucho mayores a las que se utilizan en el dispositivo. Además, se requieren ciertos insumos para"/>
    <n v="6"/>
    <s v="Accesorios"/>
    <n v="4"/>
    <n v="24"/>
    <n v="11667"/>
    <n v="280008"/>
    <x v="4"/>
    <x v="35"/>
    <x v="41"/>
    <x v="46"/>
    <s v="64-2335608-"/>
    <s v="camilo.martinez@redsalud.gob.cl"/>
    <x v="13"/>
    <m/>
    <n v="0"/>
    <m/>
    <n v="0"/>
    <n v="0"/>
    <m/>
    <x v="1"/>
    <x v="4"/>
  </r>
  <r>
    <s v="SERVICIO DE SALUD OSORNO"/>
    <s v="Bienes y Servicios"/>
    <x v="365"/>
    <s v="Proyecto operacional"/>
    <s v="Enviado"/>
    <n v="2169"/>
    <x v="359"/>
    <s v="En el contexto de atención clínica a los usuarios del dispositivo COSAM Rahue, se mantiene presente la necesidad de contar con insumos clínicos y no clínicos para la realización procedimientos de enfermería los cuales son parte importante del tratamiento establecido para el cumplimiento de los objetivos terapéuticos del usuario durante su proceso de salud-enfermedad. Esto debido a que las cantidades que se requieren para hacer pedido en CENABAST son mucho mayores a las que se utilizan en el dispositivo. Además, se requieren ciertos insumos para"/>
    <n v="6"/>
    <s v="Termohidrometro"/>
    <n v="4"/>
    <n v="4"/>
    <n v="25000"/>
    <n v="100000"/>
    <x v="4"/>
    <x v="35"/>
    <x v="41"/>
    <x v="46"/>
    <s v="64-2335608-"/>
    <s v="camilo.martinez@redsalud.gob.cl"/>
    <x v="13"/>
    <m/>
    <n v="0"/>
    <m/>
    <n v="0"/>
    <n v="0"/>
    <m/>
    <x v="1"/>
    <x v="4"/>
  </r>
  <r>
    <s v="SERVICIO DE SALUD OSORNO"/>
    <s v="Bienes y Servicios"/>
    <x v="366"/>
    <s v="Proyecto estratégico"/>
    <s v="Enviado"/>
    <s v="22.01-22.04"/>
    <x v="360"/>
    <s v="Realizar capacitación en formación de facilitadores taller de habilidades parentales Nadie es Perfecto a profesionales de la red asistencial."/>
    <n v="3"/>
    <s v="Servicio de cafetería"/>
    <n v="4"/>
    <n v="15"/>
    <n v="24000"/>
    <n v="360000"/>
    <x v="4"/>
    <x v="25"/>
    <x v="102"/>
    <x v="103"/>
    <s v="64-2565829-"/>
    <s v="estrella.azocarv@redsalud.gob.cl"/>
    <x v="20"/>
    <m/>
    <n v="0"/>
    <m/>
    <n v="0"/>
    <n v="0"/>
    <m/>
    <x v="1"/>
    <x v="4"/>
  </r>
  <r>
    <s v="SERVICIO DE SALUD OSORNO"/>
    <s v="Bienes y Servicios"/>
    <x v="366"/>
    <s v="Proyecto estratégico"/>
    <s v="Enviado"/>
    <s v="22.01-22.04"/>
    <x v="360"/>
    <s v="Realizar capacitación en formación de facilitadores taller de habilidades parentales Nadie es Perfecto a profesionales de la red asistencial."/>
    <n v="3"/>
    <s v="Artículos de librería y oficina"/>
    <n v="4"/>
    <n v="955"/>
    <n v="717"/>
    <n v="684735"/>
    <x v="4"/>
    <x v="25"/>
    <x v="102"/>
    <x v="103"/>
    <s v="64-2565829-"/>
    <s v="estrella.azocarv@redsalud.gob.cl"/>
    <x v="20"/>
    <m/>
    <n v="0"/>
    <m/>
    <n v="0"/>
    <n v="0"/>
    <m/>
    <x v="1"/>
    <x v="4"/>
  </r>
  <r>
    <s v="SERVICIO DE SALUD OSORNO"/>
    <s v="Bienes y Servicios"/>
    <x v="366"/>
    <s v="Proyecto estratégico"/>
    <s v="Enviado"/>
    <s v="22.01-22.04"/>
    <x v="360"/>
    <s v="Realizar capacitación en formación de facilitadores taller de habilidades parentales Nadie es Perfecto a profesionales de la red asistencial."/>
    <n v="3"/>
    <s v="Material didáctico y educativo"/>
    <n v="4"/>
    <n v="157"/>
    <n v="1300"/>
    <n v="204100"/>
    <x v="4"/>
    <x v="25"/>
    <x v="102"/>
    <x v="103"/>
    <s v="64-2565829-"/>
    <s v="estrella.azocarv@redsalud.gob.cl"/>
    <x v="20"/>
    <m/>
    <n v="0"/>
    <m/>
    <n v="0"/>
    <n v="0"/>
    <m/>
    <x v="1"/>
    <x v="4"/>
  </r>
  <r>
    <s v="SERVICIO DE SALUD OSORNO"/>
    <s v="Bienes y Servicios"/>
    <x v="367"/>
    <s v="Proyecto operacional"/>
    <s v="Enviado"/>
    <s v="22.04"/>
    <x v="361"/>
    <s v="Proveer de insumos de higiene, limpieza para mantención de Edificio Matta."/>
    <n v="5"/>
    <s v="Alcohol gel"/>
    <n v="4"/>
    <n v="30"/>
    <n v="1500"/>
    <n v="45000"/>
    <x v="4"/>
    <x v="24"/>
    <x v="81"/>
    <x v="80"/>
    <s v="64-2567363-"/>
    <s v="ximena.campos@redsalud.gob.cl"/>
    <x v="21"/>
    <m/>
    <n v="0"/>
    <m/>
    <n v="0"/>
    <n v="0"/>
    <m/>
    <x v="1"/>
    <x v="4"/>
  </r>
  <r>
    <s v="SERVICIO DE SALUD OSORNO"/>
    <s v="Bienes y Servicios"/>
    <x v="367"/>
    <s v="Proyecto operacional"/>
    <s v="Enviado"/>
    <s v="22.04"/>
    <x v="361"/>
    <s v="Proveer de insumos de higiene, limpieza para mantención de Edificio Matta."/>
    <n v="5"/>
    <s v="Bloqueador solar, cinta, guantes, spray, barretilla"/>
    <n v="4"/>
    <n v="30"/>
    <n v="4100"/>
    <n v="123000"/>
    <x v="4"/>
    <x v="24"/>
    <x v="81"/>
    <x v="80"/>
    <s v="64-2567363-"/>
    <s v="ximena.campos@redsalud.gob.cl"/>
    <x v="21"/>
    <m/>
    <n v="0"/>
    <m/>
    <n v="0"/>
    <n v="0"/>
    <m/>
    <x v="1"/>
    <x v="4"/>
  </r>
  <r>
    <s v="SERVICIO DE SALUD OSORNO"/>
    <s v="Bienes y Servicios"/>
    <x v="367"/>
    <s v="Proyecto operacional"/>
    <s v="Enviado"/>
    <s v="22.04"/>
    <x v="361"/>
    <s v="Proveer de insumos de higiene, limpieza para mantención de Edificio Matta."/>
    <n v="5"/>
    <s v="Útiles de aseo"/>
    <n v="4"/>
    <n v="56"/>
    <n v="8929"/>
    <n v="500024"/>
    <x v="4"/>
    <x v="24"/>
    <x v="81"/>
    <x v="80"/>
    <s v="64-2567363-"/>
    <s v="ximena.campos@redsalud.gob.cl"/>
    <x v="21"/>
    <m/>
    <n v="0"/>
    <m/>
    <n v="0"/>
    <n v="0"/>
    <m/>
    <x v="1"/>
    <x v="4"/>
  </r>
  <r>
    <s v="SERVICIO DE SALUD OSORNO"/>
    <s v="Bienes y Servicios"/>
    <x v="367"/>
    <s v="Proyecto operacional"/>
    <s v="Enviado"/>
    <s v="22.04"/>
    <x v="361"/>
    <s v="Proveer de insumos de higiene, limpieza para mantención de Edificio Matta."/>
    <n v="5"/>
    <s v="Artículos de jardinería"/>
    <n v="4"/>
    <n v="21"/>
    <n v="8334"/>
    <n v="175014"/>
    <x v="4"/>
    <x v="33"/>
    <x v="81"/>
    <x v="80"/>
    <s v="64-2567363-"/>
    <s v="ximena.campos@redsalud.gob.cl"/>
    <x v="15"/>
    <m/>
    <n v="0"/>
    <m/>
    <n v="0"/>
    <n v="0"/>
    <m/>
    <x v="1"/>
    <x v="4"/>
  </r>
  <r>
    <s v="SERVICIO DE SALUD OSORNO"/>
    <s v="Bienes y Servicios"/>
    <x v="367"/>
    <s v="Proyecto operacional"/>
    <s v="Enviado"/>
    <s v="22.04"/>
    <x v="361"/>
    <s v="Proveer de insumos de higiene, limpieza para mantención de Edificio Matta."/>
    <n v="5"/>
    <s v="Cerraduras"/>
    <n v="4"/>
    <n v="1"/>
    <n v="40000"/>
    <n v="40000"/>
    <x v="4"/>
    <x v="24"/>
    <x v="81"/>
    <x v="80"/>
    <s v="64-2567363-"/>
    <s v="ximena.campos@redsalud.gob.cl"/>
    <x v="21"/>
    <m/>
    <n v="0"/>
    <m/>
    <n v="0"/>
    <n v="0"/>
    <m/>
    <x v="1"/>
    <x v="4"/>
  </r>
  <r>
    <s v="SERVICIO DE SALUD OSORNO"/>
    <s v="Activos Fijos"/>
    <x v="368"/>
    <s v="Proyecto operacional"/>
    <s v="Enviado"/>
    <n v="2579"/>
    <x v="362"/>
    <s v="Adquisición de taladro percutor inalambrico con mandril 13mm y taladro atornillador inalambrico con mandril de 13mm"/>
    <n v="1"/>
    <s v="Atornillador"/>
    <n v="4"/>
    <n v="1"/>
    <n v="300000"/>
    <n v="300000"/>
    <x v="4"/>
    <x v="35"/>
    <x v="44"/>
    <x v="58"/>
    <s v="64-2335588-"/>
    <s v="roberto.nunez@redsalud.gob.cl"/>
    <x v="13"/>
    <m/>
    <n v="0"/>
    <m/>
    <n v="0"/>
    <n v="0"/>
    <m/>
    <x v="1"/>
    <x v="5"/>
  </r>
  <r>
    <s v="SERVICIO DE SALUD OSORNO"/>
    <s v="Bienes y Servicios"/>
    <x v="369"/>
    <s v="Proyecto operacional"/>
    <s v="Enviado"/>
    <n v="2185"/>
    <x v="363"/>
    <s v="Compra de articulos de escritorio para el funiconamiento del Equipo Rural de Rehabilitación (marzo 2026)"/>
    <n v="1"/>
    <s v="Material de Oficina"/>
    <n v="4"/>
    <n v="340"/>
    <n v="1442"/>
    <n v="490280"/>
    <x v="4"/>
    <x v="32"/>
    <x v="37"/>
    <x v="42"/>
    <s v="64-2335807-"/>
    <s v="karin.avila@redsalud.gob.cl"/>
    <x v="21"/>
    <m/>
    <n v="0"/>
    <m/>
    <n v="0"/>
    <n v="0"/>
    <m/>
    <x v="1"/>
    <x v="4"/>
  </r>
  <r>
    <s v="SERVICIO DE SALUD OSORNO"/>
    <s v="Bienes y Servicios"/>
    <x v="370"/>
    <s v="Proyecto estratégico"/>
    <s v="Enviado"/>
    <n v="2583"/>
    <x v="364"/>
    <s v="Renovación de toma de presión de brazo digital para control de pacientes cuando acuden a controles presenciales como también para la implementación del bolso de Visitas domiciliarias en la provincia de Osorno. Lo anterior para adquirirlo durante el mes de abril 2026."/>
    <n v="1"/>
    <s v="Toma de presión digital"/>
    <n v="4"/>
    <n v="2"/>
    <n v="35000"/>
    <n v="70000"/>
    <x v="4"/>
    <x v="31"/>
    <x v="81"/>
    <x v="80"/>
    <s v="64-2337363-"/>
    <s v="ximena.campos@redsalud.gob.cl"/>
    <x v="14"/>
    <m/>
    <n v="0"/>
    <m/>
    <n v="0"/>
    <n v="0"/>
    <m/>
    <x v="1"/>
    <x v="4"/>
  </r>
  <r>
    <s v="SERVICIO DE SALUD OSORNO"/>
    <s v="Bienes y Servicios"/>
    <x v="371"/>
    <s v="Proyecto operacional"/>
    <s v="Enviado"/>
    <n v="2203"/>
    <x v="100"/>
    <s v="Compra de Insumos de cafetería para atención a los asistentes a las reuniones teniendo en cuenta que el desplazamiento desde las comunas a Osorno debe ser temprano por un tema de frecuencia de los buses. Esto contempla un aproximado de 34 reuniones que van desde marzo a diciembre, con un promedio de 970 personas."/>
    <n v="2"/>
    <s v="Alimentación"/>
    <n v="4"/>
    <n v="16890"/>
    <n v="135"/>
    <n v="2280150"/>
    <x v="4"/>
    <x v="32"/>
    <x v="103"/>
    <x v="104"/>
    <s v="64-2335836-"/>
    <s v="daniel.pereira.v@redsalud.gob.cl"/>
    <x v="21"/>
    <m/>
    <n v="0"/>
    <m/>
    <n v="0"/>
    <n v="0"/>
    <m/>
    <x v="1"/>
    <x v="4"/>
  </r>
  <r>
    <s v="SERVICIO DE SALUD OSORNO"/>
    <s v="Bienes y Servicios"/>
    <x v="371"/>
    <s v="Proyecto operacional"/>
    <s v="Enviado"/>
    <n v="2203"/>
    <x v="100"/>
    <s v="Compra de Insumos de cafetería para atención a los asistentes a las reuniones teniendo en cuenta que el desplazamiento desde las comunas a Osorno debe ser temprano por un tema de frecuencia de los buses. Esto contempla un aproximado de 34 reuniones que van desde marzo a diciembre, con un promedio de 970 personas."/>
    <n v="2"/>
    <s v="Menaje"/>
    <n v="4"/>
    <n v="1120"/>
    <n v="173"/>
    <n v="193760"/>
    <x v="4"/>
    <x v="32"/>
    <x v="103"/>
    <x v="104"/>
    <s v="64-2335836-"/>
    <s v="daniel.pereira.v@redsalud.gob.cl"/>
    <x v="21"/>
    <m/>
    <n v="0"/>
    <m/>
    <n v="0"/>
    <n v="0"/>
    <m/>
    <x v="1"/>
    <x v="4"/>
  </r>
  <r>
    <s v="SERVICIO DE SALUD OSORNO"/>
    <s v="Administración de Fondos"/>
    <x v="372"/>
    <s v="Proyecto operacional"/>
    <s v="Enviado"/>
    <n v="2207"/>
    <x v="365"/>
    <s v="Ambos talleres serán realizados desde marzo a diciembre de 2026, por lo que se solicita realizar la compra en febrero de 2026."/>
    <n v="1"/>
    <s v="Material de Enseñanza"/>
    <n v="4"/>
    <n v="120"/>
    <n v="2919"/>
    <n v="350280"/>
    <x v="4"/>
    <x v="32"/>
    <x v="44"/>
    <x v="24"/>
    <s v="64-2335610-"/>
    <s v="pedro.fritz@redsalud.gob.cl"/>
    <x v="21"/>
    <m/>
    <n v="0"/>
    <m/>
    <n v="0"/>
    <n v="0"/>
    <m/>
    <x v="1"/>
    <x v="2"/>
  </r>
  <r>
    <s v="SERVICIO DE SALUD OSORNO"/>
    <s v="Bienes y Servicios"/>
    <x v="373"/>
    <s v="Proyecto operacional"/>
    <s v="Enviado"/>
    <n v="2582"/>
    <x v="338"/>
    <s v="Realizar olimpiadas del adolescente en contexto de prevención de obesidad"/>
    <n v="1"/>
    <s v="Toldos"/>
    <n v="4"/>
    <n v="4"/>
    <n v="50000"/>
    <n v="200000"/>
    <x v="4"/>
    <x v="32"/>
    <x v="73"/>
    <x v="75"/>
    <s v="64-2335806-"/>
    <s v="francisca.contreras.c@redsalud.gob.cl"/>
    <x v="19"/>
    <m/>
    <n v="0"/>
    <m/>
    <n v="0"/>
    <n v="0"/>
    <m/>
    <x v="1"/>
    <x v="4"/>
  </r>
  <r>
    <s v="SERVICIO DE SALUD OSORNO"/>
    <s v="Administración de Fondos"/>
    <x v="374"/>
    <s v="Proyecto operacional"/>
    <s v="Enviado"/>
    <n v="2210"/>
    <x v="366"/>
    <s v="Taller se ejecuta durante todo el año, mes de enero en pausa, para comenzar en febrero, por lo que se necesitan los materiales en mes de febrero."/>
    <n v="1"/>
    <s v="Material de Enseñanza"/>
    <n v="4"/>
    <n v="360"/>
    <n v="1406"/>
    <n v="506160"/>
    <x v="4"/>
    <x v="32"/>
    <x v="44"/>
    <x v="24"/>
    <s v="64-2335610-"/>
    <s v="pedro.fritz@redsalud.gob.cl"/>
    <x v="19"/>
    <m/>
    <n v="0"/>
    <m/>
    <n v="0"/>
    <n v="0"/>
    <m/>
    <x v="1"/>
    <x v="2"/>
  </r>
  <r>
    <s v="SERVICIO DE SALUD OSORNO"/>
    <s v="Bienes y Servicios"/>
    <x v="375"/>
    <s v="Proyecto operacional"/>
    <s v="Enviado"/>
    <n v="2266"/>
    <x v="367"/>
    <s v="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
    <n v="6"/>
    <s v="Artículos de Ferretería"/>
    <n v="4"/>
    <n v="620"/>
    <n v="554"/>
    <n v="343480"/>
    <x v="4"/>
    <x v="31"/>
    <x v="43"/>
    <x v="48"/>
    <s v="64-2335492-"/>
    <s v="CAROLINA.SILVALL@REDSALUD.GOB.CL"/>
    <x v="14"/>
    <m/>
    <n v="0"/>
    <m/>
    <n v="0"/>
    <n v="0"/>
    <m/>
    <x v="1"/>
    <x v="4"/>
  </r>
  <r>
    <s v="SERVICIO DE SALUD OSORNO"/>
    <s v="Bienes y Servicios"/>
    <x v="375"/>
    <s v="Proyecto operacional"/>
    <s v="Enviado"/>
    <n v="2266"/>
    <x v="367"/>
    <s v="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
    <n v="6"/>
    <s v="Esencias Aromaterapia"/>
    <n v="4"/>
    <n v="5"/>
    <n v="20000"/>
    <n v="100000"/>
    <x v="4"/>
    <x v="31"/>
    <x v="43"/>
    <x v="48"/>
    <s v="64-2335492-"/>
    <s v="CAROLINA.SILVALL@REDSALUD.GOB.CL"/>
    <x v="14"/>
    <m/>
    <n v="0"/>
    <m/>
    <n v="0"/>
    <n v="0"/>
    <m/>
    <x v="1"/>
    <x v="4"/>
  </r>
  <r>
    <s v="SERVICIO DE SALUD OSORNO"/>
    <s v="Bienes y Servicios"/>
    <x v="375"/>
    <s v="Proyecto operacional"/>
    <s v="Enviado"/>
    <n v="2266"/>
    <x v="367"/>
    <s v="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
    <n v="6"/>
    <s v="Artículos de Librería"/>
    <n v="4"/>
    <n v="180"/>
    <n v="1278"/>
    <n v="230040"/>
    <x v="4"/>
    <x v="31"/>
    <x v="43"/>
    <x v="48"/>
    <s v="64-2335492-"/>
    <s v="CAROLINA.SILVALL@REDSALUD.GOB.CL"/>
    <x v="14"/>
    <m/>
    <n v="0"/>
    <m/>
    <n v="0"/>
    <n v="0"/>
    <m/>
    <x v="1"/>
    <x v="4"/>
  </r>
  <r>
    <s v="SERVICIO DE SALUD OSORNO"/>
    <s v="Bienes y Servicios"/>
    <x v="375"/>
    <s v="Proyecto operacional"/>
    <s v="Enviado"/>
    <n v="2266"/>
    <x v="367"/>
    <s v="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
    <n v="6"/>
    <s v="Material Ergoterapia"/>
    <n v="4"/>
    <n v="300"/>
    <n v="7881"/>
    <n v="2364300"/>
    <x v="4"/>
    <x v="31"/>
    <x v="43"/>
    <x v="48"/>
    <s v="64-2335492-"/>
    <s v="CAROLINA.SILVALL@REDSALUD.GOB.CL"/>
    <x v="14"/>
    <m/>
    <n v="0"/>
    <m/>
    <n v="0"/>
    <n v="0"/>
    <m/>
    <x v="1"/>
    <x v="4"/>
  </r>
  <r>
    <s v="SERVICIO DE SALUD OSORNO"/>
    <s v="Bienes y Servicios"/>
    <x v="375"/>
    <s v="Proyecto operacional"/>
    <s v="Enviado"/>
    <n v="2266"/>
    <x v="367"/>
    <s v="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
    <n v="6"/>
    <s v="Artículos de Oficina"/>
    <n v="4"/>
    <n v="115"/>
    <n v="1914"/>
    <n v="220110"/>
    <x v="4"/>
    <x v="31"/>
    <x v="43"/>
    <x v="48"/>
    <s v="64-2335492-"/>
    <s v="CAROLINA.SILVALL@REDSALUD.GOB.CL"/>
    <x v="14"/>
    <m/>
    <n v="0"/>
    <m/>
    <n v="0"/>
    <n v="0"/>
    <m/>
    <x v="1"/>
    <x v="4"/>
  </r>
  <r>
    <s v="SERVICIO DE SALUD OSORNO"/>
    <s v="Bienes y Servicios"/>
    <x v="375"/>
    <s v="Proyecto operacional"/>
    <s v="Enviado"/>
    <n v="2266"/>
    <x v="367"/>
    <s v="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
    <n v="6"/>
    <s v="Aparatos Electrónicos"/>
    <n v="4"/>
    <n v="1"/>
    <n v="30000"/>
    <n v="30000"/>
    <x v="4"/>
    <x v="31"/>
    <x v="43"/>
    <x v="48"/>
    <s v="64-2335492-"/>
    <s v="CAROLINA.SILVALL@REDSALUD.GOB.CL"/>
    <x v="14"/>
    <m/>
    <n v="0"/>
    <m/>
    <n v="0"/>
    <n v="0"/>
    <m/>
    <x v="1"/>
    <x v="4"/>
  </r>
  <r>
    <s v="SERVICIO DE SALUD OSORNO"/>
    <s v="Bienes y Servicios"/>
    <x v="376"/>
    <s v="Proyecto operacional"/>
    <s v="Enviado"/>
    <s v="22.04"/>
    <x v="368"/>
    <s v="Adquisición de elementos de rehabilitación rural para terapeuta y kinesióloga con equipamiento médico y artículos clínicos."/>
    <n v="3"/>
    <s v="Material didáctico y educativo"/>
    <n v="4"/>
    <n v="13"/>
    <n v="35693"/>
    <n v="464009"/>
    <x v="4"/>
    <x v="24"/>
    <x v="37"/>
    <x v="42"/>
    <s v="64-2565807-"/>
    <s v="karin.avila@redsalud.gob.cl"/>
    <x v="21"/>
    <m/>
    <n v="0"/>
    <m/>
    <n v="0"/>
    <n v="0"/>
    <m/>
    <x v="1"/>
    <x v="4"/>
  </r>
  <r>
    <s v="SERVICIO DE SALUD OSORNO"/>
    <s v="Bienes y Servicios"/>
    <x v="376"/>
    <s v="Proyecto operacional"/>
    <s v="Enviado"/>
    <s v="22.04"/>
    <x v="368"/>
    <s v="Adquisición de elementos de rehabilitación rural para terapeuta y kinesióloga con equipamiento médico y artículos clínicos."/>
    <n v="3"/>
    <s v="Caja plástica"/>
    <n v="4"/>
    <n v="15"/>
    <n v="10000"/>
    <n v="150000"/>
    <x v="4"/>
    <x v="31"/>
    <x v="37"/>
    <x v="42"/>
    <s v="64-2565807-"/>
    <s v="karin.avila@redsalud.gob.cl"/>
    <x v="14"/>
    <m/>
    <n v="0"/>
    <m/>
    <n v="0"/>
    <n v="0"/>
    <m/>
    <x v="1"/>
    <x v="4"/>
  </r>
  <r>
    <s v="SERVICIO DE SALUD OSORNO"/>
    <s v="Bienes y Servicios"/>
    <x v="376"/>
    <s v="Proyecto operacional"/>
    <s v="Enviado"/>
    <s v="22.04"/>
    <x v="368"/>
    <s v="Adquisición de elementos de rehabilitación rural para terapeuta y kinesióloga con equipamiento médico y artículos clínicos."/>
    <n v="3"/>
    <s v="Artículos de ferretería, médicos y clínicos, equipamiento médico"/>
    <n v="4"/>
    <n v="107"/>
    <n v="14571"/>
    <n v="1559097"/>
    <x v="4"/>
    <x v="31"/>
    <x v="37"/>
    <x v="42"/>
    <s v="64-2565807-"/>
    <s v="karin.avila@redsalud.gob.cl"/>
    <x v="14"/>
    <m/>
    <n v="0"/>
    <m/>
    <n v="0"/>
    <n v="0"/>
    <m/>
    <x v="1"/>
    <x v="4"/>
  </r>
  <r>
    <s v="SERVICIO DE SALUD OSORNO"/>
    <s v="Activos Fijos"/>
    <x v="377"/>
    <s v="Proyecto operacional"/>
    <s v="Enviado"/>
    <n v="2518"/>
    <x v="369"/>
    <s v="Renovar equipo informático servidor NAS actual, el cual está llegando al límite de vida útil, este debe incluir discos duros instalados y además sumar otros para llegar a un total de 40TB de almacenamiento. Marzo 2026"/>
    <n v="2"/>
    <s v="Servidor"/>
    <n v="4"/>
    <n v="1"/>
    <n v="15000000"/>
    <n v="15000000"/>
    <x v="4"/>
    <x v="32"/>
    <x v="89"/>
    <x v="87"/>
    <s v="64-2335685-"/>
    <s v="alejandro.nunez01@redsalud.gob.cl"/>
    <x v="21"/>
    <m/>
    <n v="0"/>
    <m/>
    <n v="0"/>
    <n v="0"/>
    <m/>
    <x v="1"/>
    <x v="5"/>
  </r>
  <r>
    <s v="SERVICIO DE SALUD OSORNO"/>
    <s v="Activos Fijos"/>
    <x v="377"/>
    <s v="Proyecto operacional"/>
    <s v="Enviado"/>
    <n v="2518"/>
    <x v="369"/>
    <s v="Renovar equipo informático servidor NAS actual, el cual está llegando al límite de vida útil, este debe incluir discos duros instalados y además sumar otros para llegar a un total de 40TB de almacenamiento. Marzo 2026"/>
    <n v="2"/>
    <s v="Disco Duro"/>
    <n v="4"/>
    <n v="2"/>
    <n v="500000"/>
    <n v="1000000"/>
    <x v="4"/>
    <x v="32"/>
    <x v="89"/>
    <x v="87"/>
    <s v="64-2335685-"/>
    <s v="alejandro.nunez01@redsalud.gob.cl"/>
    <x v="21"/>
    <m/>
    <n v="0"/>
    <m/>
    <n v="0"/>
    <n v="0"/>
    <m/>
    <x v="1"/>
    <x v="5"/>
  </r>
  <r>
    <s v="SERVICIO DE SALUD OSORNO"/>
    <s v="Bienes y Servicios"/>
    <x v="378"/>
    <s v="Proyecto operacional"/>
    <s v="Enviado"/>
    <n v="2233"/>
    <x v="370"/>
    <s v="Se requiere la adquisición de artículos de escritorio de buena calidad, en la cantidad necesaria para garantizar el desarrollo adecuado de las actividades administrativas y didácticas realizadas con las personas en tratamiento de la unidad. Los insumos deben permitir un funcionamiento eficiente de los procesos internos y apoyar la ejecución de las acciones planificadas, asegurando que el equipo cuente con los recursos necesarios para cumplir sus funciones de manera efectiva y ordenada."/>
    <n v="3"/>
    <s v="Toner"/>
    <n v="4"/>
    <n v="12"/>
    <n v="41667"/>
    <n v="500004"/>
    <x v="4"/>
    <x v="38"/>
    <x v="43"/>
    <x v="48"/>
    <s v="64-2335492-"/>
    <s v="CAROLINA.SILVALL@REDSALUD.GOB.CL"/>
    <x v="19"/>
    <m/>
    <n v="0"/>
    <m/>
    <n v="0"/>
    <n v="0"/>
    <m/>
    <x v="1"/>
    <x v="4"/>
  </r>
  <r>
    <s v="SERVICIO DE SALUD OSORNO"/>
    <s v="Bienes y Servicios"/>
    <x v="378"/>
    <s v="Proyecto operacional"/>
    <s v="Enviado"/>
    <n v="2233"/>
    <x v="370"/>
    <s v="Se requiere la adquisición de artículos de escritorio de buena calidad, en la cantidad necesaria para garantizar el desarrollo adecuado de las actividades administrativas y didácticas realizadas con las personas en tratamiento de la unidad. Los insumos deben permitir un funcionamiento eficiente de los procesos internos y apoyar la ejecución de las acciones planificadas, asegurando que el equipo cuente con los recursos necesarios para cumplir sus funciones de manera efectiva y ordenada."/>
    <n v="3"/>
    <s v="Material de Oficina"/>
    <n v="4"/>
    <n v="1000"/>
    <n v="1975"/>
    <n v="1975000"/>
    <x v="4"/>
    <x v="38"/>
    <x v="43"/>
    <x v="48"/>
    <s v="64-2335492-"/>
    <s v="CAROLINA.SILVALL@REDSALUD.GOB.CL"/>
    <x v="19"/>
    <m/>
    <n v="0"/>
    <m/>
    <n v="0"/>
    <n v="0"/>
    <m/>
    <x v="1"/>
    <x v="4"/>
  </r>
  <r>
    <s v="SERVICIO DE SALUD OSORNO"/>
    <s v="Bienes y Servicios"/>
    <x v="378"/>
    <s v="Proyecto operacional"/>
    <s v="Enviado"/>
    <n v="2233"/>
    <x v="370"/>
    <s v="Se requiere la adquisición de artículos de escritorio de buena calidad, en la cantidad necesaria para garantizar el desarrollo adecuado de las actividades administrativas y didácticas realizadas con las personas en tratamiento de la unidad. Los insumos deben permitir un funcionamiento eficiente de los procesos internos y apoyar la ejecución de las acciones planificadas, asegurando que el equipo cuente con los recursos necesarios para cumplir sus funciones de manera efectiva y ordenada."/>
    <n v="3"/>
    <s v="Papelero"/>
    <n v="4"/>
    <n v="10"/>
    <n v="5000"/>
    <n v="50000"/>
    <x v="4"/>
    <x v="38"/>
    <x v="43"/>
    <x v="48"/>
    <s v="64-2335492-"/>
    <s v="CAROLINA.SILVALL@REDSALUD.GOB.CL"/>
    <x v="19"/>
    <m/>
    <n v="0"/>
    <m/>
    <n v="0"/>
    <n v="0"/>
    <m/>
    <x v="1"/>
    <x v="4"/>
  </r>
  <r>
    <s v="SERVICIO DE SALUD OSORNO"/>
    <s v="Administración de Fondos"/>
    <x v="379"/>
    <s v="Proyecto operacional"/>
    <s v="Enviado"/>
    <n v="2240"/>
    <x v="371"/>
    <s v="Las actividades comunitarias se desarrollan a lo largo de todo el año, las compras se utilizan para complementar las actividades dirigidas y/o festividades específicas, pero también para actividades de gestión, coordinación de estas mismas, y reuniones extraprogramáticas con la comunidad o instituciones con los que colaboramos para el desarrollo de lo programado anualmente."/>
    <n v="5"/>
    <s v="Alimentación"/>
    <n v="4"/>
    <n v="260"/>
    <n v="1700"/>
    <n v="442000"/>
    <x v="4"/>
    <x v="35"/>
    <x v="44"/>
    <x v="24"/>
    <s v="64-2335610-"/>
    <s v="pedro.fritz@redsalud.gob.cl"/>
    <x v="13"/>
    <m/>
    <n v="0"/>
    <m/>
    <n v="0"/>
    <n v="0"/>
    <m/>
    <x v="1"/>
    <x v="2"/>
  </r>
  <r>
    <s v="SERVICIO DE SALUD OSORNO"/>
    <s v="Administración de Fondos"/>
    <x v="379"/>
    <s v="Proyecto operacional"/>
    <s v="Enviado"/>
    <n v="2240"/>
    <x v="371"/>
    <s v="Las actividades comunitarias se desarrollan a lo largo de todo el año, las compras se utilizan para complementar las actividades dirigidas y/o festividades específicas, pero también para actividades de gestión, coordinación de estas mismas, y reuniones extraprogramáticas con la comunidad o instituciones con los que colaboramos para el desarrollo de lo programado anualmente."/>
    <n v="5"/>
    <s v="Material de Oficina"/>
    <n v="4"/>
    <n v="510"/>
    <n v="983"/>
    <n v="501330"/>
    <x v="4"/>
    <x v="35"/>
    <x v="44"/>
    <x v="24"/>
    <s v="64-2335610-"/>
    <s v="pedro.fritz@redsalud.gob.cl"/>
    <x v="13"/>
    <m/>
    <n v="0"/>
    <m/>
    <n v="0"/>
    <n v="0"/>
    <m/>
    <x v="1"/>
    <x v="2"/>
  </r>
  <r>
    <s v="SERVICIO DE SALUD OSORNO"/>
    <s v="Administración de Fondos"/>
    <x v="379"/>
    <s v="Proyecto operacional"/>
    <s v="Enviado"/>
    <n v="2240"/>
    <x v="371"/>
    <s v="Las actividades comunitarias se desarrollan a lo largo de todo el año, las compras se utilizan para complementar las actividades dirigidas y/o festividades específicas, pero también para actividades de gestión, coordinación de estas mismas, y reuniones extraprogramáticas con la comunidad o instituciones con los que colaboramos para el desarrollo de lo programado anualmente."/>
    <n v="5"/>
    <s v="Menaje"/>
    <n v="4"/>
    <n v="700"/>
    <n v="71"/>
    <n v="49700"/>
    <x v="4"/>
    <x v="35"/>
    <x v="44"/>
    <x v="24"/>
    <s v="64-2335610-"/>
    <s v="pedro.fritz@redsalud.gob.cl"/>
    <x v="13"/>
    <m/>
    <n v="0"/>
    <m/>
    <n v="0"/>
    <n v="0"/>
    <m/>
    <x v="1"/>
    <x v="2"/>
  </r>
  <r>
    <s v="SERVICIO DE SALUD OSORNO"/>
    <s v="Administración de Fondos"/>
    <x v="379"/>
    <s v="Proyecto operacional"/>
    <s v="Enviado"/>
    <n v="2240"/>
    <x v="371"/>
    <s v="Las actividades comunitarias se desarrollan a lo largo de todo el año, las compras se utilizan para complementar las actividades dirigidas y/o festividades específicas, pero también para actividades de gestión, coordinación de estas mismas, y reuniones extraprogramáticas con la comunidad o instituciones con los que colaboramos para el desarrollo de lo programado anualmente."/>
    <n v="5"/>
    <s v="Toldo Mesa"/>
    <n v="4"/>
    <n v="2"/>
    <n v="120000"/>
    <n v="240000"/>
    <x v="4"/>
    <x v="35"/>
    <x v="44"/>
    <x v="24"/>
    <s v="64-2335610-"/>
    <s v="pedro.fritz@redsalud.gob.cl"/>
    <x v="13"/>
    <m/>
    <n v="0"/>
    <m/>
    <n v="0"/>
    <n v="0"/>
    <m/>
    <x v="1"/>
    <x v="2"/>
  </r>
  <r>
    <s v="SERVICIO DE SALUD OSORNO"/>
    <s v="Administración de Fondos"/>
    <x v="379"/>
    <s v="Proyecto operacional"/>
    <s v="Enviado"/>
    <n v="2240"/>
    <x v="371"/>
    <s v="Las actividades comunitarias se desarrollan a lo largo de todo el año, las compras se utilizan para complementar las actividades dirigidas y/o festividades específicas, pero también para actividades de gestión, coordinación de estas mismas, y reuniones extraprogramáticas con la comunidad o instituciones con los que colaboramos para el desarrollo de lo programado anualmente."/>
    <n v="5"/>
    <s v="Tinta Botellas"/>
    <n v="4"/>
    <n v="2"/>
    <n v="35000"/>
    <n v="70000"/>
    <x v="4"/>
    <x v="35"/>
    <x v="44"/>
    <x v="24"/>
    <s v="64-2335610-"/>
    <s v="pedro.fritz@redsalud.gob.cl"/>
    <x v="13"/>
    <m/>
    <n v="0"/>
    <m/>
    <n v="0"/>
    <n v="0"/>
    <m/>
    <x v="1"/>
    <x v="2"/>
  </r>
  <r>
    <s v="SERVICIO DE SALUD OSORNO"/>
    <s v="Bienes y Servicios"/>
    <x v="380"/>
    <s v="Proyecto operacional"/>
    <s v="Enviado"/>
    <n v="2254"/>
    <x v="372"/>
    <s v="Se requiere adquirir servicios de amplificación y colaciones para todos los participantes de la actividad ?En Movimiento y a Una Sola Voz?, en su versión N°15, con el fin de asegurar condiciones adecuadas de participación y contribuir a una presentación de calidad que favorezca los procesos de educación y sensibilización comunitaria en torno a la salud mental, promoviendo acciones de promoción, prevención y autocuidado."/>
    <n v="4"/>
    <s v="Amplificación"/>
    <n v="4"/>
    <n v="1"/>
    <n v="1000000"/>
    <n v="1000000"/>
    <x v="4"/>
    <x v="26"/>
    <x v="43"/>
    <x v="48"/>
    <s v="64-2335492-"/>
    <s v="CAROLINA.SILVALL@REDSALUD.GOB.CL"/>
    <x v="16"/>
    <m/>
    <n v="0"/>
    <m/>
    <n v="0"/>
    <n v="0"/>
    <m/>
    <x v="1"/>
    <x v="4"/>
  </r>
  <r>
    <s v="SERVICIO DE SALUD OSORNO"/>
    <s v="Bienes y Servicios"/>
    <x v="380"/>
    <s v="Proyecto operacional"/>
    <s v="Enviado"/>
    <n v="2254"/>
    <x v="372"/>
    <s v="Se requiere adquirir servicios de amplificación y colaciones para todos los participantes de la actividad ?En Movimiento y a Una Sola Voz?, en su versión N°15, con el fin de asegurar condiciones adecuadas de participación y contribuir a una presentación de calidad que favorezca los procesos de educación y sensibilización comunitaria en torno a la salud mental, promoviendo acciones de promoción, prevención y autocuidado."/>
    <n v="4"/>
    <s v="Placa Regalos"/>
    <n v="4"/>
    <n v="48"/>
    <n v="7500"/>
    <n v="360000"/>
    <x v="4"/>
    <x v="26"/>
    <x v="43"/>
    <x v="48"/>
    <s v="64-2335492-"/>
    <s v="CAROLINA.SILVALL@REDSALUD.GOB.CL"/>
    <x v="16"/>
    <m/>
    <n v="0"/>
    <m/>
    <n v="0"/>
    <n v="0"/>
    <m/>
    <x v="1"/>
    <x v="4"/>
  </r>
  <r>
    <s v="SERVICIO DE SALUD OSORNO"/>
    <s v="Bienes y Servicios"/>
    <x v="380"/>
    <s v="Proyecto operacional"/>
    <s v="Enviado"/>
    <n v="2254"/>
    <x v="372"/>
    <s v="Se requiere adquirir servicios de amplificación y colaciones para todos los participantes de la actividad ?En Movimiento y a Una Sola Voz?, en su versión N°15, con el fin de asegurar condiciones adecuadas de participación y contribuir a una presentación de calidad que favorezca los procesos de educación y sensibilización comunitaria en torno a la salud mental, promoviendo acciones de promoción, prevención y autocuidado."/>
    <n v="4"/>
    <s v="Material de Aseo"/>
    <n v="4"/>
    <n v="400"/>
    <n v="465"/>
    <n v="186000"/>
    <x v="4"/>
    <x v="26"/>
    <x v="43"/>
    <x v="48"/>
    <s v="64-2335492-"/>
    <s v="CAROLINA.SILVALL@REDSALUD.GOB.CL"/>
    <x v="16"/>
    <m/>
    <n v="0"/>
    <m/>
    <n v="0"/>
    <n v="0"/>
    <m/>
    <x v="1"/>
    <x v="4"/>
  </r>
  <r>
    <s v="SERVICIO DE SALUD OSORNO"/>
    <s v="Bienes y Servicios"/>
    <x v="380"/>
    <s v="Proyecto operacional"/>
    <s v="Enviado"/>
    <n v="2254"/>
    <x v="372"/>
    <s v="Se requiere adquirir servicios de amplificación y colaciones para todos los participantes de la actividad ?En Movimiento y a Una Sola Voz?, en su versión N°15, con el fin de asegurar condiciones adecuadas de participación y contribuir a una presentación de calidad que favorezca los procesos de educación y sensibilización comunitaria en torno a la salud mental, promoviendo acciones de promoción, prevención y autocuidado."/>
    <n v="4"/>
    <s v="Alimentación"/>
    <n v="4"/>
    <n v="3238"/>
    <n v="210"/>
    <n v="679980"/>
    <x v="4"/>
    <x v="26"/>
    <x v="43"/>
    <x v="48"/>
    <s v="64-2335492-"/>
    <s v="CAROLINA.SILVALL@REDSALUD.GOB.CL"/>
    <x v="16"/>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Material Ergoterapia"/>
    <n v="4"/>
    <n v="70"/>
    <n v="10215"/>
    <n v="715050"/>
    <x v="4"/>
    <x v="24"/>
    <x v="104"/>
    <x v="67"/>
    <s v="64-2336694-"/>
    <s v="anamaria.diaz@redsalud.gob.cl"/>
    <x v="21"/>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Artículos de Librería"/>
    <n v="4"/>
    <n v="80"/>
    <n v="3850"/>
    <n v="308000"/>
    <x v="4"/>
    <x v="24"/>
    <x v="104"/>
    <x v="67"/>
    <s v="64-2336694-"/>
    <s v="anamaria.diaz@redsalud.gob.cl"/>
    <x v="21"/>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Artículos de Oficina"/>
    <n v="4"/>
    <n v="70"/>
    <n v="2072"/>
    <n v="145040"/>
    <x v="4"/>
    <x v="24"/>
    <x v="104"/>
    <x v="67"/>
    <s v="64-2336694-"/>
    <s v="anamaria.diaz@redsalud.gob.cl"/>
    <x v="21"/>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Materiales de Oficina"/>
    <n v="4"/>
    <n v="100"/>
    <n v="3850"/>
    <n v="385000"/>
    <x v="4"/>
    <x v="24"/>
    <x v="104"/>
    <x v="67"/>
    <s v="64-2336694-"/>
    <s v="anamaria.diaz@redsalud.gob.cl"/>
    <x v="21"/>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Pila"/>
    <n v="4"/>
    <n v="8"/>
    <n v="8750"/>
    <n v="70000"/>
    <x v="4"/>
    <x v="24"/>
    <x v="104"/>
    <x v="67"/>
    <s v="64-2336694-"/>
    <s v="anamaria.diaz@redsalud.gob.cl"/>
    <x v="21"/>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Alcohol gel"/>
    <n v="4"/>
    <n v="1"/>
    <n v="35000"/>
    <n v="35000"/>
    <x v="4"/>
    <x v="24"/>
    <x v="104"/>
    <x v="67"/>
    <s v="64-2336694-"/>
    <s v="anamaria.diaz@redsalud.gob.cl"/>
    <x v="21"/>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Higiene"/>
    <n v="4"/>
    <n v="160"/>
    <n v="6313"/>
    <n v="1010080"/>
    <x v="4"/>
    <x v="24"/>
    <x v="104"/>
    <x v="67"/>
    <s v="64-2336694-"/>
    <s v="anamaria.diaz@redsalud.gob.cl"/>
    <x v="21"/>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Insumos de Rehabilitación"/>
    <n v="4"/>
    <n v="5"/>
    <n v="8000"/>
    <n v="40000"/>
    <x v="4"/>
    <x v="24"/>
    <x v="104"/>
    <x v="67"/>
    <s v="64-2336694-"/>
    <s v="anamaria.diaz@redsalud.gob.cl"/>
    <x v="21"/>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Mantención"/>
    <n v="4"/>
    <n v="1"/>
    <n v="5000000"/>
    <n v="5000000"/>
    <x v="15"/>
    <x v="48"/>
    <x v="104"/>
    <x v="67"/>
    <s v="64-2336694-"/>
    <s v="anamaria.diaz@redsalud.gob.cl"/>
    <x v="14"/>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Servicio de Cafetería"/>
    <n v="4"/>
    <n v="1"/>
    <n v="500000"/>
    <n v="500000"/>
    <x v="4"/>
    <x v="25"/>
    <x v="104"/>
    <x v="67"/>
    <s v="64-2336694-"/>
    <s v="anamaria.diaz@redsalud.gob.cl"/>
    <x v="20"/>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Petróleo"/>
    <n v="4"/>
    <n v="1"/>
    <n v="2500000"/>
    <n v="2500000"/>
    <x v="4"/>
    <x v="25"/>
    <x v="104"/>
    <x v="67"/>
    <s v="64-2336694-"/>
    <s v="anamaria.diaz@redsalud.gob.cl"/>
    <x v="20"/>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Material promocional"/>
    <n v="4"/>
    <n v="2"/>
    <n v="500000"/>
    <n v="1000000"/>
    <x v="4"/>
    <x v="25"/>
    <x v="104"/>
    <x v="67"/>
    <s v="64-2336694-"/>
    <s v="anamaria.diaz@redsalud.gob.cl"/>
    <x v="20"/>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Eventos y actividades"/>
    <n v="4"/>
    <n v="1"/>
    <n v="600000"/>
    <n v="600000"/>
    <x v="7"/>
    <x v="49"/>
    <x v="104"/>
    <x v="67"/>
    <s v="64-2336694-"/>
    <s v="anamaria.diaz@redsalud.gob.cl"/>
    <x v="20"/>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Servicio Relatoría"/>
    <n v="4"/>
    <n v="1"/>
    <n v="1000000"/>
    <n v="1000000"/>
    <x v="4"/>
    <x v="31"/>
    <x v="104"/>
    <x v="67"/>
    <s v="64-2336694-"/>
    <s v="anamaria.diaz@redsalud.gob.cl"/>
    <x v="14"/>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Capacitación"/>
    <n v="4"/>
    <n v="1"/>
    <n v="1000000"/>
    <n v="1000000"/>
    <x v="4"/>
    <x v="25"/>
    <x v="104"/>
    <x v="67"/>
    <s v="64-2336694-"/>
    <s v="anamaria.diaz@redsalud.gob.cl"/>
    <x v="20"/>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Alimentación"/>
    <n v="4"/>
    <n v="100"/>
    <n v="4900"/>
    <n v="490000"/>
    <x v="4"/>
    <x v="24"/>
    <x v="104"/>
    <x v="67"/>
    <s v="64-2336694-"/>
    <s v="anamaria.diaz@redsalud.gob.cl"/>
    <x v="21"/>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Contratación Monitores"/>
    <n v="4"/>
    <n v="1"/>
    <n v="2000000"/>
    <n v="2000000"/>
    <x v="4"/>
    <x v="24"/>
    <x v="104"/>
    <x v="67"/>
    <s v="64-2336694-"/>
    <s v="anamaria.diaz@redsalud.gob.cl"/>
    <x v="21"/>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Servicio Odontológico"/>
    <n v="4"/>
    <n v="1"/>
    <n v="4000000"/>
    <n v="4000000"/>
    <x v="4"/>
    <x v="25"/>
    <x v="104"/>
    <x v="67"/>
    <s v="64-2336694-"/>
    <s v="anamaria.diaz@redsalud.gob.cl"/>
    <x v="20"/>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Medicamentos"/>
    <n v="4"/>
    <n v="1"/>
    <n v="6000000"/>
    <n v="6000000"/>
    <x v="4"/>
    <x v="31"/>
    <x v="104"/>
    <x v="67"/>
    <s v="64-2336694-"/>
    <s v="anamaria.diaz@redsalud.gob.cl"/>
    <x v="14"/>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Servicios Médicos"/>
    <n v="4"/>
    <n v="1"/>
    <n v="2000000"/>
    <n v="2000000"/>
    <x v="4"/>
    <x v="31"/>
    <x v="104"/>
    <x v="67"/>
    <s v="64-2336694-"/>
    <s v="anamaria.diaz@redsalud.gob.cl"/>
    <x v="14"/>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Cera"/>
    <n v="4"/>
    <n v="2"/>
    <n v="20000"/>
    <n v="40000"/>
    <x v="4"/>
    <x v="24"/>
    <x v="104"/>
    <x v="67"/>
    <s v="64-2336694-"/>
    <s v="anamaria.diaz@redsalud.gob.cl"/>
    <x v="21"/>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Bloqueador Solar"/>
    <n v="4"/>
    <n v="1"/>
    <n v="35000"/>
    <n v="35000"/>
    <x v="4"/>
    <x v="24"/>
    <x v="104"/>
    <x v="67"/>
    <s v="64-2336694-"/>
    <s v="anamaria.diaz@redsalud.gob.cl"/>
    <x v="21"/>
    <m/>
    <n v="0"/>
    <m/>
    <n v="0"/>
    <n v="0"/>
    <m/>
    <x v="1"/>
    <x v="4"/>
  </r>
  <r>
    <s v="SERVICIO DE SALUD OSORNO"/>
    <s v="Bienes y Servicios"/>
    <x v="381"/>
    <s v="Proyecto operacional"/>
    <s v="Enviado"/>
    <n v="2281"/>
    <x v="373"/>
    <s v="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
    <n v="23"/>
    <s v="Guantes"/>
    <n v="4"/>
    <n v="24"/>
    <n v="6500"/>
    <n v="156000"/>
    <x v="4"/>
    <x v="24"/>
    <x v="104"/>
    <x v="67"/>
    <s v="64-2336694-"/>
    <s v="anamaria.diaz@redsalud.gob.cl"/>
    <x v="21"/>
    <m/>
    <n v="0"/>
    <m/>
    <n v="0"/>
    <n v="0"/>
    <m/>
    <x v="1"/>
    <x v="4"/>
  </r>
  <r>
    <s v="SERVICIO DE SALUD OSORNO"/>
    <s v="Activos Fijos"/>
    <x v="382"/>
    <s v="Proyecto operacional"/>
    <s v="Enviado"/>
    <n v="2584"/>
    <x v="374"/>
    <s v="Se requiere Hidrolavadora para poder limpiar accesos de vehiculos que se llenan de pasto y musgos, limpiar muros y ventanas del establecimiento con personal propio."/>
    <n v="1"/>
    <s v="Hidrolavadora"/>
    <n v="4"/>
    <n v="1"/>
    <n v="250000"/>
    <n v="250000"/>
    <x v="4"/>
    <x v="38"/>
    <x v="44"/>
    <x v="58"/>
    <s v="64-2335588-"/>
    <s v="roberto.nunez@redsalud.gob.cl"/>
    <x v="13"/>
    <m/>
    <n v="0"/>
    <m/>
    <n v="0"/>
    <n v="0"/>
    <m/>
    <x v="1"/>
    <x v="5"/>
  </r>
  <r>
    <s v="SERVICIO DE SALUD OSORNO"/>
    <s v="Bienes y Servicios"/>
    <x v="383"/>
    <s v="Proyecto operacional"/>
    <s v="Enviado"/>
    <n v="2380"/>
    <x v="375"/>
    <s v="Contar con servicio de cafetería (2 días) en horario am y snack frio para jornada pm, para asistentes y relatores externos, además de insumos de Liberia para el desarrollo de actividades practicas. mes ejecucion de la compra: Abril"/>
    <n v="4"/>
    <s v="Materiales de Enseñanza"/>
    <n v="4"/>
    <n v="62"/>
    <n v="2678"/>
    <n v="166036"/>
    <x v="4"/>
    <x v="24"/>
    <x v="2"/>
    <x v="3"/>
    <s v="64-2337728-"/>
    <s v="CATALINA.VERAC@REDSALUD.GOB.CL"/>
    <x v="14"/>
    <m/>
    <n v="0"/>
    <m/>
    <n v="0"/>
    <n v="0"/>
    <m/>
    <x v="1"/>
    <x v="4"/>
  </r>
  <r>
    <s v="SERVICIO DE SALUD OSORNO"/>
    <s v="Bienes y Servicios"/>
    <x v="383"/>
    <s v="Proyecto operacional"/>
    <s v="Enviado"/>
    <n v="2380"/>
    <x v="375"/>
    <s v="Contar con servicio de cafetería (2 días) en horario am y snack frio para jornada pm, para asistentes y relatores externos, además de insumos de Liberia para el desarrollo de actividades practicas. mes ejecucion de la compra: Abril"/>
    <n v="4"/>
    <s v="Servicio de Cafeteria"/>
    <n v="4"/>
    <n v="200"/>
    <n v="6750"/>
    <n v="1350000"/>
    <x v="4"/>
    <x v="24"/>
    <x v="2"/>
    <x v="3"/>
    <s v="64-2337728-"/>
    <s v="CATALINA.VERAC@REDSALUD.GOB.CL"/>
    <x v="14"/>
    <m/>
    <n v="0"/>
    <m/>
    <n v="0"/>
    <n v="0"/>
    <m/>
    <x v="1"/>
    <x v="4"/>
  </r>
  <r>
    <s v="SERVICIO DE SALUD OSORNO"/>
    <s v="Bienes y Servicios"/>
    <x v="383"/>
    <s v="Proyecto operacional"/>
    <s v="Enviado"/>
    <n v="2380"/>
    <x v="375"/>
    <s v="Contar con servicio de cafetería (2 días) en horario am y snack frio para jornada pm, para asistentes y relatores externos, además de insumos de Liberia para el desarrollo de actividades practicas. mes ejecucion de la compra: Abril"/>
    <n v="4"/>
    <s v="Menaje"/>
    <n v="4"/>
    <n v="656"/>
    <n v="112"/>
    <n v="73472"/>
    <x v="4"/>
    <x v="24"/>
    <x v="2"/>
    <x v="3"/>
    <s v="64-2337728-"/>
    <s v="CATALINA.VERAC@REDSALUD.GOB.CL"/>
    <x v="14"/>
    <m/>
    <n v="0"/>
    <m/>
    <n v="0"/>
    <n v="0"/>
    <m/>
    <x v="1"/>
    <x v="4"/>
  </r>
  <r>
    <s v="SERVICIO DE SALUD OSORNO"/>
    <s v="Bienes y Servicios"/>
    <x v="383"/>
    <s v="Proyecto operacional"/>
    <s v="Enviado"/>
    <n v="2380"/>
    <x v="375"/>
    <s v="Contar con servicio de cafetería (2 días) en horario am y snack frio para jornada pm, para asistentes y relatores externos, además de insumos de Liberia para el desarrollo de actividades practicas. mes ejecucion de la compra: Abril"/>
    <n v="4"/>
    <s v="Alimentación"/>
    <n v="4"/>
    <n v="1"/>
    <n v="364000"/>
    <n v="364000"/>
    <x v="4"/>
    <x v="24"/>
    <x v="2"/>
    <x v="3"/>
    <s v="64-2337728-"/>
    <s v="CATALINA.VERAC@REDSALUD.GOB.CL"/>
    <x v="14"/>
    <m/>
    <n v="0"/>
    <m/>
    <n v="0"/>
    <n v="0"/>
    <m/>
    <x v="1"/>
    <x v="4"/>
  </r>
  <r>
    <s v="SERVICIO DE SALUD OSORNO"/>
    <s v="Bienes y Servicios"/>
    <x v="384"/>
    <s v="Proyecto operacional"/>
    <s v="Enviado"/>
    <s v="22.04.002"/>
    <x v="376"/>
    <s v="MES DE EJECUCION DE LA COMPRA DE MATERIALES DE ESCRITORIO, DIDACTICOS E INSUMOS DE CAFETERIA SE REALIZARA EN EL MES DE FEBRERO DE 2026."/>
    <n v="5"/>
    <s v="Menaje"/>
    <n v="4"/>
    <n v="2160"/>
    <n v="73"/>
    <n v="157680"/>
    <x v="4"/>
    <x v="38"/>
    <x v="105"/>
    <x v="105"/>
    <s v="64-2335819-"/>
    <s v="sandra.rodriguez@redsalud.gob.cl"/>
    <x v="19"/>
    <m/>
    <n v="0"/>
    <m/>
    <n v="0"/>
    <n v="0"/>
    <m/>
    <x v="1"/>
    <x v="4"/>
  </r>
  <r>
    <s v="SERVICIO DE SALUD OSORNO"/>
    <s v="Bienes y Servicios"/>
    <x v="384"/>
    <s v="Proyecto operacional"/>
    <s v="Enviado"/>
    <s v="22.04.002"/>
    <x v="376"/>
    <s v="MES DE EJECUCION DE LA COMPRA DE MATERIALES DE ESCRITORIO, DIDACTICOS E INSUMOS DE CAFETERIA SE REALIZARA EN EL MES DE FEBRERO DE 2026."/>
    <n v="5"/>
    <s v="Alimentación"/>
    <n v="4"/>
    <n v="1405"/>
    <n v="461"/>
    <n v="647705"/>
    <x v="4"/>
    <x v="38"/>
    <x v="105"/>
    <x v="105"/>
    <s v="64-2335819-"/>
    <s v="sandra.rodriguez@redsalud.gob.cl"/>
    <x v="19"/>
    <m/>
    <n v="0"/>
    <m/>
    <n v="0"/>
    <n v="0"/>
    <m/>
    <x v="1"/>
    <x v="4"/>
  </r>
  <r>
    <s v="SERVICIO DE SALUD OSORNO"/>
    <s v="Bienes y Servicios"/>
    <x v="384"/>
    <s v="Proyecto operacional"/>
    <s v="Enviado"/>
    <s v="22.04.002"/>
    <x v="376"/>
    <s v="MES DE EJECUCION DE LA COMPRA DE MATERIALES DE ESCRITORIO, DIDACTICOS E INSUMOS DE CAFETERIA SE REALIZARA EN EL MES DE FEBRERO DE 2026."/>
    <n v="5"/>
    <s v="Material de Oficina"/>
    <n v="4"/>
    <n v="803"/>
    <n v="1053"/>
    <n v="845559"/>
    <x v="4"/>
    <x v="38"/>
    <x v="105"/>
    <x v="105"/>
    <s v="64-2335819-"/>
    <s v="sandra.rodriguez@redsalud.gob.cl"/>
    <x v="19"/>
    <m/>
    <n v="0"/>
    <m/>
    <n v="0"/>
    <n v="0"/>
    <m/>
    <x v="1"/>
    <x v="4"/>
  </r>
  <r>
    <s v="SERVICIO DE SALUD OSORNO"/>
    <s v="Bienes y Servicios"/>
    <x v="384"/>
    <s v="Proyecto operacional"/>
    <s v="Enviado"/>
    <s v="22.04.002"/>
    <x v="376"/>
    <s v="MES DE EJECUCION DE LA COMPRA DE MATERIALES DE ESCRITORIO, DIDACTICOS E INSUMOS DE CAFETERIA SE REALIZARA EN EL MES DE FEBRERO DE 2026."/>
    <n v="5"/>
    <s v="Marcos-Arreglo-Globo"/>
    <n v="4"/>
    <n v="566"/>
    <n v="7947"/>
    <n v="4498002"/>
    <x v="4"/>
    <x v="38"/>
    <x v="105"/>
    <x v="105"/>
    <s v="64-2335819-"/>
    <s v="sandra.rodriguez@redsalud.gob.cl"/>
    <x v="19"/>
    <m/>
    <n v="0"/>
    <m/>
    <n v="0"/>
    <n v="0"/>
    <m/>
    <x v="1"/>
    <x v="4"/>
  </r>
  <r>
    <s v="SERVICIO DE SALUD OSORNO"/>
    <s v="Bienes y Servicios"/>
    <x v="384"/>
    <s v="Proyecto operacional"/>
    <s v="Enviado"/>
    <s v="22.04.002"/>
    <x v="376"/>
    <s v="MES DE EJECUCION DE LA COMPRA DE MATERIALES DE ESCRITORIO, DIDACTICOS E INSUMOS DE CAFETERIA SE REALIZARA EN EL MES DE FEBRERO DE 2026."/>
    <n v="5"/>
    <s v="Material de Enseñanza"/>
    <n v="4"/>
    <n v="1170"/>
    <n v="375"/>
    <n v="438750"/>
    <x v="4"/>
    <x v="38"/>
    <x v="105"/>
    <x v="105"/>
    <s v="64-2335819-"/>
    <s v="sandra.rodriguez@redsalud.gob.cl"/>
    <x v="19"/>
    <m/>
    <n v="0"/>
    <m/>
    <n v="0"/>
    <n v="0"/>
    <m/>
    <x v="1"/>
    <x v="4"/>
  </r>
  <r>
    <s v="SERVICIO DE SALUD OSORNO"/>
    <s v="Bienes y Servicios"/>
    <x v="385"/>
    <s v="Proyecto operacional"/>
    <s v="Enviado"/>
    <s v="22.04.007"/>
    <x v="377"/>
    <s v="Adquisición de insumos para actividades programadas con usuarios/as de UID Newen a contar del mes de enero del 2026."/>
    <n v="2"/>
    <s v="Material de Enseñanza"/>
    <n v="4"/>
    <n v="396"/>
    <n v="1998"/>
    <n v="791208"/>
    <x v="4"/>
    <x v="35"/>
    <x v="22"/>
    <x v="67"/>
    <s v="64-2337766-"/>
    <s v="camila.roa@redsalud.gob.cl"/>
    <x v="13"/>
    <m/>
    <n v="0"/>
    <m/>
    <n v="0"/>
    <n v="0"/>
    <m/>
    <x v="1"/>
    <x v="4"/>
  </r>
  <r>
    <s v="SERVICIO DE SALUD OSORNO"/>
    <s v="Bienes y Servicios"/>
    <x v="385"/>
    <s v="Proyecto operacional"/>
    <s v="Enviado"/>
    <s v="22.04.007"/>
    <x v="377"/>
    <s v="Adquisición de insumos para actividades programadas con usuarios/as de UID Newen a contar del mes de enero del 2026."/>
    <n v="2"/>
    <s v="Toallas"/>
    <n v="4"/>
    <n v="12"/>
    <n v="2500"/>
    <n v="30000"/>
    <x v="4"/>
    <x v="35"/>
    <x v="22"/>
    <x v="67"/>
    <s v="64-2337766-"/>
    <s v="camila.roa@redsalud.gob.cl"/>
    <x v="13"/>
    <m/>
    <n v="0"/>
    <m/>
    <n v="0"/>
    <n v="0"/>
    <m/>
    <x v="1"/>
    <x v="4"/>
  </r>
  <r>
    <s v="SERVICIO DE SALUD OSORNO"/>
    <s v="Administración de Fondos"/>
    <x v="386"/>
    <s v="Proyecto operacional"/>
    <s v="Enviado"/>
    <s v="22.04"/>
    <x v="378"/>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n v="7"/>
    <s v="SIllas - Sillones"/>
    <n v="4"/>
    <n v="44"/>
    <n v="61364"/>
    <n v="2700016"/>
    <x v="4"/>
    <x v="38"/>
    <x v="43"/>
    <x v="48"/>
    <s v="64-2335492-"/>
    <s v="CAROLINA.SILVALL@REDSALUD.GOB.CL"/>
    <x v="19"/>
    <m/>
    <n v="0"/>
    <m/>
    <n v="0"/>
    <n v="0"/>
    <m/>
    <x v="1"/>
    <x v="2"/>
  </r>
  <r>
    <s v="SERVICIO DE SALUD OSORNO"/>
    <s v="Administración de Fondos"/>
    <x v="386"/>
    <s v="Proyecto operacional"/>
    <s v="Enviado"/>
    <s v="22.04"/>
    <x v="378"/>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n v="7"/>
    <s v="Televisor-Aire-Aspiradora"/>
    <n v="4"/>
    <n v="4"/>
    <n v="315000"/>
    <n v="1260000"/>
    <x v="4"/>
    <x v="38"/>
    <x v="43"/>
    <x v="48"/>
    <s v="64-2335492-"/>
    <s v="CAROLINA.SILVALL@REDSALUD.GOB.CL"/>
    <x v="19"/>
    <m/>
    <n v="0"/>
    <m/>
    <n v="0"/>
    <n v="0"/>
    <m/>
    <x v="1"/>
    <x v="2"/>
  </r>
  <r>
    <s v="SERVICIO DE SALUD OSORNO"/>
    <s v="Administración de Fondos"/>
    <x v="386"/>
    <s v="Proyecto operacional"/>
    <s v="Enviado"/>
    <s v="22.04"/>
    <x v="378"/>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n v="7"/>
    <s v="Escritorio-Mobiliario-BodegaLata"/>
    <n v="4"/>
    <n v="7"/>
    <n v="294286"/>
    <n v="2060002"/>
    <x v="4"/>
    <x v="25"/>
    <x v="43"/>
    <x v="48"/>
    <s v="64-2335492-"/>
    <s v="CAROLINA.SILVALL@REDSALUD.GOB.CL"/>
    <x v="15"/>
    <m/>
    <n v="0"/>
    <m/>
    <n v="0"/>
    <n v="0"/>
    <m/>
    <x v="1"/>
    <x v="2"/>
  </r>
  <r>
    <s v="SERVICIO DE SALUD OSORNO"/>
    <s v="Administración de Fondos"/>
    <x v="386"/>
    <s v="Proyecto operacional"/>
    <s v="Enviado"/>
    <s v="22.04"/>
    <x v="378"/>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n v="7"/>
    <s v="Equipos Menores"/>
    <n v="4"/>
    <n v="9"/>
    <n v="52223"/>
    <n v="470007"/>
    <x v="4"/>
    <x v="25"/>
    <x v="43"/>
    <x v="48"/>
    <s v="64-2335492-"/>
    <s v="CAROLINA.SILVALL@REDSALUD.GOB.CL"/>
    <x v="19"/>
    <m/>
    <n v="0"/>
    <m/>
    <n v="0"/>
    <n v="0"/>
    <m/>
    <x v="1"/>
    <x v="2"/>
  </r>
  <r>
    <s v="SERVICIO DE SALUD OSORNO"/>
    <s v="Administración de Fondos"/>
    <x v="386"/>
    <s v="Proyecto operacional"/>
    <s v="Enviado"/>
    <s v="22.04"/>
    <x v="378"/>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n v="7"/>
    <s v="Refrigerador"/>
    <n v="4"/>
    <n v="2"/>
    <n v="350000"/>
    <n v="700000"/>
    <x v="4"/>
    <x v="25"/>
    <x v="43"/>
    <x v="48"/>
    <s v="64-2335492-"/>
    <s v="CAROLINA.SILVALL@REDSALUD.GOB.CL"/>
    <x v="15"/>
    <m/>
    <n v="0"/>
    <m/>
    <n v="0"/>
    <n v="0"/>
    <m/>
    <x v="1"/>
    <x v="2"/>
  </r>
  <r>
    <s v="SERVICIO DE SALUD OSORNO"/>
    <s v="Administración de Fondos"/>
    <x v="386"/>
    <s v="Proyecto operacional"/>
    <s v="Enviado"/>
    <s v="22.04"/>
    <x v="378"/>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n v="7"/>
    <s v="Mesa Pegable"/>
    <n v="4"/>
    <n v="2"/>
    <n v="60000"/>
    <n v="120000"/>
    <x v="4"/>
    <x v="25"/>
    <x v="43"/>
    <x v="48"/>
    <s v="64-2335492-"/>
    <s v="CAROLINA.SILVALL@REDSALUD.GOB.CL"/>
    <x v="15"/>
    <m/>
    <n v="0"/>
    <m/>
    <n v="0"/>
    <n v="0"/>
    <m/>
    <x v="1"/>
    <x v="2"/>
  </r>
  <r>
    <s v="SERVICIO DE SALUD OSORNO"/>
    <s v="Administración de Fondos"/>
    <x v="386"/>
    <s v="Proyecto operacional"/>
    <s v="Enviado"/>
    <s v="22.04"/>
    <x v="378"/>
    <s v="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
    <n v="7"/>
    <s v="Delantal de Cocina"/>
    <n v="4"/>
    <n v="1"/>
    <n v="500000"/>
    <n v="500000"/>
    <x v="4"/>
    <x v="25"/>
    <x v="43"/>
    <x v="48"/>
    <s v="64-2335492-"/>
    <s v="CAROLINA.SILVALL@REDSALUD.GOB.CL"/>
    <x v="19"/>
    <m/>
    <n v="0"/>
    <m/>
    <n v="0"/>
    <n v="0"/>
    <m/>
    <x v="1"/>
    <x v="2"/>
  </r>
  <r>
    <s v="SERVICIO DE SALUD OSORNO"/>
    <s v="Bienes y Servicios"/>
    <x v="387"/>
    <s v="Proyecto operacional"/>
    <s v="Enviado"/>
    <s v="22.04.001"/>
    <x v="379"/>
    <s v="Suministrar materiales y herramientas de oficina, tales como tijeras, corcheteras, lapices, pendon, timbres, hojas, etc. para funcionarios para facilitar su funcionamiento de trabajo."/>
    <n v="3"/>
    <s v="Material de Oficina"/>
    <n v="4"/>
    <n v="5298"/>
    <n v="52"/>
    <n v="275496"/>
    <x v="4"/>
    <x v="38"/>
    <x v="2"/>
    <x v="3"/>
    <s v="64-2337728-"/>
    <s v="CATALINA.VERAC@REDSALUD.GOB.CL"/>
    <x v="19"/>
    <m/>
    <n v="0"/>
    <m/>
    <n v="0"/>
    <n v="0"/>
    <m/>
    <x v="1"/>
    <x v="4"/>
  </r>
  <r>
    <s v="SERVICIO DE SALUD OSORNO"/>
    <s v="Bienes y Servicios"/>
    <x v="387"/>
    <s v="Proyecto operacional"/>
    <s v="Enviado"/>
    <s v="22.04.001"/>
    <x v="379"/>
    <s v="Suministrar materiales y herramientas de oficina, tales como tijeras, corcheteras, lapices, pendon, timbres, hojas, etc. para funcionarios para facilitar su funcionamiento de trabajo."/>
    <n v="3"/>
    <s v="Pendon"/>
    <n v="4"/>
    <n v="1"/>
    <n v="80000"/>
    <n v="80000"/>
    <x v="4"/>
    <x v="38"/>
    <x v="2"/>
    <x v="3"/>
    <s v="64-2337728-"/>
    <s v="CATALINA.VERAC@REDSALUD.GOB.CL"/>
    <x v="19"/>
    <m/>
    <n v="0"/>
    <m/>
    <n v="0"/>
    <n v="0"/>
    <m/>
    <x v="1"/>
    <x v="4"/>
  </r>
  <r>
    <s v="SERVICIO DE SALUD OSORNO"/>
    <s v="Bienes y Servicios"/>
    <x v="387"/>
    <s v="Proyecto operacional"/>
    <s v="Enviado"/>
    <s v="22.04.001"/>
    <x v="379"/>
    <s v="Suministrar materiales y herramientas de oficina, tales como tijeras, corcheteras, lapices, pendon, timbres, hojas, etc. para funcionarios para facilitar su funcionamiento de trabajo."/>
    <n v="3"/>
    <s v="Caja Plastica"/>
    <n v="4"/>
    <n v="4"/>
    <n v="10000"/>
    <n v="40000"/>
    <x v="4"/>
    <x v="38"/>
    <x v="2"/>
    <x v="3"/>
    <s v="64-2337728-"/>
    <s v="CATALINA.VERAC@REDSALUD.GOB.CL"/>
    <x v="19"/>
    <m/>
    <n v="0"/>
    <m/>
    <n v="0"/>
    <n v="0"/>
    <m/>
    <x v="1"/>
    <x v="4"/>
  </r>
  <r>
    <s v="SERVICIO DE SALUD OSORNO"/>
    <s v="Bienes y Servicios"/>
    <x v="388"/>
    <s v="Proyecto operacional"/>
    <s v="Enviado"/>
    <s v="22.04.002"/>
    <x v="380"/>
    <s v="MES DE EJECUCION DE LA COMPRA DE MATERIALES DE ESCRITORIO, DIDACTICOS E INSUMOS DE CAFETERIA SE REALIZARA EN EL MES DE FEBRERO DE 2026."/>
    <n v="3"/>
    <s v="Alimentación"/>
    <n v="4"/>
    <n v="1348"/>
    <n v="580"/>
    <n v="781840"/>
    <x v="4"/>
    <x v="38"/>
    <x v="106"/>
    <x v="106"/>
    <s v="64-2335819-"/>
    <s v="waleska.monsalvez@redsalud.gob.cl"/>
    <x v="19"/>
    <m/>
    <n v="0"/>
    <m/>
    <n v="0"/>
    <n v="0"/>
    <m/>
    <x v="1"/>
    <x v="4"/>
  </r>
  <r>
    <s v="SERVICIO DE SALUD OSORNO"/>
    <s v="Bienes y Servicios"/>
    <x v="388"/>
    <s v="Proyecto operacional"/>
    <s v="Enviado"/>
    <s v="22.04.002"/>
    <x v="380"/>
    <s v="MES DE EJECUCION DE LA COMPRA DE MATERIALES DE ESCRITORIO, DIDACTICOS E INSUMOS DE CAFETERIA SE REALIZARA EN EL MES DE FEBRERO DE 2026."/>
    <n v="3"/>
    <s v="Menaje"/>
    <n v="4"/>
    <n v="2210"/>
    <n v="75"/>
    <n v="165750"/>
    <x v="4"/>
    <x v="38"/>
    <x v="106"/>
    <x v="106"/>
    <s v="64-2335819-"/>
    <s v="waleska.monsalvez@redsalud.gob.cl"/>
    <x v="19"/>
    <m/>
    <n v="0"/>
    <m/>
    <n v="0"/>
    <n v="0"/>
    <m/>
    <x v="1"/>
    <x v="4"/>
  </r>
  <r>
    <s v="SERVICIO DE SALUD OSORNO"/>
    <s v="Bienes y Servicios"/>
    <x v="388"/>
    <s v="Proyecto operacional"/>
    <s v="Enviado"/>
    <s v="22.04.002"/>
    <x v="380"/>
    <s v="MES DE EJECUCION DE LA COMPRA DE MATERIALES DE ESCRITORIO, DIDACTICOS E INSUMOS DE CAFETERIA SE REALIZARA EN EL MES DE FEBRERO DE 2026."/>
    <n v="3"/>
    <s v="Material de Enseñanza"/>
    <n v="4"/>
    <n v="2554"/>
    <n v="227"/>
    <n v="579758"/>
    <x v="4"/>
    <x v="38"/>
    <x v="106"/>
    <x v="106"/>
    <s v="64-2335819-"/>
    <s v="waleska.monsalvez@redsalud.gob.cl"/>
    <x v="19"/>
    <m/>
    <n v="0"/>
    <m/>
    <n v="0"/>
    <n v="0"/>
    <m/>
    <x v="1"/>
    <x v="4"/>
  </r>
  <r>
    <s v="SERVICIO DE SALUD OSORNO"/>
    <s v="Bienes y Servicios"/>
    <x v="389"/>
    <s v="Proyecto operacional"/>
    <s v="Enviado"/>
    <s v="22.04"/>
    <x v="381"/>
    <s v="Pizarra de Corcho (50x30) Pizarra de Corcho (50x60) Pizarra mitad Corcho y mitad Blanca (50x60) Corchetera Isofit CM70 Regla acero 30 cm Tijeras chicas Disco Duro Externo 2TB BANDEJA DE ESCRITORIO TRIPLE DE MADERA, LAS MEDIDAS SON 38X35 (RESPETAR MEDIDAS)"/>
    <n v="2"/>
    <s v="Material de Oficina"/>
    <n v="4"/>
    <n v="20"/>
    <n v="11950"/>
    <n v="239000"/>
    <x v="4"/>
    <x v="35"/>
    <x v="95"/>
    <x v="107"/>
    <s v="64-2335752-"/>
    <s v="CRISTINA.COLLINAO@REDSALUD.GOB.CL"/>
    <x v="13"/>
    <m/>
    <n v="0"/>
    <m/>
    <n v="0"/>
    <n v="0"/>
    <m/>
    <x v="1"/>
    <x v="4"/>
  </r>
  <r>
    <s v="SERVICIO DE SALUD OSORNO"/>
    <s v="Bienes y Servicios"/>
    <x v="389"/>
    <s v="Proyecto operacional"/>
    <s v="Enviado"/>
    <s v="22.04"/>
    <x v="381"/>
    <s v="Pizarra de Corcho (50x30) Pizarra de Corcho (50x60) Pizarra mitad Corcho y mitad Blanca (50x60) Corchetera Isofit CM70 Regla acero 30 cm Tijeras chicas Disco Duro Externo 2TB BANDEJA DE ESCRITORIO TRIPLE DE MADERA, LAS MEDIDAS SON 38X35 (RESPETAR MEDIDAS)"/>
    <n v="2"/>
    <s v="Disco Duro"/>
    <n v="4"/>
    <n v="4"/>
    <n v="62500"/>
    <n v="250000"/>
    <x v="4"/>
    <x v="35"/>
    <x v="95"/>
    <x v="107"/>
    <s v="64-2335752-"/>
    <s v="CRISTINA.COLLINAO@REDSALUD.GOB.CL"/>
    <x v="13"/>
    <m/>
    <n v="0"/>
    <m/>
    <n v="0"/>
    <n v="0"/>
    <m/>
    <x v="1"/>
    <x v="4"/>
  </r>
  <r>
    <s v="SERVICIO DE SALUD OSORNO"/>
    <s v="Bienes y Servicios"/>
    <x v="390"/>
    <s v="Proyecto operacional"/>
    <s v="Enviado"/>
    <s v="22.04.003"/>
    <x v="382"/>
    <s v="Se adquieren cintas de glicemia y glucómetros en comodato"/>
    <n v="1"/>
    <s v="Test"/>
    <n v="4"/>
    <n v="250000"/>
    <n v="230"/>
    <n v="57500000"/>
    <x v="4"/>
    <x v="24"/>
    <x v="52"/>
    <x v="56"/>
    <s v="64-2335811-"/>
    <s v="eleuterio.roman@redsalud.gob.cl"/>
    <x v="14"/>
    <m/>
    <n v="0"/>
    <m/>
    <n v="0"/>
    <n v="0"/>
    <m/>
    <x v="1"/>
    <x v="4"/>
  </r>
  <r>
    <s v="SERVICIO DE SALUD OSORNO"/>
    <s v="Administración de Fondos"/>
    <x v="391"/>
    <s v="Proyecto operacional"/>
    <s v="Enviado"/>
    <s v="22.04"/>
    <x v="383"/>
    <s v="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
    <n v="1"/>
    <s v="Articulos de Cocina"/>
    <n v="4"/>
    <n v="9"/>
    <n v="31112"/>
    <n v="280008"/>
    <x v="4"/>
    <x v="31"/>
    <x v="43"/>
    <x v="48"/>
    <s v="64-2335492-"/>
    <s v="CAROLINA.SILVALL@REDSALUD.GOB.CL"/>
    <x v="20"/>
    <m/>
    <n v="0"/>
    <m/>
    <n v="0"/>
    <n v="0"/>
    <m/>
    <x v="1"/>
    <x v="2"/>
  </r>
  <r>
    <s v="SERVICIO DE SALUD OSORNO"/>
    <s v="Bienes y Servicios"/>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11"/>
    <s v="Menaje"/>
    <n v="4"/>
    <n v="660"/>
    <n v="3884"/>
    <n v="2563440"/>
    <x v="4"/>
    <x v="31"/>
    <x v="43"/>
    <x v="48"/>
    <s v="64-2335492-"/>
    <s v="CAROLINA.SILVALL@REDSALUD.GOB.CL"/>
    <x v="20"/>
    <m/>
    <n v="0"/>
    <m/>
    <n v="0"/>
    <n v="0"/>
    <m/>
    <x v="1"/>
    <x v="4"/>
  </r>
  <r>
    <s v="SERVICIO DE SALUD OSORNO"/>
    <s v="Bienes y Servicios"/>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11"/>
    <s v="Textiles y Acabados Textiles"/>
    <n v="4"/>
    <n v="535"/>
    <n v="7651"/>
    <n v="4093285"/>
    <x v="4"/>
    <x v="31"/>
    <x v="43"/>
    <x v="48"/>
    <s v="64-2335492-"/>
    <s v="CAROLINA.SILVALL@REDSALUD.GOB.CL"/>
    <x v="20"/>
    <m/>
    <n v="0"/>
    <m/>
    <n v="0"/>
    <n v="0"/>
    <m/>
    <x v="1"/>
    <x v="4"/>
  </r>
  <r>
    <s v="SERVICIO DE SALUD OSORNO"/>
    <s v="Bienes y Servicios"/>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11"/>
    <s v="Materiales para Mantenimiento y Reparaciones de Inmuebles"/>
    <n v="4"/>
    <n v="77"/>
    <n v="15610"/>
    <n v="1201970"/>
    <x v="4"/>
    <x v="31"/>
    <x v="43"/>
    <x v="48"/>
    <s v="64-2335492-"/>
    <s v="CAROLINA.SILVALL@REDSALUD.GOB.CL"/>
    <x v="20"/>
    <m/>
    <n v="0"/>
    <m/>
    <n v="0"/>
    <n v="0"/>
    <m/>
    <x v="1"/>
    <x v="4"/>
  </r>
  <r>
    <s v="SERVICIO DE SALUD OSORNO"/>
    <s v="Bienes y Servicios"/>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11"/>
    <s v="Adquisición de Mobiliario y Otros (Bases de camas)"/>
    <n v="4"/>
    <n v="12"/>
    <n v="80000"/>
    <n v="960000"/>
    <x v="4"/>
    <x v="31"/>
    <x v="43"/>
    <x v="48"/>
    <s v="64-2335492-"/>
    <s v="CAROLINA.SILVALL@REDSALUD.GOB.CL"/>
    <x v="20"/>
    <m/>
    <n v="0"/>
    <m/>
    <n v="0"/>
    <n v="0"/>
    <m/>
    <x v="1"/>
    <x v="4"/>
  </r>
  <r>
    <s v="SERVICIO DE SALUD OSORNO"/>
    <s v="Bienes y Servicios"/>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11"/>
    <s v="Productos Elaborados de Cuero, Caucho y Plásticos"/>
    <n v="4"/>
    <n v="131"/>
    <n v="7237"/>
    <n v="948047"/>
    <x v="4"/>
    <x v="31"/>
    <x v="43"/>
    <x v="48"/>
    <s v="64-2335492-"/>
    <s v="CAROLINA.SILVALL@REDSALUD.GOB.CL"/>
    <x v="20"/>
    <m/>
    <n v="0"/>
    <m/>
    <n v="0"/>
    <n v="0"/>
    <m/>
    <x v="1"/>
    <x v="4"/>
  </r>
  <r>
    <s v="SERVICIO DE SALUD OSORNO"/>
    <s v="Bienes y Servicios"/>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11"/>
    <s v="Otros (Artículos de Ferretería y Equipamiento diverso)"/>
    <n v="4"/>
    <n v="61"/>
    <n v="9000"/>
    <n v="549000"/>
    <x v="4"/>
    <x v="31"/>
    <x v="43"/>
    <x v="48"/>
    <s v="64-2335492-"/>
    <s v="CAROLINA.SILVALL@REDSALUD.GOB.CL"/>
    <x v="20"/>
    <m/>
    <n v="0"/>
    <m/>
    <n v="0"/>
    <n v="0"/>
    <m/>
    <x v="1"/>
    <x v="4"/>
  </r>
  <r>
    <s v="SERVICIO DE SALUD OSORNO"/>
    <s v="Bienes y Servicios"/>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11"/>
    <s v="Calzado (Botas de goma)"/>
    <n v="4"/>
    <n v="12"/>
    <n v="41667"/>
    <n v="500004"/>
    <x v="4"/>
    <x v="31"/>
    <x v="43"/>
    <x v="48"/>
    <s v="64-2335492-"/>
    <s v="CAROLINA.SILVALL@REDSALUD.GOB.CL"/>
    <x v="20"/>
    <m/>
    <n v="0"/>
    <m/>
    <n v="0"/>
    <n v="0"/>
    <m/>
    <x v="1"/>
    <x v="4"/>
  </r>
  <r>
    <s v="SERVICIO DE SALUD OSORNO"/>
    <s v="Bienes y Servicios"/>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11"/>
    <s v="Productos Agropecuarios y Forestales (Artículos de Jardinería)"/>
    <n v="4"/>
    <n v="91"/>
    <n v="3187"/>
    <n v="290017"/>
    <x v="4"/>
    <x v="31"/>
    <x v="43"/>
    <x v="48"/>
    <s v="64-2335492-"/>
    <s v="CAROLINA.SILVALL@REDSALUD.GOB.CL"/>
    <x v="20"/>
    <m/>
    <n v="0"/>
    <m/>
    <n v="0"/>
    <n v="0"/>
    <m/>
    <x v="1"/>
    <x v="4"/>
  </r>
  <r>
    <s v="SERVICIO DE SALUD OSORNO"/>
    <s v="Bienes y Servicios"/>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11"/>
    <s v="Otros Materiales y Útiles de Aseo (Basureros)"/>
    <n v="4"/>
    <n v="4"/>
    <n v="30000"/>
    <n v="120000"/>
    <x v="4"/>
    <x v="31"/>
    <x v="43"/>
    <x v="48"/>
    <s v="64-2335492-"/>
    <s v="CAROLINA.SILVALL@REDSALUD.GOB.CL"/>
    <x v="20"/>
    <m/>
    <n v="0"/>
    <m/>
    <n v="0"/>
    <n v="0"/>
    <m/>
    <x v="1"/>
    <x v="4"/>
  </r>
  <r>
    <s v="SERVICIO DE SALUD OSORNO"/>
    <s v="Bienes y Servicios"/>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11"/>
    <s v="Otros Materiales para Mantenimiento (Hacha, Rodillos)"/>
    <n v="4"/>
    <n v="12"/>
    <n v="4584"/>
    <n v="55008"/>
    <x v="4"/>
    <x v="31"/>
    <x v="43"/>
    <x v="48"/>
    <s v="64-2335492-"/>
    <s v="CAROLINA.SILVALL@REDSALUD.GOB.CL"/>
    <x v="20"/>
    <m/>
    <n v="0"/>
    <m/>
    <n v="0"/>
    <n v="0"/>
    <m/>
    <x v="1"/>
    <x v="4"/>
  </r>
  <r>
    <s v="SERVICIO DE SALUD OSORNO"/>
    <s v="Bienes y Servicios"/>
    <x v="392"/>
    <s v="Proyecto operacional"/>
    <s v="Enviado"/>
    <s v="22.04"/>
    <x v="384"/>
    <s v="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
    <n v="11"/>
    <s v="Vestuario y Accesorios para el Personal (Overoles)"/>
    <n v="4"/>
    <n v="20"/>
    <n v="1500"/>
    <n v="30000"/>
    <x v="4"/>
    <x v="31"/>
    <x v="43"/>
    <x v="48"/>
    <s v="64-2335492-"/>
    <s v="CAROLINA.SILVALL@REDSALUD.GOB.CL"/>
    <x v="20"/>
    <m/>
    <n v="0"/>
    <m/>
    <n v="0"/>
    <n v="0"/>
    <m/>
    <x v="1"/>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3">
  <r>
    <s v="Arrastre"/>
    <x v="0"/>
    <s v="1057532-156-PC24"/>
    <s v="servicios de control de asistencia del servicio de salud osorno"/>
    <s v="Bruno Ojeda Alvarez"/>
    <s v="Jefe Depto. Tecnologías de la Información"/>
    <n v="30000000"/>
  </r>
  <r>
    <s v="Arrastre"/>
    <x v="0"/>
    <s v="1057532-162-PC25"/>
    <s v="Convenio - de Suministro para adquisición de medicamentos faltantes CENABAST para establecimientos dependientes del SSO."/>
    <s v="ELEUTERIO ROMAN"/>
    <s v="JEFE SUBDEPTO FARMACIA"/>
    <n v="75000000"/>
  </r>
  <r>
    <s v="Arrastre"/>
    <x v="0"/>
    <s v="1057532-163-PC24"/>
    <s v="Servicio gestión flota vehicular SSO"/>
    <s v="Bruno Ojeda Alvarez"/>
    <s v="Jefe Depto."/>
    <n v="6711996"/>
  </r>
  <r>
    <s v="Arrastre"/>
    <x v="0"/>
    <s v="1057532-172-PC25"/>
    <s v="Convenio - CONVENIO SERVICIO DE ASEO POR 18 MESES, PARA LA DIRECCION DEL SSO Y ESTABLECIMIENTOS DEPENDIENTES DE LA RED ASISTENCIAL"/>
    <s v="Lorena Torres Castillo"/>
    <s v="ENCARGADA (S) SECCIÓN DE ADMINISTRACIÓN DE CONTRATOS"/>
    <n v="144000000"/>
  </r>
  <r>
    <s v="Arrastre"/>
    <x v="0"/>
    <s v="1057532-173-PC25"/>
    <s v="Convenio - CONVENIO DE ADQUISICION DE KIT POINT OF CARE (POC) CON ARRIENDO DE EQUIPO PARA ANALISIS DE MUESTRAS, SSO"/>
    <s v="Sofia Reyes"/>
    <s v="Encargada"/>
    <n v="40833335"/>
  </r>
  <r>
    <s v="Arrastre"/>
    <x v="0"/>
    <s v="1057532-193-PC25"/>
    <s v="Convenio - ARRIENDO 159 EQUIPOS PC AIO PARA APOYAR LOS PORCESOS CLINICOS Y ADMINISTRATIVOS"/>
    <s v="Alvaro Montecinos"/>
    <s v="Jefe (S) Subdepto. Soporte TIC"/>
    <n v="111102840"/>
  </r>
  <r>
    <s v="Arrastre"/>
    <x v="0"/>
    <s v="1057532-195-PC25"/>
    <s v="Convenio - SERVICIO DE ASEO PARA LA DSSO (BASE SAMU, EDIFICIO PLAZA SUR Y EDIFICIO M. RODRIGUEZ) POR 18 MESES (DESDE 01 JULIO 2025)"/>
    <s v="Lorena Torres Castillo"/>
    <s v="Encargada (S) Sección Administración de Contratos"/>
    <n v="70333380"/>
  </r>
  <r>
    <s v="Arrastre"/>
    <x v="0"/>
    <s v="1057532-196-PC25"/>
    <s v="Convenio - SERVICIO DE SOPORTE Y MANTENCION RPT VHF SSO (PERIODO DOS AÑOS)"/>
    <s v="ESTEBAN ALARCON BOHLE"/>
    <s v="TECNICO RADIOCOMUNICACIONES"/>
    <n v="6255504"/>
  </r>
  <r>
    <s v="Arrastre"/>
    <x v="0"/>
    <s v="1057532-1-PC24"/>
    <s v="Sistema control de flota vehicular del Servicio de Salud Osorno"/>
    <s v="Felipe Salvo Barriga"/>
    <s v="Enc. Sección Mant. de Vehículos"/>
    <n v="6712008"/>
  </r>
  <r>
    <s v="Arrastre"/>
    <x v="0"/>
    <s v="1057532-209-PC25"/>
    <s v="Convenio - ADQUISICION DE 3 CUPOS DE RESIDENCIA PROTEGIDA PARA EL SERVICIO DE SALUD OSORNO EN LA PROVINCIA DE CONCEPCIÓN"/>
    <s v="Angelo Palma"/>
    <s v="Jefe (s) Subdepto. Gestión Clínica y Administrativa Red Temática de Salud Mental de Especialidad"/>
    <n v="48115128"/>
  </r>
  <r>
    <s v="Arrastre"/>
    <x v="0"/>
    <s v="1057532-210-PC25"/>
    <s v="Convenio - ADQUISICION DE 12 CUPOS DE RESIDENCIA PROTEGIDA PARA EL SERVICIO DE SALUD OSORNO EN LA CIUDAD DE OSORNO"/>
    <s v="Angelo Palma"/>
    <s v="Jefe (s) Subdepto. Gestión Clínica y Administrativa Red Temática de Salud Mental de Especialidad"/>
    <n v="237155100"/>
  </r>
  <r>
    <s v="Arrastre"/>
    <x v="0"/>
    <s v="1057532-211-PC25"/>
    <s v="Convenio - ADQUISICION DE 10 CUPOS RESIDENCIA PROTEGIDA DE ALTA COMPLEJIDAD PARA EL SERVICIO DE SALUD OSORNO DE LA CIUDAD DE OSORNO"/>
    <s v="Angelo Palma"/>
    <s v="Jefe (s) Subdepto. Gestión Clínica y Administrativa Red Temática de Salud Mental de Especialidad"/>
    <n v="284700000"/>
  </r>
  <r>
    <s v="Arrastre"/>
    <x v="0"/>
    <s v="1057532-308-PC24"/>
    <s v="Convenio - 3 cupos Residencia Protegida para el Servicio de Salud Osorno en la Región Metropolitana"/>
    <s v="Antonia Caifil"/>
    <s v="Jefa Subdepto. Gestión Clinica y Adm."/>
    <n v="40432878"/>
  </r>
  <r>
    <s v="Arrastre"/>
    <x v="0"/>
    <s v="1057532-30-PC24"/>
    <s v="SISTEMAS DE COMUNICACIONES LTE WAVE PTX SERVICIO DE SALUD OSORNO"/>
    <s v="CATALINA VERA"/>
    <s v="COORDINADORA EMERGENCIA"/>
    <n v="43333332"/>
  </r>
  <r>
    <s v="Arrastre"/>
    <x v="0"/>
    <s v="1057532-311-PC24"/>
    <s v="Convenio - ( cupos Hogar Protegido Varones para el Servicio de Salud Osorno en la ciudad de Osorno"/>
    <s v="Antonia Caifil"/>
    <s v="Jefa Subdepto. Gestión Clínica y Adm."/>
    <n v="78361124"/>
  </r>
  <r>
    <s v="Arrastre"/>
    <x v="0"/>
    <s v="1057532-315-PC24"/>
    <s v="Convenio - 08 Cupos Hogar Protegido Mujeres para el Servicio de Salud Osorno en la ciudad de Osorno"/>
    <s v="Antonia Caifil"/>
    <s v="Jefa Subdepto. Gestión Clínica y Adm."/>
    <n v="78361124"/>
  </r>
  <r>
    <s v="Arrastre"/>
    <x v="0"/>
    <s v="1057532-320-PC24"/>
    <s v="Convenio - SERVICIOS DE MANTENCIÓN, RECARGA E INSPECCION PREVENTIVA PARA RED HÚMEDA Y EXTINTORES EN ESTABLECIMIENTOS SSO"/>
    <s v="KARIN SCHOLZ"/>
    <s v="Jefatura Dpto. de Calidad de Vida"/>
    <n v="18060000"/>
  </r>
  <r>
    <s v="Arrastre"/>
    <x v="0"/>
    <s v="1057532-321-PC24"/>
    <s v="Convenio - DE SERVICIOS DE MANTENCIÓN PREVENTIVA, CORRECTIVA Y/O REPARATIVA PARA VEHÍCULOS MERCEDES-BENZ DEL SSO Y HOSPITA"/>
    <s v="Felipe Salvo"/>
    <s v="Encargado Mantenimineto"/>
    <n v="150000000"/>
  </r>
  <r>
    <s v="Arrastre"/>
    <x v="0"/>
    <s v="1057532-322-PC24"/>
    <s v="Convenio - SERVICIO DE MANEJO, RETIRO, TRANSPORTE Y DISPOSICIÓN FINAL DE RESIDUOS PELIGROSOS Y ESPECIALES"/>
    <s v="KARIN SCHOLZ"/>
    <s v="JEFA DE DEPTO DE CALIDAD DE VIDA"/>
    <n v="397359215"/>
  </r>
  <r>
    <s v="Arrastre"/>
    <x v="0"/>
    <s v="1057532-328-PC24"/>
    <s v="Convenio - BENEFICIO ALIMENTACION 2024"/>
    <s v="JORGE OYARZUN SILVA"/>
    <s v="REFERENTE TARJETA ALIMENTACION"/>
    <n v="496977708"/>
  </r>
  <r>
    <s v="Arrastre"/>
    <x v="0"/>
    <s v="1057532-331-PC24"/>
    <s v="Convenio - Suministro de oxígeno medicinal para Red de Hospitales de mediana y baja complejidad y SAMU"/>
    <s v="Mario Aburto Foitzich"/>
    <s v="Encargado Gestión Salud Respiratoria"/>
    <n v="118000004"/>
  </r>
  <r>
    <s v="Arrastre"/>
    <x v="0"/>
    <s v="1057532-333-PC24"/>
    <s v="Convenio - SOPORTE Y MANTENIMIENTO SISTEMA DE REPETICIÓN VHF SERVICIO DE SALUD OSORNO 2025-2026"/>
    <s v="CATALINA VERA CASTRO"/>
    <s v="COORDINADORA EMERGENCIA"/>
    <n v="10000004"/>
  </r>
  <r>
    <s v="Arrastre"/>
    <x v="0"/>
    <s v="1057532-356-PC24"/>
    <s v="Convenio servicio de guardias para la DSSO y sus establecimientos y dispositivos dependientes"/>
    <s v="Lorena Torres Castillo"/>
    <s v="Encargada (S) Sección Administración de Contratos"/>
    <n v="905196910"/>
  </r>
  <r>
    <s v="Arrastre"/>
    <x v="0"/>
    <s v="1057532-373-PC25"/>
    <s v="Convenio - Movilización para el traslado de usuarios y funcionarios CDR adulto mayor Kumelen año 2026"/>
    <s v="Luis Flores Merino"/>
    <s v="Coordinador"/>
    <n v="36208337"/>
  </r>
  <r>
    <s v="Arrastre"/>
    <x v="0"/>
    <s v="1057532-374-PC25"/>
    <s v="Convenio - Movilizacion para el traslado de funcionarios CDR Adulto Mayor KÜMELEN 2026"/>
    <s v="Luis Flores Merino"/>
    <s v="Coordinador"/>
    <n v="28875000"/>
  </r>
  <r>
    <s v="Arrastre"/>
    <x v="0"/>
    <s v="1057532-375-PC25"/>
    <s v="Convenio - ADQUISICION DE KIT POINT OF CARE (POC) CON ARRIENDO DE EQUIPO PARA ANALISIS DE MUESTRAS POR 12 MESES, SSO"/>
    <s v="SOFIA REYES ALARCON"/>
    <s v="COMPRADOR"/>
    <n v="52500000"/>
  </r>
  <r>
    <s v="Arrastre"/>
    <x v="0"/>
    <s v="1057532-376-PC25"/>
    <s v="Convenio - Pac PASAJES 2025-2026 DSSO"/>
    <s v="Sandra Espinoza"/>
    <s v="PAC Pasajes DSSO 2025-2026"/>
    <n v="11000004"/>
  </r>
  <r>
    <s v="Arrastre"/>
    <x v="0"/>
    <s v="1057532-377-PC25"/>
    <s v="Convenio - ALIMENTOS CT PEULLA"/>
    <s v="Maria Ines Asenjo Soto"/>
    <s v="DIRECTORA"/>
    <n v="30250000"/>
  </r>
  <r>
    <s v="Arrastre"/>
    <x v="0"/>
    <s v="1057532-378-PC25"/>
    <s v="Convenio - PAC Convenio Cafeteria DSSO"/>
    <s v="Sandra Espinoza"/>
    <s v="Jefa Subdepto Abastecimiento"/>
    <n v="80000000"/>
  </r>
  <r>
    <s v="Arrastre"/>
    <x v="0"/>
    <s v="1057532-379-PC25"/>
    <s v="Convenio - SERVICIO DE MOVILIZACION PARA EL AÑO 2026"/>
    <s v="Pedro Fritz Cardeans"/>
    <s v="DIRECTOR COSAM"/>
    <n v="16041663"/>
  </r>
  <r>
    <s v="Arrastre"/>
    <x v="0"/>
    <s v="1057532-380-PC25"/>
    <s v="Convenio - SERVICIO DE MOVILIZACION PARA EL AÑO 2026 Servicio movilización COSAM Rahue, Programa Atención Domiciliaria y PAZGA periodo 2026 (Financiamiento SSO)"/>
    <s v="Yuvit García-Chacur"/>
    <s v="DIRECTORA"/>
    <n v="16500000"/>
  </r>
  <r>
    <s v="Arrastre"/>
    <x v="0"/>
    <s v="1057532-381-PC25"/>
    <s v="Convenio - Servicio movilización UID Newen"/>
    <s v="Camila Roa"/>
    <s v="Coordinadora UID NEWEN"/>
    <n v="17416663"/>
  </r>
  <r>
    <s v="Arrastre"/>
    <x v="0"/>
    <s v="1057532-382-PC25"/>
    <s v="Convenio - Movilización para el traslado de funcionarios y cuidadores Unidad de Memoria Ayekan año 2026"/>
    <s v="Ximena Campos Gueicha"/>
    <s v="Coordinador"/>
    <n v="28875000"/>
  </r>
  <r>
    <s v="Arrastre"/>
    <x v="0"/>
    <s v="1057532-383-PC25"/>
    <s v="Convenio Movil CT Peulla"/>
    <s v="Maria Ines Asenjo Soto"/>
    <s v="DIRECTORA"/>
    <n v="23833337"/>
  </r>
  <r>
    <s v="Arrastre"/>
    <x v="0"/>
    <s v="1057532-384-PC25"/>
    <s v="Convenio - Servicio de arriendo (comodato) e informes de teleelectrocardiografía para población bajo control en PSCV."/>
    <s v="Consuelo Cordova"/>
    <s v="jefa subdepto gestión de programas en curso de vida"/>
    <n v="500000000"/>
  </r>
  <r>
    <s v="Arrastre"/>
    <x v="0"/>
    <s v="1057532-385-PC25"/>
    <s v="Convenio - CONVENIO PARA DESRATIZACION, SANITIZACION, DESINSECTACION PARA EL SERVICIO DE SALUD OSORNO"/>
    <s v="Carlos López"/>
    <s v="INGENIERO AMBIENTAL"/>
    <n v="87524976"/>
  </r>
  <r>
    <s v="Arrastre"/>
    <x v="0"/>
    <s v="1057532-386-PC25"/>
    <s v="Convenio - Adquisición de kit toma de muestra para Virus Papiloma Humano"/>
    <s v="Javiera Gajardo"/>
    <s v="Encargada Programas"/>
    <n v="48583326"/>
  </r>
  <r>
    <s v="Arrastre"/>
    <x v="0"/>
    <s v="1057532-389-PC25"/>
    <s v="Convenio - Servicio de Alimentación para usuarios CDR adulto Mayor Kumelen 2026"/>
    <s v="Luis Flores Merino"/>
    <s v="Coordinador"/>
    <n v="73333326"/>
  </r>
  <r>
    <s v="Arrastre"/>
    <x v="0"/>
    <s v="1057532-390-PC25"/>
    <s v="Convenio - CALEFACCION GASTOS PARA AMBULATORIO Y REDIDENCIAL - CT PEULLA"/>
    <s v="Maria Ines Asenjo Soto"/>
    <s v="DIRECTORA"/>
    <n v="6417500"/>
  </r>
  <r>
    <s v="Arrastre"/>
    <x v="0"/>
    <s v="1057532-391-PC25"/>
    <s v="Convenio - Arriendo 159 PC Computacionales para establecimientos dependientes de la Dirección de Servicio de Salud Osorno"/>
    <s v="Bruno Ojeda Alvarez"/>
    <s v="Jefe Depto. Tecnologías de la Información y Comunicaiciones"/>
    <n v="89478000"/>
  </r>
  <r>
    <s v="Arrastre"/>
    <x v="0"/>
    <s v="1057532-392-PC25"/>
    <s v="Convenio - Servicio de Sala Cuna, para el año 2026 de enero a diciembre, se requiere compra de 40 cupos para hijos/as de madres fun"/>
    <s v="Claudia Muñoz"/>
    <s v="Encargada Cuidados Infantiles y Conciliación"/>
    <n v="189933326"/>
  </r>
  <r>
    <s v="Arrastre"/>
    <x v="0"/>
    <s v="1057532-393-PC25"/>
    <s v="Convenio - Servicio DIAS PROGRAMA DE REHABILITACIÓN TIPO II Desde el 01/01/2026 hasta el 31/12/2026."/>
    <s v="Antonia Caifil Martínez"/>
    <s v="Jefa Subdepto. Gestión Clínica y Adm. Red Temática de Salud Mental de Especialidad"/>
    <n v="246357600"/>
  </r>
  <r>
    <s v="Arrastre"/>
    <x v="0"/>
    <s v="1057532-394-PC25"/>
    <s v="Convenio - 8 CUPOS HOGAR PROTEGIDO HOMBRES PARA EL SERVICIO DE SALUD OSORNO, 12 MESES, ENERO A DICIEMBRE AÑO 2026."/>
    <s v="Angelo Palma"/>
    <s v="Coordinador Unidad de Gestión de Procesos Clínicos de Atención de Especialidad Ambulatoria, Cerrada"/>
    <n v="114626790"/>
  </r>
  <r>
    <s v="Arrastre"/>
    <x v="0"/>
    <s v="1057532-395-PC25"/>
    <s v="Convenio - ARTICULOS LIBRERIA AÑO 2025-2026 (Pedidos Mensuales)"/>
    <s v="Cecilia Garay L"/>
    <s v="Encargado Bodega General"/>
    <n v="16817500"/>
  </r>
  <r>
    <s v="Arrastre"/>
    <x v="0"/>
    <s v="1057532-396-PC25"/>
    <s v="Convenio - SUMINISTRO DE CHIP PARA CALDERAS DE HOSPITALES PÜ MÜLEN Y FÜTA SRÜKA LAWENCHE KUNKO MAPU, AÑO 2026-2027"/>
    <s v="Daniela Jara Cerda"/>
    <s v="ENCARGADA (S) SECCIÓN DE ADMINISTRACIÓN DE CONTRATOS"/>
    <n v="72999996"/>
  </r>
  <r>
    <s v="Arrastre"/>
    <x v="0"/>
    <s v="1057532-397-PC25"/>
    <s v="Convenio - CONVENIO DE ARRIENDO DE AMBULANCIAS SAMU POR EL PERIODO COMPRENDIDO ENTRE SEPTIEMBRE 2025 A DICIEMBRE 2026"/>
    <s v="Raul Nuñez Vega"/>
    <s v="JEFE SAMU OSORNO"/>
    <n v="56250000"/>
  </r>
  <r>
    <s v="Arrastre"/>
    <x v="0"/>
    <s v="1057532-398-PC25"/>
    <s v="Convenio - MANTENCION Y OBRAS MENORES INFRAESTRUCTURA DE LOS ESTABLECIMIENTOS DEL SERVICIO DE SALUD OSORNO 2026"/>
    <s v="Garibe Gallardo Trujillo"/>
    <s v="PROFESIONAL"/>
    <n v="83594337"/>
  </r>
  <r>
    <s v="Arrastre"/>
    <x v="0"/>
    <s v="1057532-399-PC25"/>
    <s v="Convenio - Convenio de suministro de oxigenoterapia domiciliaria para pacientes del Programa Cuidados Paliativos Universales APS"/>
    <s v="María Teresa Jaramillo Vergara"/>
    <s v="Encargada Alivio del Dolor y Cuidados Paliativos Universales"/>
    <n v="10192001"/>
  </r>
  <r>
    <s v="Arrastre"/>
    <x v="0"/>
    <s v="1057532-400-PC25"/>
    <s v="Convenio - Convenio año 2026 Combustible calefacción para dispositivos del Servicio de Salud Osorno"/>
    <s v="Pablo Oyarzo"/>
    <s v="Encargado (S) Administracion Interna"/>
    <n v="40000000"/>
  </r>
  <r>
    <s v="Arrastre"/>
    <x v="0"/>
    <s v="1057532-401-PC25"/>
    <s v="Convenio - CONVENIO INSUMOS DE ASEO PARA DISPOSITIVOS DE LA RED AÑO 2026"/>
    <s v="Pablo Oyarzo"/>
    <s v="Encargado (S) Administracion Interna"/>
    <n v="80000000"/>
  </r>
  <r>
    <s v="Arrastre"/>
    <x v="0"/>
    <s v="1057532-402-PC25"/>
    <s v="Convenio - CONTRATACION DE SEGUROS GENERALES PARA VEHICULOS MOTORIZADOS PERTENECIENTES AL SERVICIO DE SALUD OSORNO 2026 - 2027"/>
    <s v="Felipe Salvo Barriga"/>
    <s v="Encargado Seccion"/>
    <n v="39999996"/>
  </r>
  <r>
    <s v="Arrastre"/>
    <x v="0"/>
    <s v="1057532-403-PC25"/>
    <s v="Convenio - CONVENIO SERVICIOS DE MANTENCION PREVENTIVA, CORRECTIVA Y/O REPARATIVAS PARA LAS CONVERSIONES EN AMBULANCIAS Y VEHÍCULOS"/>
    <s v="Felipe Salvo Barriga"/>
    <s v="Encargado Seccion"/>
    <n v="96100000"/>
  </r>
  <r>
    <s v="Arrastre"/>
    <x v="0"/>
    <s v="1057532-404-PC25"/>
    <s v="Convenio - SERVICIOS DE MANTENCION PREVENTIVA, CORRECTIVA Y/O REPARATIVAS PARA VEHICULOS MULTIMARCAS AÑO 2026-2027"/>
    <s v="Felipe Salvo"/>
    <s v="Encargado Sección Mantenimiento de Vehículos"/>
    <n v="100200000"/>
  </r>
  <r>
    <s v="Arrastre"/>
    <x v="0"/>
    <s v="1057532-405-PC25"/>
    <s v="Convenio - SERVICIOS DE MANTENCION PREVENTIVA, CORRECTIVA Y/O REPARATIVAS PARA BUS MITSUBISHI FUSO ROSA AÑO 2026"/>
    <s v="Felipe Salvo"/>
    <s v="Encargado Sección Mantenimiento de Vehículos"/>
    <n v="30000000"/>
  </r>
  <r>
    <s v="Arrastre"/>
    <x v="0"/>
    <s v="1057532-419-PC25"/>
    <s v="Convenio - ADQUISICIÓN E IMPLEMENTACIÓN DE SISTEMA DIGITAL DE COMUNICACIONES CON TECNOLOGÍA PTT Y CONTROL DE FLOTA DE SALUD OSORNO"/>
    <s v="CATALINA VERA CASTRO"/>
    <s v="COORDINADORA EMERGENCIA"/>
    <n v="69333336"/>
  </r>
  <r>
    <s v="Arrastre"/>
    <x v="0"/>
    <s v="1057532-66-PC25"/>
    <s v="Mantención de Equipos Médicos e Industriales"/>
    <s v="Khris Silva Vargas"/>
    <s v="Jefa Subdepto. Mantención de Equipos Médicos e Industriales"/>
    <n v="355624997"/>
  </r>
  <r>
    <s v="Arrastre"/>
    <x v="0"/>
    <s v="1077241-51-PC25"/>
    <s v="Convenio - Servicio movilización COSAM Rahue periodo 2026. (Financiamiento a través de fondo extrapresupuestario SENDA PAI)"/>
    <s v="Yuvit García-Chacur"/>
    <s v="DIRECTORA"/>
    <n v="17416663"/>
  </r>
  <r>
    <s v="Arrastre"/>
    <x v="0"/>
    <s v="1077241-52-PC25"/>
    <s v="Convenio - ADQUISICION AYUDAS TECNICAS. CONVENIO SUMINISTRO AÑO 2026"/>
    <s v="Camila Alvarez Velasquez"/>
    <s v="KINESIÓLOGA ENCARGADA PROGRAMA AYUDAS TÉCNICAS"/>
    <n v="394362600"/>
  </r>
  <r>
    <s v="Arrastre"/>
    <x v="0"/>
    <s v="1077241-53-PC25"/>
    <s v="Convenio - Servicio de arriendo e informes de teleelectrocardiografía (sospecha IAM), para 13 establecimientos de urgencia de APS"/>
    <s v="Consuelo Cordova"/>
    <s v="jefa subdepto gestión de programas en curso de vida"/>
    <n v="30800000"/>
  </r>
  <r>
    <s v="PC26"/>
    <x v="1"/>
    <s v="1057922-10-PC26"/>
    <s v="REPOSICION CESFAM CON SAR RAHUE ALTO, OSORNO"/>
    <s v="Maria Elena Muñoz"/>
    <s v="Jefa (S) Sub. Dpto. De Inversiones De Equipos Y Equipamiento"/>
    <n v="1578831000"/>
  </r>
  <r>
    <s v="PC26"/>
    <x v="1"/>
    <s v="1057922-11-PC26"/>
    <s v="HABILITACION ANGIOGRAFO HOSPITAL BASE DE OSORNO"/>
    <s v="Maria Elena Muñoz"/>
    <s v="Jefa (S) Sub. Dpto. De Inversiones De Equipos Y Equipamiento"/>
    <n v="1969068000"/>
  </r>
  <r>
    <s v="PC26"/>
    <x v="1"/>
    <s v="1057922-12-PC26"/>
    <s v="CONSTRUCCION COSAM RAHUE, COMUNA OSORNO"/>
    <s v="Maria Elena Muñoz"/>
    <s v="Jefa (S) Sub. Dpto. De Inversiones De Equipos Y Equipamiento"/>
    <n v="18632000"/>
  </r>
  <r>
    <s v="PC26"/>
    <x v="1"/>
    <s v="1057922-13-PC26"/>
    <s v="SUBTÍTULO 29 SECTORIAL 2026"/>
    <s v="Maria Elena Muñoz"/>
    <s v="Jefa (S) Sub. Dpto. De Inversiones De Equipos Y Equipamiento"/>
    <n v="280000000"/>
  </r>
  <r>
    <s v="PC26"/>
    <x v="1"/>
    <s v="1057922-14-PC26"/>
    <s v="SUBTÍTULO 29 OPERACIONAL SSO 2026"/>
    <s v="Maria Elena Muñoz"/>
    <s v="Jefa (S) Sub. Dpto. De Inversiones De Equipos Y Equipamiento"/>
    <n v="61000000"/>
  </r>
  <r>
    <s v="PC26"/>
    <x v="1"/>
    <s v="1057922-15-PC26"/>
    <s v="Equipamiento Ergonómico - Sillas"/>
    <s v="Venecia Recabarren"/>
    <s v="Jefatura Unidad Prev. Riesgos"/>
    <n v="1000000"/>
  </r>
  <r>
    <s v="PC26"/>
    <x v="1"/>
    <s v="1057922-16-PC26"/>
    <s v="Adquisición de micrófono y cámara para videoconferencias del Centro Comunitario Kümelen"/>
    <s v="Luis Flores"/>
    <s v="Coordinador"/>
    <n v="250000"/>
  </r>
  <r>
    <s v="PC26"/>
    <x v="1"/>
    <s v="1057922-17-PC26"/>
    <s v="Adquisición de megáfonos y gabinetes para la comunicación en emergencias, gestión de riesgos y protección de equipos"/>
    <s v="Yuvit Garcia-Chacur"/>
    <s v="DIRECTORA"/>
    <n v="780000"/>
  </r>
  <r>
    <s v="PC26"/>
    <x v="1"/>
    <s v="1057922-18-PC26"/>
    <s v="REPOSICION CECOSF EL ENCANTO, COMUNA DE PUYEHUE"/>
    <s v="Maria Elena Muñoz"/>
    <s v="Jefa (S) Sub. Dpto. De Inversiones De Equipos Y Equipamiento"/>
    <n v="6773000"/>
  </r>
  <r>
    <s v="PC26"/>
    <x v="1"/>
    <s v="1057922-19-PC26"/>
    <s v="Adquisición de productos e insumos para el programa de control y eliminación de la Tuberculosis"/>
    <s v="NMaria Paz Gomez"/>
    <s v="Referente Programa De Tuberculosis"/>
    <n v="19000000"/>
  </r>
  <r>
    <s v="PC26"/>
    <x v="1"/>
    <s v="1057922-20-PC26"/>
    <s v="Adquisición de herramientas"/>
    <s v="Pedro Fritz"/>
    <s v="Director"/>
    <n v="300000"/>
  </r>
  <r>
    <s v="PC26"/>
    <x v="1"/>
    <s v="1057922-21-PC26"/>
    <s v="Adquisicion equipamiento Servidor NAS y almacenamiento extra para respaldo y seguridad de la información"/>
    <s v="Alejandro Nuñez"/>
    <s v="Encargado Gestión De Sistemas"/>
    <n v="16000000"/>
  </r>
  <r>
    <s v="PC26"/>
    <x v="1"/>
    <s v="1057922-22-PC26"/>
    <s v="Adquisción de hidrolavadora 120BAR"/>
    <s v="Pedro Fritz"/>
    <s v="Director"/>
    <n v="250000"/>
  </r>
  <r>
    <s v="PC26"/>
    <x v="1"/>
    <s v="1057922-5-PC26"/>
    <s v="COMPRA DE AMBULANCIA PARA CESFAM CON SAR DE RAHUE ALTO"/>
    <s v="Felipe Salvo"/>
    <s v="Encargado Seccion"/>
    <n v="108183000"/>
  </r>
  <r>
    <s v="PC26"/>
    <x v="1"/>
    <s v="1057922-6-PC26"/>
    <s v="Sillas Ergonómicas"/>
    <s v="Pedro Fritz"/>
    <s v="DIRECTOR COSAM"/>
    <n v="4000005"/>
  </r>
  <r>
    <s v="PC26"/>
    <x v="1"/>
    <s v="1057922-7-PC26"/>
    <s v="CONSTRUCCION CESFAM CON SAR CHUYACA OSORNO; CODIGO BIP: 30430122 CONSTRUCCION CESFAM CON SAR CHUYACA, OSORNO"/>
    <s v="Maria Elena Muñoz"/>
    <s v="Jefa (S) Sub. Dpto. De Inversiones De Equipos Y Equipamiento"/>
    <n v="142663000"/>
  </r>
  <r>
    <s v="PC26"/>
    <x v="1"/>
    <s v="1057922-8-PC26"/>
    <s v="PLAN NACIONAL DEL CÁNCER 2026"/>
    <s v="Maria Elena Muñoz"/>
    <s v="Jefa (S) Sub. Dpto. De Inversiones De Equipos Y Equipamiento"/>
    <n v="210000000"/>
  </r>
  <r>
    <s v="PC26"/>
    <x v="1"/>
    <s v="1057922-9-PC26"/>
    <s v="REPOSICION POSTA DE SALUD RURAL LA POZA, COMUNA DE SAN PABLO"/>
    <s v="Maria Elena Muñoz"/>
    <s v="Jefa (S) Sub. Dpto. De Inversiones De Equipos Y Equipamiento"/>
    <n v="129075000"/>
  </r>
  <r>
    <s v="PC26"/>
    <x v="2"/>
    <s v="1057532-468-PC26"/>
    <s v="ARTICULOS DE FERRETERIA Y OTROS RESIDENCIAL CONVENIO SENDA"/>
    <s v="Carolina Silva"/>
    <s v="Encargada De Compras"/>
    <n v="295000"/>
  </r>
  <r>
    <s v="PC26"/>
    <x v="2"/>
    <s v="1077241-100-PC26"/>
    <s v="EQUIPAMIENTO RESIDENCIAL ? CONVENIO SENDA"/>
    <s v="Carolina Silva"/>
    <s v="Encargada De Compras"/>
    <n v="6710000"/>
  </r>
  <r>
    <s v="PC26"/>
    <x v="2"/>
    <s v="1077241-101-PC26"/>
    <s v="INSUMOS COMPUTACIONALES RESIDENCIAL CONVENIO SENDA"/>
    <s v="Carolina Silva"/>
    <s v="Encargada De Compras"/>
    <n v="360000"/>
  </r>
  <r>
    <s v="PC26"/>
    <x v="2"/>
    <s v="1077241-102-PC26"/>
    <s v="INSUMOS COMPUTACIONALES AMBULATORIO ? CONVENIO SENDA"/>
    <s v="Carolina Silva Carolina Silva"/>
    <s v="Encargada De Compras"/>
    <n v="4160004"/>
  </r>
  <r>
    <s v="PC26"/>
    <x v="2"/>
    <s v="1077241-103-PC26"/>
    <s v="ARTICULOS DE COCINA AMBULATORIO ? CONVENIO SENDA"/>
    <s v="Carolina Silva"/>
    <s v="Encargada De Compras"/>
    <n v="200004"/>
  </r>
  <r>
    <s v="PC26"/>
    <x v="2"/>
    <s v="1077241-104-PC26"/>
    <s v="ARTICULOS DE FERRETERIA Y OTROS AMBULATORIO ? CONVENIO SENDA"/>
    <s v="Carolina Silva"/>
    <s v="Encargada De Compras"/>
    <n v="280000"/>
  </r>
  <r>
    <s v="PC26"/>
    <x v="2"/>
    <s v="1077241-105-PC26"/>
    <s v="Adquisición de productos e insumos para el programa de control y eliminación de la Tuberculosis"/>
    <s v="Maria Paz Gomez"/>
    <s v="Referente Programa De Tuberculosis"/>
    <n v="18710018"/>
  </r>
  <r>
    <s v="PC26"/>
    <x v="2"/>
    <s v="1077241-106-PC26"/>
    <s v="Taller de habilidades para la vida 2026"/>
    <s v="Pedro Fritz"/>
    <s v="Director COSAM Oriente"/>
    <n v="207409"/>
  </r>
  <r>
    <s v="PC26"/>
    <x v="2"/>
    <s v="1077241-107-PC26"/>
    <s v="Adquisición insumos de promoción, prevención y tratamiento ADM para desarrollo Programa de Resolución de Ortodoncia NNA"/>
    <s v="Marco Gonzalez"/>
    <s v="Encargado Salud Oral"/>
    <n v="7584540"/>
  </r>
  <r>
    <s v="PC26"/>
    <x v="2"/>
    <s v="1077241-108-PC26"/>
    <s v="Taller de niños y niñas - Taller de padres"/>
    <s v="Pedro Fritz"/>
    <s v="DIRECTOR COSAM"/>
    <n v="350280"/>
  </r>
  <r>
    <s v="PC26"/>
    <x v="2"/>
    <s v="1077241-109-PC26"/>
    <s v="Taller Arte Terapia"/>
    <s v="Pedro Fritz"/>
    <s v="DIRECTOR COSAM"/>
    <n v="506160"/>
  </r>
  <r>
    <s v="PC26"/>
    <x v="2"/>
    <s v="1077241-110-PC26"/>
    <s v="Comité de Participación y Gestión Intercultural"/>
    <s v="Pedro Fritz"/>
    <s v="DIRECTOR COSAM"/>
    <n v="1303030"/>
  </r>
  <r>
    <s v="PC26"/>
    <x v="2"/>
    <s v="1077241-111-PC26"/>
    <s v="EQUIPAMIENTO AMBULATORIO ? CONVENIO SENDA"/>
    <s v="Carolina Silva"/>
    <s v="Encargada De Compras"/>
    <n v="7810025"/>
  </r>
  <r>
    <s v="PC26"/>
    <x v="2"/>
    <s v="1077241-112-PC26"/>
    <s v="ARTICULOS DE COCINA RESIDENCIAL ? CONVENIO SENDA"/>
    <s v="Carolina Silva"/>
    <s v="Encargada De Compras"/>
    <n v="280008"/>
  </r>
  <r>
    <s v="PC26"/>
    <x v="2"/>
    <s v="1077241-61-PC26"/>
    <s v="Adquisición de prestaciones de rehabilitación integral a niños, niñas y adolescentes con Trastorno del Espectro Autista"/>
    <s v="Karin Avila"/>
    <s v="Referente Rehabilitación Integral"/>
    <n v="56320000"/>
  </r>
  <r>
    <s v="PC26"/>
    <x v="2"/>
    <s v="1077241-62-PC26"/>
    <s v="PRAPS Fondo de Farmacia para enfermedades crónicas no transmisibles en APS (FOFAR)"/>
    <s v="Chessarina Tuchie Fischer"/>
    <s v="Encargada Programa Fofar"/>
    <n v="60000000"/>
  </r>
  <r>
    <s v="PC26"/>
    <x v="2"/>
    <s v="1077241-63-PC26"/>
    <s v="Adquisición de insumos para la atención en domicilio del Equipo Rehabilitación Rural SSO."/>
    <s v="Karin Avila"/>
    <s v="Referente Rehabilitación Integral"/>
    <n v="410000"/>
  </r>
  <r>
    <s v="PC26"/>
    <x v="2"/>
    <s v="1077241-64-PC26"/>
    <s v="Ceremonia de alta SENDA-PAI COSAM Rahue 2026"/>
    <s v="Camilo Martínez"/>
    <s v="Director(S)"/>
    <n v="225000"/>
  </r>
  <r>
    <s v="PC26"/>
    <x v="2"/>
    <s v="1077241-65-PC26"/>
    <s v="Anilladora e insumos para preparación de material Cosam Rahue. Fondo extrapresupuestarios SENDA PAI"/>
    <s v="Camilo Martínez"/>
    <s v="Director(S)"/>
    <n v="260000"/>
  </r>
  <r>
    <s v="PC26"/>
    <x v="2"/>
    <s v="1077241-66-PC26"/>
    <s v="Jornada de Autocuidado funcionarios COSAM Rahue, con cargo a fondo extrapresupuestario SENDA-PAI"/>
    <s v="Camilo Martínez"/>
    <s v="Director(S)"/>
    <n v="900000"/>
  </r>
  <r>
    <s v="PC26"/>
    <x v="2"/>
    <s v="1077241-67-PC26"/>
    <s v="Celebración fiestas patrias usuarios y cuidadores COSAM RAHUE."/>
    <s v="Camilo Martínez"/>
    <s v="Director(S)"/>
    <n v="625000"/>
  </r>
  <r>
    <s v="PC26"/>
    <x v="2"/>
    <s v="1077241-68-PC26"/>
    <s v="Adquisición de insumos para la atención en domicilio del Equipo Rehabilitación Rural SSO (material Ergoterapia)"/>
    <s v="Karin Avila"/>
    <s v="Referente Rehabilitación Integral"/>
    <n v="150000"/>
  </r>
  <r>
    <s v="PC26"/>
    <x v="2"/>
    <s v="1077241-69-PC26"/>
    <s v="Insumos cafetería actividades con usuarios Cosam Rahue y comunidad 2026, fondo extrapresupuestario SENDA PAI"/>
    <s v="Camilo Martínez"/>
    <s v="Director(S)"/>
    <n v="2772880"/>
  </r>
  <r>
    <s v="PC26"/>
    <x v="2"/>
    <s v="1077241-70-PC26"/>
    <s v="INSUMOS ESCRITORIO COSAM RAHUE, FONDO EXTRAPRESUPUESTARIO SENDA-PAI"/>
    <s v="Camilo Martínez"/>
    <s v="Director(S)"/>
    <n v="1468231"/>
  </r>
  <r>
    <s v="PC26"/>
    <x v="2"/>
    <s v="1077241-71-PC26"/>
    <s v="Compra de tintas de repuesto impresoras Cosam Rahue"/>
    <s v="Camilo Martínez"/>
    <s v="Director(S)"/>
    <n v="350000"/>
  </r>
  <r>
    <s v="PC26"/>
    <x v="2"/>
    <s v="1077241-74-PC26"/>
    <s v="Insumos alimenticios para el Programa SENDA Calle. Fondo extrapresupuestario SENDA PAI"/>
    <s v="Camilo Martínez"/>
    <s v="Director(S)"/>
    <n v="1287890"/>
  </r>
  <r>
    <s v="PC26"/>
    <x v="2"/>
    <s v="1077241-75-PC26"/>
    <s v="Taller de Herramientas Psicológicas, Taller PEERS"/>
    <s v="Pedro Fritz"/>
    <s v="DIRECTOR COSAM"/>
    <n v="283834"/>
  </r>
  <r>
    <s v="PC26"/>
    <x v="2"/>
    <s v="1077241-76-PC26"/>
    <s v="INTERVENCIÓN PSICOSOCIAL GRUPAL TALLER PARA JOVENES Y ADOLESCENTES EN TRATAMIENTO EN COSAM ORIENTE"/>
    <s v="Pedro Fritz"/>
    <s v="DIRECTOR COSAM"/>
    <n v="266424"/>
  </r>
  <r>
    <s v="PC26"/>
    <x v="2"/>
    <s v="1077241-77-PC26"/>
    <s v="Taller Huertos 2026"/>
    <s v="Pedro Fritz"/>
    <s v="DIRECTOR COSAM"/>
    <n v="503080"/>
  </r>
  <r>
    <s v="PC26"/>
    <x v="2"/>
    <s v="1077241-78-PC26"/>
    <s v="Comité de Participación y gestión Intercultural - Dia de la Mujer 2026"/>
    <s v="Pedro Fritz"/>
    <s v="DIRECTOR COSAM"/>
    <n v="85670"/>
  </r>
  <r>
    <s v="PC26"/>
    <x v="2"/>
    <s v="1077241-81-PC26"/>
    <s v="Taller de baile entretenido y acondicionamiento físico 2026"/>
    <s v="Pedro Fritz"/>
    <s v="DIRECTOR COSAM"/>
    <n v="450012"/>
  </r>
  <r>
    <s v="PC26"/>
    <x v="2"/>
    <s v="1077241-82-PC26"/>
    <s v="Yoga Sensible al Trauma: Regulación emocional desde el Cuerpo y la Conciencia."/>
    <s v="Pedro Fritz"/>
    <s v="DIRECTOR COSAM"/>
    <n v="150000"/>
  </r>
  <r>
    <s v="PC26"/>
    <x v="2"/>
    <s v="1077241-83-PC26"/>
    <s v="Comité de Participación y Gestión Intercultural - Dia del Niño 2026"/>
    <s v="Pedro Fritz"/>
    <s v="DIRECTOR COSAM"/>
    <n v="72793"/>
  </r>
  <r>
    <s v="PC26"/>
    <x v="2"/>
    <s v="1077241-84-PC26"/>
    <s v="Comité de Participación y Gestión Intercultural - Fiestas Patrias 2026"/>
    <s v="Pedro Fritz"/>
    <s v="DIRECTOR COSAM"/>
    <n v="589022"/>
  </r>
  <r>
    <s v="PC26"/>
    <x v="2"/>
    <s v="1077241-85-PC26"/>
    <s v="Intervención psicosocial grupal de Música"/>
    <s v="Pedro Fritz"/>
    <s v="DIRECTOR COSAM"/>
    <n v="300000"/>
  </r>
  <r>
    <s v="PC26"/>
    <x v="2"/>
    <s v="1077241-86-PC26"/>
    <s v="Comité de Participación y Gestión Intercultural - Navidad 2026"/>
    <s v="Pedro Fritz"/>
    <s v="DIRECTOR COSAM"/>
    <n v="399870"/>
  </r>
  <r>
    <s v="PC26"/>
    <x v="2"/>
    <s v="1077241-87-PC26"/>
    <s v="Implementos de Terapia Ocupacional."/>
    <s v="Pedro Fritz"/>
    <s v="DIRECTOR COSAM"/>
    <n v="159016"/>
  </r>
  <r>
    <s v="PC26"/>
    <x v="2"/>
    <s v="1077241-88-PC26"/>
    <s v="AUTOCUIDADO CONVENIO SENDA 2026"/>
    <s v="Pedro Fritz"/>
    <s v="DIRECTOR COSAM"/>
    <n v="1131791"/>
  </r>
  <r>
    <s v="PC26"/>
    <x v="2"/>
    <s v="1077241-89-PC26"/>
    <s v="PROGRAMA MEL"/>
    <s v="Kassandra Fernandez"/>
    <s v="Trabajadora Social"/>
    <n v="30400000"/>
  </r>
  <r>
    <s v="PC26"/>
    <x v="2"/>
    <s v="1077241-90-PC26"/>
    <s v="Intervención Psicosocial Grupal para Familiares de Usuarios/as con Diagnóstico de Esquizofrenia"/>
    <s v="Pedro Fritz"/>
    <s v="DIRECTOR COSAM"/>
    <n v="211860"/>
  </r>
  <r>
    <s v="PC26"/>
    <x v="2"/>
    <s v="1077241-91-PC26"/>
    <s v="Intervención Psicosocial Grupal para Usuarios y Usuarias con Consumo de Alcohol y Drogas"/>
    <s v="Pedro Fritz"/>
    <s v="DIRECTOR COSAM"/>
    <n v="263860"/>
  </r>
  <r>
    <s v="PC26"/>
    <x v="2"/>
    <s v="1077241-92-PC26"/>
    <s v="Jornada de Fortalecimiento OIRS 2026"/>
    <s v="Daniela Barria"/>
    <s v="Encargada Trato Usuario"/>
    <n v="1750000"/>
  </r>
  <r>
    <s v="PC26"/>
    <x v="2"/>
    <s v="1077241-93-PC26"/>
    <s v="Altas Senda año 2026"/>
    <s v="Pedro Fritz"/>
    <s v="DIRECTOR COSAM"/>
    <n v="249504"/>
  </r>
  <r>
    <s v="PC26"/>
    <x v="2"/>
    <s v="1077241-95-PC26"/>
    <s v="Formación facilitadores Talleres Prenatales para matronas y matrones de la red de atención primaria"/>
    <s v="Estrella Azocar"/>
    <s v="Enc. Chcc"/>
    <n v="672240"/>
  </r>
  <r>
    <s v="PC26"/>
    <x v="2"/>
    <s v="1077241-96-PC26"/>
    <s v="Insumos para aumentar la lactancia materna exclusiva"/>
    <s v="Estrella Azocar"/>
    <s v="Enc. Chcc"/>
    <n v="2975561"/>
  </r>
  <r>
    <s v="PC26"/>
    <x v="2"/>
    <s v="1077241-97-PC26"/>
    <s v="Jornada de Inducción a médicos EDF, sobre Interculturalidad en Salud con pueblos originarios"/>
    <s v="Pedro Huito"/>
    <s v="Apoyo Salud Intercultural"/>
    <n v="1500000"/>
  </r>
  <r>
    <s v="PC26"/>
    <x v="2"/>
    <s v="1077241-99-PC26"/>
    <s v="Taller Mindfulness - Anclando la Calma: Regulación Emocional y Conexión"/>
    <s v="Pedro Fritz"/>
    <s v="DIRECTOR COSAM"/>
    <n v="277131"/>
  </r>
  <r>
    <s v="PC26"/>
    <x v="3"/>
    <s v="1057532-281-PC26"/>
    <s v="Mantención Plotter Canon IPF 770, del depto. de Proyectos."/>
    <s v="Mario Barrientos"/>
    <s v="Jefe Subdepto. Diseño De Infraestructura De Salud"/>
    <n v="1250000"/>
  </r>
  <r>
    <s v="PC26"/>
    <x v="3"/>
    <s v="1057532-282-PC26"/>
    <s v="Compra rollos papel para impresión del Departamento de Proyectos SSO."/>
    <s v="Mario Barrientos"/>
    <s v="Jefe Subdepto. Diseño De Infraestructura De Salud"/>
    <n v="300000"/>
  </r>
  <r>
    <s v="PC26"/>
    <x v="3"/>
    <s v="1057532-283-PC26"/>
    <s v="Compra Tinta Plotter Canon IPF 770"/>
    <s v="Mario Barrientos"/>
    <s v="Jefe Subdepto. Diseño De Infraestructura De Salud"/>
    <n v="1320000"/>
  </r>
  <r>
    <s v="PC26"/>
    <x v="3"/>
    <s v="1057532-284-PC26"/>
    <s v="Adquisicición Hojas Prehospitalarias"/>
    <s v="Silvia Delgado"/>
    <s v="Encargada Proceso De Urgencia"/>
    <n v="2000700"/>
  </r>
  <r>
    <s v="PC26"/>
    <x v="3"/>
    <s v="1057532-285-PC26"/>
    <s v="Adquisicición Kit de Triage y Sistema de comando incidente"/>
    <s v="Silvia Delgado"/>
    <s v="Encargada Proceso De Urgencia"/>
    <n v="1510005"/>
  </r>
  <r>
    <s v="PC26"/>
    <x v="3"/>
    <s v="1057532-286-PC26"/>
    <s v="II Jornada de Capacitación Red de Urgencia"/>
    <s v="Silvia Delgado"/>
    <s v="Encargada Proceso De Urgencia"/>
    <n v="872500"/>
  </r>
  <r>
    <s v="PC26"/>
    <x v="3"/>
    <s v="1057532-287-PC26"/>
    <s v="?DIAGNÓSTICO Y DIALOGO PARTICIPATIVO COSAM RAHUE ?NOVIEMBRE 2026?"/>
    <s v="Camilo Martínez"/>
    <s v="Director(S)"/>
    <n v="540000"/>
  </r>
  <r>
    <s v="PC26"/>
    <x v="3"/>
    <s v="1057532-288-PC26"/>
    <s v="Jornadas de encuentro y autocuidado Para usuarios y cuidadores ?SALUDABLE-MENTE en dispositivo COSAM RAHUE 2026"/>
    <s v="Camilo Martínez"/>
    <s v="Director(S)"/>
    <n v="1080000"/>
  </r>
  <r>
    <s v="PC26"/>
    <x v="3"/>
    <s v="1057532-317-PC26"/>
    <s v="?Eco-huerto sustentable -Sistema de acuaponía sin suelo? COSAM RAHUE 2026"/>
    <s v="Camilo Martínez"/>
    <s v="Director(S)"/>
    <n v="1500000"/>
  </r>
  <r>
    <s v="PC26"/>
    <x v="3"/>
    <s v="1057532-320-PC26"/>
    <s v="Insumos y medicamentos Farmacia COSAM RAHUE"/>
    <s v="Camilo Martínez"/>
    <s v="Director(S)"/>
    <n v="850000"/>
  </r>
  <r>
    <s v="PC26"/>
    <x v="3"/>
    <s v="1057532-321-PC26"/>
    <s v="Capacitación en Salud Mental Intercultural COSAM Rahue."/>
    <s v="Camilo Martínez"/>
    <s v="Director(S)"/>
    <n v="900000"/>
  </r>
  <r>
    <s v="PC26"/>
    <x v="3"/>
    <s v="1057532-322-PC26"/>
    <s v="Celebración de We Tripantu en COSAM Rahue 2026"/>
    <s v="Camilo Martínez"/>
    <s v="Director(S)"/>
    <n v="630000"/>
  </r>
  <r>
    <s v="PC26"/>
    <x v="3"/>
    <s v="1057532-323-PC26"/>
    <s v="Jornadas de autocuidado equipo profesional PAI COSAM Rahue"/>
    <s v="Camilo Martínez"/>
    <s v="Director(S)"/>
    <n v="135000"/>
  </r>
  <r>
    <s v="PC26"/>
    <x v="3"/>
    <s v="1057532-324-PC26"/>
    <s v="CONVENIO - ADQUISICION DE 8 CUPOS HOGAR PROTEGIDO MUJERES PARA EL SERVICIO DE SALUD OSORNO POR PERIODO DE 12 MESES"/>
    <s v="Angelo Palma"/>
    <s v="Coordinador Unidad de Gestión de Procesos Clínicos de Atención de Especialidad Ambulatoria, Cerrada"/>
    <n v="101193519"/>
  </r>
  <r>
    <s v="PC26"/>
    <x v="3"/>
    <s v="1057532-325-PC26"/>
    <s v="SERVICIO CAFETERÍA CEREMONIA ANIVERSARIO COSAM RAHUE"/>
    <s v="Camilo Martínez"/>
    <s v="Director(S)"/>
    <n v="675000"/>
  </r>
  <r>
    <s v="PC26"/>
    <x v="3"/>
    <s v="1057532-326-PC26"/>
    <s v="Adquisición de insumos para la atención en domicilio del Equipo Rehabilitación Rural SSO. (Articulos de Libreria)"/>
    <s v="Karin Avila"/>
    <s v="Referente Rehabilitación Integral"/>
    <n v="190000"/>
  </r>
  <r>
    <s v="PC26"/>
    <x v="3"/>
    <s v="1057532-327-PC26"/>
    <s v="Convenio - 3 CUPOS DE RESIDENCIA PROTEGIDA PARA EL SERVICIO DE SALUD OSORNO EN LA PROVINCIA DE CONCEPCIÓN, POR PERIODO DE 24 MESES."/>
    <s v="Angelo Palma"/>
    <s v="Coordinador Unidad de Gestión de Procesos Clínicos de Atención de Especialidad Ambulatoria, Cerrada"/>
    <n v="49483210"/>
  </r>
  <r>
    <s v="PC26"/>
    <x v="3"/>
    <s v="1057532-328-PC26"/>
    <s v="Rollos Etiquetas para impresora ZEBRA ZD 220 y rollos de cinta para impresora SOME, COSAM RAHUE"/>
    <s v="Camilo Martínez"/>
    <s v="Director(S)"/>
    <n v="430010"/>
  </r>
  <r>
    <s v="PC26"/>
    <x v="3"/>
    <s v="1057532-329-PC26"/>
    <s v="Convenio - 10 CUPOS RESIDENCIA PROTEGIDA DE ALTA COMPLEJIDAD PARA EL SERVICIO DE SALUD OSORNO POR PERIODO DE 12 MESES."/>
    <s v="Angelo Palma"/>
    <s v="Coordinador Unidad de Gestión de Procesos Clínicos de Atención de Especialidad Ambulatoria, Cerrada"/>
    <n v="247689000"/>
  </r>
  <r>
    <s v="PC26"/>
    <x v="3"/>
    <s v="1057532-330-PC26"/>
    <s v="INSUMOS DE ASEO COSAM RAHUE"/>
    <s v="Camilo Martínez"/>
    <s v="Director(S)"/>
    <n v="990002"/>
  </r>
  <r>
    <s v="PC26"/>
    <x v="3"/>
    <s v="1057532-331-PC26"/>
    <s v="Compra de Insumos de Cafetería reuniones ordinarias anuales de Salud Pueblos Originarios"/>
    <s v="Pedro Huito"/>
    <s v="Apoyo Salud Intercultural"/>
    <n v="1352694"/>
  </r>
  <r>
    <s v="PC26"/>
    <x v="3"/>
    <s v="1057532-332-PC26"/>
    <s v="Protectores solares FPS 50 para funcionarios y usuarios taller huerto"/>
    <s v="Camilo Martínez"/>
    <s v="Director(S)"/>
    <n v="300000"/>
  </r>
  <r>
    <s v="PC26"/>
    <x v="3"/>
    <s v="1057532-333-PC26"/>
    <s v="TEST DE DETECCION DE DROGAS"/>
    <s v="Carolina Silva"/>
    <s v="Encargada De Compras"/>
    <n v="800000"/>
  </r>
  <r>
    <s v="PC26"/>
    <x v="3"/>
    <s v="1057532-334-PC26"/>
    <s v="PAC insumos clínicos unidad de enfermería 2026."/>
    <s v="Pedro Fritz"/>
    <s v="DIRECTOR COSAM"/>
    <n v="1166048"/>
  </r>
  <r>
    <s v="PC26"/>
    <x v="3"/>
    <s v="1057532-335-PC26"/>
    <s v="Compra de Insumos de Cafetería reuniones ordinarias anuales Participación, Trato Usuario, Salud Pueblos Originarios"/>
    <s v="Daniela Barria"/>
    <s v="Encargada Trato Usuario"/>
    <n v="1007461"/>
  </r>
  <r>
    <s v="PC26"/>
    <x v="3"/>
    <s v="1057532-336-PC26"/>
    <s v="Impresión Talonarios de Registro de Solicitudes Ciudadanas"/>
    <s v="Daniela Barria"/>
    <s v="Encargada Trato Usuario"/>
    <n v="400000"/>
  </r>
  <r>
    <s v="PC26"/>
    <x v="3"/>
    <s v="1057532-337-PC26"/>
    <s v="INSUMOS DE FARMACIA 2026"/>
    <s v="Pedro Fritz"/>
    <s v="DIRECTOR COSAM"/>
    <n v="5204058"/>
  </r>
  <r>
    <s v="PC26"/>
    <x v="3"/>
    <s v="1057532-338-PC26"/>
    <s v="ACTIVIDADES DE DIFUSIÓN Y DE PREVENCIÓN EN LA PROVINCIA DE OSORNO"/>
    <s v="Carolina Silva"/>
    <s v="Encargada De Compras"/>
    <n v="1697066"/>
  </r>
  <r>
    <s v="PC26"/>
    <x v="3"/>
    <s v="1057532-339-PC26"/>
    <s v="Jornada de Humanización del Trato Usuario"/>
    <s v="Daniela Barria"/>
    <s v="Encargada Trato Usuario"/>
    <n v="400000"/>
  </r>
  <r>
    <s v="PC26"/>
    <x v="3"/>
    <s v="1057532-340-PC26"/>
    <s v="Despensa para Unidad de Secretaria"/>
    <s v="Pedro Fritz"/>
    <s v="DIRECTOR COSAM"/>
    <n v="130000"/>
  </r>
  <r>
    <s v="PC26"/>
    <x v="3"/>
    <s v="1057532-342-PC26"/>
    <s v="COMPRA MATERIALES DE OFICINA DEPARTAMENTO DE PROYECTOS"/>
    <s v="Yanet Gutierrez"/>
    <s v="Secretaria"/>
    <n v="370107"/>
  </r>
  <r>
    <s v="PC26"/>
    <x v="3"/>
    <s v="1057532-345-PC26"/>
    <s v="Estudio e Informe Estructural COSAM Oriente."/>
    <s v="Mario Barrientos"/>
    <s v="Jefe Subdepto. Diseño De Infraestructura De Salud"/>
    <n v="3000000"/>
  </r>
  <r>
    <s v="PC26"/>
    <x v="3"/>
    <s v="1057532-347-PC26"/>
    <s v="ARTICULOS PARA TERAPIA OCUPACIONAL"/>
    <s v="Carolina Silva"/>
    <s v="Encargada De Compras"/>
    <n v="472004"/>
  </r>
  <r>
    <s v="PC26"/>
    <x v="3"/>
    <s v="1057532-348-PC26"/>
    <s v="TOLDOS"/>
    <s v="Carolina Silva"/>
    <s v="Encargada De Compras"/>
    <n v="600000"/>
  </r>
  <r>
    <s v="PC26"/>
    <x v="3"/>
    <s v="1057532-349-PC26"/>
    <s v="MANTENCIONES, REPUESTOS Y REPARACIONES"/>
    <s v="Carolina Silva"/>
    <s v="Encargada De Compras"/>
    <n v="6100024"/>
  </r>
  <r>
    <s v="PC26"/>
    <x v="3"/>
    <s v="1057532-350-PC26"/>
    <s v="INSUMOS COMPUTACIONALES"/>
    <s v="Carolina Silva"/>
    <s v="Encargada De Compras"/>
    <n v="2730006"/>
  </r>
  <r>
    <s v="PC26"/>
    <x v="3"/>
    <s v="1057532-351-PC26"/>
    <s v="Convenio - CONVENIO DE ADQUISICION DE KIT POINT OF CARE (POC) CON ARRIENDO DE EQUIPOS PARA ANALISIS DE MUESTRAS, SSO"/>
    <s v="Sofia Reyes"/>
    <s v="Encargada Apoyo Diagnóstico Laboratorio"/>
    <n v="31250000"/>
  </r>
  <r>
    <s v="PC26"/>
    <x v="3"/>
    <s v="1057532-352-PC26"/>
    <s v="Muestra tu Pausa Activa"/>
    <s v="Marcia Delarze"/>
    <s v="Kinesióloga"/>
    <n v="200000"/>
  </r>
  <r>
    <s v="PC26"/>
    <x v="3"/>
    <s v="1057532-353-PC26"/>
    <s v="PLAN DE COMPRAS AÑO 2026 LEY N°19.664 Y FORMACION DE ESPECIALISTAS S.S.O"/>
    <s v="Jocelyne Prieto"/>
    <s v="Jefa Seccion Gestion Y Desarrollo Ley Medica"/>
    <n v="46677001"/>
  </r>
  <r>
    <s v="PC26"/>
    <x v="3"/>
    <s v="1057532-354-PC26"/>
    <s v="Convenio - COMPRA DE KITS PARA DETECCION DE VIRUS Y BACTERIAS RESPIRATORIAS POR METODO MOLECULAR RAPIDO (POC MOLECULAR)"/>
    <s v="Daniela Soto"/>
    <s v="Encargada Apoyo Diagnóstico Laboratorio"/>
    <n v="23333328"/>
  </r>
  <r>
    <s v="PC26"/>
    <x v="3"/>
    <s v="1057532-355-PC26"/>
    <s v="MEDICINA INTEGRATIVA SAFU"/>
    <s v="Lhya Kortmann"/>
    <s v="Enfermera"/>
    <n v="681264"/>
  </r>
  <r>
    <s v="PC26"/>
    <x v="3"/>
    <s v="1057532-356-PC26"/>
    <s v="Adquisición Insumos para realizar el aseo y confort de usuarios/as con Dependencia Severa."/>
    <s v="Camila Alvarez"/>
    <s v="Kinesióloga Encargada Programa Atencion Domiciliaria Para Personas Con Dependencia Severa"/>
    <n v="12003336"/>
  </r>
  <r>
    <s v="PC26"/>
    <x v="3"/>
    <s v="1057532-357-PC26"/>
    <s v="INSUMOS LEY 20.000"/>
    <s v="Fernando Roman"/>
    <s v="Jefe Subdepartamento Farmacia"/>
    <n v="557936"/>
  </r>
  <r>
    <s v="PC26"/>
    <x v="3"/>
    <s v="1057532-358-PC26"/>
    <s v="Zumba a todo corazón"/>
    <s v="Daniela Cancino"/>
    <s v="Nutricionista"/>
    <n v="675200"/>
  </r>
  <r>
    <s v="PC26"/>
    <x v="3"/>
    <s v="1057532-359-PC26"/>
    <s v="Mantenimiento baños y camarines"/>
    <s v="Pedro Fritz"/>
    <s v="Director"/>
    <n v="700002"/>
  </r>
  <r>
    <s v="PC26"/>
    <x v="3"/>
    <s v="1057532-360-PC26"/>
    <s v="Construcción de radieres en estacionamiento"/>
    <s v="Pedro Fritz"/>
    <s v="Director"/>
    <n v="7000008"/>
  </r>
  <r>
    <s v="PC26"/>
    <x v="3"/>
    <s v="1057532-361-PC26"/>
    <s v="Mantención comedor lado patio interior"/>
    <s v="Pedro Fritz"/>
    <s v="Director"/>
    <n v="800000"/>
  </r>
  <r>
    <s v="PC26"/>
    <x v="3"/>
    <s v="1057532-362-PC26"/>
    <s v="Pintado de muros perimetrales de edificio."/>
    <s v="Pedro Fritz"/>
    <s v="Director"/>
    <n v="3500000"/>
  </r>
  <r>
    <s v="PC26"/>
    <x v="3"/>
    <s v="1057532-363-PC26"/>
    <s v="Mantenimiento caseta de guardias"/>
    <s v="Pedro Fritz"/>
    <s v="Director"/>
    <n v="2000000"/>
  </r>
  <r>
    <s v="PC26"/>
    <x v="3"/>
    <s v="1057532-364-PC26"/>
    <s v="Instalación de manillas en puertas metálicas de sala REAS, Caldera, Generador"/>
    <s v="Pedro Fritz"/>
    <s v="Director"/>
    <n v="800004"/>
  </r>
  <r>
    <s v="PC26"/>
    <x v="3"/>
    <s v="1057532-366-PC26"/>
    <s v="Reparar fuga red de agua alimentación invernadero."/>
    <s v="Pedro Fritz"/>
    <s v="Director"/>
    <n v="600000"/>
  </r>
  <r>
    <s v="PC26"/>
    <x v="3"/>
    <s v="1057532-367-PC26"/>
    <s v="Habilitación de sala pagoda como sala de recuperación pacientes."/>
    <s v="Pedro Fritz"/>
    <s v="Director"/>
    <n v="4000000"/>
  </r>
  <r>
    <s v="PC26"/>
    <x v="3"/>
    <s v="1057532-368-PC26"/>
    <s v="Mantenimiento de cámaras y red ed aguas lluvia y reemplazo de bomba de impulsión"/>
    <s v="Pedro Fritz"/>
    <s v="Director"/>
    <n v="5500000"/>
  </r>
  <r>
    <s v="PC26"/>
    <x v="3"/>
    <s v="1057532-369-PC26"/>
    <s v="Mantenimiento de cámaras y red de alcantarillado, artefactos sanitarios."/>
    <s v="Pedro Fritz"/>
    <s v="Director"/>
    <n v="3000000"/>
  </r>
  <r>
    <s v="PC26"/>
    <x v="3"/>
    <s v="1057532-370-PC26"/>
    <s v="TALONARIOS DE LICENCIA MÉDICA"/>
    <s v="Lhya Kortmann"/>
    <s v="Enfermera"/>
    <n v="60000"/>
  </r>
  <r>
    <s v="PC26"/>
    <x v="3"/>
    <s v="1057532-371-PC26"/>
    <s v="Mantenimiento planta elevadora aguas servidas"/>
    <s v="Pedro Fritz"/>
    <s v="Director"/>
    <n v="1500000"/>
  </r>
  <r>
    <s v="PC26"/>
    <x v="3"/>
    <s v="1057532-372-PC26"/>
    <s v="Suministro de Pellet para sistema de calefacción"/>
    <s v="Pedro Fritz"/>
    <s v="Director"/>
    <n v="17500000"/>
  </r>
  <r>
    <s v="PC26"/>
    <x v="3"/>
    <s v="1057532-373-PC26"/>
    <s v="Suministro de diesel para generador eléctrico"/>
    <s v="Pedro Fritz"/>
    <s v="Director"/>
    <n v="1820000"/>
  </r>
  <r>
    <s v="PC26"/>
    <x v="3"/>
    <s v="1057532-374-PC26"/>
    <s v="Reemplazo de equipo iluminación interior."/>
    <s v="Pedro Fritz"/>
    <s v="Director"/>
    <n v="1200000"/>
  </r>
  <r>
    <s v="PC26"/>
    <x v="3"/>
    <s v="1057532-375-PC26"/>
    <s v="Mantenimiento sensores de humo"/>
    <s v="Pedro Fritz"/>
    <s v="Director"/>
    <n v="2500020"/>
  </r>
  <r>
    <s v="PC26"/>
    <x v="3"/>
    <s v="1057532-376-PC26"/>
    <s v="Mantenimiento sistema de cierre/apertura puertas de PVC"/>
    <s v="Pedro Fritz"/>
    <s v="Director"/>
    <n v="2500000"/>
  </r>
  <r>
    <s v="PC26"/>
    <x v="3"/>
    <s v="1057532-377-PC26"/>
    <s v="Mantención de enchufes e interruptores lampistería instalación interior."/>
    <s v="Pedro Fritz"/>
    <s v="Director"/>
    <n v="2500000"/>
  </r>
  <r>
    <s v="PC26"/>
    <x v="3"/>
    <s v="1057532-378-PC26"/>
    <s v="MOVIL AÑO 2027"/>
    <s v="Pedro Fritz"/>
    <s v="DIRECTOR COSAM"/>
    <n v="0"/>
  </r>
  <r>
    <s v="PC26"/>
    <x v="3"/>
    <s v="1057532-379-PC26"/>
    <s v="Materiales de Secretaria para uso del Cosam 2026"/>
    <s v="Pedro Fritz"/>
    <s v="DIRECTOR COSAM"/>
    <n v="816730"/>
  </r>
  <r>
    <s v="PC26"/>
    <x v="3"/>
    <s v="1057532-380-PC26"/>
    <s v="Convenio - Convenio Adquisición de combustible móviles de la DSSO y Ambulancias SAMU año 2026"/>
    <s v="Pablo Oyarzo"/>
    <s v="Encargado (S) Administracion Interna"/>
    <n v="60000000"/>
  </r>
  <r>
    <s v="PC26"/>
    <x v="3"/>
    <s v="1057532-381-PC26"/>
    <s v="Convenio - Convenio Adquisición de combustible Diesel para equipos generadores dispositivos del SSO Cosam Rahue y Cosam Oriente"/>
    <s v="Pablo Oyarzo"/>
    <s v="Encargado (S) Administración Interna"/>
    <n v="11000000"/>
  </r>
  <r>
    <s v="PC26"/>
    <x v="3"/>
    <s v="1057532-383-PC26"/>
    <s v="Jornada de Buenas Prácticas en Hospital Amigo y Ley Mila 2026"/>
    <s v="Daniela Barria"/>
    <s v="Encargada Trato Usuario"/>
    <n v="510006"/>
  </r>
  <r>
    <s v="PC26"/>
    <x v="3"/>
    <s v="1057532-384-PC26"/>
    <s v="Jornada de Evaluación Comité de Gestión Usuaria 2026"/>
    <s v="Daniela Barria"/>
    <s v="Encargada Trato Usuario"/>
    <n v="450000"/>
  </r>
  <r>
    <s v="PC26"/>
    <x v="3"/>
    <s v="1057532-385-PC26"/>
    <s v="Recetarios Médicos SAFU"/>
    <s v="Lhya Kortmann"/>
    <s v="Enfermera"/>
    <n v="450000"/>
  </r>
  <r>
    <s v="PC26"/>
    <x v="3"/>
    <s v="1057532-386-PC26"/>
    <s v="MATERIALES DE OFICINA"/>
    <s v="Venecia Recabarren"/>
    <s v="Jefatura Unidad Prev. Riesgos"/>
    <n v="169000"/>
  </r>
  <r>
    <s v="PC26"/>
    <x v="3"/>
    <s v="1057532-387-PC26"/>
    <s v="Vestuario y equipamiento Tecnico Referentes Prevención de Riesgos DSSO"/>
    <s v="Venecia Recabarren"/>
    <s v="Jefatura Unidad Prev. Riesgos"/>
    <n v="100000"/>
  </r>
  <r>
    <s v="PC26"/>
    <x v="3"/>
    <s v="1057532-388-PC26"/>
    <s v="INSUMOS DE ENFERMERÍA SAFU"/>
    <s v="Lhya Kortmann"/>
    <s v="Enfermera"/>
    <n v="352600"/>
  </r>
  <r>
    <s v="PC26"/>
    <x v="3"/>
    <s v="1057532-389-PC26"/>
    <s v="Almacenamiento,organización y resguardo de los insumos clínicos del área de enfermería"/>
    <s v="Lhya Kortmann"/>
    <s v="Enfermera"/>
    <n v="50004"/>
  </r>
  <r>
    <s v="PC26"/>
    <x v="3"/>
    <s v="1057532-390-PC26"/>
    <s v="CONMEMORACIÓN DÍA INTERNACIONAL DE LA SALUD MENTAL 2026"/>
    <s v="Pilar Mora"/>
    <s v="Encargada Saludablemente Funcionarios"/>
    <n v="624234"/>
  </r>
  <r>
    <s v="PC26"/>
    <x v="3"/>
    <s v="1057532-391-PC26"/>
    <s v="&quot;JORNADA DE FORTALECIMIENTO DE COMPETENCIAS PARENTALES Y BIENESTAR FAMILIAR &quot;"/>
    <s v="Claudia Muñoz"/>
    <s v="Encargada Cuidados Infantiles y Conciliación"/>
    <n v="183238"/>
  </r>
  <r>
    <s v="PC26"/>
    <x v="3"/>
    <s v="1057532-392-PC26"/>
    <s v="Contratación de visitas obras civiles consultoría obra ?SALA DE ACOGIDA INTERCULTURAL (SRUKA) HBO."/>
    <s v="Raul Rojas"/>
    <s v="Itos"/>
    <n v="5696005"/>
  </r>
  <r>
    <s v="PC26"/>
    <x v="3"/>
    <s v="1057532-393-PC26"/>
    <s v="FESTIVAL DEL DÍA DE LA NIÑEZ"/>
    <s v="Claudia Muñoz"/>
    <s v="Encargada Cuidados Infantiles y Conciliación"/>
    <n v="225046"/>
  </r>
  <r>
    <s v="PC26"/>
    <x v="3"/>
    <s v="1057532-394-PC26"/>
    <s v="Convenio - CONVENIO SUMINISTRO DE REACTIVOS CON ARRIENDO DE EQUIPOS Y SISTEMA INFORMATICO INTEGRADO DE LABORATORIO CLINICO, SSO"/>
    <s v="Sofia Reyes"/>
    <s v="Encargada Apoyo Diagnóstico Laboratorio"/>
    <n v="371161848"/>
  </r>
  <r>
    <s v="PC26"/>
    <x v="3"/>
    <s v="1057532-395-PC26"/>
    <s v="Adquisición Carro de Transporte Droguería-Bodega General"/>
    <s v="Leonor Araneda"/>
    <s v="Directora Técnica Droguería"/>
    <n v="600000"/>
  </r>
  <r>
    <s v="PC26"/>
    <x v="3"/>
    <s v="1057532-396-PC26"/>
    <s v="Adquisición de Amarras Plásticas y Elásticos para Optimizar el Almacenamiento y Distribución"/>
    <s v="Leonor Araneda"/>
    <s v="Directora Técnica Droguería"/>
    <n v="1700000"/>
  </r>
  <r>
    <s v="PC26"/>
    <x v="3"/>
    <s v="1057532-397-PC26"/>
    <s v="EEPP para funcionarios de Droguería-Bodega General-Bodega Inversiones"/>
    <s v="Leonor Araneda"/>
    <s v="Directora Técnica Droguería"/>
    <n v="1670016"/>
  </r>
  <r>
    <s v="PC26"/>
    <x v="3"/>
    <s v="1057532-398-PC26"/>
    <s v="Implementación de Sistema de Cerradura Digital para Control de Acceso"/>
    <s v="Leonor Araneda"/>
    <s v="Directora Técnica Droguería"/>
    <n v="900000"/>
  </r>
  <r>
    <s v="PC26"/>
    <x v="3"/>
    <s v="1057532-399-PC26"/>
    <s v="Adquisición de Sensores de Temperatura para Droguería ( Bodega de Dispositivos Médicos)"/>
    <s v="Leonor Araneda"/>
    <s v="Directora Técnica Droguería"/>
    <n v="3500010"/>
  </r>
  <r>
    <s v="PC26"/>
    <x v="3"/>
    <s v="1057532-400-PC26"/>
    <s v="Mantención de Equipos Médicos e Industriales 2026"/>
    <s v="Khris Silva"/>
    <s v="Jefa Subdepto. Mantención de Equipos Médicos e Industriales"/>
    <n v="17750002"/>
  </r>
  <r>
    <s v="PC26"/>
    <x v="3"/>
    <s v="1057532-402-PC26"/>
    <s v="Convenio - Convenio de Accesorios para Equipos Médicos Criticos de Base SAMU Osorno año 2027"/>
    <s v="Khris Silva"/>
    <s v="Jefa Subdepto. Mantención de Equipos Médicos e Industriales"/>
    <n v="0"/>
  </r>
  <r>
    <s v="PC26"/>
    <x v="3"/>
    <s v="1057532-403-PC26"/>
    <s v="Insumos de Box de rehabilitación kinésica SAFU"/>
    <s v="Felipe Barriga"/>
    <s v="Kinesiólogo"/>
    <n v="696000"/>
  </r>
  <r>
    <s v="PC26"/>
    <x v="3"/>
    <s v="1057532-404-PC26"/>
    <s v="Cuenta Pública Gestión 2025"/>
    <s v="Daniela Barria"/>
    <s v="Encargada Trato Usuario"/>
    <n v="2885085"/>
  </r>
  <r>
    <s v="PC26"/>
    <x v="3"/>
    <s v="1057532-405-PC26"/>
    <s v="Diálogo Provincial en Salud"/>
    <s v="Daniela Barria"/>
    <s v="Encargada Trato Usuario"/>
    <n v="2997268"/>
  </r>
  <r>
    <s v="PC26"/>
    <x v="3"/>
    <s v="1057532-410-PC26"/>
    <s v="Artículos de limpieza y higiene"/>
    <s v="Luis Flores"/>
    <s v="Coordinador"/>
    <n v="198030"/>
  </r>
  <r>
    <s v="PC26"/>
    <x v="3"/>
    <s v="1057532-412-PC26"/>
    <s v="Insumos para actividades grupales con usuarios y familiares de UID Newen."/>
    <s v="Camila Roa"/>
    <s v="Coordinadora"/>
    <n v="126581"/>
  </r>
  <r>
    <s v="PC26"/>
    <x v="3"/>
    <s v="1057532-415-PC26"/>
    <s v="Insumos para actividades de promoción, prevención e intervención comunitaria con usuarios/as y familiares de UID Newen."/>
    <s v="Camila Roa"/>
    <s v="Coordinadora"/>
    <n v="172000"/>
  </r>
  <r>
    <s v="PC26"/>
    <x v="3"/>
    <s v="1057532-416-PC26"/>
    <s v="Material de papelería centro Kümelen"/>
    <s v="Luis Flores"/>
    <s v="Coordinador"/>
    <n v="715014"/>
  </r>
  <r>
    <s v="PC26"/>
    <x v="3"/>
    <s v="1057532-418-PC26"/>
    <s v="Mochilas e insumos EMT (Equipos Médicos de Emergencia)"/>
    <s v="CATALINA VERA"/>
    <s v="COORDINADORA EMERGENCIA"/>
    <n v="930000"/>
  </r>
  <r>
    <s v="PC26"/>
    <x v="3"/>
    <s v="1057532-421-PC26"/>
    <s v="software de cartografía web"/>
    <s v="CATALINA VERA"/>
    <s v="COORDINADORA EMERGENCIA"/>
    <n v="1400000"/>
  </r>
  <r>
    <s v="PC26"/>
    <x v="3"/>
    <s v="1057532-422-PC26"/>
    <s v="COMPRA ELEMENTOS DE PROTECCION PERSONAL SECCION MANT. DE VEHICULOS"/>
    <s v="Felipe Salvo"/>
    <s v="Encargado Seccion"/>
    <n v="610000"/>
  </r>
  <r>
    <s v="PC26"/>
    <x v="3"/>
    <s v="1057532-423-PC26"/>
    <s v="COMPRA DE TARJETAS BLANCAS PARA CREDENCIALES PARA CAMAPAÑA SELLO BUEN TRATO."/>
    <s v="Gustavo Aravena"/>
    <s v="Jefe Depto. Desarrollo Organizacional"/>
    <n v="52000"/>
  </r>
  <r>
    <s v="PC26"/>
    <x v="3"/>
    <s v="1057532-424-PC26"/>
    <s v="Adquisición de insumos clínicos para usuarios/as UID Newen."/>
    <s v="Camila Roa"/>
    <s v="Coordinadora"/>
    <n v="370100"/>
  </r>
  <r>
    <s v="PC26"/>
    <x v="3"/>
    <s v="1057532-425-PC26"/>
    <s v="CREDENCIAL DE IDENTIFICACION INSTITUCIONAL"/>
    <s v="Karen Silva"/>
    <s v="PROFESIONAL"/>
    <n v="603000"/>
  </r>
  <r>
    <s v="PC26"/>
    <x v="3"/>
    <s v="1057532-426-PC26"/>
    <s v="EPP PARA DEPTO. DE INGENIERÍA CLÍNICA"/>
    <s v="Maria Elena Muñoz"/>
    <s v="Jefa (S) Sub. Dpto. De Inversiones De Equipos Y Equipamiento"/>
    <n v="150000"/>
  </r>
  <r>
    <s v="PC26"/>
    <x v="3"/>
    <s v="1057532-427-PC26"/>
    <s v="Vestuario terreno y EPP funcionario nuevo"/>
    <s v="CATALINA VERA"/>
    <s v="COORDINADORA EMERGENCIA"/>
    <n v="500004"/>
  </r>
  <r>
    <s v="PC26"/>
    <x v="3"/>
    <s v="1057532-428-PC26"/>
    <s v="Conmemoración día internacional de la eliminación de la violencia contra la mujer 2026"/>
    <s v="Kassandra Fernandez"/>
    <s v="Trabajadora Social"/>
    <n v="173624"/>
  </r>
  <r>
    <s v="PC26"/>
    <x v="3"/>
    <s v="1057532-429-PC26"/>
    <s v="Adquisición de insumos para atención en domicilio del Equipo Rehabilitación Rural SSO. (Sarten electrico para ortesis)"/>
    <s v="Karin Avila"/>
    <s v="Referente Rehabilitación Integral"/>
    <n v="80000"/>
  </r>
  <r>
    <s v="PC26"/>
    <x v="3"/>
    <s v="1057532-430-PC26"/>
    <s v="MANTENCIÓN PREVENTIVA DE AGUA POTABLE DE LA BASE SAMU"/>
    <s v="Garibe Gallardo"/>
    <s v="PROFESIONAL"/>
    <n v="2000000"/>
  </r>
  <r>
    <s v="PC26"/>
    <x v="3"/>
    <s v="1057532-431-PC26"/>
    <s v="Mantenciones emergentes para establecimientos dependientes del Servicio de Salud Osorno"/>
    <s v="Garibe Gallardo"/>
    <s v="PROFESIONAL"/>
    <n v="6000000"/>
  </r>
  <r>
    <s v="PC26"/>
    <x v="3"/>
    <s v="1057532-432-PC26"/>
    <s v="Convenio - CONVENIO DE MANTENCION Y OBRAS MENORES INFRAESTRUCTURA DE LOS ESTABLECIMIENTOS DEL SERVICIO DE SALUD OSORNO 2027"/>
    <s v="Garibe Gallardo"/>
    <s v="PROFESIONAL"/>
    <n v="0"/>
  </r>
  <r>
    <s v="PC26"/>
    <x v="3"/>
    <s v="1057532-433-PC26"/>
    <s v="Mantención de Cubiertas de Edificios y Dispositivos dependientes del Servicio de Salud Osorno"/>
    <s v="Garibe Gallardo"/>
    <s v="PROFESIONAL"/>
    <n v="25000000"/>
  </r>
  <r>
    <s v="PC26"/>
    <x v="3"/>
    <s v="1057532-434-PC26"/>
    <s v="Mejoramiento Eléctrico y de Datos en Oficina 2do piso del Edificio Institucional de Manuel Rodríguez."/>
    <s v="Garibe Gallardo"/>
    <s v="PROFESIONAL"/>
    <n v="10000000"/>
  </r>
  <r>
    <s v="PC26"/>
    <x v="3"/>
    <s v="1057532-435-PC26"/>
    <s v="MANTENIMIENTO PREVENTIVO Y ADECUACIONES MENORES A TABLEROS ELECTRICOS DE LOS HOSPITALES Y DISPOSITIVOS DE LA RED 2027"/>
    <s v="Diego Saldivia"/>
    <s v="Referente"/>
    <n v="35304528"/>
  </r>
  <r>
    <s v="PC26"/>
    <x v="3"/>
    <s v="1057532-436-PC26"/>
    <s v="Materiales para simulacros"/>
    <s v="CATALINA VERA"/>
    <s v="COORDINADORA EMERGENCIA"/>
    <n v="500000"/>
  </r>
  <r>
    <s v="PC26"/>
    <x v="3"/>
    <s v="1057532-437-PC26"/>
    <s v="Conmemoración Día Mundial de Prevención Contra el Cáncer Cervicouterino"/>
    <s v="Francisca Contreras"/>
    <s v="Matrona"/>
    <n v="299940"/>
  </r>
  <r>
    <s v="PC26"/>
    <x v="3"/>
    <s v="1057532-438-PC26"/>
    <s v="Elementos de Protección Personal para el Subdepto. Prevención de Riesgos DSSO"/>
    <s v="Venecia Recabarren"/>
    <s v="Jefatura Unidad Prev. Riesgos"/>
    <n v="390000"/>
  </r>
  <r>
    <s v="PC26"/>
    <x v="3"/>
    <s v="1057532-439-PC26"/>
    <s v="Abordaje integral de trastornos de salud mental y conducta alimentaria en adolescentes"/>
    <s v="Francisca Contreras"/>
    <s v="Matrona"/>
    <n v="720000"/>
  </r>
  <r>
    <s v="PC26"/>
    <x v="3"/>
    <s v="1057532-443-PC26"/>
    <s v="Adquisición de herramientas básicas para mantenimiento Centro Comunitario Kümelen"/>
    <s v="Luis Flores"/>
    <s v="Coordinador"/>
    <n v="170001"/>
  </r>
  <r>
    <s v="PC26"/>
    <x v="3"/>
    <s v="1057532-444-PC26"/>
    <s v="Equipamiento Ergonómico"/>
    <s v="Venecia Recabarren"/>
    <s v="Jefatura Unidad Prev. Riesgos"/>
    <n v="8196174"/>
  </r>
  <r>
    <s v="PC26"/>
    <x v="3"/>
    <s v="1057532-445-PC26"/>
    <s v="TEST PSICOLOGICOS PARA LA UNIDAD DE RECLUTAMIENTO Y SELECCIÓN DEL S.S.O."/>
    <s v="Guissela Franco"/>
    <s v="Jefa Unidad Reclutamiento Y Seleccion"/>
    <n v="5000001"/>
  </r>
  <r>
    <s v="PC26"/>
    <x v="3"/>
    <s v="1057532-446-PC26"/>
    <s v="ADQUISICION INSUMOS MANTENCION RED DE RADIOCOMUNICACIONES EN EMERGENCIAS SERVICIO DE SALUD OSORNO"/>
    <s v="Esteban Alarcon"/>
    <s v="TECNICO RADIOCOMUNICACIONES"/>
    <n v="300006"/>
  </r>
  <r>
    <s v="PC26"/>
    <x v="3"/>
    <s v="1057532-447-PC26"/>
    <s v="Jornada SSYR Provincial"/>
    <s v="Francisca Contreras"/>
    <s v="Matrona"/>
    <n v="220000"/>
  </r>
  <r>
    <s v="PC26"/>
    <x v="3"/>
    <s v="1057532-448-PC26"/>
    <s v="REPOSICION Y MANTENIMIENTO COMPONENTES RADIOS PORTATILES VHF DIRECCION"/>
    <s v="Esteban Alarcon"/>
    <s v="TECNICO RADIOCOMUNICACIONES"/>
    <n v="1500018"/>
  </r>
  <r>
    <s v="PC26"/>
    <x v="3"/>
    <s v="1057532-449-PC26"/>
    <s v="Insumos y servicio de Coffee Break para Curso de Monitores 2026 del Centro Kümelen"/>
    <s v="Luis Flores"/>
    <s v="Coordinador"/>
    <n v="218020"/>
  </r>
  <r>
    <s v="PC26"/>
    <x v="3"/>
    <s v="1057532-450-PC26"/>
    <s v="Adquisición de insumos para la atención en domicilio del Equipo Rehabilitación Rural SSO. (Equipo Médico Fonoaudiologa)"/>
    <s v="Karin Avila"/>
    <s v="Referente Rehabilitación Integral"/>
    <n v="100000"/>
  </r>
  <r>
    <s v="PC26"/>
    <x v="3"/>
    <s v="1057532-451-PC26"/>
    <s v="Cintas de Seguridad"/>
    <s v="Venecia Recabarren"/>
    <s v="Jefatura Unidad Prev. Riesgos"/>
    <n v="335005"/>
  </r>
  <r>
    <s v="PC26"/>
    <x v="3"/>
    <s v="1057532-452-PC26"/>
    <s v="Reciclaje en Edificio Plaza Sur"/>
    <s v="Carlos Lopez Gutierrez"/>
    <s v="INGENIERO AMBIENTAL"/>
    <n v="2400000"/>
  </r>
  <r>
    <s v="PC26"/>
    <x v="3"/>
    <s v="1057532-453-PC26"/>
    <s v="Adquisición de insumos para la atención en domicilio del Equipo Rehabilitación Rural SSO. (Articulos de Fonoaudiología)"/>
    <s v="Karin Avila"/>
    <s v="Referente Rehabilitación Integral"/>
    <n v="300090"/>
  </r>
  <r>
    <s v="PC26"/>
    <x v="3"/>
    <s v="1057532-454-PC26"/>
    <s v="Protección Solar"/>
    <s v="Venecia Recabarren"/>
    <s v="Jefatura Unidad Prev. Riesgos"/>
    <n v="150000"/>
  </r>
  <r>
    <s v="PC26"/>
    <x v="3"/>
    <s v="1057532-455-PC26"/>
    <s v="EQUIPAMIENTO AMBULATORIO FONDOS PPV"/>
    <s v="Carolina Silva"/>
    <s v="Encargada De Compras"/>
    <n v="1660004"/>
  </r>
  <r>
    <s v="PC26"/>
    <x v="3"/>
    <s v="1057532-456-PC26"/>
    <s v="Reciclaje en Edificio Plaza Sur"/>
    <s v="Carlos Lopez Gutierrez"/>
    <s v="INGENIERO AMBIENTAL"/>
    <n v="3861900"/>
  </r>
  <r>
    <s v="PC26"/>
    <x v="3"/>
    <s v="1057532-457-PC26"/>
    <s v="Equipamiento Tecnologico"/>
    <s v="Venecia Recabarren"/>
    <s v="Jefatura Unidad Prev. Riesgos"/>
    <n v="36000"/>
  </r>
  <r>
    <s v="PC26"/>
    <x v="3"/>
    <s v="1057532-458-PC26"/>
    <s v="ARTICULOS DE FERRETERIA AMBULATORIO FONDOS PPV"/>
    <s v="Carolina Silva"/>
    <s v="Encargada De Compras"/>
    <n v="2740091"/>
  </r>
  <r>
    <s v="PC26"/>
    <x v="3"/>
    <s v="1057532-459-PC26"/>
    <s v="Ceremonia de Egreso del Curso de Formación de Monitores del centro Kümelen."/>
    <s v="Luis Flores"/>
    <s v="Coordinador"/>
    <n v="400000"/>
  </r>
  <r>
    <s v="PC26"/>
    <x v="3"/>
    <s v="1057532-460-PC26"/>
    <s v="Protección Visual RUV"/>
    <s v="Venecia Recabarren"/>
    <s v="Jefatura Unidad Prev. Riesgos"/>
    <n v="800000"/>
  </r>
  <r>
    <s v="PC26"/>
    <x v="3"/>
    <s v="1057532-461-PC26"/>
    <s v="ARTICULOS DE COCINA AMBULATORIO FONDOS PPV"/>
    <s v="Carolina Silva"/>
    <s v="Encargada De Compras"/>
    <n v="1322042"/>
  </r>
  <r>
    <s v="PC26"/>
    <x v="3"/>
    <s v="1057532-462-PC26"/>
    <s v="ARTICULOS DE JARDINERIA AMBULATORIO FONDOS PPV"/>
    <s v="Carolina Silva"/>
    <s v="Encargada De Compras"/>
    <n v="334061"/>
  </r>
  <r>
    <s v="PC26"/>
    <x v="3"/>
    <s v="1057532-463-PC26"/>
    <s v="Adquisición de 120 Endoscopias Digestivas Altas para establecimientos de la Red Asistencial del Servicio de Salud Osorno."/>
    <s v="Omar Contreras"/>
    <s v="Jefe Subdetpo. Apoyo Diagnóstico Y Terapéutico"/>
    <n v="14500000"/>
  </r>
  <r>
    <s v="PC26"/>
    <x v="3"/>
    <s v="1057532-464-PC26"/>
    <s v="Conmemoración día internacional de la eliminación de la violencia contra la mujer 2026"/>
    <s v="Kassandra Fernandez"/>
    <s v="Trabajadora Social"/>
    <n v="460000"/>
  </r>
  <r>
    <s v="PC26"/>
    <x v="3"/>
    <s v="1057532-465-PC26"/>
    <s v="Carro de carga plegable (Yegua)"/>
    <s v="Luis Flores"/>
    <s v="Coordinador"/>
    <n v="120000"/>
  </r>
  <r>
    <s v="PC26"/>
    <x v="3"/>
    <s v="1057532-466-PC26"/>
    <s v="Servicio de Movilización de 1 vehículo con conductor, por 2 meses, para ejecución vacunación en la provincia de Osorno"/>
    <s v="Carolina Lagos"/>
    <s v="Referente De Programa Nacional De Inmunizaciones"/>
    <n v="7000000"/>
  </r>
  <r>
    <s v="PC26"/>
    <x v="3"/>
    <s v="1057532-467-PC26"/>
    <s v="SERVICIO DE ELABORACIÓN Y DIFUSIÓN DE 4 AVISOS RADIALES PROMOCIONALES DE CAMPAÑA DE INVIERNO 2026 POR 2 MESES"/>
    <s v="Carolina Lagos"/>
    <s v="Referente De Programa Nacional De Inmunizaciones"/>
    <n v="1428000"/>
  </r>
  <r>
    <s v="PC26"/>
    <x v="3"/>
    <s v="1057532-469-PC26"/>
    <s v="1 Servicio de grabación y emisión de 4 mensajes radiales de vacunación escolar por 2 meses, en la provincia de Osorno."/>
    <s v="Carolina Lagos"/>
    <s v="Referente De Programa Nacional De Inmunizaciones"/>
    <n v="1428000"/>
  </r>
  <r>
    <s v="PC26"/>
    <x v="3"/>
    <s v="1057532-470-PC26"/>
    <s v="Insumos para dispensación de fármacos y entrega citas a usuarios COSAM Rahue"/>
    <s v="Yuvit Garcia-Chacur"/>
    <s v="DIRECTORA"/>
    <n v="1160000"/>
  </r>
  <r>
    <s v="PC26"/>
    <x v="3"/>
    <s v="1057532-471-PC26"/>
    <s v="ADQUISICIÓN PARA PROGRAMA DE PROMOCIÓN, PREVENCIÓN Y DIAGNÓSTICO PRECOZ CÁNCERES PREVALENTES EN MUJERES DE LA PROVINCIA"/>
    <s v="Franco Fuentes"/>
    <s v="Encargado De Gestión De Lista De Espera Y Programa Nacional De Cáncer"/>
    <n v="62432002"/>
  </r>
  <r>
    <s v="PC26"/>
    <x v="3"/>
    <s v="1057532-472-PC26"/>
    <s v="Adquisición de megáfonos y gabinetes para la comunicación en emergencias, gestión de riesgos y protección de equipos"/>
    <s v="Yuvit Garcia-Chacur"/>
    <s v="DIRECTORA"/>
    <n v="600000"/>
  </r>
  <r>
    <s v="PC26"/>
    <x v="3"/>
    <s v="1057532-473-PC26"/>
    <s v="Compra de insumos para la mantención de la cadena de frío de las vacunas de los establecimientos de la provincia."/>
    <s v="Carolina Lagos"/>
    <s v="Referente De Programa Nacional De Inmunizaciones"/>
    <n v="5580820"/>
  </r>
  <r>
    <s v="PC26"/>
    <x v="3"/>
    <s v="1057532-474-PC26"/>
    <s v="&quot;Día del autocuidado&quot; en la comunidad funcionaria el día 24 de julio del 2026"/>
    <s v="Lhya Kortmann"/>
    <s v="Enfermera"/>
    <n v="440000"/>
  </r>
  <r>
    <s v="PC26"/>
    <x v="3"/>
    <s v="1057532-475-PC26"/>
    <s v="Insumos de Box de rehabilitación kinésica SAFU"/>
    <s v="Felipe Barriga"/>
    <s v="Kinesiólogo"/>
    <n v="115003"/>
  </r>
  <r>
    <s v="PC26"/>
    <x v="3"/>
    <s v="1057532-476-PC26"/>
    <s v="Adquisición materiales de oficina Unidad de Memoria 2026"/>
    <s v="Ximena Campos"/>
    <s v="Coordinadora Unidad De Memoria"/>
    <n v="405000"/>
  </r>
  <r>
    <s v="PC26"/>
    <x v="3"/>
    <s v="1057532-477-PC26"/>
    <s v="Materiales e insumos para talleres y capacitaciones red de coordinadores"/>
    <s v="CATALINA VERA"/>
    <s v="COORDINADORA EMERGENCIA"/>
    <n v="542153"/>
  </r>
  <r>
    <s v="PC26"/>
    <x v="3"/>
    <s v="1057532-478-PC26"/>
    <s v="Adquisición de productos e insumos para el programa de control y eliminación de la Tuberculosis"/>
    <s v="Maria Paz Gomez"/>
    <s v="Referente Programa De Tuberculosis"/>
    <n v="2502600"/>
  </r>
  <r>
    <s v="PC26"/>
    <x v="3"/>
    <s v="1057532-479-PC26"/>
    <s v="Materiales de oficina no disponibles en Bodega Central"/>
    <s v="Claudia Muñoz"/>
    <s v="Encargada Unidad De Cuidados Infantiles Y Conciliación"/>
    <n v="222014"/>
  </r>
  <r>
    <s v="PC26"/>
    <x v="3"/>
    <s v="1057532-480-PC26"/>
    <s v="Adquisicion de recetarios y talonarios de examenes de Psiconeurogeriatría Ayekan y kumelen."/>
    <s v="Ximena Campos"/>
    <s v="Coordinadora Unidad De Memoria"/>
    <n v="200000"/>
  </r>
  <r>
    <s v="PC26"/>
    <x v="3"/>
    <s v="1057532-481-PC26"/>
    <s v="INSUMOS DE OFICINA"/>
    <s v="Marta Borquez"/>
    <s v="Secretaria"/>
    <n v="2026009"/>
  </r>
  <r>
    <s v="PC26"/>
    <x v="3"/>
    <s v="1057532-482-PC26"/>
    <s v="Adquisición de Material Educativo Visual y Didáctico para la Educación Alimentaria en la Red de APS"/>
    <s v="Consuelo Cordova"/>
    <s v="Jefe Sub Departamento Programa Curso De Vida"/>
    <n v="2500008"/>
  </r>
  <r>
    <s v="PC26"/>
    <x v="3"/>
    <s v="1057532-483-PC26"/>
    <s v="Adquisición de productos e insumos para el programa de control y eliminación de la Tuberculosis"/>
    <s v="Maria Paz Gomez"/>
    <s v="Referente Programa De Tuberculosis"/>
    <n v="500115"/>
  </r>
  <r>
    <s v="PC26"/>
    <x v="3"/>
    <s v="1057532-484-PC26"/>
    <s v="Compra de insumos de higiene oral de programa odontológico integral"/>
    <s v="Gonzalo Schulz"/>
    <s v="Odontologo"/>
    <n v="4059825"/>
  </r>
  <r>
    <s v="PC26"/>
    <x v="3"/>
    <s v="1057532-485-PC26"/>
    <s v="Pilas para equipos clínicos pesa, hemoglucotest y equipo de electroterapia"/>
    <s v="Daniela Cancino"/>
    <s v="Nutricionista"/>
    <n v="550000"/>
  </r>
  <r>
    <s v="PC26"/>
    <x v="3"/>
    <s v="1057532-486-PC26"/>
    <s v="Capacitación de Salud Respiratoria en el Curso de Vida, en contexto de campaña de invierno para 110 personas"/>
    <s v="Carolina Lagos"/>
    <s v="Referente De Programa Nacional De Inmunizaciones"/>
    <n v="783090"/>
  </r>
  <r>
    <s v="PC26"/>
    <x v="3"/>
    <s v="1057532-487-PC26"/>
    <s v="Escalera tijera plegable"/>
    <s v="Daniela Cancino"/>
    <s v="Nutricionista"/>
    <n v="60000"/>
  </r>
  <r>
    <s v="PC26"/>
    <x v="3"/>
    <s v="1057532-488-PC26"/>
    <s v="Convenio - Suministro de oxígeno medicinal para Red de Hospitales de mediana y baja complejidad, SAMU y Cosam"/>
    <s v="Mario Aburto"/>
    <s v="Encargado Gestión Salud Respiratoria"/>
    <n v="0"/>
  </r>
  <r>
    <s v="PC26"/>
    <x v="3"/>
    <s v="1057532-489-PC26"/>
    <s v="Mantención integral edificio Centro Kümelen"/>
    <s v="Luis Flores"/>
    <s v="Coordinador"/>
    <n v="900000"/>
  </r>
  <r>
    <s v="PC26"/>
    <x v="3"/>
    <s v="1057532-490-PC26"/>
    <s v="Mantención integral edificio Matta"/>
    <s v="Luis Flores"/>
    <s v="Coordinador"/>
    <n v="1500000"/>
  </r>
  <r>
    <s v="PC26"/>
    <x v="3"/>
    <s v="1057532-491-PC26"/>
    <s v="Material de librería para vacunatorios y para capacitaciones del Programa Nacional de Inmunizaciones 2025"/>
    <s v="Carolina Lagos"/>
    <s v="Referente De Programa Nacional De Inmunizaciones"/>
    <n v="726450"/>
  </r>
  <r>
    <s v="PC26"/>
    <x v="3"/>
    <s v="1057532-492-PC26"/>
    <s v="Estudio e Informe Estructural Edificio EX- PDI."/>
    <s v="Mario Barrientos"/>
    <s v="Jefe Subdepto. Diseño De Infraestructura De Salud"/>
    <n v="5000000"/>
  </r>
  <r>
    <s v="PC26"/>
    <x v="3"/>
    <s v="1057532-493-PC26"/>
    <s v="Adquisición servicio de cafetería para actividad de capacitación a profesionales de salud Campaña de Invierno"/>
    <s v="Mario Aburto"/>
    <s v="Encargado Gestión Salud Respiratoria"/>
    <n v="500000"/>
  </r>
  <r>
    <s v="PC26"/>
    <x v="3"/>
    <s v="1057532-494-PC26"/>
    <s v="Adquisición artículos de librería para Jornadas con la Red Asistencial"/>
    <s v="Munirih Soto"/>
    <s v="Jefatura Depto"/>
    <n v="316013"/>
  </r>
  <r>
    <s v="PC26"/>
    <x v="3"/>
    <s v="1057532-495-PC26"/>
    <s v="Plan de Compra Anual nuevos Boxes Dentales SAFU - Insumos Instrumentales"/>
    <s v="Luis Alfonso Oyarzun"/>
    <s v="Cirujano Dentista"/>
    <n v="10000000"/>
  </r>
  <r>
    <s v="PC26"/>
    <x v="3"/>
    <s v="1057532-496-PC26"/>
    <s v="Adquisicion Licencias de Software GstarCAD por 24 meses"/>
    <s v="Alejandro Nuñez"/>
    <s v="Encargado Gestión De Sistemas"/>
    <n v="15000018"/>
  </r>
  <r>
    <s v="PC26"/>
    <x v="3"/>
    <s v="1057532-497-PC26"/>
    <s v="Adquisicion Licencias de Software ArchiCAD por 24 meses"/>
    <s v="Alejandro Nuñez"/>
    <s v="Encargado Gestión De Sistemas"/>
    <n v="30000000"/>
  </r>
  <r>
    <s v="PC26"/>
    <x v="3"/>
    <s v="1057532-498-PC26"/>
    <s v="Implementación de impresoras termicas en Some De Edificio Matta"/>
    <s v="Ximena Campos"/>
    <s v="Coordinadora Unidad De Memoria"/>
    <n v="280000"/>
  </r>
  <r>
    <s v="PC26"/>
    <x v="3"/>
    <s v="1057532-499-PC26"/>
    <s v="SOPORTE Y MANTENCION ANUAL SOFTWARE CONTROL DE INVENTARIO"/>
    <s v="Pablo Miranda"/>
    <s v="Encargado De Inventario"/>
    <n v="7000000"/>
  </r>
  <r>
    <s v="PC26"/>
    <x v="3"/>
    <s v="1057532-500-PC26"/>
    <s v="Adquisición 2 coffee break para Jornada de Plan de Salud Comunal y Priorización"/>
    <s v="Munirih Soto"/>
    <s v="Jefatura Depto"/>
    <n v="1200000"/>
  </r>
  <r>
    <s v="PC26"/>
    <x v="3"/>
    <s v="1057532-501-PC26"/>
    <s v="Adquisición artículos de cafetería para Jornadas de planificación con Red Asistencial"/>
    <s v="Munirih Soto"/>
    <s v="Jefatura Depto"/>
    <n v="150100"/>
  </r>
  <r>
    <s v="PC26"/>
    <x v="3"/>
    <s v="1057532-502-PC26"/>
    <s v="Construcción de repisas para archivos en bodega ex COSAM Oriente"/>
    <s v="Pablo Miranda"/>
    <s v="Encargado De Inventario"/>
    <n v="1500000"/>
  </r>
  <r>
    <s v="PC26"/>
    <x v="3"/>
    <s v="1057532-503-PC26"/>
    <s v="3°Jornada para cuidadores/as &quot;Cuidar con sentido y acompañar con el corazón&quot;"/>
    <s v="Ximena Campos"/>
    <s v="Coordinadora Unidad De Memoria"/>
    <n v="118548"/>
  </r>
  <r>
    <s v="PC26"/>
    <x v="3"/>
    <s v="1057532-504-PC26"/>
    <s v="SERVICIO DE TRASLADO DE MOBILIARIO"/>
    <s v="Pablo Miranda"/>
    <s v="Encargado De Inventario"/>
    <n v="1000000"/>
  </r>
  <r>
    <s v="PC26"/>
    <x v="3"/>
    <s v="1057532-505-PC26"/>
    <s v="Accesorios de telecomunicación para actividades digitales de promoción y prevención de salud mental para la comunidad fu"/>
    <s v="Constanza García"/>
    <s v="Psicóloga Safu"/>
    <n v="110000"/>
  </r>
  <r>
    <s v="PC26"/>
    <x v="3"/>
    <s v="1057532-506-PC26"/>
    <s v="Adquisición Carpetas con bolsillo troquel de imprenta y logo institucional CPU"/>
    <s v="Maria Teresa Jaramillo"/>
    <s v="Encargada Alivio del Dolor y Cuidados Paliativos Universales"/>
    <n v="600000"/>
  </r>
  <r>
    <s v="PC26"/>
    <x v="3"/>
    <s v="1057532-507-PC26"/>
    <s v="Plan de Compra Anual nuevos Boxes Dentales SAFU - Insumos Dentales"/>
    <s v="Luis Alfonso Oyarzun"/>
    <s v="Cirujano Dentista"/>
    <n v="10000000"/>
  </r>
  <r>
    <s v="PC26"/>
    <x v="3"/>
    <s v="1057532-508-PC26"/>
    <s v="Material de trabajo terapéutico equipo salud mental unidad de salud funcionaria - Librería terapéutica"/>
    <s v="Constanza García"/>
    <s v="Psicóloga Safu"/>
    <n v="500000"/>
  </r>
  <r>
    <s v="PC26"/>
    <x v="3"/>
    <s v="1057532-509-PC26"/>
    <s v="Implementacion de talleres y renovacion de insumos de kinesiologia de Unidad de Memoria Ayekan."/>
    <s v="Ximena Campos"/>
    <s v="Coordinadora Unidad De Memoria"/>
    <n v="450008"/>
  </r>
  <r>
    <s v="PC26"/>
    <x v="3"/>
    <s v="1057532-510-PC26"/>
    <s v="Adquisición de boquillas espiratorias desechables para flujometría."/>
    <s v="Mario Aburto"/>
    <s v="Encargado Gestión Salud Respiratoria"/>
    <n v="700000"/>
  </r>
  <r>
    <s v="PC26"/>
    <x v="3"/>
    <s v="1057532-511-PC26"/>
    <s v="Adquisición Turbinas desechables espirometría"/>
    <s v="Mario Aburto"/>
    <s v="Encargado Gestión Salud Respiratoria"/>
    <n v="2000160"/>
  </r>
  <r>
    <s v="PC26"/>
    <x v="3"/>
    <s v="1057532-512-PC26"/>
    <s v="Servicio de cafetería para Jornada de Capacitación en Cuidados Paliativos para equipos CPU APS y Hospitales SSO"/>
    <s v="Maria Teresa Jaramillo"/>
    <s v="Encargada Alivio del Dolor y Cuidados Paliativos Universales"/>
    <n v="420000"/>
  </r>
  <r>
    <s v="PC26"/>
    <x v="3"/>
    <s v="1057532-513-PC26"/>
    <s v="Adquisición de insumos de folleteria y cuadernillos de stimulación para Unidad de Memoria."/>
    <s v="Ximena Campos"/>
    <s v="Coordinadora Unidad De Memoria"/>
    <n v="1000000"/>
  </r>
  <r>
    <s v="PC26"/>
    <x v="3"/>
    <s v="1057532-514-PC26"/>
    <s v="Talleres educativos y de respiro para cuidadoras/es de usuarios con deteriro cognitivo."/>
    <s v="Ximena Campos"/>
    <s v="Coordinadora Unidad De Memoria"/>
    <n v="440040"/>
  </r>
  <r>
    <s v="PC26"/>
    <x v="3"/>
    <s v="1057532-515-PC26"/>
    <s v="Compra de insumos clínicos para actividades de vacunación, en vacunatorios y colegios de la provincia."/>
    <s v="Carolina Lagos"/>
    <s v="Referente De Programa Nacional De Inmunizaciones"/>
    <n v="2578000"/>
  </r>
  <r>
    <s v="PC26"/>
    <x v="3"/>
    <s v="1057532-516-PC26"/>
    <s v="Adquisición de Neumáticos para vehículos de la Dirección Servicio de Salud Osorno y Base SAMU Osorno año 2026"/>
    <s v="Felipe Salvo"/>
    <s v="Encargado Seccion"/>
    <n v="3000000"/>
  </r>
  <r>
    <s v="PC26"/>
    <x v="3"/>
    <s v="1057532-517-PC26"/>
    <s v="Servicio de Coffe para 115 personas, Jornada Anual de Capacitación del Programa Nacional de Inmunizaciones, provincial"/>
    <s v="Carolina Lagos"/>
    <s v="Referente De Programa Nacional De Inmunizaciones"/>
    <n v="1428000"/>
  </r>
  <r>
    <s v="PC26"/>
    <x v="3"/>
    <s v="1057532-518-PC26"/>
    <s v="Elaboración e impresión de Carnet de Control Integral para la Red de APS de la provincia de Osorno."/>
    <s v="Consuelo Cordova"/>
    <s v="Jefa Subdepto. Gestión De Programas"/>
    <n v="9000000"/>
  </r>
  <r>
    <s v="PC26"/>
    <x v="3"/>
    <s v="1057532-519-PC26"/>
    <s v="Implementación autotoma de VPH"/>
    <s v="Francisca Contreras"/>
    <s v="Matrona"/>
    <n v="3000000"/>
  </r>
  <r>
    <s v="PC26"/>
    <x v="3"/>
    <s v="1057532-520-PC26"/>
    <s v="TEST DE EVALUACIONES PSICOLÓGICAS"/>
    <s v="Carolina Silva"/>
    <s v="Encargada De Compras"/>
    <n v="1250000"/>
  </r>
  <r>
    <s v="PC26"/>
    <x v="3"/>
    <s v="1057532-521-PC26"/>
    <s v="Conmemoración día Mundial de la Salud Mental 10 de octubre 2026 y Desarrollo de actividades de promoción de salud mental"/>
    <s v="Constanza García"/>
    <s v="Psicóloga Safu"/>
    <n v="449086"/>
  </r>
  <r>
    <s v="PC26"/>
    <x v="3"/>
    <s v="1057532-522-PC26"/>
    <s v="Insumos para CIRA SDGA"/>
    <s v="Esteban Oyarzo"/>
    <s v="Asistente Ejecutivo"/>
    <n v="506850"/>
  </r>
  <r>
    <s v="PC26"/>
    <x v="3"/>
    <s v="1057532-523-PC26"/>
    <s v="Festival de la Voz de las Mujeres 2026"/>
    <s v="Ignacio Sotomayor"/>
    <s v="Psicologo"/>
    <n v="505068"/>
  </r>
  <r>
    <s v="PC26"/>
    <x v="3"/>
    <s v="1057532-524-PC26"/>
    <s v="Obras civiles para montaje de 2 futuros contenedores de largo 20 pies"/>
    <s v="Pedro Fritz"/>
    <s v="Director"/>
    <n v="12000000"/>
  </r>
  <r>
    <s v="PC26"/>
    <x v="3"/>
    <s v="1057532-525-PC26"/>
    <s v="ADQUISICIÓN DISPOSITIVOS DE ALMACENAMIENTO PARA HABILITACION DE EQUIPOS COMPUTACIONALES"/>
    <s v="Alejandro Nuñez"/>
    <s v="Encargado Gestión De Sistemas"/>
    <n v="3550000"/>
  </r>
  <r>
    <s v="PC26"/>
    <x v="3"/>
    <s v="1057532-529-PC26"/>
    <s v="contendores de papel"/>
    <s v="Cristina Collinao"/>
    <s v="Sub. Dpto. Transparencia, Gestion Documental Y Lobby"/>
    <n v="70000"/>
  </r>
  <r>
    <s v="PC26"/>
    <x v="3"/>
    <s v="1057532-534-PC26"/>
    <s v="INSUMOS DE ATENCION PSICOLOGICA"/>
    <s v="Constanza García"/>
    <s v="Psicóloga Safu"/>
    <n v="335000"/>
  </r>
  <r>
    <s v="PC26"/>
    <x v="3"/>
    <s v="1057532-535-PC26"/>
    <s v="Eventos y resignificaciones anuales"/>
    <s v="Carolina Silva"/>
    <s v="Encargada De Compras"/>
    <n v="6517038"/>
  </r>
  <r>
    <s v="PC26"/>
    <x v="3"/>
    <s v="1057532-536-PC26"/>
    <s v="INSUMOS ALIMENTACIÓN PARA ACTIVIDADES DE SALUD MENTAL 2026"/>
    <s v="Constanza García"/>
    <s v="Psicóloga Safu"/>
    <n v="170000"/>
  </r>
  <r>
    <s v="PC26"/>
    <x v="3"/>
    <s v="1057532-537-PC26"/>
    <s v="MUEBLE DOCUMENTAL"/>
    <s v="Cristina Collinao"/>
    <s v="Sub. Dpto. Transparencia, Gestion Documental Y Lobby"/>
    <n v="100000"/>
  </r>
  <r>
    <s v="PC26"/>
    <x v="3"/>
    <s v="1057532-538-PC26"/>
    <s v="Olimpiadas del Adolescente"/>
    <s v="Francisca Contreras"/>
    <s v="Matrona"/>
    <n v="220000"/>
  </r>
  <r>
    <s v="PC26"/>
    <x v="3"/>
    <s v="1057532-539-PC26"/>
    <s v="Insumos para reuniones ministeriales"/>
    <s v="Claudia Vera"/>
    <s v="Asistente Ejecutivo"/>
    <n v="511508"/>
  </r>
  <r>
    <s v="PC26"/>
    <x v="3"/>
    <s v="1057532-540-PC26"/>
    <s v="Compra de Servicio de Docencia, Relatoría, Consultoría, Alimentación y Compra de insumos Año 2026"/>
    <s v="Angela Montesinos"/>
    <s v="Encargada Control De Gestion De Compras Y De Presupuesto"/>
    <n v="207808160"/>
  </r>
  <r>
    <s v="PC26"/>
    <x v="3"/>
    <s v="1057532-541-PC26"/>
    <s v="Insumos médicos"/>
    <s v="Carolina Silva"/>
    <s v="Encargada De Compras"/>
    <n v="1793388"/>
  </r>
  <r>
    <s v="PC26"/>
    <x v="3"/>
    <s v="1057532-542-PC26"/>
    <s v="Adquisición de Insumos para control cardiovascular/integral en atención primaria"/>
    <s v="Consuelo Cordova"/>
    <s v="Jefa Subdepto. Gestión De Programas"/>
    <n v="10002100"/>
  </r>
  <r>
    <s v="PC26"/>
    <x v="3"/>
    <s v="1057532-543-PC26"/>
    <s v="Materiales psicopedagógicos"/>
    <s v="Carolina Silva"/>
    <s v="Encargada De Compras"/>
    <n v="1149277"/>
  </r>
  <r>
    <s v="PC26"/>
    <x v="3"/>
    <s v="1057532-544-PC26"/>
    <s v="Adquisición de insumos para la atención y educación en salud, a personas bajo control en los Programas de Salud"/>
    <s v="Consuelo Cordova"/>
    <s v="Jefa Subdepto. Gestión De Programas"/>
    <n v="5560000"/>
  </r>
  <r>
    <s v="PC26"/>
    <x v="3"/>
    <s v="1057532-545-PC26"/>
    <s v="Conmemoración del aniversario del centro Kümelen"/>
    <s v="Carlos Utreras"/>
    <s v="Coordinador (S)"/>
    <n v="920000"/>
  </r>
  <r>
    <s v="PC26"/>
    <x v="3"/>
    <s v="1057532-546-PC26"/>
    <s v="Adquisicion ciclo de capacitaciones ECICEP para profesionales de la red asistencial"/>
    <s v="Maria Paz Gomez"/>
    <s v="Referente Estrategia De Cuidados Integrales Centrados En Las Personas - Ecicep"/>
    <n v="15984280"/>
  </r>
  <r>
    <s v="PC26"/>
    <x v="3"/>
    <s v="1057532-547-PC26"/>
    <s v="Adquisición insumos clínicos y de aseo general mamógrafo móvil/estrategias Programa Imágenes Diagnósticas 2026."/>
    <s v="Barbara Mendez"/>
    <s v="Enc. Apoyo Diagnóstico En Imagenología"/>
    <n v="901000"/>
  </r>
  <r>
    <s v="PC26"/>
    <x v="3"/>
    <s v="1057532-548-PC26"/>
    <s v="Adquisición de insumos validados para la medición de presión arterial en el curso de vida."/>
    <s v="Consuelo Cordova"/>
    <s v="Jefa Subdepto. Gestión De Programas"/>
    <n v="3500000"/>
  </r>
  <r>
    <s v="PC26"/>
    <x v="3"/>
    <s v="1057532-550-PC26"/>
    <s v="Adquisición Dispositivos médicos de Curación Avanzada. Presupuesto: PAGD, componente Salud Cardiovascular $15.000.000.-"/>
    <s v="Consuelo Cordova"/>
    <s v="Jefa Subdepto. Programas En Curso De Vida."/>
    <n v="15135390"/>
  </r>
  <r>
    <s v="PC26"/>
    <x v="3"/>
    <s v="1057532-551-PC26"/>
    <s v="Adquisición de servicio de catering para curso de Imagenología para Médicos generales y de APS."/>
    <s v="Barbara Mendez"/>
    <s v="Enc. Apoyo Diagnóstico En Imagenología"/>
    <n v="1200000"/>
  </r>
  <r>
    <s v="PC26"/>
    <x v="3"/>
    <s v="1057532-562-PC26"/>
    <s v="Convenio - Convenio de servicio de exámenes de ecotomografía abdominal y mamaria programa imágenes diagnósticas."/>
    <s v="Barbara Mendez"/>
    <s v="Enc. Apoyo Diagnóstico En Imagenología"/>
    <n v="20000000"/>
  </r>
  <r>
    <s v="PC26"/>
    <x v="3"/>
    <s v="1057532-564-PC26"/>
    <s v="Compra de insumos de oficina y cafetería"/>
    <s v="Guissela Franco"/>
    <s v="Jefa Unidad Reclutamiento y Selección"/>
    <n v="911311"/>
  </r>
  <r>
    <s v="PC26"/>
    <x v="3"/>
    <s v="1057532-565-PC26"/>
    <s v="Convenio - Convenio de servicio informes de radiografías y mamografías para los Hospitales Dependientes del S.S.O."/>
    <s v="Barbara Mendez"/>
    <s v="Enc. Apoyo Diagnóstico En Imagenología"/>
    <n v="50008000"/>
  </r>
  <r>
    <s v="PC26"/>
    <x v="3"/>
    <s v="1057532-566-PC26"/>
    <s v="Conmemoración día de la mujer"/>
    <s v="Carlos Utreras"/>
    <s v="Coordinador (S)"/>
    <n v="230032"/>
  </r>
  <r>
    <s v="PC26"/>
    <x v="3"/>
    <s v="1057532-567-PC26"/>
    <s v="servicio de dosimetría Trabajadores Ocupacionalmente expuestos del Programa Imágenes Diagnósticas."/>
    <s v="Barbara Mendez"/>
    <s v="Enc. Apoyo Diagnóstico En Imagenología"/>
    <n v="700005"/>
  </r>
  <r>
    <s v="PC26"/>
    <x v="3"/>
    <s v="1057532-568-PC26"/>
    <s v="Convenio - Convenio de servicio movilización funcionarios mamógrafo móvil. Descripción"/>
    <s v="Barbara Mendez"/>
    <s v="Enc. Apoyo Diagnóstico En Imagenología"/>
    <n v="10000000"/>
  </r>
  <r>
    <s v="PC26"/>
    <x v="3"/>
    <s v="1057532-569-PC26"/>
    <s v="Proyecto de Compra Insumos clínicos 2026"/>
    <s v="Camilo Martínez"/>
    <s v="Director(S)"/>
    <n v="2638010"/>
  </r>
  <r>
    <s v="PC26"/>
    <x v="3"/>
    <s v="1057532-570-PC26"/>
    <s v="Capacitación formación de facilitadores Nadie es Perfecto"/>
    <s v="Estrella Azócar"/>
    <s v="Encargada Chile Crece Contigo"/>
    <n v="1248835"/>
  </r>
  <r>
    <s v="PC26"/>
    <x v="3"/>
    <s v="1057532-572-PC26"/>
    <s v="Artículos de higiene, limpieza y mantención de áreas verdes para Edificio Matta."/>
    <s v="Ximena Campos"/>
    <s v="Coordinadora Unidad De Memoria"/>
    <n v="883038"/>
  </r>
  <r>
    <s v="PC26"/>
    <x v="3"/>
    <s v="1057532-573-PC26"/>
    <s v="Adquisición de insumos para la atención en domicilio del Equipo Rehabilitación Rural SSO. (Articulos de Escritorio)"/>
    <s v="Karin Avila"/>
    <s v="Referente Rehabilitación Integral"/>
    <n v="490280"/>
  </r>
  <r>
    <s v="PC26"/>
    <x v="3"/>
    <s v="1057532-574-PC26"/>
    <s v="Renovación de toma de presión digital para unidad de Memoria."/>
    <s v="Ximena Campos"/>
    <s v="Coordinadora Unidad De Memoria"/>
    <n v="70000"/>
  </r>
  <r>
    <s v="PC26"/>
    <x v="3"/>
    <s v="1057532-575-PC26"/>
    <s v="Compra de Insumos de Cafetería reuniones ordinarias anuales Participación, Trato Usuario, Salud Pueblos Originarios"/>
    <s v="Daniel Pereira"/>
    <s v="Apoyo Participación"/>
    <n v="2473910"/>
  </r>
  <r>
    <s v="PC26"/>
    <x v="3"/>
    <s v="1057532-576-PC26"/>
    <s v="Olimpiadas del Adolescente"/>
    <s v="Francisca Contreras"/>
    <s v="Matrona"/>
    <n v="200000"/>
  </r>
  <r>
    <s v="PC26"/>
    <x v="3"/>
    <s v="1057532-577-PC26"/>
    <s v="TALLER DE MANUALIDADES"/>
    <s v="Carolina Silva"/>
    <s v="Encargada De Compras"/>
    <n v="3287930"/>
  </r>
  <r>
    <s v="PC26"/>
    <x v="3"/>
    <s v="1057532-578-PC26"/>
    <s v="Adquisición de insumos atención en domicilio del Equipo Rehabilitación Rural SSO"/>
    <s v="Karin Avila"/>
    <s v="Referente Rehabilitación Integral"/>
    <n v="2173106"/>
  </r>
  <r>
    <s v="PC26"/>
    <x v="3"/>
    <s v="1057532-579-PC26"/>
    <s v="ARTICULOS DE OFICINA UNIDADES AMBULATORIO Y RESIDENCIAL"/>
    <s v="Carolina Silva"/>
    <s v="Encargada De Compras"/>
    <n v="2525004"/>
  </r>
  <r>
    <s v="PC26"/>
    <x v="3"/>
    <s v="1057532-580-PC26"/>
    <s v="EVENTOS EN MOVIMIENTO Y A UNA SOLA VOZ"/>
    <s v="Carolina Silva"/>
    <s v="Encargada De Compras"/>
    <n v="2225980"/>
  </r>
  <r>
    <s v="PC26"/>
    <x v="3"/>
    <s v="1057532-581-PC26"/>
    <s v="CONTRIBUYENDO A LA POLITICA PÚBLICA EN REPARACIÓN CON USUARIOS/AS PRAIS"/>
    <s v="Ana María Diaz"/>
    <s v="Coordinadora"/>
    <n v="29029170"/>
  </r>
  <r>
    <s v="PC26"/>
    <x v="3"/>
    <s v="1057532-582-PC26"/>
    <s v="Insumos para jornada provincial de Gestión del Riesgo de Desastres (2 días)"/>
    <s v="CATALINA VERA"/>
    <s v="COORDINADORA EMERGENCIA"/>
    <n v="1953508"/>
  </r>
  <r>
    <s v="PC26"/>
    <x v="3"/>
    <s v="1057532-583-PC26"/>
    <s v="COMPRA DE MATERIALES DE OFICINA E INSUMOS DE CAFETERIA PARA LA UNIDAD DE CICLO LABORAL DEL S.S.O."/>
    <s v="Sandra Rodriguez"/>
    <s v="Jefa Unidad Ciclo Laboral"/>
    <n v="6587696"/>
  </r>
  <r>
    <s v="PC26"/>
    <x v="3"/>
    <s v="1057532-584-PC26"/>
    <s v="Insumos para actividades individuales y grupales con usuarios/as y familiares de UID Newen."/>
    <s v="Camila Roa"/>
    <s v="Coordinadora"/>
    <n v="821208"/>
  </r>
  <r>
    <s v="PC26"/>
    <x v="3"/>
    <s v="1057532-585-PC26"/>
    <s v="Materiales y herramientas de oficina funcionarios Sub Depto."/>
    <s v="CATALINA VERA"/>
    <s v="COORDINADORA EMERGENCIA"/>
    <n v="395496"/>
  </r>
  <r>
    <s v="PC26"/>
    <x v="3"/>
    <s v="1057532-586-PC26"/>
    <s v="COMPRA DE MATERIALES DE OFICINA E INSUMOS DE CAFETERIA PARA DEL SUBDEPTO. DE CULTURA Y CLIMA ORGANIZACIONAL DEL S.S.O."/>
    <s v="Waleska Monsalvez"/>
    <s v="Jefa Subdepto. Cultura Y Clima Organizacional"/>
    <n v="1527348"/>
  </r>
  <r>
    <s v="PC26"/>
    <x v="3"/>
    <s v="1057532-587-PC26"/>
    <s v="INSUMOS PARA EL ORDEN ORPERACION Y DOCUMENTAL DE OFICINA DE PARTES."/>
    <s v="Cristina Collinao"/>
    <s v="Jefatura"/>
    <n v="489000"/>
  </r>
  <r>
    <s v="PC26"/>
    <x v="3"/>
    <s v="1057532-588-PC26"/>
    <s v="Compra Cintas de glicemia + equipos en comodato"/>
    <s v="Fernando Roman"/>
    <s v="Jefe Subdepartamento Farmacia"/>
    <n v="57500000"/>
  </r>
  <r>
    <s v="PC26"/>
    <x v="3"/>
    <s v="1057532-589-PC26"/>
    <s v="EQUIPAMIENTO RESIDENCIAL ? FONDOS PPV"/>
    <s v="Carolina Silva"/>
    <s v="Encargada De Compras"/>
    <n v="11310771"/>
  </r>
  <r>
    <s v="PC26"/>
    <x v="4"/>
    <s v="1057727-2-PC26"/>
    <s v="PAC General Bienestar 2026, se agrupa el total de actividades realizadas por Bienestar SSO."/>
    <s v="Claudia Centeno"/>
    <s v="Cajera"/>
    <n v="156000000"/>
  </r>
  <r>
    <s v="PC26"/>
    <x v="5"/>
    <s v="1180747-10-PC26"/>
    <s v="Consultorías adecuación Diseño PSR Forrahue, etapa 1"/>
    <s v="Mario Barrientos"/>
    <s v="Jefe Subdepto. Diseño De Infraestructura De Salud"/>
    <n v="25000000"/>
  </r>
  <r>
    <s v="PC26"/>
    <x v="5"/>
    <s v="1180747-11-PC26"/>
    <s v="Consultorías adecuación Diseño PSR Forrahue, Etapa 2."/>
    <s v="Mario Barrientos"/>
    <s v="Jefe Subdepto. Diseño De Infraestructura De Salud"/>
    <n v="37000000"/>
  </r>
  <r>
    <s v="PC26"/>
    <x v="5"/>
    <s v="1180747-12-PC26"/>
    <s v="Diseño SAR Puyehue."/>
    <s v="Mario Barrientos"/>
    <s v="Jefe Subdepto. Diseño De Infraestructura De Salud"/>
    <n v="60000000"/>
  </r>
  <r>
    <s v="PC26"/>
    <x v="5"/>
    <s v="1180747-13-PC26"/>
    <s v="CONSTRUCCION SALA DE ACOGIDA INTERCULTURAL (SRUKA) HOSPITAL BASE SAN JOSE, OSORNO"/>
    <s v="Maria Elena Muñoz"/>
    <s v="Jefa (S) Sub. Dpto. De Inversiones De Equipos Y Equipamiento"/>
    <n v="17187000"/>
  </r>
  <r>
    <s v="PC26"/>
    <x v="5"/>
    <s v="1180747-14-PC26"/>
    <s v="REPOSICION CONSULTORIO DE SALUD RURAL BAHIA MANSA, SAN JUAN DE LA COSTA"/>
    <s v="Maria Elena Muñoz"/>
    <s v="Jefa (S) Sub. Dpto. De Inversiones De Equipos Y Equipamiento"/>
    <n v="293779000"/>
  </r>
  <r>
    <s v="PC26"/>
    <x v="5"/>
    <s v="1180747-15-PC26"/>
    <s v="Consultorías adecuación Diseño PSR Cuinco, comuna de San Juan de La Costa."/>
    <s v="Mario Barrientos"/>
    <s v="Jefe Subdepto. Diseño De Infraestructura De Salud"/>
    <n v="37000000"/>
  </r>
  <r>
    <s v="PC26"/>
    <x v="5"/>
    <s v="1180747-16-PC26"/>
    <s v="CONSTRUCCION CECOSF URBANO CHIFIN, COMUNA DE RIO NEGRO"/>
    <s v="Maria Elena Muñoz"/>
    <s v="Jefa (S) Sub. Dpto. De Inversiones De Equipos Y Equipamiento"/>
    <n v="102410000"/>
  </r>
  <r>
    <s v="PC26"/>
    <x v="5"/>
    <s v="1180747-17-PC26"/>
    <s v="Diseño Ampliación CESFAM San Pablo"/>
    <s v="Mario Barrientos"/>
    <s v="Jefe Subdepto. Diseño De Infraestructura De Salud"/>
    <n v="103000000"/>
  </r>
  <r>
    <s v="PC26"/>
    <x v="5"/>
    <s v="1180747-18-PC26"/>
    <s v="CONSTRUCCIÓN POSTA DE SALUD RURAL COSTA RIO BLANCO, COMUNA DE RIO NEGRO"/>
    <s v="Maria Elena Muñoz"/>
    <s v="Jefa (S) Sub. Dpto. De Inversiones De Equipos Y Equipamiento"/>
    <n v="6442000"/>
  </r>
  <r>
    <s v="PC26"/>
    <x v="5"/>
    <s v="1180747-19-PC26"/>
    <s v="ADQUISICION Y REPOSICION EQUIPOS Y EQUIPAMIENTO OTORRINOLARINGOLOGIA HOSPITAL BASE OSORNO"/>
    <s v="Maria Elena Muñoz"/>
    <s v="Jefa (S) Sub. Dpto. De Inversiones De Equipos Y Equipamiento"/>
    <n v="356525000"/>
  </r>
  <r>
    <s v="PC26"/>
    <x v="5"/>
    <s v="1180747-20-PC26"/>
    <s v="Adquisición Equipamiento para evaluación saturación oxigeno en pacientes Piloto Cesación Tabáquica (Oxímetros)"/>
    <s v="Mario Aburto"/>
    <s v="Encargado Programa Prevención Cáncer Pulmonar"/>
    <n v="7200000"/>
  </r>
  <r>
    <s v="PC26"/>
    <x v="5"/>
    <s v="1180747-5-PC26"/>
    <s v="GORE: Apoyo de Rehabilitación Integral e Inclusión Social para niños, niñas y adolescentes con TEA"/>
    <s v="Karin Avila"/>
    <s v="Referente Rehabilitación Integral"/>
    <n v="278615006"/>
  </r>
  <r>
    <s v="PC26"/>
    <x v="5"/>
    <s v="1180747-6-PC26"/>
    <s v="Consultorías adecuación Diseño PSR Coligual, comuna de Purranque."/>
    <s v="Mario Barrientos"/>
    <s v="Jefe Subdepto. Diseño De Infraestructura De Salud"/>
    <n v="37000000"/>
  </r>
  <r>
    <s v="PC26"/>
    <x v="5"/>
    <s v="1180747-7-PC26"/>
    <s v="Consultorías adecuación Diseño PSR Caracol, comuna de San Pablo."/>
    <s v="Mario Barrientos"/>
    <s v="Jefe Subdepto. Diseño De Infraestructura De Salud"/>
    <n v="37000000"/>
  </r>
  <r>
    <s v="PC26"/>
    <x v="5"/>
    <s v="1180747-8-PC26"/>
    <s v="Contratación de visitas de Consultorías de Obra &quot; Mejoramiento Hospital de Río Negro&quot;"/>
    <s v="Gustavo Marin"/>
    <s v="PROFESIONAL"/>
    <n v="3430002"/>
  </r>
  <r>
    <s v="PC26"/>
    <x v="5"/>
    <s v="1180747-9-PC26"/>
    <s v="Consultorías adecuación Diseño PSR Hueyusca, comuna de Purranque."/>
    <s v="Mario Barrientos"/>
    <s v="Jefe Subdepto. Diseño De Infraestructura De Salud"/>
    <n v="37000000"/>
  </r>
  <r>
    <s v="PC26"/>
    <x v="6"/>
    <s v="1057976-10-PC26"/>
    <s v="CONSTRUCCION CESFAM CON SAR CHUYACA OSORNO; CODIGO BIP: 30430122"/>
    <s v="Fernando Wulf"/>
    <s v="Ito"/>
    <n v="525000"/>
  </r>
  <r>
    <s v="PC26"/>
    <x v="6"/>
    <s v="1057976-11-PC26"/>
    <s v="CONSTRUCCION POSTA SALUD RURAL EL PONCHO"/>
    <s v="Gustavo Marin"/>
    <s v="PROFESIONAL"/>
    <n v="1058222000"/>
  </r>
  <r>
    <s v="PC26"/>
    <x v="6"/>
    <s v="1057976-12-PC26"/>
    <s v="REPOSICION POSTA DE SALUD RURAL HUILMA, COMUNA DE RIO NEGRO"/>
    <s v="Gustavo Marin"/>
    <s v="PROFESIONAL"/>
    <n v="916961000"/>
  </r>
  <r>
    <s v="PC26"/>
    <x v="6"/>
    <s v="1057976-13-PC26"/>
    <s v="REPOSICION POSTA DE SALUD RURAL RUPANCO, COMUNA PUERTO OCTAY"/>
    <s v="Gustavo Marin"/>
    <s v="PROFESIONAL"/>
    <n v="888441000"/>
  </r>
  <r>
    <s v="PC26"/>
    <x v="6"/>
    <s v="1057976-14-PC26"/>
    <s v="CONTRATACION DE VISITA DE ESPECIALIDAD DE ARQUITECTURA PARA LA OBRA REPOSICION CESFAM CON SAR RAHUE ALTO."/>
    <s v="Fernando Wulf"/>
    <s v="Fos (S)"/>
    <n v="630000"/>
  </r>
  <r>
    <s v="PC26"/>
    <x v="6"/>
    <s v="1057976-15-PC26"/>
    <s v="Mejoramiento Hospital de Rio Negro(4 LICITACIONES) - Traspaso de año , modificación en emisiones de OC"/>
    <s v="Gustavo Marin"/>
    <s v="PROFESIONAL"/>
    <n v="2075079539"/>
  </r>
  <r>
    <s v="PC26"/>
    <x v="6"/>
    <s v="1057976-2-PC26"/>
    <s v="Diseño nuevo Hospital de Purranque."/>
    <s v="Mario Barrientos"/>
    <s v="Jefe Subdepto. Diseño De Infraestructura De Salud"/>
    <n v="1680000000"/>
  </r>
  <r>
    <s v="PC26"/>
    <x v="6"/>
    <s v="1057976-3-PC26"/>
    <s v="Diseño Centro de Diálisis Municipal, comuna de Osorno."/>
    <s v="Mario Barrientos"/>
    <s v="Jefe Subdepto. Diseño De Infraestructura De Salud"/>
    <n v="80000000"/>
  </r>
  <r>
    <s v="PC26"/>
    <x v="6"/>
    <s v="1057976-4-PC26"/>
    <s v="Consultoría Estudio Preinversional de Reposición Hospital de Alta Complejidad provincia de Osorno"/>
    <s v="Sandra Cardenas"/>
    <s v="Jefa Subdepartamento Estudios De Preinversión"/>
    <n v="250000000"/>
  </r>
  <r>
    <s v="PC26"/>
    <x v="6"/>
    <s v="1057976-5-PC26"/>
    <s v="Diseño SAMU Provincial y Centro de Despacho."/>
    <s v="Mario Barrientos"/>
    <s v="Jefe Subdepto. Diseño De Infraestructura De Salud"/>
    <n v="55000000"/>
  </r>
  <r>
    <s v="PC26"/>
    <x v="6"/>
    <s v="1057976-6-PC26"/>
    <s v="Consultoría Estudio Preinversional Reposición Hospital Hospital de Río Negro"/>
    <s v="Javier Donoso"/>
    <s v="Jefe (S) Subdepartamento De Pre Inversion"/>
    <n v="80000000"/>
  </r>
  <r>
    <s v="PC26"/>
    <x v="6"/>
    <s v="1057976-7-PC26"/>
    <s v="Consultoría Estudio Preinversional Reposición Hospital Hospital de Puerto Octay"/>
    <s v="Javier Donoso"/>
    <s v="Jefe (S) Subdepartamento De Pre Inversion"/>
    <n v="80000000"/>
  </r>
  <r>
    <s v="PC26"/>
    <x v="6"/>
    <s v="1057976-8-PC26"/>
    <s v="Diseño CESFAM Puerto Octay."/>
    <s v="Mario Barrientos"/>
    <s v="Jefe Subdepto. Diseño De Infraestructura De Salud"/>
    <n v="90000000"/>
  </r>
  <r>
    <s v="PC26"/>
    <x v="6"/>
    <s v="1057976-9-PC26"/>
    <s v="Contratación de Visita a Obra 2026 de las Consultorías: Especialidades y Arquitectura Obra CESFAM Bahía Mansa"/>
    <s v="Rodrigo Neira"/>
    <s v="Itos"/>
    <n v="9814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1056F6-AB7B-412C-A91C-B5B7B0D263D3}" name="TablaDinámica17"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Unidad de Compra">
  <location ref="A3:C11" firstHeaderRow="0" firstDataRow="1" firstDataCol="1"/>
  <pivotFields count="7">
    <pivotField dataField="1" showAll="0"/>
    <pivotField axis="axisRow" showAll="0">
      <items count="8">
        <item x="3"/>
        <item x="1"/>
        <item x="2"/>
        <item x="4"/>
        <item x="5"/>
        <item x="6"/>
        <item n="Proyectos de Arrastre" x="0"/>
        <item t="default"/>
      </items>
    </pivotField>
    <pivotField showAll="0"/>
    <pivotField showAll="0"/>
    <pivotField showAll="0"/>
    <pivotField showAll="0"/>
    <pivotField dataField="1" numFmtId="42" showAll="0"/>
  </pivotFields>
  <rowFields count="1">
    <field x="1"/>
  </rowFields>
  <rowItems count="8">
    <i>
      <x/>
    </i>
    <i>
      <x v="1"/>
    </i>
    <i>
      <x v="2"/>
    </i>
    <i>
      <x v="3"/>
    </i>
    <i>
      <x v="4"/>
    </i>
    <i>
      <x v="5"/>
    </i>
    <i>
      <x v="6"/>
    </i>
    <i t="grand">
      <x/>
    </i>
  </rowItems>
  <colFields count="1">
    <field x="-2"/>
  </colFields>
  <colItems count="2">
    <i>
      <x/>
    </i>
    <i i="1">
      <x v="1"/>
    </i>
  </colItems>
  <dataFields count="2">
    <dataField name="Proyectos" fld="0" subtotal="count" baseField="0" baseItem="0"/>
    <dataField name="Monto" fld="6" baseField="0" baseItem="0" numFmtId="42"/>
  </dataFields>
  <formats count="2">
    <format dxfId="6">
      <pivotArea outline="0" collapsedLevelsAreSubtotals="1" fieldPosition="0"/>
    </format>
    <format dxfId="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E2C112-71D1-40C1-B945-CE3D9CAEA2D3}" name="TablaDinámica3" cacheId="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L707" firstHeaderRow="1" firstDataRow="1" firstDataCol="11"/>
  <pivotFields count="31">
    <pivotField compact="0" outline="0" showAll="0">
      <extLst>
        <ext xmlns:x14="http://schemas.microsoft.com/office/spreadsheetml/2009/9/main" uri="{2946ED86-A175-432a-8AC1-64E0C546D7DE}">
          <x14:pivotField fillDownLabels="1"/>
        </ext>
      </extLst>
    </pivotField>
    <pivotField axis="axisRow" compact="0" outline="0" showAll="0" defaultSubtotal="0">
      <items count="6">
        <item x="4"/>
        <item x="1"/>
        <item x="0"/>
        <item x="2"/>
        <item x="3"/>
        <item x="5"/>
      </items>
      <extLst>
        <ext xmlns:x14="http://schemas.microsoft.com/office/spreadsheetml/2009/9/main" uri="{2946ED86-A175-432a-8AC1-64E0C546D7DE}">
          <x14:pivotField fillDownLabels="1"/>
        </ext>
      </extLst>
    </pivotField>
    <pivotField axis="axisRow" compact="0" outline="0" showAll="0" defaultSubtotal="0">
      <items count="393">
        <item x="0"/>
        <item x="21"/>
        <item x="1"/>
        <item x="22"/>
        <item x="23"/>
        <item x="14"/>
        <item x="15"/>
        <item x="16"/>
        <item x="2"/>
        <item x="17"/>
        <item x="18"/>
        <item x="19"/>
        <item x="64"/>
        <item x="65"/>
        <item x="66"/>
        <item x="67"/>
        <item x="68"/>
        <item x="69"/>
        <item x="70"/>
        <item x="71"/>
        <item x="4"/>
        <item x="3"/>
        <item x="5"/>
        <item x="6"/>
        <item x="72"/>
        <item x="7"/>
        <item x="73"/>
        <item x="8"/>
        <item x="74"/>
        <item x="9"/>
        <item x="75"/>
        <item x="76"/>
        <item x="78"/>
        <item x="80"/>
        <item x="83"/>
        <item x="85"/>
        <item x="10"/>
        <item x="86"/>
        <item x="87"/>
        <item x="88"/>
        <item x="11"/>
        <item x="89"/>
        <item x="92"/>
        <item x="12"/>
        <item x="95"/>
        <item x="97"/>
        <item x="99"/>
        <item x="104"/>
        <item x="105"/>
        <item x="107"/>
        <item x="108"/>
        <item x="109"/>
        <item x="114"/>
        <item x="115"/>
        <item x="116"/>
        <item x="117"/>
        <item x="118"/>
        <item x="119"/>
        <item x="120"/>
        <item x="121"/>
        <item x="122"/>
        <item x="125"/>
        <item x="127"/>
        <item x="13"/>
        <item x="128"/>
        <item x="129"/>
        <item x="130"/>
        <item x="131"/>
        <item x="132"/>
        <item x="133"/>
        <item x="134"/>
        <item x="135"/>
        <item x="136"/>
        <item x="137"/>
        <item x="138"/>
        <item x="139"/>
        <item x="140"/>
        <item x="141"/>
        <item x="142"/>
        <item x="143"/>
        <item x="24"/>
        <item x="144"/>
        <item x="25"/>
        <item x="145"/>
        <item x="26"/>
        <item x="146"/>
        <item x="27"/>
        <item x="147"/>
        <item x="28"/>
        <item x="148"/>
        <item x="29"/>
        <item x="149"/>
        <item x="31"/>
        <item x="151"/>
        <item x="32"/>
        <item x="152"/>
        <item x="33"/>
        <item x="153"/>
        <item x="34"/>
        <item x="35"/>
        <item x="156"/>
        <item x="36"/>
        <item x="157"/>
        <item x="37"/>
        <item x="159"/>
        <item x="38"/>
        <item x="160"/>
        <item x="161"/>
        <item x="162"/>
        <item x="39"/>
        <item x="163"/>
        <item x="40"/>
        <item x="164"/>
        <item x="41"/>
        <item x="165"/>
        <item x="42"/>
        <item x="166"/>
        <item x="43"/>
        <item x="167"/>
        <item x="45"/>
        <item x="168"/>
        <item x="46"/>
        <item x="169"/>
        <item x="47"/>
        <item x="170"/>
        <item x="48"/>
        <item x="171"/>
        <item x="49"/>
        <item x="172"/>
        <item x="50"/>
        <item x="173"/>
        <item x="51"/>
        <item x="176"/>
        <item x="52"/>
        <item x="53"/>
        <item x="177"/>
        <item x="55"/>
        <item x="179"/>
        <item x="56"/>
        <item x="180"/>
        <item x="57"/>
        <item x="181"/>
        <item x="185"/>
        <item x="186"/>
        <item x="187"/>
        <item x="188"/>
        <item x="189"/>
        <item x="58"/>
        <item x="190"/>
        <item x="192"/>
        <item x="193"/>
        <item x="194"/>
        <item x="196"/>
        <item x="211"/>
        <item x="228"/>
        <item x="231"/>
        <item x="232"/>
        <item x="233"/>
        <item x="234"/>
        <item x="235"/>
        <item x="236"/>
        <item x="237"/>
        <item x="238"/>
        <item x="239"/>
        <item x="240"/>
        <item x="241"/>
        <item x="242"/>
        <item x="243"/>
        <item x="244"/>
        <item x="246"/>
        <item x="247"/>
        <item x="248"/>
        <item x="249"/>
        <item x="251"/>
        <item x="252"/>
        <item x="253"/>
        <item x="254"/>
        <item x="255"/>
        <item x="256"/>
        <item x="257"/>
        <item x="258"/>
        <item x="259"/>
        <item x="260"/>
        <item x="261"/>
        <item x="262"/>
        <item x="263"/>
        <item x="264"/>
        <item x="265"/>
        <item x="266"/>
        <item x="267"/>
        <item x="268"/>
        <item x="270"/>
        <item x="271"/>
        <item x="273"/>
        <item x="274"/>
        <item x="275"/>
        <item x="276"/>
        <item x="278"/>
        <item x="279"/>
        <item x="280"/>
        <item x="281"/>
        <item x="286"/>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4"/>
        <item x="325"/>
        <item x="326"/>
        <item x="327"/>
        <item x="328"/>
        <item x="329"/>
        <item x="330"/>
        <item x="331"/>
        <item x="332"/>
        <item x="333"/>
        <item x="334"/>
        <item x="335"/>
        <item x="336"/>
        <item x="338"/>
        <item x="339"/>
        <item x="340"/>
        <item x="341"/>
        <item x="342"/>
        <item x="343"/>
        <item x="344"/>
        <item x="345"/>
        <item x="346"/>
        <item x="347"/>
        <item x="348"/>
        <item x="349"/>
        <item x="350"/>
        <item x="352"/>
        <item x="353"/>
        <item x="354"/>
        <item x="355"/>
        <item x="356"/>
        <item x="357"/>
        <item x="358"/>
        <item x="359"/>
        <item x="360"/>
        <item x="361"/>
        <item x="362"/>
        <item x="365"/>
        <item x="366"/>
        <item x="367"/>
        <item x="369"/>
        <item x="370"/>
        <item x="371"/>
        <item x="373"/>
        <item x="375"/>
        <item x="376"/>
        <item x="378"/>
        <item x="380"/>
        <item x="381"/>
        <item x="383"/>
        <item x="384"/>
        <item x="385"/>
        <item x="387"/>
        <item x="388"/>
        <item x="389"/>
        <item x="390"/>
        <item x="392"/>
        <item x="20"/>
        <item x="59"/>
        <item x="219"/>
        <item x="224"/>
        <item x="225"/>
        <item x="227"/>
        <item x="229"/>
        <item x="245"/>
        <item x="250"/>
        <item x="277"/>
        <item x="287"/>
        <item x="364"/>
        <item x="368"/>
        <item x="377"/>
        <item x="382"/>
        <item x="191"/>
        <item x="200"/>
        <item x="201"/>
        <item x="212"/>
        <item x="213"/>
        <item x="210"/>
        <item x="220"/>
        <item x="221"/>
        <item x="222"/>
        <item x="226"/>
        <item x="337"/>
        <item x="202"/>
        <item x="203"/>
        <item x="204"/>
        <item x="205"/>
        <item x="206"/>
        <item x="207"/>
        <item x="208"/>
        <item x="209"/>
        <item x="269"/>
        <item x="272"/>
        <item x="282"/>
        <item x="283"/>
        <item x="284"/>
        <item x="285"/>
        <item x="351"/>
        <item x="363"/>
        <item x="372"/>
        <item x="374"/>
        <item x="379"/>
        <item x="386"/>
        <item x="391"/>
        <item x="30"/>
        <item x="44"/>
        <item x="54"/>
        <item x="60"/>
        <item x="62"/>
        <item x="63"/>
        <item x="77"/>
        <item x="79"/>
        <item x="81"/>
        <item x="82"/>
        <item x="84"/>
        <item x="90"/>
        <item x="91"/>
        <item x="93"/>
        <item x="94"/>
        <item x="96"/>
        <item x="98"/>
        <item x="100"/>
        <item x="101"/>
        <item x="106"/>
        <item x="110"/>
        <item x="111"/>
        <item x="112"/>
        <item x="113"/>
        <item x="123"/>
        <item x="124"/>
        <item x="126"/>
        <item x="150"/>
        <item x="154"/>
        <item x="155"/>
        <item x="158"/>
        <item x="174"/>
        <item x="175"/>
        <item x="178"/>
        <item x="182"/>
        <item x="195"/>
        <item x="197"/>
        <item x="198"/>
        <item x="199"/>
        <item x="214"/>
        <item x="215"/>
        <item x="216"/>
        <item x="217"/>
        <item x="218"/>
        <item x="223"/>
        <item x="230"/>
        <item x="323"/>
        <item x="61"/>
        <item x="102"/>
        <item x="103"/>
        <item x="183"/>
        <item x="184"/>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385">
        <item x="277"/>
        <item x="166"/>
        <item x="71"/>
        <item x="73"/>
        <item x="272"/>
        <item x="308"/>
        <item x="243"/>
        <item x="310"/>
        <item x="108"/>
        <item x="374"/>
        <item x="68"/>
        <item x="69"/>
        <item x="305"/>
        <item x="306"/>
        <item x="299"/>
        <item x="311"/>
        <item x="170"/>
        <item x="347"/>
        <item x="265"/>
        <item x="171"/>
        <item x="315"/>
        <item x="362"/>
        <item x="244"/>
        <item x="368"/>
        <item x="195"/>
        <item x="319"/>
        <item x="233"/>
        <item x="342"/>
        <item x="85"/>
        <item x="64"/>
        <item x="363"/>
        <item x="256"/>
        <item x="84"/>
        <item x="253"/>
        <item x="344"/>
        <item x="349"/>
        <item x="288"/>
        <item x="275"/>
        <item x="251"/>
        <item x="322"/>
        <item x="61"/>
        <item x="282"/>
        <item x="286"/>
        <item x="174"/>
        <item x="351"/>
        <item x="331"/>
        <item x="350"/>
        <item x="318"/>
        <item x="369"/>
        <item x="348"/>
        <item x="358"/>
        <item x="248"/>
        <item x="129"/>
        <item x="302"/>
        <item x="301"/>
        <item x="278"/>
        <item x="274"/>
        <item x="298"/>
        <item x="316"/>
        <item x="231"/>
        <item x="164"/>
        <item x="175"/>
        <item x="80"/>
        <item x="280"/>
        <item x="263"/>
        <item x="383"/>
        <item x="260"/>
        <item x="281"/>
        <item x="270"/>
        <item x="361"/>
        <item x="264"/>
        <item x="186"/>
        <item x="370"/>
        <item x="117"/>
        <item x="127"/>
        <item x="291"/>
        <item x="75"/>
        <item x="360"/>
        <item x="266"/>
        <item x="76"/>
        <item x="83"/>
        <item x="78"/>
        <item x="261"/>
        <item x="254"/>
        <item x="371"/>
        <item x="102"/>
        <item x="112"/>
        <item x="113"/>
        <item x="124"/>
        <item x="382"/>
        <item x="192"/>
        <item x="321"/>
        <item x="90"/>
        <item x="100"/>
        <item x="289"/>
        <item x="353"/>
        <item x="276"/>
        <item x="380"/>
        <item x="376"/>
        <item x="340"/>
        <item x="194"/>
        <item x="94"/>
        <item x="193"/>
        <item x="115"/>
        <item x="66"/>
        <item x="67"/>
        <item x="345"/>
        <item x="355"/>
        <item x="232"/>
        <item x="165"/>
        <item x="327"/>
        <item x="241"/>
        <item x="218"/>
        <item x="211"/>
        <item x="202"/>
        <item x="226"/>
        <item x="133"/>
        <item x="307"/>
        <item x="224"/>
        <item x="221"/>
        <item x="215"/>
        <item x="205"/>
        <item x="208"/>
        <item x="207"/>
        <item x="104"/>
        <item x="103"/>
        <item x="217"/>
        <item x="198"/>
        <item x="199"/>
        <item x="185"/>
        <item x="333"/>
        <item x="210"/>
        <item x="227"/>
        <item x="184"/>
        <item x="167"/>
        <item x="373"/>
        <item x="5"/>
        <item x="6"/>
        <item x="88"/>
        <item x="86"/>
        <item x="4"/>
        <item x="46"/>
        <item x="45"/>
        <item x="20"/>
        <item x="19"/>
        <item x="18"/>
        <item x="79"/>
        <item x="27"/>
        <item x="39"/>
        <item x="59"/>
        <item x="29"/>
        <item x="15"/>
        <item x="14"/>
        <item x="42"/>
        <item x="47"/>
        <item x="10"/>
        <item x="41"/>
        <item x="126"/>
        <item x="54"/>
        <item x="154"/>
        <item x="153"/>
        <item x="52"/>
        <item x="178"/>
        <item x="24"/>
        <item x="121"/>
        <item x="49"/>
        <item x="236"/>
        <item x="352"/>
        <item x="354"/>
        <item x="357"/>
        <item x="51"/>
        <item x="53"/>
        <item x="38"/>
        <item x="23"/>
        <item x="56"/>
        <item x="169"/>
        <item x="8"/>
        <item x="22"/>
        <item x="50"/>
        <item x="26"/>
        <item x="35"/>
        <item x="25"/>
        <item x="30"/>
        <item x="28"/>
        <item x="40"/>
        <item x="37"/>
        <item x="55"/>
        <item x="16"/>
        <item x="9"/>
        <item x="32"/>
        <item x="33"/>
        <item x="43"/>
        <item x="17"/>
        <item x="44"/>
        <item x="31"/>
        <item x="34"/>
        <item x="58"/>
        <item x="57"/>
        <item x="7"/>
        <item x="12"/>
        <item x="48"/>
        <item x="11"/>
        <item x="293"/>
        <item x="36"/>
        <item x="13"/>
        <item x="197"/>
        <item x="181"/>
        <item x="110"/>
        <item x="182"/>
        <item x="219"/>
        <item x="204"/>
        <item x="209"/>
        <item x="203"/>
        <item x="206"/>
        <item x="200"/>
        <item x="172"/>
        <item x="324"/>
        <item x="242"/>
        <item x="212"/>
        <item x="378"/>
        <item x="258"/>
        <item x="245"/>
        <item x="246"/>
        <item x="268"/>
        <item x="384"/>
        <item x="259"/>
        <item x="292"/>
        <item x="116"/>
        <item x="297"/>
        <item x="372"/>
        <item x="335"/>
        <item x="329"/>
        <item x="168"/>
        <item x="176"/>
        <item x="62"/>
        <item x="225"/>
        <item x="139"/>
        <item x="70"/>
        <item x="325"/>
        <item x="303"/>
        <item x="173"/>
        <item x="314"/>
        <item x="125"/>
        <item x="105"/>
        <item x="137"/>
        <item x="336"/>
        <item x="95"/>
        <item x="91"/>
        <item x="120"/>
        <item x="279"/>
        <item x="271"/>
        <item x="89"/>
        <item x="334"/>
        <item x="180"/>
        <item x="163"/>
        <item x="106"/>
        <item x="287"/>
        <item x="92"/>
        <item x="130"/>
        <item x="341"/>
        <item x="188"/>
        <item x="187"/>
        <item x="377"/>
        <item x="179"/>
        <item x="328"/>
        <item x="273"/>
        <item x="381"/>
        <item x="375"/>
        <item x="339"/>
        <item x="74"/>
        <item x="252"/>
        <item x="114"/>
        <item x="155"/>
        <item x="156"/>
        <item x="99"/>
        <item x="82"/>
        <item x="157"/>
        <item x="158"/>
        <item x="159"/>
        <item x="109"/>
        <item x="183"/>
        <item x="249"/>
        <item x="77"/>
        <item x="72"/>
        <item x="134"/>
        <item x="237"/>
        <item x="149"/>
        <item x="21"/>
        <item x="177"/>
        <item x="294"/>
        <item x="295"/>
        <item x="65"/>
        <item x="234"/>
        <item x="235"/>
        <item x="119"/>
        <item x="132"/>
        <item x="136"/>
        <item x="141"/>
        <item x="140"/>
        <item x="143"/>
        <item x="239"/>
        <item x="147"/>
        <item x="148"/>
        <item x="296"/>
        <item x="189"/>
        <item x="313"/>
        <item x="161"/>
        <item x="285"/>
        <item x="152"/>
        <item x="283"/>
        <item x="240"/>
        <item x="343"/>
        <item x="379"/>
        <item x="128"/>
        <item x="238"/>
        <item x="332"/>
        <item x="190"/>
        <item x="150"/>
        <item x="337"/>
        <item x="122"/>
        <item x="330"/>
        <item x="338"/>
        <item x="60"/>
        <item x="98"/>
        <item x="290"/>
        <item x="135"/>
        <item x="312"/>
        <item x="300"/>
        <item x="123"/>
        <item x="213"/>
        <item x="63"/>
        <item x="151"/>
        <item x="257"/>
        <item x="262"/>
        <item x="93"/>
        <item x="359"/>
        <item x="160"/>
        <item x="255"/>
        <item x="146"/>
        <item x="364"/>
        <item x="138"/>
        <item x="284"/>
        <item x="220"/>
        <item x="216"/>
        <item x="222"/>
        <item x="214"/>
        <item x="223"/>
        <item x="250"/>
        <item x="87"/>
        <item x="81"/>
        <item x="317"/>
        <item x="323"/>
        <item x="356"/>
        <item x="269"/>
        <item x="267"/>
        <item x="309"/>
        <item x="1"/>
        <item x="0"/>
        <item x="201"/>
        <item x="2"/>
        <item x="3"/>
        <item x="191"/>
        <item x="304"/>
        <item x="230"/>
        <item x="228"/>
        <item x="145"/>
        <item x="144"/>
        <item x="366"/>
        <item x="107"/>
        <item x="346"/>
        <item x="97"/>
        <item x="367"/>
        <item x="365"/>
        <item x="101"/>
        <item x="196"/>
        <item x="320"/>
        <item x="142"/>
        <item x="96"/>
        <item x="326"/>
        <item x="247"/>
        <item x="118"/>
        <item x="229"/>
        <item x="162"/>
        <item x="111"/>
        <item x="131"/>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2">
        <item x="1"/>
        <item x="0"/>
        <item x="5"/>
        <item x="6"/>
        <item x="7"/>
        <item x="4"/>
        <item x="8"/>
        <item x="3"/>
        <item x="9"/>
        <item x="11"/>
        <item x="2"/>
        <item x="10"/>
      </items>
      <extLst>
        <ext xmlns:x14="http://schemas.microsoft.com/office/spreadsheetml/2009/9/main" uri="{2946ED86-A175-432a-8AC1-64E0C546D7DE}">
          <x14:pivotField fillDownLabels="1"/>
        </ext>
      </extLst>
    </pivotField>
    <pivotField axis="axisRow" compact="0" outline="0" showAll="0" defaultSubtotal="0">
      <items count="357">
        <item x="177"/>
        <item x="306"/>
        <item x="349"/>
        <item x="239"/>
        <item x="217"/>
        <item x="310"/>
        <item x="216"/>
        <item x="31"/>
        <item x="58"/>
        <item x="82"/>
        <item x="78"/>
        <item x="279"/>
        <item x="146"/>
        <item x="172"/>
        <item x="325"/>
        <item x="319"/>
        <item x="193"/>
        <item x="129"/>
        <item x="152"/>
        <item x="61"/>
        <item x="45"/>
        <item x="37"/>
        <item x="62"/>
        <item x="211"/>
        <item x="258"/>
        <item x="242"/>
        <item x="286"/>
        <item x="288"/>
        <item x="316"/>
        <item x="320"/>
        <item x="312"/>
        <item x="267"/>
        <item x="308"/>
        <item x="165"/>
        <item x="240"/>
        <item x="276"/>
        <item x="213"/>
        <item x="194"/>
        <item x="280"/>
        <item x="12"/>
        <item x="313"/>
        <item x="40"/>
        <item x="304"/>
        <item x="198"/>
        <item x="272"/>
        <item x="207"/>
        <item x="253"/>
        <item x="235"/>
        <item x="90"/>
        <item x="175"/>
        <item x="311"/>
        <item x="303"/>
        <item x="219"/>
        <item x="298"/>
        <item x="96"/>
        <item x="105"/>
        <item x="128"/>
        <item x="236"/>
        <item x="32"/>
        <item x="93"/>
        <item x="212"/>
        <item x="278"/>
        <item x="86"/>
        <item x="220"/>
        <item x="173"/>
        <item x="352"/>
        <item x="195"/>
        <item x="141"/>
        <item x="332"/>
        <item x="145"/>
        <item x="266"/>
        <item x="336"/>
        <item x="148"/>
        <item x="189"/>
        <item x="196"/>
        <item x="180"/>
        <item x="178"/>
        <item x="201"/>
        <item x="48"/>
        <item x="137"/>
        <item x="52"/>
        <item x="185"/>
        <item x="97"/>
        <item x="203"/>
        <item x="333"/>
        <item x="1"/>
        <item x="44"/>
        <item x="34"/>
        <item x="144"/>
        <item x="121"/>
        <item x="35"/>
        <item x="300"/>
        <item x="47"/>
        <item x="254"/>
        <item x="59"/>
        <item x="49"/>
        <item x="92"/>
        <item x="205"/>
        <item x="132"/>
        <item x="265"/>
        <item x="290"/>
        <item x="135"/>
        <item x="268"/>
        <item x="346"/>
        <item x="227"/>
        <item x="285"/>
        <item x="322"/>
        <item x="269"/>
        <item x="299"/>
        <item x="293"/>
        <item x="294"/>
        <item x="214"/>
        <item x="147"/>
        <item x="159"/>
        <item x="282"/>
        <item x="202"/>
        <item x="26"/>
        <item x="16"/>
        <item x="15"/>
        <item x="91"/>
        <item x="184"/>
        <item x="65"/>
        <item x="187"/>
        <item x="139"/>
        <item x="241"/>
        <item x="18"/>
        <item x="14"/>
        <item x="345"/>
        <item x="223"/>
        <item x="344"/>
        <item x="317"/>
        <item x="222"/>
        <item x="228"/>
        <item x="162"/>
        <item x="331"/>
        <item x="231"/>
        <item x="53"/>
        <item x="225"/>
        <item x="243"/>
        <item x="98"/>
        <item x="289"/>
        <item x="110"/>
        <item x="55"/>
        <item x="54"/>
        <item x="104"/>
        <item x="142"/>
        <item x="161"/>
        <item x="17"/>
        <item x="337"/>
        <item x="114"/>
        <item x="208"/>
        <item x="338"/>
        <item x="328"/>
        <item x="42"/>
        <item x="41"/>
        <item x="77"/>
        <item x="76"/>
        <item x="19"/>
        <item x="64"/>
        <item x="226"/>
        <item x="296"/>
        <item x="297"/>
        <item x="134"/>
        <item x="122"/>
        <item x="11"/>
        <item x="158"/>
        <item x="89"/>
        <item x="101"/>
        <item x="270"/>
        <item x="81"/>
        <item x="143"/>
        <item x="229"/>
        <item x="176"/>
        <item x="329"/>
        <item x="301"/>
        <item x="252"/>
        <item x="160"/>
        <item x="66"/>
        <item x="255"/>
        <item x="260"/>
        <item x="199"/>
        <item x="75"/>
        <item x="244"/>
        <item x="182"/>
        <item x="72"/>
        <item x="151"/>
        <item x="210"/>
        <item x="261"/>
        <item x="256"/>
        <item x="283"/>
        <item x="209"/>
        <item x="74"/>
        <item x="237"/>
        <item x="20"/>
        <item x="68"/>
        <item x="46"/>
        <item x="22"/>
        <item x="157"/>
        <item x="246"/>
        <item x="21"/>
        <item x="154"/>
        <item x="24"/>
        <item x="23"/>
        <item x="118"/>
        <item x="155"/>
        <item x="156"/>
        <item x="6"/>
        <item x="188"/>
        <item x="341"/>
        <item x="327"/>
        <item x="284"/>
        <item x="94"/>
        <item x="263"/>
        <item x="43"/>
        <item x="112"/>
        <item x="111"/>
        <item x="309"/>
        <item x="116"/>
        <item x="318"/>
        <item x="230"/>
        <item x="103"/>
        <item x="109"/>
        <item x="192"/>
        <item x="67"/>
        <item x="281"/>
        <item x="339"/>
        <item x="206"/>
        <item x="125"/>
        <item x="348"/>
        <item x="25"/>
        <item x="233"/>
        <item x="113"/>
        <item x="127"/>
        <item x="107"/>
        <item x="215"/>
        <item x="170"/>
        <item x="190"/>
        <item x="28"/>
        <item x="138"/>
        <item x="27"/>
        <item x="108"/>
        <item x="234"/>
        <item x="57"/>
        <item x="264"/>
        <item x="56"/>
        <item x="73"/>
        <item x="224"/>
        <item x="351"/>
        <item x="355"/>
        <item x="354"/>
        <item x="262"/>
        <item x="131"/>
        <item x="140"/>
        <item x="87"/>
        <item x="115"/>
        <item x="250"/>
        <item x="168"/>
        <item x="30"/>
        <item x="136"/>
        <item x="106"/>
        <item x="249"/>
        <item x="124"/>
        <item x="247"/>
        <item x="330"/>
        <item x="277"/>
        <item x="79"/>
        <item x="326"/>
        <item x="221"/>
        <item x="271"/>
        <item x="179"/>
        <item x="248"/>
        <item x="204"/>
        <item x="130"/>
        <item x="353"/>
        <item x="291"/>
        <item x="166"/>
        <item x="350"/>
        <item x="95"/>
        <item x="238"/>
        <item x="39"/>
        <item x="83"/>
        <item x="51"/>
        <item x="126"/>
        <item x="245"/>
        <item x="50"/>
        <item x="5"/>
        <item x="99"/>
        <item x="100"/>
        <item x="169"/>
        <item x="164"/>
        <item x="257"/>
        <item x="119"/>
        <item x="4"/>
        <item x="80"/>
        <item x="197"/>
        <item x="305"/>
        <item x="69"/>
        <item x="102"/>
        <item x="38"/>
        <item x="149"/>
        <item x="3"/>
        <item x="63"/>
        <item x="153"/>
        <item x="0"/>
        <item x="340"/>
        <item x="275"/>
        <item x="10"/>
        <item x="33"/>
        <item x="60"/>
        <item x="334"/>
        <item x="273"/>
        <item x="13"/>
        <item x="7"/>
        <item x="123"/>
        <item x="302"/>
        <item x="335"/>
        <item x="321"/>
        <item x="186"/>
        <item x="183"/>
        <item x="218"/>
        <item x="342"/>
        <item x="167"/>
        <item x="2"/>
        <item x="171"/>
        <item x="29"/>
        <item x="9"/>
        <item x="71"/>
        <item x="8"/>
        <item x="181"/>
        <item x="274"/>
        <item x="150"/>
        <item x="200"/>
        <item x="343"/>
        <item x="307"/>
        <item x="259"/>
        <item x="85"/>
        <item x="347"/>
        <item x="324"/>
        <item x="70"/>
        <item x="84"/>
        <item x="251"/>
        <item x="88"/>
        <item x="292"/>
        <item x="117"/>
        <item x="323"/>
        <item x="315"/>
        <item x="314"/>
        <item x="133"/>
        <item x="287"/>
        <item x="36"/>
        <item x="295"/>
        <item x="174"/>
        <item x="356"/>
        <item x="232"/>
        <item x="120"/>
        <item x="163"/>
        <item x="191"/>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42" outline="0" showAll="0" defaultSubtotal="0">
      <items count="483">
        <item x="119"/>
        <item x="157"/>
        <item x="470"/>
        <item x="241"/>
        <item x="366"/>
        <item x="383"/>
        <item x="117"/>
        <item x="351"/>
        <item x="445"/>
        <item x="459"/>
        <item x="472"/>
        <item x="200"/>
        <item x="164"/>
        <item x="407"/>
        <item x="457"/>
        <item x="246"/>
        <item x="240"/>
        <item x="432"/>
        <item x="229"/>
        <item x="169"/>
        <item x="391"/>
        <item x="210"/>
        <item x="433"/>
        <item x="358"/>
        <item x="378"/>
        <item x="447"/>
        <item x="114"/>
        <item x="473"/>
        <item x="475"/>
        <item x="406"/>
        <item x="204"/>
        <item x="155"/>
        <item x="463"/>
        <item x="357"/>
        <item x="81"/>
        <item x="403"/>
        <item x="460"/>
        <item x="446"/>
        <item x="217"/>
        <item x="344"/>
        <item x="203"/>
        <item x="165"/>
        <item x="245"/>
        <item x="436"/>
        <item x="471"/>
        <item x="131"/>
        <item x="379"/>
        <item x="346"/>
        <item x="94"/>
        <item x="133"/>
        <item x="355"/>
        <item x="426"/>
        <item x="172"/>
        <item x="158"/>
        <item x="160"/>
        <item x="329"/>
        <item x="350"/>
        <item x="385"/>
        <item x="402"/>
        <item x="396"/>
        <item x="416"/>
        <item x="138"/>
        <item x="367"/>
        <item x="387"/>
        <item x="444"/>
        <item x="244"/>
        <item x="292"/>
        <item x="154"/>
        <item x="319"/>
        <item x="461"/>
        <item x="207"/>
        <item x="206"/>
        <item x="393"/>
        <item x="113"/>
        <item x="377"/>
        <item x="359"/>
        <item x="418"/>
        <item x="136"/>
        <item x="330"/>
        <item x="419"/>
        <item x="414"/>
        <item x="173"/>
        <item x="388"/>
        <item x="437"/>
        <item x="218"/>
        <item x="427"/>
        <item x="243"/>
        <item x="159"/>
        <item x="111"/>
        <item x="399"/>
        <item x="232"/>
        <item x="109"/>
        <item x="435"/>
        <item x="430"/>
        <item x="139"/>
        <item x="363"/>
        <item x="408"/>
        <item x="400"/>
        <item x="118"/>
        <item x="398"/>
        <item x="95"/>
        <item x="88"/>
        <item x="439"/>
        <item x="228"/>
        <item x="443"/>
        <item x="464"/>
        <item x="334"/>
        <item x="411"/>
        <item x="202"/>
        <item x="450"/>
        <item x="280"/>
        <item x="141"/>
        <item x="386"/>
        <item x="166"/>
        <item x="242"/>
        <item x="163"/>
        <item x="390"/>
        <item x="465"/>
        <item x="116"/>
        <item x="360"/>
        <item x="192"/>
        <item x="183"/>
        <item x="102"/>
        <item x="455"/>
        <item x="103"/>
        <item x="356"/>
        <item x="434"/>
        <item x="93"/>
        <item x="410"/>
        <item x="198"/>
        <item x="338"/>
        <item x="305"/>
        <item x="481"/>
        <item x="382"/>
        <item x="364"/>
        <item x="409"/>
        <item x="392"/>
        <item x="122"/>
        <item x="381"/>
        <item x="307"/>
        <item x="420"/>
        <item x="449"/>
        <item x="477"/>
        <item x="137"/>
        <item x="121"/>
        <item x="428"/>
        <item x="297"/>
        <item x="295"/>
        <item x="195"/>
        <item x="380"/>
        <item x="115"/>
        <item x="100"/>
        <item x="28"/>
        <item x="365"/>
        <item x="482"/>
        <item x="97"/>
        <item x="289"/>
        <item x="231"/>
        <item x="394"/>
        <item x="453"/>
        <item x="197"/>
        <item x="129"/>
        <item x="194"/>
        <item x="352"/>
        <item x="135"/>
        <item x="96"/>
        <item x="412"/>
        <item x="214"/>
        <item x="315"/>
        <item x="189"/>
        <item x="161"/>
        <item x="91"/>
        <item x="87"/>
        <item x="452"/>
        <item x="454"/>
        <item x="397"/>
        <item x="456"/>
        <item x="182"/>
        <item x="193"/>
        <item x="341"/>
        <item x="480"/>
        <item x="339"/>
        <item x="130"/>
        <item x="196"/>
        <item x="368"/>
        <item x="478"/>
        <item x="79"/>
        <item x="438"/>
        <item x="462"/>
        <item x="101"/>
        <item x="421"/>
        <item x="201"/>
        <item x="306"/>
        <item x="451"/>
        <item x="429"/>
        <item x="104"/>
        <item x="302"/>
        <item x="127"/>
        <item x="225"/>
        <item x="224"/>
        <item x="448"/>
        <item x="333"/>
        <item x="389"/>
        <item x="168"/>
        <item x="215"/>
        <item x="167"/>
        <item x="424"/>
        <item x="128"/>
        <item x="474"/>
        <item x="170"/>
        <item x="298"/>
        <item x="318"/>
        <item x="86"/>
        <item x="125"/>
        <item x="106"/>
        <item x="284"/>
        <item x="441"/>
        <item x="98"/>
        <item x="43"/>
        <item x="303"/>
        <item x="479"/>
        <item x="185"/>
        <item x="300"/>
        <item x="353"/>
        <item x="323"/>
        <item x="369"/>
        <item x="126"/>
        <item x="405"/>
        <item x="376"/>
        <item x="335"/>
        <item x="107"/>
        <item x="216"/>
        <item x="143"/>
        <item x="286"/>
        <item x="77"/>
        <item x="199"/>
        <item x="48"/>
        <item x="301"/>
        <item x="235"/>
        <item x="425"/>
        <item x="110"/>
        <item x="105"/>
        <item x="211"/>
        <item x="325"/>
        <item x="89"/>
        <item x="293"/>
        <item x="476"/>
        <item x="233"/>
        <item x="148"/>
        <item x="354"/>
        <item x="431"/>
        <item x="440"/>
        <item x="146"/>
        <item x="296"/>
        <item x="149"/>
        <item x="75"/>
        <item x="422"/>
        <item x="442"/>
        <item x="287"/>
        <item x="234"/>
        <item x="227"/>
        <item x="413"/>
        <item x="283"/>
        <item x="140"/>
        <item x="469"/>
        <item x="320"/>
        <item x="321"/>
        <item x="44"/>
        <item x="340"/>
        <item x="291"/>
        <item x="45"/>
        <item x="156"/>
        <item x="466"/>
        <item x="108"/>
        <item x="123"/>
        <item x="348"/>
        <item x="184"/>
        <item x="99"/>
        <item x="112"/>
        <item x="132"/>
        <item x="174"/>
        <item x="239"/>
        <item x="277"/>
        <item x="327"/>
        <item x="49"/>
        <item x="84"/>
        <item x="371"/>
        <item x="222"/>
        <item x="395"/>
        <item x="423"/>
        <item x="147"/>
        <item x="80"/>
        <item x="288"/>
        <item x="151"/>
        <item x="299"/>
        <item x="337"/>
        <item x="171"/>
        <item x="336"/>
        <item x="311"/>
        <item x="309"/>
        <item x="134"/>
        <item x="145"/>
        <item x="178"/>
        <item x="20"/>
        <item x="144"/>
        <item x="349"/>
        <item x="404"/>
        <item x="322"/>
        <item x="415"/>
        <item x="209"/>
        <item x="290"/>
        <item x="213"/>
        <item x="83"/>
        <item x="247"/>
        <item x="25"/>
        <item x="68"/>
        <item x="52"/>
        <item x="468"/>
        <item x="212"/>
        <item x="467"/>
        <item x="281"/>
        <item x="313"/>
        <item x="312"/>
        <item x="162"/>
        <item x="314"/>
        <item x="285"/>
        <item x="458"/>
        <item x="316"/>
        <item x="304"/>
        <item x="18"/>
        <item x="282"/>
        <item x="27"/>
        <item x="236"/>
        <item x="23"/>
        <item x="152"/>
        <item x="22"/>
        <item x="72"/>
        <item x="347"/>
        <item x="254"/>
        <item x="230"/>
        <item x="226"/>
        <item x="175"/>
        <item x="179"/>
        <item x="220"/>
        <item x="362"/>
        <item x="276"/>
        <item x="78"/>
        <item x="324"/>
        <item x="253"/>
        <item x="73"/>
        <item x="124"/>
        <item x="176"/>
        <item x="205"/>
        <item x="82"/>
        <item x="343"/>
        <item x="21"/>
        <item x="26"/>
        <item x="64"/>
        <item x="332"/>
        <item x="219"/>
        <item x="417"/>
        <item x="76"/>
        <item x="223"/>
        <item x="237"/>
        <item x="361"/>
        <item x="19"/>
        <item x="153"/>
        <item x="24"/>
        <item x="317"/>
        <item x="13"/>
        <item x="58"/>
        <item x="12"/>
        <item x="294"/>
        <item x="328"/>
        <item x="35"/>
        <item x="142"/>
        <item x="384"/>
        <item x="71"/>
        <item x="177"/>
        <item x="401"/>
        <item x="180"/>
        <item x="326"/>
        <item x="54"/>
        <item x="345"/>
        <item x="181"/>
        <item x="331"/>
        <item x="63"/>
        <item x="275"/>
        <item x="221"/>
        <item x="271"/>
        <item x="310"/>
        <item x="260"/>
        <item x="188"/>
        <item x="259"/>
        <item x="255"/>
        <item x="191"/>
        <item x="370"/>
        <item x="14"/>
        <item x="274"/>
        <item x="56"/>
        <item x="50"/>
        <item x="308"/>
        <item x="67"/>
        <item x="34"/>
        <item x="74"/>
        <item x="38"/>
        <item x="39"/>
        <item x="186"/>
        <item x="37"/>
        <item x="85"/>
        <item x="10"/>
        <item x="1"/>
        <item x="187"/>
        <item x="51"/>
        <item x="70"/>
        <item x="65"/>
        <item x="40"/>
        <item x="69"/>
        <item x="92"/>
        <item x="62"/>
        <item x="33"/>
        <item x="15"/>
        <item x="59"/>
        <item x="66"/>
        <item x="120"/>
        <item x="32"/>
        <item x="16"/>
        <item x="90"/>
        <item x="57"/>
        <item x="278"/>
        <item x="258"/>
        <item x="263"/>
        <item x="5"/>
        <item x="252"/>
        <item x="17"/>
        <item x="264"/>
        <item x="190"/>
        <item x="272"/>
        <item x="249"/>
        <item x="31"/>
        <item x="150"/>
        <item x="248"/>
        <item x="36"/>
        <item x="3"/>
        <item x="55"/>
        <item x="257"/>
        <item x="0"/>
        <item x="42"/>
        <item x="60"/>
        <item x="261"/>
        <item x="265"/>
        <item x="238"/>
        <item x="2"/>
        <item x="53"/>
        <item x="29"/>
        <item x="4"/>
        <item x="262"/>
        <item x="256"/>
        <item x="61"/>
        <item x="47"/>
        <item x="30"/>
        <item x="9"/>
        <item x="251"/>
        <item x="46"/>
        <item x="373"/>
        <item x="342"/>
        <item x="6"/>
        <item x="279"/>
        <item x="375"/>
        <item x="374"/>
        <item x="41"/>
        <item x="266"/>
        <item x="7"/>
        <item x="267"/>
        <item x="372"/>
        <item x="270"/>
        <item x="269"/>
        <item x="268"/>
        <item x="8"/>
        <item x="250"/>
        <item x="11"/>
        <item x="273"/>
        <item x="208"/>
      </items>
      <extLst>
        <ext xmlns:x14="http://schemas.microsoft.com/office/spreadsheetml/2009/9/main" uri="{2946ED86-A175-432a-8AC1-64E0C546D7DE}">
          <x14:pivotField fillDownLabels="1"/>
        </ext>
      </extLst>
    </pivotField>
    <pivotField dataField="1" compact="0" numFmtId="42" outline="0" showAll="0" defaultSubtotal="0">
      <items count="502">
        <item x="221"/>
        <item x="425"/>
        <item x="316"/>
        <item x="431"/>
        <item x="151"/>
        <item x="193"/>
        <item x="160"/>
        <item x="158"/>
        <item x="379"/>
        <item x="178"/>
        <item x="274"/>
        <item x="275"/>
        <item x="315"/>
        <item x="365"/>
        <item x="265"/>
        <item x="229"/>
        <item x="380"/>
        <item x="116"/>
        <item x="196"/>
        <item x="143"/>
        <item x="150"/>
        <item x="424"/>
        <item x="359"/>
        <item x="157"/>
        <item x="144"/>
        <item x="266"/>
        <item x="400"/>
        <item x="175"/>
        <item x="228"/>
        <item x="174"/>
        <item x="201"/>
        <item x="421"/>
        <item x="358"/>
        <item x="195"/>
        <item x="423"/>
        <item x="173"/>
        <item x="435"/>
        <item x="258"/>
        <item x="207"/>
        <item x="466"/>
        <item x="231"/>
        <item x="235"/>
        <item x="145"/>
        <item x="501"/>
        <item x="389"/>
        <item x="216"/>
        <item x="238"/>
        <item x="350"/>
        <item x="381"/>
        <item x="434"/>
        <item x="394"/>
        <item x="149"/>
        <item x="159"/>
        <item x="477"/>
        <item x="176"/>
        <item x="279"/>
        <item x="241"/>
        <item x="331"/>
        <item x="317"/>
        <item x="378"/>
        <item x="194"/>
        <item x="155"/>
        <item x="246"/>
        <item x="271"/>
        <item x="339"/>
        <item x="233"/>
        <item x="166"/>
        <item x="172"/>
        <item x="277"/>
        <item x="189"/>
        <item x="247"/>
        <item x="230"/>
        <item x="422"/>
        <item x="353"/>
        <item x="168"/>
        <item x="152"/>
        <item x="192"/>
        <item x="436"/>
        <item x="391"/>
        <item x="449"/>
        <item x="237"/>
        <item x="148"/>
        <item x="262"/>
        <item x="263"/>
        <item x="171"/>
        <item x="407"/>
        <item x="392"/>
        <item x="119"/>
        <item x="167"/>
        <item x="471"/>
        <item x="153"/>
        <item x="130"/>
        <item x="240"/>
        <item x="377"/>
        <item x="314"/>
        <item x="475"/>
        <item x="479"/>
        <item x="430"/>
        <item x="197"/>
        <item x="269"/>
        <item x="278"/>
        <item x="491"/>
        <item x="476"/>
        <item x="232"/>
        <item x="412"/>
        <item x="405"/>
        <item x="323"/>
        <item x="451"/>
        <item x="169"/>
        <item x="227"/>
        <item x="401"/>
        <item x="142"/>
        <item x="364"/>
        <item x="209"/>
        <item x="467"/>
        <item x="129"/>
        <item x="454"/>
        <item x="276"/>
        <item x="261"/>
        <item x="185"/>
        <item x="355"/>
        <item x="448"/>
        <item x="328"/>
        <item x="208"/>
        <item x="460"/>
        <item x="332"/>
        <item x="45"/>
        <item x="321"/>
        <item x="366"/>
        <item x="458"/>
        <item x="493"/>
        <item x="414"/>
        <item x="345"/>
        <item x="146"/>
        <item x="69"/>
        <item x="70"/>
        <item x="273"/>
        <item x="164"/>
        <item x="126"/>
        <item x="248"/>
        <item x="210"/>
        <item x="388"/>
        <item x="489"/>
        <item x="272"/>
        <item x="446"/>
        <item x="500"/>
        <item x="67"/>
        <item x="68"/>
        <item x="320"/>
        <item x="112"/>
        <item x="326"/>
        <item x="393"/>
        <item x="470"/>
        <item x="375"/>
        <item x="341"/>
        <item x="329"/>
        <item x="419"/>
        <item x="457"/>
        <item x="139"/>
        <item x="427"/>
        <item x="455"/>
        <item x="249"/>
        <item x="234"/>
        <item x="347"/>
        <item x="478"/>
        <item x="360"/>
        <item x="179"/>
        <item x="406"/>
        <item x="472"/>
        <item x="390"/>
        <item x="270"/>
        <item x="200"/>
        <item x="438"/>
        <item x="162"/>
        <item x="120"/>
        <item x="110"/>
        <item x="319"/>
        <item x="132"/>
        <item x="483"/>
        <item x="385"/>
        <item x="464"/>
        <item x="121"/>
        <item x="382"/>
        <item x="461"/>
        <item x="156"/>
        <item x="488"/>
        <item x="181"/>
        <item x="340"/>
        <item x="416"/>
        <item x="474"/>
        <item x="452"/>
        <item x="403"/>
        <item x="177"/>
        <item x="311"/>
        <item x="450"/>
        <item x="137"/>
        <item x="369"/>
        <item x="465"/>
        <item x="456"/>
        <item x="206"/>
        <item x="26"/>
        <item x="25"/>
        <item x="29"/>
        <item x="28"/>
        <item x="289"/>
        <item x="27"/>
        <item x="118"/>
        <item x="499"/>
        <item x="371"/>
        <item x="445"/>
        <item x="428"/>
        <item x="1"/>
        <item x="2"/>
        <item x="492"/>
        <item x="255"/>
        <item x="182"/>
        <item x="236"/>
        <item x="128"/>
        <item x="122"/>
        <item x="480"/>
        <item x="334"/>
        <item x="127"/>
        <item x="468"/>
        <item x="202"/>
        <item x="447"/>
        <item x="264"/>
        <item x="256"/>
        <item x="147"/>
        <item x="199"/>
        <item x="211"/>
        <item x="437"/>
        <item x="469"/>
        <item x="322"/>
        <item x="373"/>
        <item x="432"/>
        <item x="411"/>
        <item x="338"/>
        <item x="259"/>
        <item x="404"/>
        <item x="349"/>
        <item x="490"/>
        <item x="372"/>
        <item x="484"/>
        <item x="141"/>
        <item x="213"/>
        <item x="418"/>
        <item x="443"/>
        <item x="224"/>
        <item x="444"/>
        <item x="18"/>
        <item x="19"/>
        <item x="20"/>
        <item x="481"/>
        <item x="84"/>
        <item x="85"/>
        <item x="117"/>
        <item x="187"/>
        <item x="53"/>
        <item x="54"/>
        <item x="154"/>
        <item x="439"/>
        <item x="498"/>
        <item x="333"/>
        <item x="134"/>
        <item x="254"/>
        <item x="95"/>
        <item x="473"/>
        <item x="186"/>
        <item x="362"/>
        <item x="170"/>
        <item x="415"/>
        <item x="336"/>
        <item x="337"/>
        <item x="440"/>
        <item x="441"/>
        <item x="219"/>
        <item x="497"/>
        <item x="111"/>
        <item x="486"/>
        <item x="140"/>
        <item x="363"/>
        <item x="113"/>
        <item x="253"/>
        <item x="135"/>
        <item x="267"/>
        <item x="190"/>
        <item x="346"/>
        <item x="163"/>
        <item x="59"/>
        <item x="138"/>
        <item x="60"/>
        <item x="327"/>
        <item x="10"/>
        <item x="115"/>
        <item x="462"/>
        <item x="58"/>
        <item x="244"/>
        <item x="203"/>
        <item x="243"/>
        <item x="44"/>
        <item x="367"/>
        <item x="409"/>
        <item x="218"/>
        <item x="442"/>
        <item x="165"/>
        <item x="463"/>
        <item x="77"/>
        <item x="78"/>
        <item x="96"/>
        <item x="383"/>
        <item x="114"/>
        <item x="487"/>
        <item x="61"/>
        <item x="205"/>
        <item x="184"/>
        <item x="136"/>
        <item x="453"/>
        <item x="344"/>
        <item x="352"/>
        <item x="459"/>
        <item x="330"/>
        <item x="79"/>
        <item x="0"/>
        <item x="368"/>
        <item x="220"/>
        <item x="495"/>
        <item x="386"/>
        <item x="51"/>
        <item x="485"/>
        <item x="55"/>
        <item x="343"/>
        <item x="89"/>
        <item x="257"/>
        <item x="180"/>
        <item x="413"/>
        <item x="351"/>
        <item x="50"/>
        <item x="86"/>
        <item x="87"/>
        <item x="4"/>
        <item x="5"/>
        <item x="260"/>
        <item x="42"/>
        <item x="106"/>
        <item x="245"/>
        <item x="395"/>
        <item x="3"/>
        <item x="251"/>
        <item x="183"/>
        <item x="335"/>
        <item x="420"/>
        <item x="214"/>
        <item x="280"/>
        <item x="30"/>
        <item x="31"/>
        <item x="370"/>
        <item x="496"/>
        <item x="354"/>
        <item x="65"/>
        <item x="250"/>
        <item x="482"/>
        <item x="356"/>
        <item x="81"/>
        <item x="374"/>
        <item x="325"/>
        <item x="107"/>
        <item x="402"/>
        <item x="410"/>
        <item x="215"/>
        <item x="239"/>
        <item x="361"/>
        <item x="93"/>
        <item x="48"/>
        <item x="49"/>
        <item x="24"/>
        <item x="310"/>
        <item x="252"/>
        <item x="80"/>
        <item x="46"/>
        <item x="357"/>
        <item x="306"/>
        <item x="6"/>
        <item x="8"/>
        <item x="9"/>
        <item x="7"/>
        <item x="56"/>
        <item x="66"/>
        <item x="88"/>
        <item x="57"/>
        <item x="82"/>
        <item x="83"/>
        <item x="36"/>
        <item x="212"/>
        <item x="384"/>
        <item x="71"/>
        <item x="52"/>
        <item x="75"/>
        <item x="76"/>
        <item x="295"/>
        <item x="39"/>
        <item x="40"/>
        <item x="64"/>
        <item x="90"/>
        <item x="91"/>
        <item x="204"/>
        <item x="324"/>
        <item x="92"/>
        <item x="387"/>
        <item x="223"/>
        <item x="23"/>
        <item x="294"/>
        <item x="288"/>
        <item x="15"/>
        <item x="16"/>
        <item x="17"/>
        <item x="290"/>
        <item x="417"/>
        <item x="34"/>
        <item x="226"/>
        <item x="43"/>
        <item x="47"/>
        <item x="38"/>
        <item x="11"/>
        <item x="309"/>
        <item x="342"/>
        <item x="99"/>
        <item x="376"/>
        <item x="429"/>
        <item x="426"/>
        <item x="124"/>
        <item x="72"/>
        <item x="217"/>
        <item x="101"/>
        <item x="32"/>
        <item x="125"/>
        <item x="100"/>
        <item x="73"/>
        <item x="222"/>
        <item x="198"/>
        <item x="33"/>
        <item x="105"/>
        <item x="97"/>
        <item x="103"/>
        <item x="109"/>
        <item x="188"/>
        <item x="74"/>
        <item x="12"/>
        <item x="13"/>
        <item x="98"/>
        <item x="318"/>
        <item x="35"/>
        <item x="161"/>
        <item x="94"/>
        <item x="433"/>
        <item x="312"/>
        <item x="41"/>
        <item x="14"/>
        <item x="62"/>
        <item x="63"/>
        <item x="293"/>
        <item x="298"/>
        <item x="191"/>
        <item x="37"/>
        <item x="131"/>
        <item x="348"/>
        <item x="286"/>
        <item x="102"/>
        <item x="494"/>
        <item x="299"/>
        <item x="225"/>
        <item x="307"/>
        <item x="123"/>
        <item x="282"/>
        <item x="21"/>
        <item x="22"/>
        <item x="281"/>
        <item x="284"/>
        <item x="292"/>
        <item x="287"/>
        <item x="104"/>
        <item x="296"/>
        <item x="300"/>
        <item x="268"/>
        <item x="108"/>
        <item x="408"/>
        <item x="297"/>
        <item x="291"/>
        <item x="133"/>
        <item x="285"/>
        <item x="397"/>
        <item x="313"/>
        <item x="242"/>
        <item x="399"/>
        <item x="398"/>
        <item x="301"/>
        <item x="302"/>
        <item x="396"/>
        <item x="305"/>
        <item x="304"/>
        <item x="303"/>
        <item x="283"/>
        <item x="308"/>
      </items>
      <extLst>
        <ext xmlns:x14="http://schemas.microsoft.com/office/spreadsheetml/2009/9/main" uri="{2946ED86-A175-432a-8AC1-64E0C546D7DE}">
          <x14:pivotField fillDownLabels="1"/>
        </ext>
      </extLst>
    </pivotField>
    <pivotField axis="axisRow" compact="0" outline="0" showAll="0" defaultSubtotal="0">
      <items count="16">
        <item x="4"/>
        <item x="8"/>
        <item x="15"/>
        <item x="7"/>
        <item x="9"/>
        <item x="6"/>
        <item x="10"/>
        <item x="14"/>
        <item x="11"/>
        <item x="13"/>
        <item x="12"/>
        <item x="5"/>
        <item x="1"/>
        <item x="2"/>
        <item x="3"/>
        <item x="0"/>
      </items>
      <extLst>
        <ext xmlns:x14="http://schemas.microsoft.com/office/spreadsheetml/2009/9/main" uri="{2946ED86-A175-432a-8AC1-64E0C546D7DE}">
          <x14:pivotField fillDownLabels="1"/>
        </ext>
      </extLst>
    </pivotField>
    <pivotField axis="axisRow" compact="0" outline="0" showAll="0">
      <items count="51">
        <item x="0"/>
        <item x="2"/>
        <item x="3"/>
        <item x="20"/>
        <item x="14"/>
        <item x="4"/>
        <item x="43"/>
        <item x="47"/>
        <item x="19"/>
        <item x="18"/>
        <item x="13"/>
        <item x="15"/>
        <item x="30"/>
        <item x="37"/>
        <item x="39"/>
        <item x="42"/>
        <item x="45"/>
        <item x="46"/>
        <item x="10"/>
        <item x="7"/>
        <item x="48"/>
        <item x="12"/>
        <item x="16"/>
        <item x="41"/>
        <item x="44"/>
        <item x="1"/>
        <item x="49"/>
        <item x="11"/>
        <item x="6"/>
        <item x="5"/>
        <item x="9"/>
        <item x="34"/>
        <item x="17"/>
        <item x="40"/>
        <item x="22"/>
        <item x="23"/>
        <item x="8"/>
        <item x="21"/>
        <item x="35"/>
        <item x="38"/>
        <item x="32"/>
        <item x="24"/>
        <item x="31"/>
        <item x="25"/>
        <item x="33"/>
        <item x="36"/>
        <item x="26"/>
        <item x="27"/>
        <item x="28"/>
        <item x="29"/>
        <item t="default"/>
      </items>
      <extLst>
        <ext xmlns:x14="http://schemas.microsoft.com/office/spreadsheetml/2009/9/main" uri="{2946ED86-A175-432a-8AC1-64E0C546D7DE}">
          <x14:pivotField fillDownLabels="1"/>
        </ext>
      </extLst>
    </pivotField>
    <pivotField axis="axisRow" compact="0" outline="0" showAll="0" defaultSubtotal="0">
      <items count="107">
        <item x="89"/>
        <item x="10"/>
        <item x="104"/>
        <item x="97"/>
        <item x="12"/>
        <item x="3"/>
        <item x="28"/>
        <item x="99"/>
        <item x="0"/>
        <item x="51"/>
        <item x="29"/>
        <item x="22"/>
        <item x="41"/>
        <item x="25"/>
        <item x="76"/>
        <item x="98"/>
        <item x="78"/>
        <item x="43"/>
        <item x="82"/>
        <item x="2"/>
        <item x="8"/>
        <item x="30"/>
        <item x="38"/>
        <item x="36"/>
        <item x="27"/>
        <item x="96"/>
        <item x="91"/>
        <item x="24"/>
        <item x="95"/>
        <item x="103"/>
        <item x="45"/>
        <item x="53"/>
        <item x="31"/>
        <item x="49"/>
        <item x="72"/>
        <item x="14"/>
        <item x="75"/>
        <item x="11"/>
        <item x="93"/>
        <item x="59"/>
        <item x="102"/>
        <item x="61"/>
        <item x="5"/>
        <item x="1"/>
        <item x="52"/>
        <item x="70"/>
        <item x="73"/>
        <item x="80"/>
        <item x="71"/>
        <item x="33"/>
        <item x="85"/>
        <item x="74"/>
        <item x="64"/>
        <item x="62"/>
        <item x="94"/>
        <item x="68"/>
        <item x="26"/>
        <item x="48"/>
        <item x="6"/>
        <item x="65"/>
        <item x="37"/>
        <item x="4"/>
        <item x="54"/>
        <item x="60"/>
        <item x="13"/>
        <item x="58"/>
        <item x="50"/>
        <item x="9"/>
        <item x="88"/>
        <item x="63"/>
        <item x="16"/>
        <item x="47"/>
        <item x="100"/>
        <item x="66"/>
        <item x="19"/>
        <item x="83"/>
        <item x="92"/>
        <item x="34"/>
        <item x="86"/>
        <item x="7"/>
        <item x="39"/>
        <item x="84"/>
        <item x="87"/>
        <item x="101"/>
        <item x="77"/>
        <item x="90"/>
        <item x="35"/>
        <item x="44"/>
        <item x="21"/>
        <item x="42"/>
        <item x="56"/>
        <item x="32"/>
        <item x="57"/>
        <item x="69"/>
        <item x="67"/>
        <item x="18"/>
        <item x="105"/>
        <item x="40"/>
        <item x="15"/>
        <item x="17"/>
        <item x="55"/>
        <item x="106"/>
        <item x="81"/>
        <item x="23"/>
        <item x="46"/>
        <item x="79"/>
        <item x="20"/>
      </items>
      <extLst>
        <ext xmlns:x14="http://schemas.microsoft.com/office/spreadsheetml/2009/9/main" uri="{2946ED86-A175-432a-8AC1-64E0C546D7DE}">
          <x14:pivotField fillDownLabels="1"/>
        </ext>
      </extLst>
    </pivotField>
    <pivotField axis="axisRow" compact="0" outline="0" showAll="0" defaultSubtotal="0">
      <items count="108">
        <item x="104"/>
        <item x="47"/>
        <item x="92"/>
        <item x="41"/>
        <item x="86"/>
        <item x="20"/>
        <item x="19"/>
        <item x="96"/>
        <item x="33"/>
        <item x="67"/>
        <item x="3"/>
        <item x="25"/>
        <item x="80"/>
        <item x="58"/>
        <item x="24"/>
        <item x="97"/>
        <item x="46"/>
        <item x="22"/>
        <item x="64"/>
        <item x="99"/>
        <item x="65"/>
        <item x="2"/>
        <item x="18"/>
        <item x="11"/>
        <item x="17"/>
        <item x="37"/>
        <item x="51"/>
        <item x="103"/>
        <item x="95"/>
        <item x="30"/>
        <item x="48"/>
        <item x="45"/>
        <item x="43"/>
        <item x="28"/>
        <item x="62"/>
        <item x="49"/>
        <item x="82"/>
        <item x="38"/>
        <item x="60"/>
        <item x="34"/>
        <item x="79"/>
        <item x="88"/>
        <item x="87"/>
        <item x="10"/>
        <item x="7"/>
        <item x="90"/>
        <item x="102"/>
        <item x="39"/>
        <item x="40"/>
        <item x="54"/>
        <item x="73"/>
        <item x="27"/>
        <item x="72"/>
        <item x="63"/>
        <item x="69"/>
        <item x="8"/>
        <item x="53"/>
        <item x="70"/>
        <item x="23"/>
        <item x="26"/>
        <item x="106"/>
        <item x="4"/>
        <item x="5"/>
        <item x="31"/>
        <item x="91"/>
        <item x="15"/>
        <item x="100"/>
        <item x="105"/>
        <item x="76"/>
        <item x="101"/>
        <item x="107"/>
        <item x="85"/>
        <item x="6"/>
        <item x="61"/>
        <item x="71"/>
        <item x="14"/>
        <item x="12"/>
        <item x="1"/>
        <item x="68"/>
        <item x="0"/>
        <item x="29"/>
        <item x="35"/>
        <item x="83"/>
        <item x="56"/>
        <item x="16"/>
        <item x="44"/>
        <item x="77"/>
        <item x="52"/>
        <item x="55"/>
        <item x="32"/>
        <item x="66"/>
        <item x="75"/>
        <item x="57"/>
        <item x="84"/>
        <item x="21"/>
        <item x="36"/>
        <item x="89"/>
        <item x="93"/>
        <item x="74"/>
        <item x="78"/>
        <item x="98"/>
        <item x="81"/>
        <item x="42"/>
        <item x="9"/>
        <item x="50"/>
        <item x="94"/>
        <item x="13"/>
        <item x="59"/>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numFmtId="14" outline="0" showAll="0" defaultSubtotal="0">
      <items count="25">
        <item x="1"/>
        <item x="0"/>
        <item x="2"/>
        <item x="4"/>
        <item x="3"/>
        <item x="5"/>
        <item x="8"/>
        <item x="9"/>
        <item x="11"/>
        <item x="10"/>
        <item x="12"/>
        <item x="7"/>
        <item x="6"/>
        <item x="13"/>
        <item x="19"/>
        <item x="21"/>
        <item x="14"/>
        <item x="20"/>
        <item x="15"/>
        <item x="22"/>
        <item x="24"/>
        <item x="16"/>
        <item x="17"/>
        <item x="18"/>
        <item x="23"/>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sd="0" x="4"/>
        <item sd="0" x="5"/>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sd="0" x="4"/>
        <item sd="0" x="5"/>
        <item t="default"/>
      </items>
      <extLst>
        <ext xmlns:x14="http://schemas.microsoft.com/office/spreadsheetml/2009/9/main" uri="{2946ED86-A175-432a-8AC1-64E0C546D7DE}">
          <x14:pivotField fillDownLabels="1"/>
        </ext>
      </extLst>
    </pivotField>
  </pivotFields>
  <rowFields count="11">
    <field x="2"/>
    <field x="27"/>
    <field x="1"/>
    <field x="6"/>
    <field x="9"/>
    <field x="8"/>
    <field x="16"/>
    <field x="20"/>
    <field x="17"/>
    <field x="14"/>
    <field x="15"/>
  </rowFields>
  <rowItems count="704">
    <i>
      <x/>
      <x/>
      <x v="2"/>
      <x v="357"/>
      <x v="303"/>
      <x v="1"/>
      <x v="8"/>
      <x v="1"/>
      <x v="79"/>
      <x v="15"/>
      <x/>
    </i>
    <i>
      <x v="1"/>
      <x/>
      <x v="2"/>
      <x v="177"/>
      <x v="229"/>
      <x/>
      <x v="35"/>
      <x v="8"/>
      <x v="84"/>
      <x v="12"/>
      <x v="22"/>
    </i>
    <i>
      <x v="2"/>
      <x/>
      <x v="2"/>
      <x v="356"/>
      <x v="85"/>
      <x v="1"/>
      <x v="8"/>
      <x/>
      <x v="77"/>
      <x v="15"/>
      <x/>
    </i>
    <i>
      <x v="3"/>
      <x/>
      <x v="2"/>
      <x v="173"/>
      <x v="39"/>
      <x/>
      <x v="67"/>
      <x v="10"/>
      <x v="24"/>
      <x v="11"/>
      <x v="29"/>
    </i>
    <i>
      <x v="4"/>
      <x/>
      <x v="2"/>
      <x v="163"/>
      <x v="116"/>
      <x/>
      <x v="98"/>
      <x v="10"/>
      <x v="22"/>
      <x v="8"/>
      <x v="32"/>
    </i>
    <i>
      <x v="5"/>
      <x/>
      <x v="2"/>
      <x v="151"/>
      <x v="164"/>
      <x v="1"/>
      <x v="1"/>
      <x v="11"/>
      <x v="76"/>
      <x/>
      <x v="5"/>
    </i>
    <i r="3">
      <x v="152"/>
      <x v="164"/>
      <x v="1"/>
      <x v="1"/>
      <x v="12"/>
      <x v="76"/>
      <x v="14"/>
      <x v="5"/>
    </i>
    <i>
      <x v="6"/>
      <x/>
      <x v="2"/>
      <x v="187"/>
      <x v="39"/>
      <x v="1"/>
      <x v="67"/>
      <x v="6"/>
      <x v="23"/>
      <x v="11"/>
      <x v="29"/>
    </i>
    <i>
      <x v="7"/>
      <x/>
      <x v="2"/>
      <x v="192"/>
      <x v="206"/>
      <x v="1"/>
      <x v="37"/>
      <x v="6"/>
      <x v="106"/>
      <x v="12"/>
      <x v="1"/>
    </i>
    <i>
      <x v="8"/>
      <x/>
      <x v="2"/>
      <x v="359"/>
      <x v="322"/>
      <x/>
      <x v="43"/>
      <x v="1"/>
      <x v="21"/>
      <x v="15"/>
      <x/>
    </i>
    <i>
      <x v="9"/>
      <x/>
      <x v="2"/>
      <x v="145"/>
      <x v="311"/>
      <x v="1"/>
      <x v="4"/>
      <x v="6"/>
      <x v="75"/>
      <x v="12"/>
      <x v="1"/>
    </i>
    <i>
      <x v="10"/>
      <x/>
      <x v="2"/>
      <x v="144"/>
      <x v="311"/>
      <x v="1"/>
      <x v="4"/>
      <x v="6"/>
      <x v="75"/>
      <x v="12"/>
      <x v="1"/>
    </i>
    <i>
      <x v="11"/>
      <x/>
      <x v="2"/>
      <x v="143"/>
      <x v="311"/>
      <x v="1"/>
      <x v="4"/>
      <x v="6"/>
      <x v="75"/>
      <x v="12"/>
      <x v="1"/>
    </i>
    <i>
      <x v="12"/>
      <x v="1"/>
      <x v="2"/>
      <x v="291"/>
      <x v="194"/>
      <x/>
      <x v="80"/>
      <x v="21"/>
      <x v="85"/>
      <x/>
      <x v="46"/>
    </i>
    <i>
      <x v="13"/>
      <x v="1"/>
      <x v="2"/>
      <x v="104"/>
      <x v="296"/>
      <x/>
      <x v="80"/>
      <x v="18"/>
      <x v="85"/>
      <x/>
      <x v="43"/>
    </i>
    <i>
      <x v="14"/>
      <x v="1"/>
      <x v="2"/>
      <x v="105"/>
      <x v="338"/>
      <x/>
      <x v="80"/>
      <x v="19"/>
      <x v="85"/>
      <x/>
      <x v="44"/>
    </i>
    <i>
      <x v="15"/>
      <x v="1"/>
      <x v="2"/>
      <x v="10"/>
      <x v="326"/>
      <x/>
      <x v="97"/>
      <x v="15"/>
      <x v="31"/>
      <x/>
      <x v="40"/>
    </i>
    <i>
      <x v="16"/>
      <x v="1"/>
      <x v="2"/>
      <x v="11"/>
      <x v="184"/>
      <x/>
      <x v="97"/>
      <x v="15"/>
      <x v="31"/>
      <x/>
      <x v="40"/>
    </i>
    <i>
      <x v="17"/>
      <x v="1"/>
      <x v="2"/>
      <x v="237"/>
      <x v="58"/>
      <x v="1"/>
      <x v="97"/>
      <x v="15"/>
      <x v="31"/>
      <x/>
      <x v="40"/>
    </i>
    <i r="4">
      <x v="245"/>
      <x v="1"/>
      <x v="97"/>
      <x v="15"/>
      <x v="31"/>
      <x/>
      <x v="40"/>
    </i>
    <i>
      <x v="18"/>
      <x v="1"/>
      <x v="2"/>
      <x v="2"/>
      <x v="58"/>
      <x/>
      <x v="12"/>
      <x v="23"/>
      <x v="16"/>
      <x/>
      <x v="48"/>
    </i>
    <i>
      <x v="19"/>
      <x v="1"/>
      <x v="2"/>
      <x v="283"/>
      <x v="7"/>
      <x v="5"/>
      <x v="12"/>
      <x v="16"/>
      <x v="16"/>
      <x/>
      <x v="41"/>
    </i>
    <i r="7">
      <x v="19"/>
      <x v="16"/>
      <x/>
      <x v="44"/>
    </i>
    <i r="7">
      <x v="21"/>
      <x v="16"/>
      <x/>
      <x v="46"/>
    </i>
    <i r="7">
      <x v="24"/>
      <x v="16"/>
      <x/>
      <x v="49"/>
    </i>
    <i r="4">
      <x v="58"/>
      <x v="5"/>
      <x v="12"/>
      <x v="16"/>
      <x v="16"/>
      <x/>
      <x v="41"/>
    </i>
    <i r="7">
      <x v="19"/>
      <x v="16"/>
      <x v="2"/>
      <x v="31"/>
    </i>
    <i>
      <x v="20"/>
      <x/>
      <x v="2"/>
      <x v="140"/>
      <x v="292"/>
      <x/>
      <x v="5"/>
      <x v="4"/>
      <x v="61"/>
      <x v="12"/>
      <x v="1"/>
    </i>
    <i>
      <x v="21"/>
      <x/>
      <x v="2"/>
      <x v="360"/>
      <x v="300"/>
      <x/>
      <x v="19"/>
      <x v="2"/>
      <x v="10"/>
      <x v="15"/>
      <x v="25"/>
    </i>
    <i>
      <x v="22"/>
      <x/>
      <x v="2"/>
      <x v="136"/>
      <x v="292"/>
      <x/>
      <x v="5"/>
      <x v="3"/>
      <x v="62"/>
      <x v="12"/>
      <x v="1"/>
    </i>
    <i>
      <x v="23"/>
      <x/>
      <x v="2"/>
      <x v="137"/>
      <x v="292"/>
      <x/>
      <x v="5"/>
      <x v="3"/>
      <x v="62"/>
      <x v="12"/>
      <x v="1"/>
    </i>
    <i>
      <x v="24"/>
      <x v="1"/>
      <x v="2"/>
      <x v="3"/>
      <x v="191"/>
      <x/>
      <x v="12"/>
      <x v="15"/>
      <x v="16"/>
      <x/>
      <x v="40"/>
    </i>
    <i>
      <x v="25"/>
      <x/>
      <x v="2"/>
      <x v="198"/>
      <x v="285"/>
      <x/>
      <x v="61"/>
      <x v="3"/>
      <x v="72"/>
      <x v="13"/>
      <x v="2"/>
    </i>
    <i>
      <x v="26"/>
      <x v="1"/>
      <x v="2"/>
      <x v="269"/>
      <x v="181"/>
      <x/>
      <x v="12"/>
      <x v="13"/>
      <x v="16"/>
      <x/>
      <x v="38"/>
    </i>
    <i>
      <x v="27"/>
      <x/>
      <x v="2"/>
      <x v="176"/>
      <x v="206"/>
      <x/>
      <x v="42"/>
      <x v="4"/>
      <x v="44"/>
      <x v="12"/>
      <x v="1"/>
    </i>
    <i>
      <x v="28"/>
      <x v="1"/>
      <x v="2"/>
      <x v="76"/>
      <x v="58"/>
      <x v="1"/>
      <x v="12"/>
      <x v="17"/>
      <x v="16"/>
      <x/>
      <x v="42"/>
    </i>
    <i r="7">
      <x v="23"/>
      <x v="16"/>
      <x/>
      <x v="42"/>
    </i>
    <i>
      <x v="29"/>
      <x/>
      <x v="2"/>
      <x v="188"/>
      <x v="312"/>
      <x/>
      <x v="61"/>
      <x v="5"/>
      <x v="55"/>
      <x v="12"/>
      <x v="1"/>
    </i>
    <i>
      <x v="30"/>
      <x v="1"/>
      <x v="2"/>
      <x v="79"/>
      <x v="58"/>
      <x/>
      <x v="12"/>
      <x v="18"/>
      <x v="16"/>
      <x/>
      <x v="43"/>
    </i>
    <i>
      <x v="31"/>
      <x v="1"/>
      <x v="2"/>
      <x v="282"/>
      <x v="58"/>
      <x/>
      <x v="12"/>
      <x v="20"/>
      <x v="16"/>
      <x/>
      <x v="45"/>
    </i>
    <i>
      <x v="32"/>
      <x v="1"/>
      <x v="2"/>
      <x v="146"/>
      <x v="155"/>
      <x v="2"/>
      <x v="4"/>
      <x v="15"/>
      <x v="8"/>
      <x v="8"/>
      <x v="13"/>
    </i>
    <i r="4">
      <x v="156"/>
      <x v="2"/>
      <x v="4"/>
      <x v="15"/>
      <x v="8"/>
      <x v="8"/>
      <x v="13"/>
    </i>
    <i>
      <x v="33"/>
      <x v="1"/>
      <x v="2"/>
      <x v="349"/>
      <x v="58"/>
      <x/>
      <x v="12"/>
      <x v="17"/>
      <x v="16"/>
      <x/>
      <x v="42"/>
    </i>
    <i>
      <x v="34"/>
      <x v="1"/>
      <x v="2"/>
      <x v="32"/>
      <x v="213"/>
      <x/>
      <x v="60"/>
      <x v="15"/>
      <x v="102"/>
      <x/>
      <x v="40"/>
    </i>
    <i>
      <x v="35"/>
      <x v="1"/>
      <x v="2"/>
      <x v="139"/>
      <x v="293"/>
      <x/>
      <x v="4"/>
      <x v="15"/>
      <x v="8"/>
      <x v="12"/>
      <x v="14"/>
    </i>
    <i>
      <x v="36"/>
      <x/>
      <x v="2"/>
      <x v="155"/>
      <x v="327"/>
      <x/>
      <x v="58"/>
      <x v="3"/>
      <x v="103"/>
      <x v="13"/>
      <x v="2"/>
    </i>
    <i>
      <x v="37"/>
      <x v="1"/>
      <x v="2"/>
      <x v="348"/>
      <x v="296"/>
      <x/>
      <x v="12"/>
      <x v="13"/>
      <x v="16"/>
      <x/>
      <x v="38"/>
    </i>
    <i>
      <x v="38"/>
      <x v="1"/>
      <x v="2"/>
      <x v="138"/>
      <x v="293"/>
      <x/>
      <x v="4"/>
      <x v="15"/>
      <x v="8"/>
      <x v="8"/>
      <x v="13"/>
    </i>
    <i>
      <x v="39"/>
      <x v="1"/>
      <x v="2"/>
      <x v="251"/>
      <x v="169"/>
      <x/>
      <x v="12"/>
      <x v="15"/>
      <x v="16"/>
      <x/>
      <x v="40"/>
    </i>
    <i>
      <x v="40"/>
      <x/>
      <x v="2"/>
      <x v="201"/>
      <x v="325"/>
      <x/>
      <x v="79"/>
      <x v="4"/>
      <x v="43"/>
      <x v="12"/>
      <x v="1"/>
    </i>
    <i>
      <x v="41"/>
      <x v="1"/>
      <x v="2"/>
      <x v="92"/>
      <x v="7"/>
      <x/>
      <x v="89"/>
      <x v="15"/>
      <x v="1"/>
      <x/>
      <x v="40"/>
    </i>
    <i>
      <x v="42"/>
      <x v="1"/>
      <x v="2"/>
      <x v="334"/>
      <x v="280"/>
      <x/>
      <x v="12"/>
      <x v="13"/>
      <x v="16"/>
      <x/>
      <x v="38"/>
    </i>
    <i>
      <x v="43"/>
      <x/>
      <x v="2"/>
      <x v="199"/>
      <x v="300"/>
      <x/>
      <x v="20"/>
      <x v="3"/>
      <x v="10"/>
      <x v="12"/>
      <x v="1"/>
    </i>
    <i>
      <x v="44"/>
      <x v="1"/>
      <x v="2"/>
      <x v="377"/>
      <x v="335"/>
      <x/>
      <x v="17"/>
      <x v="22"/>
      <x v="30"/>
      <x/>
      <x v="47"/>
    </i>
    <i>
      <x v="45"/>
      <x v="1"/>
      <x v="2"/>
      <x v="323"/>
      <x v="48"/>
      <x v="5"/>
      <x v="87"/>
      <x v="14"/>
      <x v="14"/>
      <x/>
      <x v="39"/>
    </i>
    <i r="4">
      <x v="59"/>
      <x v="5"/>
      <x v="87"/>
      <x v="14"/>
      <x v="14"/>
      <x/>
      <x v="39"/>
    </i>
    <i r="4">
      <x v="96"/>
      <x v="5"/>
      <x v="87"/>
      <x v="14"/>
      <x v="14"/>
      <x/>
      <x v="39"/>
    </i>
    <i r="4">
      <x v="119"/>
      <x v="5"/>
      <x v="87"/>
      <x v="14"/>
      <x v="14"/>
      <x/>
      <x v="39"/>
    </i>
    <i r="4">
      <x v="166"/>
      <x v="5"/>
      <x v="87"/>
      <x v="14"/>
      <x v="14"/>
      <x/>
      <x v="39"/>
    </i>
    <i r="4">
      <x v="341"/>
      <x v="5"/>
      <x v="87"/>
      <x v="14"/>
      <x v="14"/>
      <x/>
      <x v="39"/>
    </i>
    <i>
      <x v="46"/>
      <x v="1"/>
      <x v="2"/>
      <x v="93"/>
      <x v="7"/>
      <x v="1"/>
      <x v="30"/>
      <x v="15"/>
      <x v="35"/>
      <x/>
      <x v="40"/>
    </i>
    <i r="4">
      <x v="164"/>
      <x v="1"/>
      <x v="30"/>
      <x v="15"/>
      <x v="35"/>
      <x/>
      <x v="40"/>
    </i>
    <i>
      <x v="47"/>
      <x v="1"/>
      <x v="2"/>
      <x v="243"/>
      <x v="139"/>
      <x/>
      <x v="30"/>
      <x v="15"/>
      <x v="35"/>
      <x/>
      <x v="40"/>
    </i>
    <i>
      <x v="48"/>
      <x v="1"/>
      <x v="2"/>
      <x v="255"/>
      <x v="167"/>
      <x v="4"/>
      <x v="87"/>
      <x v="13"/>
      <x v="14"/>
      <x/>
      <x v="38"/>
    </i>
    <i r="7">
      <x v="15"/>
      <x v="14"/>
      <x/>
      <x v="40"/>
    </i>
    <i r="4">
      <x v="213"/>
      <x v="4"/>
      <x v="87"/>
      <x v="13"/>
      <x v="14"/>
      <x/>
      <x v="38"/>
    </i>
    <i r="4">
      <x v="286"/>
      <x v="4"/>
      <x v="87"/>
      <x v="16"/>
      <x v="14"/>
      <x/>
      <x v="41"/>
    </i>
    <i r="4">
      <x v="287"/>
      <x v="4"/>
      <x v="87"/>
      <x v="13"/>
      <x v="14"/>
      <x/>
      <x v="38"/>
    </i>
    <i>
      <x v="49"/>
      <x v="1"/>
      <x v="2"/>
      <x v="8"/>
      <x v="55"/>
      <x v="3"/>
      <x v="17"/>
      <x v="15"/>
      <x v="30"/>
      <x/>
      <x v="40"/>
    </i>
    <i r="4">
      <x v="144"/>
      <x v="3"/>
      <x v="17"/>
      <x v="15"/>
      <x v="30"/>
      <x/>
      <x v="40"/>
    </i>
    <i r="4">
      <x v="233"/>
      <x v="3"/>
      <x v="17"/>
      <x v="15"/>
      <x v="30"/>
      <x/>
      <x v="40"/>
    </i>
    <i r="4">
      <x v="259"/>
      <x v="3"/>
      <x v="17"/>
      <x v="13"/>
      <x v="30"/>
      <x/>
      <x v="38"/>
    </i>
    <i>
      <x v="50"/>
      <x v="1"/>
      <x v="2"/>
      <x v="279"/>
      <x v="58"/>
      <x/>
      <x v="30"/>
      <x v="19"/>
      <x v="35"/>
      <x/>
      <x v="44"/>
    </i>
    <i>
      <x v="51"/>
      <x v="1"/>
      <x v="2"/>
      <x v="207"/>
      <x v="240"/>
      <x/>
      <x v="87"/>
      <x v="13"/>
      <x v="14"/>
      <x/>
      <x v="38"/>
    </i>
    <i>
      <x v="52"/>
      <x v="1"/>
      <x v="2"/>
      <x v="103"/>
      <x v="254"/>
      <x/>
      <x v="104"/>
      <x v="13"/>
      <x v="104"/>
      <x/>
      <x v="38"/>
    </i>
    <i>
      <x v="53"/>
      <x v="1"/>
      <x v="2"/>
      <x v="227"/>
      <x v="82"/>
      <x/>
      <x v="80"/>
      <x v="17"/>
      <x v="85"/>
      <x/>
      <x v="42"/>
    </i>
    <i>
      <x v="54"/>
      <x v="1"/>
      <x v="2"/>
      <x v="73"/>
      <x v="217"/>
      <x/>
      <x v="17"/>
      <x v="19"/>
      <x v="30"/>
      <x/>
      <x v="44"/>
    </i>
    <i>
      <x v="55"/>
      <x v="1"/>
      <x v="2"/>
      <x v="380"/>
      <x v="343"/>
      <x/>
      <x v="17"/>
      <x v="15"/>
      <x v="30"/>
      <x/>
      <x v="40"/>
    </i>
    <i>
      <x v="56"/>
      <x v="1"/>
      <x v="2"/>
      <x v="294"/>
      <x v="203"/>
      <x v="2"/>
      <x v="17"/>
      <x v="17"/>
      <x v="30"/>
      <x/>
      <x v="42"/>
    </i>
    <i r="4">
      <x v="291"/>
      <x v="2"/>
      <x v="17"/>
      <x v="17"/>
      <x v="30"/>
      <x/>
      <x v="42"/>
    </i>
    <i r="4">
      <x v="300"/>
      <x v="2"/>
      <x v="17"/>
      <x v="17"/>
      <x v="30"/>
      <x/>
      <x v="42"/>
    </i>
    <i>
      <x v="57"/>
      <x v="1"/>
      <x v="2"/>
      <x v="248"/>
      <x v="167"/>
      <x v="2"/>
      <x v="17"/>
      <x v="16"/>
      <x v="30"/>
      <x/>
      <x v="41"/>
    </i>
    <i r="4">
      <x v="291"/>
      <x v="2"/>
      <x v="17"/>
      <x v="18"/>
      <x v="30"/>
      <x/>
      <x v="43"/>
    </i>
    <i r="4">
      <x v="354"/>
      <x v="2"/>
      <x v="17"/>
      <x v="13"/>
      <x v="30"/>
      <x/>
      <x v="38"/>
    </i>
    <i>
      <x v="58"/>
      <x v="1"/>
      <x v="2"/>
      <x v="164"/>
      <x v="89"/>
      <x/>
      <x v="98"/>
      <x v="19"/>
      <x v="26"/>
      <x v="8"/>
      <x v="33"/>
    </i>
    <i>
      <x v="59"/>
      <x v="1"/>
      <x v="2"/>
      <x v="319"/>
      <x v="163"/>
      <x/>
      <x v="71"/>
      <x v="15"/>
      <x v="87"/>
      <x/>
      <x v="40"/>
    </i>
    <i>
      <x v="60"/>
      <x v="1"/>
      <x v="2"/>
      <x v="328"/>
      <x v="7"/>
      <x v="6"/>
      <x v="57"/>
      <x v="14"/>
      <x v="56"/>
      <x/>
      <x v="39"/>
    </i>
    <i r="4">
      <x v="227"/>
      <x v="6"/>
      <x v="57"/>
      <x v="14"/>
      <x v="56"/>
      <x/>
      <x v="39"/>
    </i>
    <i r="4">
      <x v="232"/>
      <x v="6"/>
      <x v="57"/>
      <x v="14"/>
      <x v="56"/>
      <x/>
      <x v="39"/>
    </i>
    <i r="4">
      <x v="261"/>
      <x v="6"/>
      <x v="57"/>
      <x v="17"/>
      <x v="56"/>
      <x/>
      <x v="42"/>
    </i>
    <i r="4">
      <x v="282"/>
      <x v="6"/>
      <x v="57"/>
      <x v="23"/>
      <x v="56"/>
      <x/>
      <x v="48"/>
    </i>
    <i r="4">
      <x v="301"/>
      <x v="6"/>
      <x v="57"/>
      <x v="17"/>
      <x v="56"/>
      <x/>
      <x v="42"/>
    </i>
    <i r="4">
      <x v="313"/>
      <x v="6"/>
      <x v="57"/>
      <x v="17"/>
      <x v="56"/>
      <x/>
      <x v="42"/>
    </i>
    <i>
      <x v="61"/>
      <x v="1"/>
      <x v="2"/>
      <x v="157"/>
      <x v="89"/>
      <x/>
      <x v="33"/>
      <x v="17"/>
      <x v="26"/>
      <x v="8"/>
      <x v="23"/>
    </i>
    <i>
      <x v="62"/>
      <x v="1"/>
      <x v="2"/>
      <x v="313"/>
      <x v="17"/>
      <x/>
      <x v="66"/>
      <x v="13"/>
      <x v="49"/>
      <x/>
      <x v="38"/>
    </i>
    <i>
      <x v="63"/>
      <x/>
      <x v="2"/>
      <x v="204"/>
      <x v="306"/>
      <x/>
      <x v="67"/>
      <x v="3"/>
      <x v="23"/>
      <x v="12"/>
      <x v="1"/>
    </i>
    <i>
      <x v="64"/>
      <x v="1"/>
      <x v="2"/>
      <x v="52"/>
      <x v="98"/>
      <x v="2"/>
      <x v="9"/>
      <x v="16"/>
      <x v="88"/>
      <x/>
      <x v="41"/>
    </i>
    <i r="4">
      <x v="251"/>
      <x v="2"/>
      <x v="9"/>
      <x v="16"/>
      <x v="88"/>
      <x/>
      <x v="41"/>
    </i>
    <i r="4">
      <x v="272"/>
      <x v="2"/>
      <x v="9"/>
      <x v="16"/>
      <x v="88"/>
      <x/>
      <x v="41"/>
    </i>
    <i>
      <x v="65"/>
      <x v="1"/>
      <x v="2"/>
      <x v="258"/>
      <x v="213"/>
      <x v="1"/>
      <x v="44"/>
      <x v="15"/>
      <x v="83"/>
      <x/>
      <x v="40"/>
    </i>
    <i r="4">
      <x v="347"/>
      <x v="1"/>
      <x v="44"/>
      <x v="15"/>
      <x v="83"/>
      <x/>
      <x v="40"/>
    </i>
    <i>
      <x v="66"/>
      <x v="1"/>
      <x v="2"/>
      <x v="384"/>
      <x v="7"/>
      <x v="2"/>
      <x v="31"/>
      <x v="20"/>
      <x v="92"/>
      <x/>
      <x v="45"/>
    </i>
    <i r="4">
      <x v="101"/>
      <x v="2"/>
      <x v="31"/>
      <x v="20"/>
      <x v="92"/>
      <x/>
      <x v="45"/>
    </i>
    <i r="4">
      <x v="162"/>
      <x v="2"/>
      <x v="31"/>
      <x v="20"/>
      <x v="92"/>
      <x/>
      <x v="45"/>
    </i>
    <i>
      <x v="67"/>
      <x v="1"/>
      <x v="2"/>
      <x v="295"/>
      <x v="194"/>
      <x/>
      <x v="87"/>
      <x v="14"/>
      <x v="13"/>
      <x/>
      <x v="39"/>
    </i>
    <i>
      <x v="68"/>
      <x v="1"/>
      <x v="2"/>
      <x v="116"/>
      <x v="194"/>
      <x/>
      <x v="87"/>
      <x v="14"/>
      <x v="13"/>
      <x/>
      <x v="39"/>
    </i>
    <i>
      <x v="69"/>
      <x v="1"/>
      <x v="2"/>
      <x v="284"/>
      <x v="194"/>
      <x/>
      <x v="87"/>
      <x v="15"/>
      <x v="13"/>
      <x/>
      <x v="40"/>
    </i>
    <i>
      <x v="70"/>
      <x v="1"/>
      <x v="2"/>
      <x v="325"/>
      <x v="194"/>
      <x/>
      <x v="87"/>
      <x v="14"/>
      <x v="13"/>
      <x/>
      <x v="39"/>
    </i>
    <i>
      <x v="71"/>
      <x v="1"/>
      <x v="2"/>
      <x v="296"/>
      <x v="194"/>
      <x/>
      <x v="87"/>
      <x v="15"/>
      <x v="13"/>
      <x/>
      <x v="40"/>
    </i>
    <i>
      <x v="72"/>
      <x v="1"/>
      <x v="2"/>
      <x v="244"/>
      <x v="194"/>
      <x/>
      <x v="87"/>
      <x v="16"/>
      <x v="13"/>
      <x/>
      <x v="41"/>
    </i>
    <i>
      <x v="73"/>
      <x v="1"/>
      <x v="2"/>
      <x v="340"/>
      <x v="194"/>
      <x/>
      <x v="87"/>
      <x v="13"/>
      <x v="13"/>
      <x/>
      <x v="38"/>
    </i>
    <i>
      <x v="74"/>
      <x v="1"/>
      <x v="2"/>
      <x v="236"/>
      <x v="194"/>
      <x/>
      <x v="87"/>
      <x v="19"/>
      <x v="13"/>
      <x/>
      <x v="44"/>
    </i>
    <i>
      <x v="75"/>
      <x v="1"/>
      <x v="2"/>
      <x v="298"/>
      <x v="194"/>
      <x/>
      <x v="87"/>
      <x v="15"/>
      <x v="13"/>
      <x/>
      <x v="40"/>
    </i>
    <i>
      <x v="76"/>
      <x v="1"/>
      <x v="2"/>
      <x v="297"/>
      <x v="194"/>
      <x/>
      <x v="87"/>
      <x v="16"/>
      <x v="13"/>
      <x/>
      <x v="41"/>
    </i>
    <i>
      <x v="77"/>
      <x v="1"/>
      <x v="2"/>
      <x v="376"/>
      <x v="213"/>
      <x/>
      <x v="66"/>
      <x v="13"/>
      <x v="49"/>
      <x/>
      <x v="38"/>
    </i>
    <i>
      <x v="78"/>
      <x v="1"/>
      <x v="2"/>
      <x v="299"/>
      <x v="194"/>
      <x/>
      <x v="87"/>
      <x v="19"/>
      <x v="13"/>
      <x/>
      <x v="43"/>
    </i>
    <i>
      <x v="79"/>
      <x v="1"/>
      <x v="2"/>
      <x v="366"/>
      <x v="258"/>
      <x/>
      <x v="87"/>
      <x v="15"/>
      <x v="13"/>
      <x v="3"/>
      <x v="15"/>
    </i>
    <i>
      <x v="80"/>
      <x/>
      <x v="2"/>
      <x v="181"/>
      <x v="239"/>
      <x/>
      <x v="70"/>
      <x v="10"/>
      <x v="6"/>
      <x v="8"/>
      <x v="9"/>
    </i>
    <i>
      <x v="81"/>
      <x v="1"/>
      <x v="2"/>
      <x v="365"/>
      <x v="79"/>
      <x/>
      <x v="87"/>
      <x v="17"/>
      <x v="13"/>
      <x/>
      <x v="42"/>
    </i>
    <i>
      <x v="82"/>
      <x/>
      <x v="2"/>
      <x v="179"/>
      <x v="237"/>
      <x/>
      <x v="70"/>
      <x v="11"/>
      <x v="6"/>
      <x v="8"/>
      <x v="9"/>
    </i>
    <i>
      <x v="83"/>
      <x v="1"/>
      <x v="2"/>
      <x v="338"/>
      <x v="194"/>
      <x/>
      <x v="87"/>
      <x v="15"/>
      <x v="13"/>
      <x/>
      <x v="40"/>
    </i>
    <i>
      <x v="84"/>
      <x/>
      <x v="2"/>
      <x v="147"/>
      <x v="324"/>
      <x/>
      <x v="99"/>
      <x v="10"/>
      <x v="5"/>
      <x v="8"/>
      <x v="32"/>
    </i>
    <i>
      <x v="85"/>
      <x v="1"/>
      <x v="2"/>
      <x v="301"/>
      <x v="194"/>
      <x/>
      <x v="87"/>
      <x v="18"/>
      <x v="13"/>
      <x/>
      <x v="43"/>
    </i>
    <i>
      <x v="86"/>
      <x/>
      <x v="2"/>
      <x v="183"/>
      <x v="257"/>
      <x/>
      <x v="95"/>
      <x v="9"/>
      <x v="94"/>
      <x v="11"/>
      <x v="29"/>
    </i>
    <i>
      <x v="87"/>
      <x v="1"/>
      <x v="2"/>
      <x v="302"/>
      <x v="206"/>
      <x/>
      <x v="87"/>
      <x v="20"/>
      <x v="13"/>
      <x/>
      <x v="45"/>
    </i>
    <i>
      <x v="88"/>
      <x/>
      <x v="2"/>
      <x v="150"/>
      <x v="7"/>
      <x/>
      <x v="74"/>
      <x v="11"/>
      <x v="17"/>
      <x v="8"/>
      <x v="9"/>
    </i>
    <i>
      <x v="89"/>
      <x v="1"/>
      <x v="2"/>
      <x v="286"/>
      <x v="194"/>
      <x/>
      <x v="87"/>
      <x v="20"/>
      <x v="13"/>
      <x/>
      <x v="45"/>
    </i>
    <i>
      <x v="90"/>
      <x/>
      <x v="2"/>
      <x v="182"/>
      <x v="58"/>
      <x/>
      <x v="95"/>
      <x v="11"/>
      <x v="58"/>
      <x v="8"/>
      <x v="8"/>
    </i>
    <i>
      <x v="91"/>
      <x v="1"/>
      <x v="2"/>
      <x v="317"/>
      <x v="238"/>
      <x/>
      <x v="87"/>
      <x v="23"/>
      <x v="14"/>
      <x v="8"/>
      <x v="6"/>
    </i>
    <i>
      <x v="92"/>
      <x/>
      <x v="2"/>
      <x v="189"/>
      <x v="237"/>
      <x/>
      <x v="88"/>
      <x v="11"/>
      <x v="14"/>
      <x v="8"/>
      <x v="9"/>
    </i>
    <i>
      <x v="93"/>
      <x v="1"/>
      <x v="2"/>
      <x v="308"/>
      <x v="213"/>
      <x/>
      <x v="87"/>
      <x v="15"/>
      <x v="14"/>
      <x/>
      <x v="40"/>
    </i>
    <i>
      <x v="94"/>
      <x/>
      <x v="2"/>
      <x v="190"/>
      <x v="237"/>
      <x/>
      <x v="106"/>
      <x v="11"/>
      <x v="17"/>
      <x v="8"/>
      <x v="9"/>
    </i>
    <i>
      <x v="95"/>
      <x v="1"/>
      <x v="2"/>
      <x v="160"/>
      <x v="79"/>
      <x/>
      <x v="86"/>
      <x v="13"/>
      <x v="37"/>
      <x v="8"/>
      <x v="3"/>
    </i>
    <i>
      <x v="96"/>
      <x/>
      <x v="2"/>
      <x v="195"/>
      <x v="237"/>
      <x/>
      <x v="11"/>
      <x v="11"/>
      <x v="11"/>
      <x v="8"/>
      <x v="9"/>
    </i>
    <i>
      <x v="97"/>
      <x v="1"/>
      <x v="2"/>
      <x v="159"/>
      <x v="79"/>
      <x/>
      <x v="86"/>
      <x v="13"/>
      <x v="38"/>
      <x v="8"/>
      <x v="3"/>
    </i>
    <i>
      <x v="98"/>
      <x/>
      <x v="2"/>
      <x v="180"/>
      <x v="237"/>
      <x/>
      <x v="103"/>
      <x v="11"/>
      <x v="6"/>
      <x v="8"/>
      <x v="9"/>
    </i>
    <i>
      <x v="99"/>
      <x/>
      <x v="2"/>
      <x v="203"/>
      <x v="237"/>
      <x/>
      <x v="74"/>
      <x v="11"/>
      <x v="17"/>
      <x v="8"/>
      <x v="9"/>
    </i>
    <i>
      <x v="100"/>
      <x v="1"/>
      <x v="2"/>
      <x v="276"/>
      <x v="67"/>
      <x v="1"/>
      <x v="30"/>
      <x v="22"/>
      <x v="35"/>
      <x/>
      <x v="47"/>
    </i>
    <i r="4">
      <x v="213"/>
      <x v="1"/>
      <x v="30"/>
      <x v="22"/>
      <x v="35"/>
      <x/>
      <x v="47"/>
    </i>
    <i>
      <x v="101"/>
      <x/>
      <x v="2"/>
      <x v="185"/>
      <x v="307"/>
      <x/>
      <x v="27"/>
      <x v="11"/>
      <x v="59"/>
      <x v="8"/>
      <x v="3"/>
    </i>
    <i>
      <x v="102"/>
      <x v="1"/>
      <x v="2"/>
      <x v="277"/>
      <x v="213"/>
      <x v="1"/>
      <x v="30"/>
      <x v="22"/>
      <x v="35"/>
      <x/>
      <x v="47"/>
    </i>
    <i r="4">
      <x v="301"/>
      <x v="1"/>
      <x v="30"/>
      <x v="22"/>
      <x v="35"/>
      <x/>
      <x v="47"/>
    </i>
    <i>
      <x v="103"/>
      <x/>
      <x v="2"/>
      <x v="172"/>
      <x v="87"/>
      <x/>
      <x v="13"/>
      <x v="11"/>
      <x v="51"/>
      <x v="8"/>
      <x v="9"/>
    </i>
    <i>
      <x v="104"/>
      <x v="1"/>
      <x v="2"/>
      <x v="336"/>
      <x v="286"/>
      <x/>
      <x v="66"/>
      <x v="13"/>
      <x v="49"/>
      <x/>
      <x v="38"/>
    </i>
    <i>
      <x v="105"/>
      <x/>
      <x v="2"/>
      <x v="148"/>
      <x v="307"/>
      <x/>
      <x v="56"/>
      <x v="11"/>
      <x v="33"/>
      <x v="8"/>
      <x v="9"/>
    </i>
    <i>
      <x v="106"/>
      <x v="1"/>
      <x v="2"/>
      <x v="306"/>
      <x v="213"/>
      <x/>
      <x v="100"/>
      <x v="14"/>
      <x v="73"/>
      <x/>
      <x v="39"/>
    </i>
    <i>
      <x v="107"/>
      <x v="1"/>
      <x v="2"/>
      <x v="382"/>
      <x v="145"/>
      <x/>
      <x v="100"/>
      <x v="15"/>
      <x v="73"/>
      <x/>
      <x v="40"/>
    </i>
    <i>
      <x v="108"/>
      <x v="1"/>
      <x v="2"/>
      <x v="254"/>
      <x v="170"/>
      <x/>
      <x v="66"/>
      <x v="13"/>
      <x v="49"/>
      <x/>
      <x v="38"/>
    </i>
    <i>
      <x v="109"/>
      <x/>
      <x v="2"/>
      <x v="184"/>
      <x v="7"/>
      <x/>
      <x v="70"/>
      <x v="11"/>
      <x v="6"/>
      <x v="8"/>
      <x v="9"/>
    </i>
    <i>
      <x v="110"/>
      <x v="1"/>
      <x v="2"/>
      <x v="60"/>
      <x v="59"/>
      <x/>
      <x v="66"/>
      <x v="14"/>
      <x v="49"/>
      <x/>
      <x v="39"/>
    </i>
    <i>
      <x v="111"/>
      <x/>
      <x v="2"/>
      <x v="156"/>
      <x v="90"/>
      <x v="1"/>
      <x v="74"/>
      <x v="11"/>
      <x v="17"/>
      <x v="8"/>
      <x v="3"/>
    </i>
    <i r="4">
      <x v="349"/>
      <x v="1"/>
      <x v="74"/>
      <x v="11"/>
      <x v="17"/>
      <x v="8"/>
      <x v="3"/>
    </i>
    <i>
      <x v="112"/>
      <x v="1"/>
      <x v="2"/>
      <x v="109"/>
      <x v="213"/>
      <x/>
      <x v="90"/>
      <x v="22"/>
      <x v="34"/>
      <x/>
      <x v="47"/>
    </i>
    <i>
      <x v="113"/>
      <x/>
      <x v="2"/>
      <x v="153"/>
      <x v="21"/>
      <x/>
      <x v="8"/>
      <x v="11"/>
      <x v="80"/>
      <x v="14"/>
      <x v="37"/>
    </i>
    <i>
      <x v="114"/>
      <x v="1"/>
      <x v="2"/>
      <x v="1"/>
      <x v="7"/>
      <x v="1"/>
      <x v="24"/>
      <x v="18"/>
      <x v="29"/>
      <x/>
      <x v="43"/>
    </i>
    <i r="4">
      <x v="231"/>
      <x v="1"/>
      <x v="24"/>
      <x v="18"/>
      <x v="29"/>
      <x/>
      <x v="43"/>
    </i>
    <i>
      <x v="115"/>
      <x/>
      <x v="2"/>
      <x v="191"/>
      <x v="298"/>
      <x/>
      <x v="24"/>
      <x v="11"/>
      <x v="29"/>
      <x v="8"/>
      <x v="9"/>
    </i>
    <i>
      <x v="116"/>
      <x v="1"/>
      <x v="2"/>
      <x v="134"/>
      <x v="82"/>
      <x/>
      <x v="92"/>
      <x v="22"/>
      <x v="53"/>
      <x/>
      <x v="47"/>
    </i>
    <i>
      <x v="117"/>
      <x/>
      <x v="2"/>
      <x v="193"/>
      <x v="279"/>
      <x/>
      <x v="6"/>
      <x v="12"/>
      <x v="63"/>
      <x v="8"/>
      <x v="3"/>
    </i>
    <i>
      <x v="118"/>
      <x v="1"/>
      <x v="2"/>
      <x v="232"/>
      <x v="7"/>
      <x v="1"/>
      <x v="24"/>
      <x v="19"/>
      <x v="29"/>
      <x/>
      <x v="44"/>
    </i>
    <i r="4">
      <x v="101"/>
      <x v="1"/>
      <x v="24"/>
      <x v="19"/>
      <x v="29"/>
      <x/>
      <x v="44"/>
    </i>
    <i>
      <x v="119"/>
      <x/>
      <x v="2"/>
      <x v="141"/>
      <x v="153"/>
      <x v="1"/>
      <x v="4"/>
      <x v="11"/>
      <x v="8"/>
      <x v="8"/>
      <x v="3"/>
    </i>
    <i r="4">
      <x v="154"/>
      <x v="1"/>
      <x v="4"/>
      <x v="13"/>
      <x v="8"/>
      <x v="8"/>
      <x v="3"/>
    </i>
    <i>
      <x v="120"/>
      <x v="1"/>
      <x v="2"/>
      <x v="175"/>
      <x v="88"/>
      <x/>
      <x v="98"/>
      <x v="16"/>
      <x v="26"/>
      <x v="14"/>
      <x v="24"/>
    </i>
    <i>
      <x v="121"/>
      <x/>
      <x v="2"/>
      <x v="154"/>
      <x v="213"/>
      <x/>
      <x v="21"/>
      <x v="11"/>
      <x v="39"/>
      <x v="8"/>
      <x v="32"/>
    </i>
    <i>
      <x v="122"/>
      <x v="1"/>
      <x v="2"/>
      <x v="16"/>
      <x v="69"/>
      <x/>
      <x v="65"/>
      <x v="15"/>
      <x v="18"/>
      <x/>
      <x v="40"/>
    </i>
    <i>
      <x v="123"/>
      <x/>
      <x v="2"/>
      <x v="200"/>
      <x v="86"/>
      <x/>
      <x v="32"/>
      <x v="11"/>
      <x v="24"/>
      <x v="12"/>
      <x v="4"/>
    </i>
    <i>
      <x v="124"/>
      <x v="1"/>
      <x v="2"/>
      <x v="19"/>
      <x v="12"/>
      <x/>
      <x v="65"/>
      <x v="15"/>
      <x v="18"/>
      <x/>
      <x v="40"/>
    </i>
    <i>
      <x v="125"/>
      <x/>
      <x v="2"/>
      <x v="165"/>
      <x v="20"/>
      <x/>
      <x v="91"/>
      <x v="11"/>
      <x v="81"/>
      <x v="10"/>
      <x v="34"/>
    </i>
    <i>
      <x v="126"/>
      <x v="1"/>
      <x v="2"/>
      <x v="215"/>
      <x v="112"/>
      <x/>
      <x v="65"/>
      <x v="15"/>
      <x v="18"/>
      <x/>
      <x v="40"/>
    </i>
    <i>
      <x v="127"/>
      <x/>
      <x v="2"/>
      <x v="178"/>
      <x v="195"/>
      <x/>
      <x v="49"/>
      <x v="11"/>
      <x v="95"/>
      <x v="8"/>
      <x v="3"/>
    </i>
    <i>
      <x v="128"/>
      <x v="1"/>
      <x v="2"/>
      <x v="240"/>
      <x v="72"/>
      <x/>
      <x v="65"/>
      <x v="15"/>
      <x v="18"/>
      <x/>
      <x v="40"/>
    </i>
    <i>
      <x v="129"/>
      <x/>
      <x v="2"/>
      <x v="170"/>
      <x v="92"/>
      <x/>
      <x v="77"/>
      <x v="11"/>
      <x v="25"/>
      <x v="9"/>
      <x v="35"/>
    </i>
    <i>
      <x v="130"/>
      <x v="1"/>
      <x v="2"/>
      <x v="43"/>
      <x v="299"/>
      <x/>
      <x v="65"/>
      <x v="15"/>
      <x v="18"/>
      <x/>
      <x v="40"/>
    </i>
    <i>
      <x v="131"/>
      <x/>
      <x v="2"/>
      <x v="161"/>
      <x v="78"/>
      <x/>
      <x v="86"/>
      <x v="11"/>
      <x v="37"/>
      <x v="8"/>
      <x v="3"/>
    </i>
    <i>
      <x v="132"/>
      <x v="1"/>
      <x v="2"/>
      <x v="288"/>
      <x v="197"/>
      <x v="4"/>
      <x v="63"/>
      <x v="18"/>
      <x v="65"/>
      <x/>
      <x v="43"/>
    </i>
    <i r="4">
      <x v="200"/>
      <x v="4"/>
      <x v="63"/>
      <x v="18"/>
      <x v="65"/>
      <x/>
      <x v="43"/>
    </i>
    <i r="4">
      <x v="204"/>
      <x v="4"/>
      <x v="63"/>
      <x v="18"/>
      <x v="65"/>
      <x/>
      <x v="43"/>
    </i>
    <i r="4">
      <x v="205"/>
      <x v="4"/>
      <x v="63"/>
      <x v="18"/>
      <x v="65"/>
      <x/>
      <x v="43"/>
    </i>
    <i r="4">
      <x v="302"/>
      <x v="4"/>
      <x v="63"/>
      <x v="15"/>
      <x v="65"/>
      <x v="2"/>
      <x v="16"/>
    </i>
    <i>
      <x v="133"/>
      <x/>
      <x v="2"/>
      <x v="171"/>
      <x v="86"/>
      <x/>
      <x v="86"/>
      <x v="11"/>
      <x v="37"/>
      <x v="8"/>
      <x v="3"/>
    </i>
    <i>
      <x v="134"/>
      <x/>
      <x v="2"/>
      <x v="158"/>
      <x v="95"/>
      <x/>
      <x v="43"/>
      <x v="11"/>
      <x v="47"/>
      <x v="12"/>
      <x v="4"/>
    </i>
    <i>
      <x v="135"/>
      <x v="1"/>
      <x v="2"/>
      <x v="162"/>
      <x v="86"/>
      <x/>
      <x v="63"/>
      <x v="21"/>
      <x v="65"/>
      <x v="8"/>
      <x v="6"/>
    </i>
    <i>
      <x v="136"/>
      <x/>
      <x v="2"/>
      <x v="174"/>
      <x v="86"/>
      <x/>
      <x v="43"/>
      <x v="11"/>
      <x v="47"/>
      <x v="8"/>
      <x v="3"/>
    </i>
    <i>
      <x v="137"/>
      <x v="1"/>
      <x v="2"/>
      <x v="253"/>
      <x v="176"/>
      <x/>
      <x v="41"/>
      <x v="15"/>
      <x v="90"/>
      <x/>
      <x v="40"/>
    </i>
    <i>
      <x v="138"/>
      <x/>
      <x v="2"/>
      <x v="197"/>
      <x v="195"/>
      <x/>
      <x v="42"/>
      <x v="11"/>
      <x v="48"/>
      <x v="12"/>
      <x v="4"/>
    </i>
    <i>
      <x v="139"/>
      <x v="1"/>
      <x v="2"/>
      <x v="206"/>
      <x v="146"/>
      <x/>
      <x v="30"/>
      <x v="17"/>
      <x v="35"/>
      <x/>
      <x v="42"/>
    </i>
    <i>
      <x v="140"/>
      <x/>
      <x v="2"/>
      <x v="196"/>
      <x v="86"/>
      <x/>
      <x v="42"/>
      <x v="11"/>
      <x v="48"/>
      <x v="8"/>
      <x v="3"/>
    </i>
    <i>
      <x v="141"/>
      <x v="1"/>
      <x v="2"/>
      <x v="208"/>
      <x v="133"/>
      <x v="4"/>
      <x v="30"/>
      <x v="22"/>
      <x v="35"/>
      <x/>
      <x v="47"/>
    </i>
    <i r="4">
      <x v="213"/>
      <x v="4"/>
      <x v="30"/>
      <x v="22"/>
      <x v="35"/>
      <x/>
      <x v="47"/>
    </i>
    <i r="4">
      <x v="231"/>
      <x v="4"/>
      <x v="30"/>
      <x v="22"/>
      <x v="35"/>
      <x/>
      <x v="47"/>
    </i>
    <i r="4">
      <x v="301"/>
      <x v="4"/>
      <x v="30"/>
      <x v="22"/>
      <x v="35"/>
      <x/>
      <x v="47"/>
    </i>
    <i r="4">
      <x v="355"/>
      <x v="4"/>
      <x v="30"/>
      <x v="22"/>
      <x v="35"/>
      <x/>
      <x v="47"/>
    </i>
    <i>
      <x v="142"/>
      <x v="1"/>
      <x v="2"/>
      <x v="71"/>
      <x v="33"/>
      <x/>
      <x v="69"/>
      <x v="15"/>
      <x v="6"/>
      <x/>
      <x v="41"/>
    </i>
    <i>
      <x v="143"/>
      <x v="1"/>
      <x v="2"/>
      <x v="261"/>
      <x v="275"/>
      <x/>
      <x v="11"/>
      <x v="13"/>
      <x v="9"/>
      <x/>
      <x v="38"/>
    </i>
    <i>
      <x v="144"/>
      <x v="1"/>
      <x v="2"/>
      <x v="260"/>
      <x v="256"/>
      <x v="1"/>
      <x v="11"/>
      <x v="13"/>
      <x v="9"/>
      <x/>
      <x v="38"/>
    </i>
    <i r="4">
      <x v="321"/>
      <x v="1"/>
      <x v="11"/>
      <x v="13"/>
      <x v="9"/>
      <x/>
      <x v="38"/>
    </i>
    <i>
      <x v="145"/>
      <x v="1"/>
      <x v="2"/>
      <x v="304"/>
      <x v="213"/>
      <x v="1"/>
      <x v="69"/>
      <x v="16"/>
      <x v="6"/>
      <x/>
      <x v="41"/>
    </i>
    <i r="4">
      <x v="288"/>
      <x v="1"/>
      <x v="69"/>
      <x v="16"/>
      <x v="6"/>
      <x/>
      <x v="41"/>
    </i>
    <i>
      <x v="146"/>
      <x v="1"/>
      <x v="2"/>
      <x v="316"/>
      <x v="59"/>
      <x v="1"/>
      <x v="19"/>
      <x v="13"/>
      <x v="10"/>
      <x/>
      <x v="38"/>
    </i>
    <i r="4">
      <x v="235"/>
      <x v="1"/>
      <x v="19"/>
      <x v="13"/>
      <x v="10"/>
      <x/>
      <x v="38"/>
    </i>
    <i>
      <x v="147"/>
      <x/>
      <x v="2"/>
      <x v="149"/>
      <x v="284"/>
      <x/>
      <x v="20"/>
      <x v="12"/>
      <x v="10"/>
      <x v="14"/>
      <x v="5"/>
    </i>
    <i>
      <x v="148"/>
      <x v="1"/>
      <x v="2"/>
      <x v="361"/>
      <x v="323"/>
      <x/>
      <x v="19"/>
      <x v="13"/>
      <x v="10"/>
      <x/>
      <x v="39"/>
    </i>
    <i>
      <x v="149"/>
      <x v="1"/>
      <x v="2"/>
      <x v="102"/>
      <x v="49"/>
      <x v="2"/>
      <x v="42"/>
      <x v="14"/>
      <x v="47"/>
      <x/>
      <x v="39"/>
    </i>
    <i r="4">
      <x v="64"/>
      <x v="2"/>
      <x v="42"/>
      <x v="14"/>
      <x v="47"/>
      <x/>
      <x v="39"/>
    </i>
    <i r="4">
      <x v="351"/>
      <x v="2"/>
      <x v="42"/>
      <x v="14"/>
      <x v="47"/>
      <x/>
      <x v="39"/>
    </i>
    <i>
      <x v="150"/>
      <x v="1"/>
      <x v="2"/>
      <x v="100"/>
      <x v="327"/>
      <x/>
      <x v="52"/>
      <x v="14"/>
      <x v="78"/>
      <x/>
      <x v="39"/>
    </i>
    <i>
      <x v="151"/>
      <x v="1"/>
      <x v="2"/>
      <x v="24"/>
      <x v="166"/>
      <x v="1"/>
      <x v="11"/>
      <x v="13"/>
      <x v="9"/>
      <x/>
      <x v="38"/>
    </i>
    <i r="4">
      <x v="172"/>
      <x v="1"/>
      <x v="11"/>
      <x v="13"/>
      <x v="9"/>
      <x/>
      <x v="38"/>
    </i>
    <i>
      <x v="152"/>
      <x v="1"/>
      <x v="2"/>
      <x v="205"/>
      <x v="75"/>
      <x v="4"/>
      <x v="59"/>
      <x v="15"/>
      <x v="95"/>
      <x/>
      <x v="40"/>
    </i>
    <i r="4">
      <x v="76"/>
      <x v="4"/>
      <x v="59"/>
      <x v="13"/>
      <x v="95"/>
      <x/>
      <x v="38"/>
    </i>
    <i r="4">
      <x v="183"/>
      <x v="4"/>
      <x v="59"/>
      <x v="15"/>
      <x v="95"/>
      <x/>
      <x v="40"/>
    </i>
    <i r="4">
      <x v="269"/>
      <x v="4"/>
      <x v="59"/>
      <x v="13"/>
      <x v="95"/>
      <x/>
      <x v="38"/>
    </i>
    <i r="4">
      <x v="328"/>
      <x v="4"/>
      <x v="59"/>
      <x v="15"/>
      <x v="95"/>
      <x/>
      <x v="40"/>
    </i>
    <i>
      <x v="153"/>
      <x v="1"/>
      <x v="2"/>
      <x v="218"/>
      <x v="112"/>
      <x/>
      <x v="73"/>
      <x v="16"/>
      <x v="54"/>
      <x/>
      <x v="41"/>
    </i>
    <i>
      <x v="154"/>
      <x v="1"/>
      <x v="2"/>
      <x v="381"/>
      <x v="112"/>
      <x/>
      <x v="19"/>
      <x v="14"/>
      <x v="10"/>
      <x/>
      <x v="39"/>
    </i>
    <i>
      <x v="155"/>
      <x v="1"/>
      <x v="2"/>
      <x v="108"/>
      <x v="7"/>
      <x v="2"/>
      <x v="62"/>
      <x v="23"/>
      <x v="107"/>
      <x/>
      <x v="48"/>
    </i>
    <i r="4">
      <x v="231"/>
      <x v="2"/>
      <x v="62"/>
      <x v="23"/>
      <x v="107"/>
      <x/>
      <x v="48"/>
    </i>
    <i r="4">
      <x v="317"/>
      <x v="2"/>
      <x v="62"/>
      <x v="23"/>
      <x v="107"/>
      <x/>
      <x v="48"/>
    </i>
    <i>
      <x v="156"/>
      <x v="1"/>
      <x v="2"/>
      <x v="26"/>
      <x v="122"/>
      <x/>
      <x v="60"/>
      <x v="15"/>
      <x v="102"/>
      <x/>
      <x v="40"/>
    </i>
    <i>
      <x v="157"/>
      <x v="1"/>
      <x v="2"/>
      <x v="292"/>
      <x v="203"/>
      <x/>
      <x v="48"/>
      <x v="18"/>
      <x v="95"/>
      <x/>
      <x v="43"/>
    </i>
    <i>
      <x v="158"/>
      <x v="1"/>
      <x v="2"/>
      <x v="293"/>
      <x v="194"/>
      <x/>
      <x v="48"/>
      <x v="24"/>
      <x v="95"/>
      <x/>
      <x v="49"/>
    </i>
    <i>
      <x v="159"/>
      <x v="1"/>
      <x v="2"/>
      <x v="166"/>
      <x v="203"/>
      <x/>
      <x v="48"/>
      <x v="24"/>
      <x v="95"/>
      <x v="8"/>
      <x v="6"/>
    </i>
    <i>
      <x v="160"/>
      <x v="1"/>
      <x v="2"/>
      <x v="285"/>
      <x v="207"/>
      <x/>
      <x v="48"/>
      <x v="23"/>
      <x v="95"/>
      <x/>
      <x v="48"/>
    </i>
    <i>
      <x v="161"/>
      <x v="1"/>
      <x v="2"/>
      <x v="314"/>
      <x v="194"/>
      <x/>
      <x v="48"/>
      <x v="23"/>
      <x v="95"/>
      <x/>
      <x v="48"/>
    </i>
    <i>
      <x v="162"/>
      <x v="1"/>
      <x v="2"/>
      <x v="300"/>
      <x v="194"/>
      <x/>
      <x v="34"/>
      <x v="22"/>
      <x v="98"/>
      <x/>
      <x v="47"/>
    </i>
    <i>
      <x v="163"/>
      <x v="1"/>
      <x v="2"/>
      <x v="310"/>
      <x v="73"/>
      <x v="2"/>
      <x v="19"/>
      <x v="20"/>
      <x v="10"/>
      <x/>
      <x v="45"/>
    </i>
    <i r="4">
      <x v="236"/>
      <x v="2"/>
      <x v="19"/>
      <x v="20"/>
      <x v="10"/>
      <x/>
      <x v="45"/>
    </i>
    <i r="4">
      <x v="269"/>
      <x v="2"/>
      <x v="19"/>
      <x v="20"/>
      <x v="10"/>
      <x/>
      <x v="45"/>
    </i>
    <i>
      <x v="164"/>
      <x v="1"/>
      <x v="2"/>
      <x v="111"/>
      <x v="211"/>
      <x/>
      <x v="46"/>
      <x v="14"/>
      <x v="91"/>
      <x/>
      <x v="39"/>
    </i>
    <i>
      <x v="165"/>
      <x v="1"/>
      <x v="2"/>
      <x v="217"/>
      <x v="112"/>
      <x v="1"/>
      <x v="100"/>
      <x v="15"/>
      <x v="73"/>
      <x/>
      <x v="40"/>
    </i>
    <i r="4">
      <x v="356"/>
      <x v="1"/>
      <x v="100"/>
      <x v="13"/>
      <x v="73"/>
      <x/>
      <x v="38"/>
    </i>
    <i>
      <x v="166"/>
      <x v="1"/>
      <x v="2"/>
      <x v="6"/>
      <x v="301"/>
      <x/>
      <x v="46"/>
      <x v="16"/>
      <x v="91"/>
      <x/>
      <x v="41"/>
    </i>
    <i>
      <x v="167"/>
      <x v="1"/>
      <x v="2"/>
      <x v="22"/>
      <x v="222"/>
      <x/>
      <x v="69"/>
      <x v="14"/>
      <x v="6"/>
      <x/>
      <x v="39"/>
    </i>
    <i>
      <x v="168"/>
      <x v="1"/>
      <x v="2"/>
      <x v="221"/>
      <x v="16"/>
      <x/>
      <x v="100"/>
      <x v="13"/>
      <x v="73"/>
      <x/>
      <x v="38"/>
    </i>
    <i>
      <x v="169"/>
      <x v="1"/>
      <x v="2"/>
      <x v="379"/>
      <x v="335"/>
      <x/>
      <x v="51"/>
      <x v="14"/>
      <x v="68"/>
      <x/>
      <x v="39"/>
    </i>
    <i>
      <x v="170"/>
      <x v="1"/>
      <x v="2"/>
      <x v="51"/>
      <x v="37"/>
      <x/>
      <x v="36"/>
      <x v="13"/>
      <x v="106"/>
      <x/>
      <x v="38"/>
    </i>
    <i>
      <x v="171"/>
      <x v="1"/>
      <x v="2"/>
      <x v="281"/>
      <x v="301"/>
      <x/>
      <x v="46"/>
      <x v="16"/>
      <x v="91"/>
      <x/>
      <x v="42"/>
    </i>
    <i>
      <x v="172"/>
      <x v="1"/>
      <x v="2"/>
      <x v="347"/>
      <x v="222"/>
      <x/>
      <x v="36"/>
      <x v="13"/>
      <x v="106"/>
      <x/>
      <x v="38"/>
    </i>
    <i>
      <x v="173"/>
      <x v="1"/>
      <x v="2"/>
      <x v="270"/>
      <x v="7"/>
      <x/>
      <x v="69"/>
      <x v="16"/>
      <x v="6"/>
      <x/>
      <x v="41"/>
    </i>
    <i>
      <x v="174"/>
      <x v="1"/>
      <x v="2"/>
      <x v="33"/>
      <x v="122"/>
      <x/>
      <x v="60"/>
      <x v="15"/>
      <x v="102"/>
      <x/>
      <x v="40"/>
    </i>
    <i>
      <x v="175"/>
      <x v="1"/>
      <x v="2"/>
      <x v="83"/>
      <x v="74"/>
      <x/>
      <x v="100"/>
      <x v="15"/>
      <x v="73"/>
      <x/>
      <x v="40"/>
    </i>
    <i>
      <x v="176"/>
      <x v="1"/>
      <x v="2"/>
      <x v="337"/>
      <x v="294"/>
      <x/>
      <x v="14"/>
      <x v="13"/>
      <x v="51"/>
      <x v="8"/>
      <x v="3"/>
    </i>
    <i>
      <x v="177"/>
      <x v="1"/>
      <x v="2"/>
      <x v="31"/>
      <x v="43"/>
      <x v="1"/>
      <x v="60"/>
      <x v="16"/>
      <x v="102"/>
      <x/>
      <x v="41"/>
    </i>
    <i r="4">
      <x v="180"/>
      <x v="1"/>
      <x v="60"/>
      <x v="16"/>
      <x v="102"/>
      <x/>
      <x v="41"/>
    </i>
    <i>
      <x v="178"/>
      <x v="1"/>
      <x v="2"/>
      <x v="332"/>
      <x v="49"/>
      <x/>
      <x v="100"/>
      <x v="20"/>
      <x v="73"/>
      <x/>
      <x v="46"/>
    </i>
    <i>
      <x v="179"/>
      <x v="1"/>
      <x v="2"/>
      <x v="220"/>
      <x v="77"/>
      <x v="2"/>
      <x v="17"/>
      <x v="17"/>
      <x v="30"/>
      <x/>
      <x v="42"/>
    </i>
    <i r="4">
      <x v="115"/>
      <x v="2"/>
      <x v="17"/>
      <x v="17"/>
      <x v="30"/>
      <x/>
      <x v="42"/>
    </i>
    <i r="4">
      <x v="331"/>
      <x v="2"/>
      <x v="17"/>
      <x v="17"/>
      <x v="30"/>
      <x/>
      <x v="42"/>
    </i>
    <i>
      <x v="180"/>
      <x v="1"/>
      <x v="2"/>
      <x v="337"/>
      <x v="83"/>
      <x/>
      <x v="14"/>
      <x v="13"/>
      <x v="51"/>
      <x/>
      <x v="38"/>
    </i>
    <i>
      <x v="181"/>
      <x v="1"/>
      <x v="2"/>
      <x v="225"/>
      <x v="261"/>
      <x v="1"/>
      <x v="100"/>
      <x v="17"/>
      <x v="73"/>
      <x/>
      <x v="42"/>
    </i>
    <i r="4">
      <x v="271"/>
      <x v="1"/>
      <x v="100"/>
      <x v="17"/>
      <x v="73"/>
      <x/>
      <x v="42"/>
    </i>
    <i>
      <x v="182"/>
      <x v="1"/>
      <x v="2"/>
      <x v="66"/>
      <x v="45"/>
      <x v="4"/>
      <x v="17"/>
      <x v="17"/>
      <x v="30"/>
      <x/>
      <x v="42"/>
    </i>
    <i r="4">
      <x v="97"/>
      <x v="4"/>
      <x v="17"/>
      <x v="17"/>
      <x v="30"/>
      <x/>
      <x v="42"/>
    </i>
    <i r="4">
      <x v="150"/>
      <x v="4"/>
      <x v="17"/>
      <x v="17"/>
      <x v="30"/>
      <x/>
      <x v="42"/>
    </i>
    <i r="4">
      <x v="190"/>
      <x v="4"/>
      <x v="17"/>
      <x v="17"/>
      <x v="30"/>
      <x/>
      <x v="42"/>
    </i>
    <i r="4">
      <x v="226"/>
      <x v="4"/>
      <x v="17"/>
      <x v="17"/>
      <x v="30"/>
      <x/>
      <x v="42"/>
    </i>
    <i>
      <x v="183"/>
      <x v="1"/>
      <x v="2"/>
      <x v="82"/>
      <x v="133"/>
      <x/>
      <x v="69"/>
      <x v="23"/>
      <x v="6"/>
      <x/>
      <x v="48"/>
    </i>
    <i>
      <x v="184"/>
      <x v="1"/>
      <x v="2"/>
      <x v="333"/>
      <x v="186"/>
      <x/>
      <x v="100"/>
      <x v="19"/>
      <x v="73"/>
      <x/>
      <x v="44"/>
    </i>
    <i>
      <x v="185"/>
      <x v="1"/>
      <x v="2"/>
      <x v="64"/>
      <x v="23"/>
      <x v="2"/>
      <x v="17"/>
      <x v="17"/>
      <x v="30"/>
      <x/>
      <x v="42"/>
    </i>
    <i r="4">
      <x v="60"/>
      <x v="2"/>
      <x v="17"/>
      <x v="17"/>
      <x v="30"/>
      <x/>
      <x v="42"/>
    </i>
    <i r="4">
      <x v="288"/>
      <x v="2"/>
      <x v="17"/>
      <x v="17"/>
      <x v="30"/>
      <x/>
      <x v="42"/>
    </i>
    <i>
      <x v="186"/>
      <x v="1"/>
      <x v="2"/>
      <x v="70"/>
      <x v="36"/>
      <x/>
      <x v="17"/>
      <x v="17"/>
      <x v="30"/>
      <x/>
      <x v="42"/>
    </i>
    <i>
      <x v="187"/>
      <x v="1"/>
      <x v="2"/>
      <x v="18"/>
      <x v="111"/>
      <x/>
      <x v="84"/>
      <x v="15"/>
      <x v="86"/>
      <x/>
      <x v="41"/>
    </i>
    <i>
      <x v="188"/>
      <x v="1"/>
      <x v="2"/>
      <x v="108"/>
      <x v="139"/>
      <x v="1"/>
      <x v="62"/>
      <x v="23"/>
      <x v="107"/>
      <x/>
      <x v="48"/>
    </i>
    <i r="4">
      <x v="162"/>
      <x v="1"/>
      <x v="62"/>
      <x v="23"/>
      <x v="107"/>
      <x/>
      <x v="48"/>
    </i>
    <i>
      <x v="189"/>
      <x v="1"/>
      <x v="2"/>
      <x v="78"/>
      <x v="69"/>
      <x/>
      <x v="69"/>
      <x v="14"/>
      <x v="6"/>
      <x/>
      <x v="39"/>
    </i>
    <i>
      <x v="190"/>
      <x v="1"/>
      <x v="2"/>
      <x v="354"/>
      <x v="308"/>
      <x/>
      <x v="16"/>
      <x v="15"/>
      <x v="99"/>
      <x/>
      <x v="40"/>
    </i>
    <i>
      <x v="191"/>
      <x v="1"/>
      <x v="2"/>
      <x v="353"/>
      <x v="131"/>
      <x/>
      <x v="16"/>
      <x v="15"/>
      <x v="99"/>
      <x/>
      <x v="40"/>
    </i>
    <i>
      <x v="192"/>
      <x v="1"/>
      <x v="1"/>
      <x v="68"/>
      <x v="128"/>
      <x v="2"/>
      <x v="17"/>
      <x v="17"/>
      <x v="30"/>
      <x/>
      <x v="42"/>
    </i>
    <i r="4">
      <x v="137"/>
      <x v="2"/>
      <x v="17"/>
      <x v="17"/>
      <x v="30"/>
      <x/>
      <x v="42"/>
    </i>
    <i r="4">
      <x v="246"/>
      <x v="2"/>
      <x v="17"/>
      <x v="17"/>
      <x v="30"/>
      <x/>
      <x v="42"/>
    </i>
    <i>
      <x v="193"/>
      <x v="1"/>
      <x v="2"/>
      <x v="4"/>
      <x v="104"/>
      <x/>
      <x v="16"/>
      <x v="20"/>
      <x v="99"/>
      <x/>
      <x v="45"/>
    </i>
    <i>
      <x v="194"/>
      <x v="1"/>
      <x v="2"/>
      <x v="265"/>
      <x v="132"/>
      <x v="1"/>
      <x v="105"/>
      <x v="13"/>
      <x v="17"/>
      <x/>
      <x v="38"/>
    </i>
    <i r="4">
      <x v="171"/>
      <x v="1"/>
      <x v="105"/>
      <x v="13"/>
      <x v="17"/>
      <x/>
      <x v="38"/>
    </i>
    <i>
      <x v="195"/>
      <x v="1"/>
      <x v="2"/>
      <x v="56"/>
      <x v="135"/>
      <x v="3"/>
      <x v="47"/>
      <x v="14"/>
      <x v="40"/>
      <x/>
      <x v="39"/>
    </i>
    <i r="4">
      <x v="219"/>
      <x v="3"/>
      <x v="47"/>
      <x v="15"/>
      <x v="40"/>
      <x/>
      <x v="40"/>
    </i>
    <i r="4">
      <x v="301"/>
      <x v="3"/>
      <x v="47"/>
      <x v="14"/>
      <x v="40"/>
      <x/>
      <x v="39"/>
    </i>
    <i r="4">
      <x v="353"/>
      <x v="3"/>
      <x v="47"/>
      <x v="13"/>
      <x v="40"/>
      <x/>
      <x v="38"/>
    </i>
    <i>
      <x v="196"/>
      <x v="1"/>
      <x v="2"/>
      <x v="37"/>
      <x v="230"/>
      <x/>
      <x v="105"/>
      <x v="13"/>
      <x v="17"/>
      <x/>
      <x v="38"/>
    </i>
    <i>
      <x v="197"/>
      <x v="1"/>
      <x v="2"/>
      <x v="96"/>
      <x v="47"/>
      <x v="2"/>
      <x v="16"/>
      <x v="16"/>
      <x v="99"/>
      <x/>
      <x v="41"/>
    </i>
    <i r="4">
      <x v="57"/>
      <x v="2"/>
      <x v="16"/>
      <x v="16"/>
      <x v="99"/>
      <x/>
      <x v="41"/>
    </i>
    <i r="4">
      <x v="192"/>
      <x v="2"/>
      <x v="16"/>
      <x v="16"/>
      <x v="99"/>
      <x/>
      <x v="41"/>
    </i>
    <i>
      <x v="198"/>
      <x v="1"/>
      <x v="2"/>
      <x/>
      <x v="3"/>
      <x v="1"/>
      <x v="66"/>
      <x v="19"/>
      <x v="49"/>
      <x/>
      <x v="44"/>
    </i>
    <i r="4">
      <x v="278"/>
      <x v="1"/>
      <x v="66"/>
      <x v="19"/>
      <x v="49"/>
      <x/>
      <x v="44"/>
    </i>
    <i>
      <x v="199"/>
      <x v="1"/>
      <x v="2"/>
      <x v="253"/>
      <x v="176"/>
      <x/>
      <x v="41"/>
      <x v="15"/>
      <x v="90"/>
      <x/>
      <x v="40"/>
    </i>
    <i>
      <x v="200"/>
      <x v="1"/>
      <x v="2"/>
      <x v="55"/>
      <x v="34"/>
      <x/>
      <x v="102"/>
      <x v="15"/>
      <x v="12"/>
      <x/>
      <x v="40"/>
    </i>
    <i>
      <x v="201"/>
      <x v="1"/>
      <x v="2"/>
      <x v="309"/>
      <x v="7"/>
      <x v="2"/>
      <x v="19"/>
      <x v="15"/>
      <x v="10"/>
      <x v="3"/>
      <x v="17"/>
    </i>
    <i r="4">
      <x v="262"/>
      <x v="2"/>
      <x v="19"/>
      <x v="14"/>
      <x v="10"/>
      <x/>
      <x v="39"/>
    </i>
    <i r="4">
      <x v="270"/>
      <x v="2"/>
      <x v="19"/>
      <x v="14"/>
      <x v="10"/>
      <x/>
      <x v="39"/>
    </i>
    <i>
      <x v="202"/>
      <x v="1"/>
      <x v="2"/>
      <x v="41"/>
      <x v="219"/>
      <x v="1"/>
      <x v="75"/>
      <x v="18"/>
      <x v="101"/>
      <x/>
      <x v="43"/>
    </i>
    <i r="4">
      <x v="260"/>
      <x v="1"/>
      <x v="75"/>
      <x v="18"/>
      <x v="101"/>
      <x/>
      <x v="43"/>
    </i>
    <i>
      <x v="203"/>
      <x v="1"/>
      <x v="2"/>
      <x v="307"/>
      <x v="60"/>
      <x v="2"/>
      <x v="24"/>
      <x v="13"/>
      <x v="36"/>
      <x/>
      <x v="38"/>
    </i>
    <i r="4">
      <x v="213"/>
      <x v="2"/>
      <x v="24"/>
      <x v="13"/>
      <x v="36"/>
      <x/>
      <x v="38"/>
    </i>
    <i r="4">
      <x v="255"/>
      <x v="2"/>
      <x v="24"/>
      <x v="13"/>
      <x v="36"/>
      <x/>
      <x v="38"/>
    </i>
    <i>
      <x v="204"/>
      <x v="1"/>
      <x v="2"/>
      <x v="42"/>
      <x v="326"/>
      <x/>
      <x v="102"/>
      <x v="14"/>
      <x v="12"/>
      <x/>
      <x v="39"/>
    </i>
    <i>
      <x v="205"/>
      <x v="1"/>
      <x v="2"/>
      <x v="256"/>
      <x v="213"/>
      <x v="1"/>
      <x v="81"/>
      <x v="15"/>
      <x v="104"/>
      <x/>
      <x v="40"/>
    </i>
    <i r="4">
      <x v="340"/>
      <x v="1"/>
      <x v="81"/>
      <x v="15"/>
      <x v="104"/>
      <x/>
      <x v="40"/>
    </i>
    <i>
      <x v="206"/>
      <x v="1"/>
      <x v="2"/>
      <x v="36"/>
      <x v="139"/>
      <x/>
      <x v="27"/>
      <x v="17"/>
      <x v="82"/>
      <x/>
      <x v="42"/>
    </i>
    <i>
      <x v="207"/>
      <x v="1"/>
      <x v="2"/>
      <x v="41"/>
      <x v="213"/>
      <x/>
      <x v="75"/>
      <x v="18"/>
      <x v="101"/>
      <x/>
      <x v="43"/>
    </i>
    <i>
      <x v="208"/>
      <x v="1"/>
      <x v="2"/>
      <x v="94"/>
      <x v="175"/>
      <x/>
      <x v="50"/>
      <x v="17"/>
      <x v="93"/>
      <x/>
      <x v="42"/>
    </i>
    <i>
      <x v="209"/>
      <x v="1"/>
      <x v="2"/>
      <x v="324"/>
      <x v="46"/>
      <x/>
      <x v="31"/>
      <x v="13"/>
      <x v="92"/>
      <x/>
      <x v="38"/>
    </i>
    <i>
      <x v="210"/>
      <x v="1"/>
      <x v="2"/>
      <x v="75"/>
      <x v="301"/>
      <x/>
      <x v="16"/>
      <x v="15"/>
      <x v="99"/>
      <x/>
      <x v="40"/>
    </i>
    <i>
      <x v="211"/>
      <x v="1"/>
      <x v="2"/>
      <x v="226"/>
      <x v="128"/>
      <x/>
      <x v="31"/>
      <x v="13"/>
      <x v="92"/>
      <x/>
      <x v="38"/>
    </i>
    <i>
      <x v="212"/>
      <x v="1"/>
      <x v="2"/>
      <x v="202"/>
      <x v="93"/>
      <x/>
      <x v="78"/>
      <x v="18"/>
      <x v="43"/>
      <x v="12"/>
      <x v="7"/>
    </i>
    <i>
      <x v="213"/>
      <x v="1"/>
      <x v="2"/>
      <x v="289"/>
      <x v="194"/>
      <x/>
      <x v="69"/>
      <x v="17"/>
      <x v="6"/>
      <x/>
      <x v="42"/>
    </i>
    <i>
      <x v="214"/>
      <x v="1"/>
      <x v="2"/>
      <x v="290"/>
      <x v="203"/>
      <x/>
      <x v="69"/>
      <x v="24"/>
      <x v="6"/>
      <x/>
      <x v="49"/>
    </i>
    <i>
      <x v="215"/>
      <x v="1"/>
      <x v="2"/>
      <x v="303"/>
      <x v="34"/>
      <x/>
      <x v="16"/>
      <x v="15"/>
      <x v="99"/>
      <x/>
      <x v="40"/>
    </i>
    <i>
      <x v="216"/>
      <x v="1"/>
      <x v="2"/>
      <x v="228"/>
      <x v="82"/>
      <x/>
      <x v="80"/>
      <x v="17"/>
      <x v="85"/>
      <x/>
      <x v="42"/>
    </i>
    <i>
      <x v="217"/>
      <x v="1"/>
      <x v="2"/>
      <x v="57"/>
      <x v="301"/>
      <x/>
      <x v="78"/>
      <x v="16"/>
      <x v="43"/>
      <x/>
      <x v="41"/>
    </i>
    <i>
      <x v="218"/>
      <x v="1"/>
      <x v="2"/>
      <x v="14"/>
      <x v="213"/>
      <x/>
      <x v="82"/>
      <x v="15"/>
      <x v="71"/>
      <x/>
      <x v="40"/>
    </i>
    <i>
      <x v="219"/>
      <x v="1"/>
      <x v="2"/>
      <x v="327"/>
      <x v="178"/>
      <x/>
      <x v="68"/>
      <x v="13"/>
      <x v="4"/>
      <x/>
      <x v="38"/>
    </i>
    <i>
      <x v="220"/>
      <x v="1"/>
      <x v="2"/>
      <x v="54"/>
      <x v="323"/>
      <x/>
      <x/>
      <x v="18"/>
      <x v="42"/>
      <x/>
      <x v="46"/>
    </i>
    <i>
      <x v="221"/>
      <x v="1"/>
      <x v="2"/>
      <x v="53"/>
      <x v="188"/>
      <x/>
      <x/>
      <x v="18"/>
      <x v="42"/>
      <x/>
      <x v="44"/>
    </i>
    <i>
      <x v="222"/>
      <x v="1"/>
      <x v="2"/>
      <x v="239"/>
      <x v="159"/>
      <x v="1"/>
      <x v="102"/>
      <x v="15"/>
      <x v="12"/>
      <x/>
      <x v="40"/>
    </i>
    <i r="4">
      <x v="296"/>
      <x v="1"/>
      <x v="102"/>
      <x v="15"/>
      <x v="12"/>
      <x/>
      <x v="40"/>
    </i>
    <i>
      <x v="223"/>
      <x v="1"/>
      <x v="2"/>
      <x v="362"/>
      <x v="323"/>
      <x/>
      <x v="85"/>
      <x v="16"/>
      <x v="41"/>
      <x/>
      <x v="41"/>
    </i>
    <i>
      <x v="224"/>
      <x v="1"/>
      <x v="2"/>
      <x v="12"/>
      <x v="301"/>
      <x/>
      <x v="82"/>
      <x v="17"/>
      <x v="71"/>
      <x/>
      <x v="42"/>
    </i>
    <i>
      <x v="225"/>
      <x v="1"/>
      <x v="2"/>
      <x v="13"/>
      <x v="7"/>
      <x/>
      <x v="82"/>
      <x v="15"/>
      <x v="71"/>
      <x/>
      <x v="40"/>
    </i>
    <i>
      <x v="226"/>
      <x v="1"/>
      <x v="2"/>
      <x v="117"/>
      <x v="290"/>
      <x/>
      <x v="85"/>
      <x v="15"/>
      <x v="41"/>
      <x/>
      <x v="40"/>
    </i>
    <i>
      <x v="227"/>
      <x v="1"/>
      <x v="2"/>
      <x v="5"/>
      <x v="7"/>
      <x v="2"/>
      <x v="102"/>
      <x v="21"/>
      <x v="12"/>
      <x/>
      <x v="46"/>
    </i>
    <i r="4">
      <x v="213"/>
      <x v="2"/>
      <x v="102"/>
      <x v="21"/>
      <x v="12"/>
      <x/>
      <x v="46"/>
    </i>
    <i r="4">
      <x v="231"/>
      <x v="2"/>
      <x v="102"/>
      <x v="21"/>
      <x v="12"/>
      <x/>
      <x v="46"/>
    </i>
    <i>
      <x v="228"/>
      <x v="1"/>
      <x v="2"/>
      <x v="355"/>
      <x v="313"/>
      <x/>
      <x v="85"/>
      <x v="14"/>
      <x v="41"/>
      <x/>
      <x v="39"/>
    </i>
    <i>
      <x v="229"/>
      <x v="1"/>
      <x v="2"/>
      <x v="7"/>
      <x v="24"/>
      <x v="1"/>
      <x v="26"/>
      <x v="13"/>
      <x v="96"/>
      <x/>
      <x v="38"/>
    </i>
    <i r="4">
      <x v="334"/>
      <x v="1"/>
      <x v="26"/>
      <x v="13"/>
      <x v="96"/>
      <x/>
      <x v="38"/>
    </i>
    <i>
      <x v="230"/>
      <x v="1"/>
      <x v="2"/>
      <x v="15"/>
      <x v="213"/>
      <x/>
      <x v="76"/>
      <x v="14"/>
      <x v="25"/>
      <x/>
      <x v="39"/>
    </i>
    <i>
      <x v="231"/>
      <x v="1"/>
      <x v="2"/>
      <x v="326"/>
      <x v="179"/>
      <x/>
      <x v="68"/>
      <x v="13"/>
      <x v="4"/>
      <x/>
      <x v="38"/>
    </i>
    <i>
      <x v="232"/>
      <x v="1"/>
      <x v="2"/>
      <x v="305"/>
      <x v="187"/>
      <x/>
      <x v="26"/>
      <x v="13"/>
      <x v="96"/>
      <x/>
      <x v="38"/>
    </i>
    <i>
      <x v="233"/>
      <x v="1"/>
      <x v="2"/>
      <x v="241"/>
      <x v="176"/>
      <x/>
      <x v="102"/>
      <x v="16"/>
      <x v="12"/>
      <x/>
      <x v="41"/>
    </i>
    <i>
      <x v="234"/>
      <x v="1"/>
      <x v="2"/>
      <x v="20"/>
      <x v="165"/>
      <x/>
      <x v="78"/>
      <x v="18"/>
      <x v="43"/>
      <x/>
      <x v="43"/>
    </i>
    <i>
      <x v="235"/>
      <x v="1"/>
      <x v="2"/>
      <x v="58"/>
      <x v="166"/>
      <x/>
      <x v="78"/>
      <x v="16"/>
      <x v="43"/>
      <x/>
      <x v="41"/>
    </i>
    <i>
      <x v="236"/>
      <x v="1"/>
      <x v="2"/>
      <x v="350"/>
      <x v="301"/>
      <x/>
      <x v="76"/>
      <x v="16"/>
      <x v="25"/>
      <x/>
      <x v="41"/>
    </i>
    <i>
      <x v="237"/>
      <x v="1"/>
      <x v="2"/>
      <x v="25"/>
      <x v="139"/>
      <x v="1"/>
      <x v="102"/>
      <x v="18"/>
      <x v="12"/>
      <x/>
      <x v="43"/>
    </i>
    <i r="4">
      <x v="213"/>
      <x v="1"/>
      <x v="102"/>
      <x v="18"/>
      <x v="12"/>
      <x/>
      <x v="43"/>
    </i>
    <i>
      <x v="238"/>
      <x v="1"/>
      <x v="2"/>
      <x v="375"/>
      <x v="212"/>
      <x/>
      <x v="102"/>
      <x v="20"/>
      <x v="12"/>
      <x/>
      <x v="45"/>
    </i>
    <i>
      <x v="239"/>
      <x v="1"/>
      <x v="2"/>
      <x v="91"/>
      <x v="166"/>
      <x/>
      <x v="16"/>
      <x v="16"/>
      <x v="99"/>
      <x/>
      <x v="41"/>
    </i>
    <i>
      <x v="240"/>
      <x v="1"/>
      <x v="2"/>
      <x v="39"/>
      <x v="243"/>
      <x/>
      <x v="42"/>
      <x v="17"/>
      <x v="47"/>
      <x/>
      <x v="42"/>
    </i>
    <i>
      <x v="241"/>
      <x v="1"/>
      <x v="2"/>
      <x v="351"/>
      <x v="301"/>
      <x/>
      <x v="16"/>
      <x v="21"/>
      <x v="99"/>
      <x/>
      <x v="46"/>
    </i>
    <i>
      <x v="242"/>
      <x v="1"/>
      <x v="2"/>
      <x v="216"/>
      <x v="99"/>
      <x/>
      <x v="27"/>
      <x v="15"/>
      <x v="64"/>
      <x/>
      <x v="40"/>
    </i>
    <i>
      <x v="243"/>
      <x v="1"/>
      <x v="2"/>
      <x v="238"/>
      <x v="113"/>
      <x/>
      <x v="46"/>
      <x v="14"/>
      <x v="91"/>
      <x/>
      <x v="39"/>
    </i>
    <i>
      <x v="244"/>
      <x v="1"/>
      <x v="2"/>
      <x v="378"/>
      <x v="335"/>
      <x/>
      <x v="17"/>
      <x v="18"/>
      <x v="30"/>
      <x/>
      <x v="43"/>
    </i>
    <i>
      <x v="245"/>
      <x v="1"/>
      <x v="2"/>
      <x v="110"/>
      <x v="31"/>
      <x v="2"/>
      <x v="26"/>
      <x v="13"/>
      <x v="96"/>
      <x/>
      <x v="39"/>
    </i>
    <i r="4">
      <x v="70"/>
      <x v="2"/>
      <x v="26"/>
      <x v="13"/>
      <x v="96"/>
      <x/>
      <x v="39"/>
    </i>
    <i r="4">
      <x v="213"/>
      <x v="2"/>
      <x v="26"/>
      <x v="13"/>
      <x v="96"/>
      <x/>
      <x v="39"/>
    </i>
    <i>
      <x v="246"/>
      <x v="1"/>
      <x v="2"/>
      <x v="264"/>
      <x v="7"/>
      <x v="1"/>
      <x v="38"/>
      <x v="13"/>
      <x v="2"/>
      <x/>
      <x v="38"/>
    </i>
    <i r="4">
      <x v="231"/>
      <x v="1"/>
      <x v="38"/>
      <x v="13"/>
      <x v="2"/>
      <x/>
      <x v="38"/>
    </i>
    <i>
      <x v="247"/>
      <x v="1"/>
      <x v="2"/>
      <x v="231"/>
      <x v="7"/>
      <x v="2"/>
      <x v="54"/>
      <x v="15"/>
      <x v="97"/>
      <x/>
      <x v="40"/>
    </i>
    <i r="4">
      <x v="102"/>
      <x v="2"/>
      <x v="54"/>
      <x v="15"/>
      <x v="97"/>
      <x/>
      <x v="40"/>
    </i>
    <i r="4">
      <x v="213"/>
      <x v="2"/>
      <x v="54"/>
      <x v="15"/>
      <x v="97"/>
      <x/>
      <x v="40"/>
    </i>
    <i>
      <x v="248"/>
      <x v="1"/>
      <x v="2"/>
      <x v="320"/>
      <x v="81"/>
      <x/>
      <x v="87"/>
      <x v="20"/>
      <x v="13"/>
      <x/>
      <x v="45"/>
    </i>
    <i>
      <x v="249"/>
      <x v="1"/>
      <x v="2"/>
      <x v="45"/>
      <x v="107"/>
      <x/>
      <x/>
      <x v="15"/>
      <x v="42"/>
      <x/>
      <x v="40"/>
    </i>
    <i>
      <x v="250"/>
      <x v="1"/>
      <x v="2"/>
      <x v="130"/>
      <x v="83"/>
      <x/>
      <x v="28"/>
      <x v="13"/>
      <x v="105"/>
      <x/>
      <x v="38"/>
    </i>
    <i>
      <x v="251"/>
      <x v="1"/>
      <x v="2"/>
      <x v="252"/>
      <x v="60"/>
      <x v="2"/>
      <x v="26"/>
      <x v="13"/>
      <x v="96"/>
      <x/>
      <x v="38"/>
    </i>
    <i r="4">
      <x v="213"/>
      <x v="2"/>
      <x v="26"/>
      <x v="13"/>
      <x v="96"/>
      <x/>
      <x v="38"/>
    </i>
    <i r="4">
      <x v="252"/>
      <x v="2"/>
      <x v="26"/>
      <x v="13"/>
      <x v="96"/>
      <x/>
      <x v="38"/>
    </i>
    <i>
      <x v="252"/>
      <x v="1"/>
      <x v="2"/>
      <x v="230"/>
      <x v="7"/>
      <x v="2"/>
      <x v="17"/>
      <x v="13"/>
      <x v="30"/>
      <x/>
      <x v="39"/>
    </i>
    <i r="4">
      <x v="168"/>
      <x v="2"/>
      <x v="17"/>
      <x v="13"/>
      <x v="30"/>
      <x/>
      <x v="39"/>
    </i>
    <i>
      <x v="253"/>
      <x v="1"/>
      <x v="2"/>
      <x v="245"/>
      <x v="9"/>
      <x/>
      <x v="26"/>
      <x v="13"/>
      <x v="96"/>
      <x/>
      <x v="38"/>
    </i>
    <i>
      <x v="254"/>
      <x v="1"/>
      <x v="2"/>
      <x v="318"/>
      <x v="240"/>
      <x/>
      <x v="28"/>
      <x v="13"/>
      <x v="105"/>
      <x/>
      <x v="38"/>
    </i>
    <i>
      <x v="255"/>
      <x v="1"/>
      <x v="2"/>
      <x v="321"/>
      <x v="44"/>
      <x v="1"/>
      <x v="46"/>
      <x v="14"/>
      <x v="91"/>
      <x/>
      <x v="40"/>
    </i>
    <i r="4">
      <x v="268"/>
      <x v="1"/>
      <x v="46"/>
      <x v="14"/>
      <x v="91"/>
      <x/>
      <x v="40"/>
    </i>
    <i>
      <x v="256"/>
      <x v="1"/>
      <x v="2"/>
      <x v="268"/>
      <x v="7"/>
      <x v="1"/>
      <x v="25"/>
      <x v="13"/>
      <x v="2"/>
      <x/>
      <x v="38"/>
    </i>
    <i r="4">
      <x v="231"/>
      <x v="1"/>
      <x v="25"/>
      <x v="13"/>
      <x v="2"/>
      <x/>
      <x v="38"/>
    </i>
    <i>
      <x v="257"/>
      <x v="1"/>
      <x v="2"/>
      <x v="99"/>
      <x v="7"/>
      <x v="8"/>
      <x v="3"/>
      <x v="18"/>
      <x v="28"/>
      <x/>
      <x v="44"/>
    </i>
    <i r="4">
      <x v="11"/>
      <x v="8"/>
      <x v="3"/>
      <x v="20"/>
      <x v="28"/>
      <x/>
      <x v="46"/>
    </i>
    <i r="4">
      <x v="35"/>
      <x v="8"/>
      <x v="3"/>
      <x v="18"/>
      <x v="28"/>
      <x/>
      <x v="44"/>
    </i>
    <i r="4">
      <x v="61"/>
      <x v="8"/>
      <x v="3"/>
      <x v="18"/>
      <x v="28"/>
      <x/>
      <x v="44"/>
    </i>
    <i r="4">
      <x v="168"/>
      <x v="8"/>
      <x v="3"/>
      <x v="18"/>
      <x v="28"/>
      <x/>
      <x v="44"/>
    </i>
    <i r="4">
      <x v="264"/>
      <x v="8"/>
      <x v="3"/>
      <x v="18"/>
      <x v="28"/>
      <x/>
      <x v="44"/>
    </i>
    <i r="4">
      <x v="305"/>
      <x v="8"/>
      <x v="3"/>
      <x v="20"/>
      <x v="28"/>
      <x/>
      <x v="46"/>
    </i>
    <i r="4">
      <x v="310"/>
      <x v="8"/>
      <x v="3"/>
      <x v="18"/>
      <x v="28"/>
      <x/>
      <x v="44"/>
    </i>
    <i r="4">
      <x v="329"/>
      <x v="8"/>
      <x v="3"/>
      <x v="18"/>
      <x v="28"/>
      <x/>
      <x v="44"/>
    </i>
    <i>
      <x v="258"/>
      <x v="1"/>
      <x v="2"/>
      <x v="259"/>
      <x v="38"/>
      <x v="2"/>
      <x v="17"/>
      <x v="18"/>
      <x v="30"/>
      <x/>
      <x v="44"/>
    </i>
    <i r="4">
      <x v="114"/>
      <x v="2"/>
      <x v="17"/>
      <x v="18"/>
      <x v="30"/>
      <x/>
      <x v="44"/>
    </i>
    <i r="4">
      <x v="224"/>
      <x v="2"/>
      <x v="17"/>
      <x v="18"/>
      <x v="30"/>
      <x/>
      <x v="44"/>
    </i>
    <i>
      <x v="259"/>
      <x v="1"/>
      <x v="2"/>
      <x v="27"/>
      <x v="166"/>
      <x/>
      <x v="27"/>
      <x v="15"/>
      <x v="64"/>
      <x/>
      <x v="40"/>
    </i>
    <i>
      <x v="260"/>
      <x v="1"/>
      <x v="2"/>
      <x v="311"/>
      <x v="31"/>
      <x v="1"/>
      <x v="17"/>
      <x v="15"/>
      <x v="30"/>
      <x/>
      <x v="41"/>
    </i>
    <i r="4">
      <x v="35"/>
      <x v="1"/>
      <x v="17"/>
      <x v="15"/>
      <x v="30"/>
      <x/>
      <x v="41"/>
    </i>
    <i>
      <x v="261"/>
      <x v="1"/>
      <x v="2"/>
      <x v="34"/>
      <x v="120"/>
      <x v="2"/>
      <x v="27"/>
      <x v="15"/>
      <x v="64"/>
      <x/>
      <x v="40"/>
    </i>
    <i r="4">
      <x v="189"/>
      <x v="2"/>
      <x v="27"/>
      <x v="15"/>
      <x v="64"/>
      <x/>
      <x v="40"/>
    </i>
    <i r="4">
      <x v="210"/>
      <x v="2"/>
      <x v="27"/>
      <x v="15"/>
      <x v="64"/>
      <x/>
      <x v="40"/>
    </i>
    <i>
      <x v="262"/>
      <x v="1"/>
      <x v="2"/>
      <x v="106"/>
      <x v="101"/>
      <x v="2"/>
      <x v="15"/>
      <x v="21"/>
      <x v="7"/>
      <x/>
      <x v="46"/>
    </i>
    <i r="4">
      <x v="105"/>
      <x v="2"/>
      <x v="15"/>
      <x v="21"/>
      <x v="7"/>
      <x/>
      <x v="46"/>
    </i>
    <i r="4">
      <x v="301"/>
      <x v="2"/>
      <x v="15"/>
      <x v="21"/>
      <x v="7"/>
      <x/>
      <x v="46"/>
    </i>
    <i>
      <x v="263"/>
      <x v="1"/>
      <x v="2"/>
      <x v="17"/>
      <x v="100"/>
      <x/>
      <x v="75"/>
      <x v="16"/>
      <x v="100"/>
      <x/>
      <x v="41"/>
    </i>
    <i>
      <x v="264"/>
      <x v="1"/>
      <x v="2"/>
      <x v="49"/>
      <x v="274"/>
      <x v="1"/>
      <x v="7"/>
      <x v="13"/>
      <x v="19"/>
      <x/>
      <x v="38"/>
    </i>
    <i r="4">
      <x v="342"/>
      <x v="1"/>
      <x v="7"/>
      <x v="13"/>
      <x v="19"/>
      <x/>
      <x v="38"/>
    </i>
    <i>
      <x v="265"/>
      <x v="1"/>
      <x v="2"/>
      <x v="35"/>
      <x v="120"/>
      <x/>
      <x v="27"/>
      <x v="15"/>
      <x v="64"/>
      <x/>
      <x v="41"/>
    </i>
    <i>
      <x v="266"/>
      <x v="1"/>
      <x v="2"/>
      <x v="46"/>
      <x v="210"/>
      <x/>
      <x v="27"/>
      <x v="15"/>
      <x v="66"/>
      <x/>
      <x v="40"/>
    </i>
    <i>
      <x v="267"/>
      <x v="1"/>
      <x v="2"/>
      <x v="44"/>
      <x v="301"/>
      <x/>
      <x v="7"/>
      <x v="16"/>
      <x v="19"/>
      <x/>
      <x v="41"/>
    </i>
    <i>
      <x v="268"/>
      <x v="1"/>
      <x v="2"/>
      <x v="167"/>
      <x v="109"/>
      <x v="1"/>
      <x v="7"/>
      <x v="13"/>
      <x v="19"/>
      <x v="8"/>
      <x v="3"/>
    </i>
    <i r="4">
      <x v="110"/>
      <x v="1"/>
      <x v="7"/>
      <x v="13"/>
      <x v="19"/>
      <x v="8"/>
      <x v="3"/>
    </i>
    <i>
      <x v="269"/>
      <x v="1"/>
      <x v="2"/>
      <x v="95"/>
      <x v="7"/>
      <x v="3"/>
      <x v="51"/>
      <x v="15"/>
      <x v="69"/>
      <x/>
      <x v="41"/>
    </i>
    <i r="4">
      <x v="35"/>
      <x v="3"/>
      <x v="51"/>
      <x v="14"/>
      <x v="69"/>
      <x/>
      <x v="40"/>
    </i>
    <i r="4">
      <x v="317"/>
      <x v="3"/>
      <x v="51"/>
      <x v="17"/>
      <x v="69"/>
      <x/>
      <x v="43"/>
    </i>
    <i r="4">
      <x v="350"/>
      <x v="3"/>
      <x v="51"/>
      <x v="17"/>
      <x v="69"/>
      <x/>
      <x v="43"/>
    </i>
    <i>
      <x v="270"/>
      <x v="1"/>
      <x v="2"/>
      <x v="168"/>
      <x v="160"/>
      <x v="1"/>
      <x v="7"/>
      <x v="13"/>
      <x v="19"/>
      <x v="8"/>
      <x v="3"/>
    </i>
    <i r="4">
      <x v="161"/>
      <x v="1"/>
      <x v="7"/>
      <x v="13"/>
      <x v="19"/>
      <x v="8"/>
      <x v="3"/>
    </i>
    <i>
      <x v="271"/>
      <x v="1"/>
      <x v="2"/>
      <x v="107"/>
      <x v="9"/>
      <x v="2"/>
      <x v="15"/>
      <x v="15"/>
      <x v="7"/>
      <x/>
      <x v="40"/>
    </i>
    <i r="4">
      <x v="53"/>
      <x v="2"/>
      <x v="15"/>
      <x v="15"/>
      <x v="7"/>
      <x/>
      <x v="40"/>
    </i>
    <i r="4">
      <x v="101"/>
      <x v="2"/>
      <x v="15"/>
      <x v="15"/>
      <x v="7"/>
      <x/>
      <x v="40"/>
    </i>
    <i>
      <x v="272"/>
      <x v="1"/>
      <x v="2"/>
      <x v="352"/>
      <x v="108"/>
      <x/>
      <x v="7"/>
      <x v="13"/>
      <x v="19"/>
      <x/>
      <x v="38"/>
    </i>
    <i>
      <x v="273"/>
      <x v="1"/>
      <x v="2"/>
      <x v="169"/>
      <x v="91"/>
      <x/>
      <x v="7"/>
      <x v="13"/>
      <x v="19"/>
      <x v="8"/>
      <x v="3"/>
    </i>
    <i>
      <x v="274"/>
      <x v="1"/>
      <x v="2"/>
      <x v="335"/>
      <x v="1"/>
      <x v="5"/>
      <x v="12"/>
      <x v="13"/>
      <x v="16"/>
      <x/>
      <x v="38"/>
    </i>
    <i r="4">
      <x v="166"/>
      <x v="5"/>
      <x v="12"/>
      <x v="13"/>
      <x v="16"/>
      <x/>
      <x v="38"/>
    </i>
    <i r="4">
      <x v="167"/>
      <x v="5"/>
      <x v="12"/>
      <x v="13"/>
      <x v="16"/>
      <x/>
      <x v="38"/>
    </i>
    <i r="4">
      <x v="295"/>
      <x v="5"/>
      <x v="12"/>
      <x v="13"/>
      <x v="16"/>
      <x/>
      <x v="38"/>
    </i>
    <i r="4">
      <x v="333"/>
      <x v="5"/>
      <x v="12"/>
      <x v="13"/>
      <x v="16"/>
      <x/>
      <x v="38"/>
    </i>
    <i r="4">
      <x v="335"/>
      <x v="5"/>
      <x v="12"/>
      <x v="13"/>
      <x v="16"/>
      <x/>
      <x v="38"/>
    </i>
    <i>
      <x v="275"/>
      <x v="1"/>
      <x v="2"/>
      <x v="77"/>
      <x v="32"/>
      <x v="2"/>
      <x v="40"/>
      <x v="17"/>
      <x v="27"/>
      <x/>
      <x v="43"/>
    </i>
    <i r="4">
      <x v="216"/>
      <x v="2"/>
      <x v="40"/>
      <x v="17"/>
      <x v="27"/>
      <x/>
      <x v="43"/>
    </i>
    <i r="4">
      <x v="305"/>
      <x v="2"/>
      <x v="40"/>
      <x v="17"/>
      <x v="27"/>
      <x/>
      <x v="43"/>
    </i>
    <i>
      <x v="276"/>
      <x v="1"/>
      <x v="2"/>
      <x v="69"/>
      <x v="5"/>
      <x v="4"/>
      <x v="102"/>
      <x v="15"/>
      <x v="12"/>
      <x/>
      <x v="41"/>
    </i>
    <i r="4">
      <x v="30"/>
      <x v="4"/>
      <x v="102"/>
      <x v="18"/>
      <x v="12"/>
      <x/>
      <x v="44"/>
    </i>
    <i r="4">
      <x v="50"/>
      <x v="4"/>
      <x v="102"/>
      <x v="15"/>
      <x v="12"/>
      <x/>
      <x v="41"/>
    </i>
    <i r="4">
      <x v="72"/>
      <x v="4"/>
      <x v="102"/>
      <x v="15"/>
      <x v="12"/>
      <x/>
      <x v="41"/>
    </i>
    <i r="4">
      <x v="348"/>
      <x v="4"/>
      <x v="102"/>
      <x v="15"/>
      <x v="12"/>
      <x/>
      <x v="41"/>
    </i>
    <i>
      <x v="277"/>
      <x v="1"/>
      <x v="2"/>
      <x v="30"/>
      <x v="213"/>
      <x/>
      <x v="60"/>
      <x v="15"/>
      <x v="102"/>
      <x/>
      <x v="40"/>
    </i>
    <i>
      <x v="278"/>
      <x v="1"/>
      <x v="2"/>
      <x v="339"/>
      <x v="346"/>
      <x/>
      <x v="102"/>
      <x v="16"/>
      <x v="12"/>
      <x/>
      <x v="42"/>
    </i>
    <i>
      <x v="279"/>
      <x v="1"/>
      <x v="2"/>
      <x v="93"/>
      <x v="7"/>
      <x v="1"/>
      <x v="29"/>
      <x v="15"/>
      <x/>
      <x/>
      <x v="40"/>
    </i>
    <i r="4">
      <x v="231"/>
      <x v="1"/>
      <x v="29"/>
      <x v="15"/>
      <x/>
      <x/>
      <x v="40"/>
    </i>
    <i>
      <x v="280"/>
      <x v="1"/>
      <x v="2"/>
      <x v="321"/>
      <x v="345"/>
      <x/>
      <x v="46"/>
      <x v="14"/>
      <x v="91"/>
      <x/>
      <x v="40"/>
    </i>
    <i>
      <x v="281"/>
      <x v="1"/>
      <x v="2"/>
      <x v="371"/>
      <x v="15"/>
      <x v="5"/>
      <x v="17"/>
      <x v="16"/>
      <x v="30"/>
      <x/>
      <x v="42"/>
    </i>
    <i r="4">
      <x v="28"/>
      <x v="5"/>
      <x v="17"/>
      <x v="16"/>
      <x v="30"/>
      <x/>
      <x v="42"/>
    </i>
    <i r="4">
      <x v="31"/>
      <x v="5"/>
      <x v="17"/>
      <x v="16"/>
      <x v="30"/>
      <x/>
      <x v="42"/>
    </i>
    <i r="4">
      <x v="35"/>
      <x v="5"/>
      <x v="17"/>
      <x v="16"/>
      <x v="30"/>
      <x/>
      <x v="42"/>
    </i>
    <i r="4">
      <x v="130"/>
      <x v="5"/>
      <x v="17"/>
      <x v="16"/>
      <x v="30"/>
      <x/>
      <x v="42"/>
    </i>
    <i r="4">
      <x v="218"/>
      <x v="5"/>
      <x v="17"/>
      <x v="16"/>
      <x v="30"/>
      <x/>
      <x v="42"/>
    </i>
    <i>
      <x v="282"/>
      <x v="1"/>
      <x v="2"/>
      <x v="23"/>
      <x v="29"/>
      <x v="2"/>
      <x v="60"/>
      <x v="16"/>
      <x v="102"/>
      <x/>
      <x v="42"/>
    </i>
    <i r="4">
      <x v="61"/>
      <x v="2"/>
      <x v="60"/>
      <x v="16"/>
      <x v="102"/>
      <x/>
      <x v="42"/>
    </i>
    <i r="4">
      <x v="216"/>
      <x v="2"/>
      <x v="60"/>
      <x v="15"/>
      <x v="102"/>
      <x/>
      <x v="41"/>
    </i>
    <i>
      <x v="283"/>
      <x v="1"/>
      <x v="2"/>
      <x v="72"/>
      <x v="213"/>
      <x v="2"/>
      <x v="17"/>
      <x v="14"/>
      <x v="30"/>
      <x/>
      <x v="39"/>
    </i>
    <i r="4">
      <x v="255"/>
      <x v="2"/>
      <x v="17"/>
      <x v="14"/>
      <x v="30"/>
      <x/>
      <x v="39"/>
    </i>
    <i r="4">
      <x v="347"/>
      <x v="2"/>
      <x v="17"/>
      <x v="14"/>
      <x v="30"/>
      <x/>
      <x v="39"/>
    </i>
    <i>
      <x v="284"/>
      <x v="1"/>
      <x v="2"/>
      <x v="229"/>
      <x v="7"/>
      <x v="3"/>
      <x v="17"/>
      <x v="21"/>
      <x v="30"/>
      <x/>
      <x v="46"/>
    </i>
    <i r="4">
      <x v="14"/>
      <x v="3"/>
      <x v="17"/>
      <x v="21"/>
      <x v="30"/>
      <x/>
      <x v="46"/>
    </i>
    <i r="4">
      <x v="209"/>
      <x v="3"/>
      <x v="17"/>
      <x v="21"/>
      <x v="30"/>
      <x/>
      <x v="46"/>
    </i>
    <i r="4">
      <x v="266"/>
      <x v="3"/>
      <x v="17"/>
      <x v="21"/>
      <x v="30"/>
      <x/>
      <x v="46"/>
    </i>
    <i>
      <x v="285"/>
      <x v="1"/>
      <x v="2"/>
      <x v="135"/>
      <x v="5"/>
      <x v="11"/>
      <x v="2"/>
      <x v="15"/>
      <x v="9"/>
      <x/>
      <x v="41"/>
    </i>
    <i r="4">
      <x v="7"/>
      <x v="11"/>
      <x v="2"/>
      <x v="15"/>
      <x v="9"/>
      <x/>
      <x v="41"/>
    </i>
    <i r="4">
      <x v="31"/>
      <x v="11"/>
      <x v="2"/>
      <x v="15"/>
      <x v="9"/>
      <x/>
      <x v="41"/>
    </i>
    <i r="4">
      <x v="35"/>
      <x v="11"/>
      <x v="2"/>
      <x v="15"/>
      <x v="9"/>
      <x/>
      <x v="41"/>
    </i>
    <i r="4">
      <x v="49"/>
      <x v="11"/>
      <x v="2"/>
      <x v="15"/>
      <x v="9"/>
      <x/>
      <x v="41"/>
    </i>
    <i r="4">
      <x v="68"/>
      <x v="11"/>
      <x v="2"/>
      <x v="17"/>
      <x v="9"/>
      <x/>
      <x v="43"/>
    </i>
    <i r="4">
      <x v="71"/>
      <x v="11"/>
      <x v="2"/>
      <x v="15"/>
      <x v="9"/>
      <x/>
      <x v="41"/>
    </i>
    <i r="4">
      <x v="84"/>
      <x v="11"/>
      <x v="2"/>
      <x v="15"/>
      <x v="9"/>
      <x/>
      <x v="41"/>
    </i>
    <i r="4">
      <x v="134"/>
      <x v="11"/>
      <x v="2"/>
      <x v="17"/>
      <x v="9"/>
      <x v="3"/>
      <x v="26"/>
    </i>
    <i r="4">
      <x v="148"/>
      <x v="11"/>
      <x v="2"/>
      <x v="15"/>
      <x v="9"/>
      <x/>
      <x v="41"/>
    </i>
    <i r="4">
      <x v="152"/>
      <x v="11"/>
      <x v="2"/>
      <x v="15"/>
      <x v="9"/>
      <x/>
      <x v="41"/>
    </i>
    <i r="4">
      <x v="173"/>
      <x v="11"/>
      <x v="2"/>
      <x v="15"/>
      <x v="9"/>
      <x/>
      <x v="41"/>
    </i>
    <i r="4">
      <x v="195"/>
      <x v="11"/>
      <x v="2"/>
      <x v="16"/>
      <x v="9"/>
      <x v="2"/>
      <x v="20"/>
    </i>
    <i r="4">
      <x v="218"/>
      <x v="11"/>
      <x v="2"/>
      <x v="15"/>
      <x v="9"/>
      <x/>
      <x v="41"/>
    </i>
    <i r="4">
      <x v="219"/>
      <x v="11"/>
      <x v="2"/>
      <x v="17"/>
      <x v="9"/>
      <x/>
      <x v="43"/>
    </i>
    <i r="4">
      <x v="227"/>
      <x v="11"/>
      <x v="2"/>
      <x v="15"/>
      <x v="9"/>
      <x/>
      <x v="41"/>
    </i>
    <i r="4">
      <x v="229"/>
      <x v="11"/>
      <x v="2"/>
      <x v="16"/>
      <x v="9"/>
      <x/>
      <x v="42"/>
    </i>
    <i r="4">
      <x v="263"/>
      <x v="11"/>
      <x v="2"/>
      <x v="17"/>
      <x v="9"/>
      <x/>
      <x v="43"/>
    </i>
    <i r="4">
      <x v="264"/>
      <x v="11"/>
      <x v="2"/>
      <x v="15"/>
      <x v="9"/>
      <x/>
      <x v="41"/>
    </i>
    <i r="4">
      <x v="305"/>
      <x v="11"/>
      <x v="2"/>
      <x v="17"/>
      <x v="9"/>
      <x/>
      <x v="43"/>
    </i>
    <i r="4">
      <x v="309"/>
      <x v="11"/>
      <x v="2"/>
      <x v="17"/>
      <x v="9"/>
      <x/>
      <x v="43"/>
    </i>
    <i r="4">
      <x v="310"/>
      <x v="11"/>
      <x v="2"/>
      <x v="16"/>
      <x v="9"/>
      <x/>
      <x v="42"/>
    </i>
    <i r="4">
      <x v="315"/>
      <x v="11"/>
      <x v="2"/>
      <x v="16"/>
      <x v="9"/>
      <x/>
      <x v="42"/>
    </i>
    <i>
      <x v="286"/>
      <x v="1"/>
      <x v="2"/>
      <x v="267"/>
      <x v="7"/>
      <x v="3"/>
      <x v="19"/>
      <x v="16"/>
      <x v="10"/>
      <x/>
      <x v="41"/>
    </i>
    <i r="4">
      <x v="225"/>
      <x v="3"/>
      <x v="19"/>
      <x v="16"/>
      <x v="10"/>
      <x/>
      <x v="41"/>
    </i>
    <i r="4">
      <x v="231"/>
      <x v="3"/>
      <x v="19"/>
      <x v="16"/>
      <x v="10"/>
      <x/>
      <x v="41"/>
    </i>
    <i r="4">
      <x v="304"/>
      <x v="3"/>
      <x v="19"/>
      <x v="16"/>
      <x v="10"/>
      <x/>
      <x v="41"/>
    </i>
    <i>
      <x v="287"/>
      <x v="1"/>
      <x v="2"/>
      <x v="98"/>
      <x v="7"/>
      <x v="4"/>
      <x v="96"/>
      <x v="14"/>
      <x v="67"/>
      <x/>
      <x v="39"/>
    </i>
    <i r="4">
      <x v="208"/>
      <x v="4"/>
      <x v="96"/>
      <x v="14"/>
      <x v="67"/>
      <x/>
      <x v="39"/>
    </i>
    <i r="4">
      <x v="211"/>
      <x v="4"/>
      <x v="96"/>
      <x v="14"/>
      <x v="67"/>
      <x/>
      <x v="39"/>
    </i>
    <i r="4">
      <x v="213"/>
      <x v="4"/>
      <x v="96"/>
      <x v="14"/>
      <x v="67"/>
      <x/>
      <x v="39"/>
    </i>
    <i r="4">
      <x v="231"/>
      <x v="4"/>
      <x v="96"/>
      <x v="14"/>
      <x v="67"/>
      <x/>
      <x v="39"/>
    </i>
    <i>
      <x v="288"/>
      <x v="1"/>
      <x v="2"/>
      <x v="262"/>
      <x v="211"/>
      <x v="1"/>
      <x v="11"/>
      <x v="13"/>
      <x v="9"/>
      <x/>
      <x v="38"/>
    </i>
    <i r="4">
      <x v="342"/>
      <x v="1"/>
      <x v="11"/>
      <x v="13"/>
      <x v="9"/>
      <x/>
      <x v="38"/>
    </i>
    <i>
      <x v="289"/>
      <x v="1"/>
      <x v="2"/>
      <x v="312"/>
      <x v="60"/>
      <x v="2"/>
      <x v="19"/>
      <x v="14"/>
      <x v="10"/>
      <x/>
      <x v="39"/>
    </i>
    <i r="4">
      <x v="213"/>
      <x v="2"/>
      <x v="19"/>
      <x v="14"/>
      <x v="10"/>
      <x/>
      <x v="39"/>
    </i>
    <i r="4">
      <x v="259"/>
      <x v="2"/>
      <x v="19"/>
      <x v="14"/>
      <x v="10"/>
      <x/>
      <x v="39"/>
    </i>
    <i>
      <x v="290"/>
      <x v="1"/>
      <x v="2"/>
      <x v="97"/>
      <x v="7"/>
      <x v="2"/>
      <x v="101"/>
      <x v="14"/>
      <x v="60"/>
      <x/>
      <x v="39"/>
    </i>
    <i r="4">
      <x v="211"/>
      <x v="2"/>
      <x v="101"/>
      <x v="14"/>
      <x v="60"/>
      <x/>
      <x v="39"/>
    </i>
    <i r="4">
      <x v="231"/>
      <x v="2"/>
      <x v="101"/>
      <x v="14"/>
      <x v="60"/>
      <x/>
      <x v="39"/>
    </i>
    <i>
      <x v="291"/>
      <x v="1"/>
      <x v="2"/>
      <x v="266"/>
      <x v="106"/>
      <x v="1"/>
      <x v="28"/>
      <x v="13"/>
      <x v="70"/>
      <x/>
      <x v="38"/>
    </i>
    <i r="4">
      <x v="213"/>
      <x v="1"/>
      <x v="28"/>
      <x v="13"/>
      <x v="70"/>
      <x/>
      <x v="38"/>
    </i>
    <i>
      <x v="292"/>
      <x v="1"/>
      <x v="2"/>
      <x v="89"/>
      <x v="335"/>
      <x/>
      <x v="44"/>
      <x v="16"/>
      <x v="83"/>
      <x/>
      <x v="41"/>
    </i>
    <i>
      <x v="293"/>
      <x v="1"/>
      <x v="2"/>
      <x v="224"/>
      <x v="2"/>
      <x v="9"/>
      <x v="17"/>
      <x v="17"/>
      <x v="30"/>
      <x/>
      <x v="42"/>
    </i>
    <i r="4">
      <x v="65"/>
      <x v="9"/>
      <x v="17"/>
      <x v="17"/>
      <x v="30"/>
      <x/>
      <x v="42"/>
    </i>
    <i r="4">
      <x v="228"/>
      <x v="9"/>
      <x v="17"/>
      <x v="17"/>
      <x v="30"/>
      <x/>
      <x v="42"/>
    </i>
    <i r="4">
      <x v="231"/>
      <x v="9"/>
      <x v="17"/>
      <x v="17"/>
      <x v="30"/>
      <x/>
      <x v="42"/>
    </i>
    <i r="4">
      <x v="247"/>
      <x v="9"/>
      <x v="17"/>
      <x v="17"/>
      <x v="30"/>
      <x/>
      <x v="42"/>
    </i>
    <i r="4">
      <x v="248"/>
      <x v="9"/>
      <x v="17"/>
      <x v="17"/>
      <x v="30"/>
      <x/>
      <x v="42"/>
    </i>
    <i r="4">
      <x v="249"/>
      <x v="9"/>
      <x v="17"/>
      <x v="17"/>
      <x v="30"/>
      <x/>
      <x v="42"/>
    </i>
    <i r="4">
      <x v="273"/>
      <x v="9"/>
      <x v="17"/>
      <x v="17"/>
      <x v="30"/>
      <x/>
      <x v="42"/>
    </i>
    <i r="4">
      <x v="276"/>
      <x v="9"/>
      <x v="17"/>
      <x v="17"/>
      <x v="30"/>
      <x/>
      <x v="42"/>
    </i>
    <i r="4">
      <x v="336"/>
      <x v="9"/>
      <x v="17"/>
      <x v="17"/>
      <x v="30"/>
      <x/>
      <x v="42"/>
    </i>
    <i r="4">
      <x v="352"/>
      <x v="9"/>
      <x v="17"/>
      <x v="17"/>
      <x v="30"/>
      <x/>
      <x v="42"/>
    </i>
    <i>
      <x v="294"/>
      <x/>
      <x v="2"/>
      <x v="287"/>
      <x v="117"/>
      <x v="10"/>
      <x v="64"/>
      <x v="7"/>
      <x v="65"/>
      <x v="1"/>
      <x v="36"/>
    </i>
    <i r="4">
      <x v="118"/>
      <x v="10"/>
      <x v="64"/>
      <x v="7"/>
      <x v="65"/>
      <x v="3"/>
      <x v="19"/>
    </i>
    <i r="4">
      <x v="125"/>
      <x v="10"/>
      <x v="64"/>
      <x v="7"/>
      <x v="65"/>
      <x v="3"/>
      <x v="18"/>
    </i>
    <i r="4">
      <x v="126"/>
      <x v="10"/>
      <x v="64"/>
      <x v="7"/>
      <x v="65"/>
      <x v="5"/>
      <x v="28"/>
    </i>
    <i r="4">
      <x v="147"/>
      <x v="10"/>
      <x v="64"/>
      <x v="7"/>
      <x v="65"/>
      <x v="1"/>
      <x v="30"/>
    </i>
    <i r="4">
      <x v="157"/>
      <x v="10"/>
      <x v="64"/>
      <x v="7"/>
      <x v="65"/>
      <x v="4"/>
      <x v="27"/>
    </i>
    <i r="4">
      <x v="193"/>
      <x v="10"/>
      <x v="64"/>
      <x v="7"/>
      <x v="65"/>
      <x v="3"/>
      <x v="28"/>
    </i>
    <i r="4">
      <x v="196"/>
      <x v="10"/>
      <x v="64"/>
      <x v="7"/>
      <x v="65"/>
      <x v="6"/>
      <x v="10"/>
    </i>
    <i r="4">
      <x v="199"/>
      <x v="10"/>
      <x v="64"/>
      <x v="7"/>
      <x v="65"/>
      <x v="6"/>
      <x v="21"/>
    </i>
    <i r="4">
      <x v="201"/>
      <x v="10"/>
      <x v="64"/>
      <x v="9"/>
      <x v="65"/>
      <x v="1"/>
      <x v="11"/>
    </i>
    <i r="4">
      <x v="202"/>
      <x v="10"/>
      <x v="64"/>
      <x v="7"/>
      <x v="65"/>
      <x v="12"/>
      <x v="4"/>
    </i>
    <i>
      <x v="295"/>
      <x v="1"/>
      <x v="3"/>
      <x v="322"/>
      <x v="8"/>
      <x v="7"/>
      <x v="23"/>
      <x v="23"/>
      <x v="3"/>
      <x/>
      <x v="49"/>
    </i>
    <i r="4">
      <x v="80"/>
      <x v="7"/>
      <x v="23"/>
      <x v="18"/>
      <x v="3"/>
      <x/>
      <x v="43"/>
    </i>
    <i r="4">
      <x v="136"/>
      <x v="7"/>
      <x v="23"/>
      <x v="18"/>
      <x v="3"/>
      <x/>
      <x v="43"/>
    </i>
    <i r="4">
      <x v="142"/>
      <x v="7"/>
      <x v="23"/>
      <x v="22"/>
      <x v="3"/>
      <x/>
      <x v="47"/>
    </i>
    <i r="4">
      <x v="143"/>
      <x v="7"/>
      <x v="23"/>
      <x v="21"/>
      <x v="3"/>
      <x/>
      <x v="46"/>
    </i>
    <i r="4">
      <x v="242"/>
      <x v="7"/>
      <x v="23"/>
      <x v="23"/>
      <x v="3"/>
      <x/>
      <x v="49"/>
    </i>
    <i r="4">
      <x v="244"/>
      <x v="7"/>
      <x v="23"/>
      <x v="23"/>
      <x v="3"/>
      <x/>
      <x v="48"/>
    </i>
    <i r="4">
      <x v="281"/>
      <x v="7"/>
      <x v="23"/>
      <x v="16"/>
      <x v="3"/>
      <x/>
      <x v="41"/>
    </i>
    <i>
      <x v="296"/>
      <x v="1"/>
      <x/>
      <x v="342"/>
      <x v="113"/>
      <x v="1"/>
      <x v="73"/>
      <x v="16"/>
      <x v="54"/>
      <x/>
      <x v="41"/>
    </i>
    <i r="4">
      <x v="120"/>
      <x v="1"/>
      <x v="73"/>
      <x v="16"/>
      <x v="54"/>
      <x/>
      <x v="41"/>
    </i>
    <i>
      <x v="297"/>
      <x v="1"/>
      <x/>
      <x v="235"/>
      <x v="113"/>
      <x v="1"/>
      <x v="73"/>
      <x v="16"/>
      <x v="54"/>
      <x/>
      <x v="41"/>
    </i>
    <i r="4">
      <x v="120"/>
      <x v="1"/>
      <x v="73"/>
      <x v="16"/>
      <x v="54"/>
      <x/>
      <x v="41"/>
    </i>
    <i>
      <x v="298"/>
      <x v="1"/>
      <x/>
      <x v="115"/>
      <x v="113"/>
      <x v="1"/>
      <x v="73"/>
      <x v="16"/>
      <x v="54"/>
      <x/>
      <x v="41"/>
    </i>
    <i r="4">
      <x v="120"/>
      <x v="1"/>
      <x v="73"/>
      <x v="16"/>
      <x v="54"/>
      <x/>
      <x v="41"/>
    </i>
    <i>
      <x v="299"/>
      <x v="1"/>
      <x/>
      <x v="364"/>
      <x v="113"/>
      <x v="1"/>
      <x v="73"/>
      <x v="16"/>
      <x v="54"/>
      <x/>
      <x v="41"/>
    </i>
    <i r="4">
      <x v="120"/>
      <x v="1"/>
      <x v="73"/>
      <x v="16"/>
      <x v="54"/>
      <x/>
      <x v="41"/>
    </i>
    <i>
      <x v="300"/>
      <x v="1"/>
      <x/>
      <x v="363"/>
      <x v="113"/>
      <x v="1"/>
      <x v="73"/>
      <x v="17"/>
      <x v="54"/>
      <x/>
      <x v="42"/>
    </i>
    <i r="4">
      <x v="120"/>
      <x v="1"/>
      <x v="73"/>
      <x v="17"/>
      <x v="54"/>
      <x/>
      <x v="42"/>
    </i>
    <i>
      <x v="301"/>
      <x v="1"/>
      <x/>
      <x v="222"/>
      <x v="318"/>
      <x/>
      <x v="100"/>
      <x v="13"/>
      <x v="73"/>
      <x/>
      <x v="38"/>
    </i>
    <i>
      <x v="302"/>
      <x v="1"/>
      <x/>
      <x v="38"/>
      <x v="66"/>
      <x/>
      <x v="69"/>
      <x v="14"/>
      <x v="6"/>
      <x/>
      <x v="39"/>
    </i>
    <i>
      <x v="303"/>
      <x v="1"/>
      <x/>
      <x v="37"/>
      <x v="241"/>
      <x/>
      <x v="105"/>
      <x v="13"/>
      <x v="17"/>
      <x/>
      <x v="38"/>
    </i>
    <i>
      <x v="304"/>
      <x v="1"/>
      <x/>
      <x v="341"/>
      <x v="113"/>
      <x v="1"/>
      <x v="73"/>
      <x v="16"/>
      <x v="54"/>
      <x/>
      <x v="41"/>
    </i>
    <i r="4">
      <x v="120"/>
      <x v="1"/>
      <x v="73"/>
      <x v="16"/>
      <x v="54"/>
      <x/>
      <x v="41"/>
    </i>
    <i>
      <x v="305"/>
      <x v="1"/>
      <x/>
      <x v="41"/>
      <x v="42"/>
      <x v="1"/>
      <x v="83"/>
      <x v="18"/>
      <x v="101"/>
      <x/>
      <x v="43"/>
    </i>
    <i r="4">
      <x v="51"/>
      <x v="1"/>
      <x v="83"/>
      <x v="18"/>
      <x v="101"/>
      <x/>
      <x v="43"/>
    </i>
    <i>
      <x v="306"/>
      <x v="1"/>
      <x/>
      <x v="21"/>
      <x v="40"/>
      <x/>
      <x v="87"/>
      <x v="13"/>
      <x v="13"/>
      <x/>
      <x v="38"/>
    </i>
    <i>
      <x v="307"/>
      <x v="1"/>
      <x/>
      <x v="48"/>
      <x v="106"/>
      <x v="1"/>
      <x/>
      <x v="15"/>
      <x v="42"/>
      <x/>
      <x v="40"/>
    </i>
    <i r="4">
      <x v="316"/>
      <x v="1"/>
      <x/>
      <x v="15"/>
      <x v="42"/>
      <x/>
      <x v="40"/>
    </i>
    <i>
      <x v="308"/>
      <x v="1"/>
      <x/>
      <x v="9"/>
      <x v="151"/>
      <x/>
      <x v="87"/>
      <x v="13"/>
      <x v="13"/>
      <x/>
      <x v="39"/>
    </i>
    <i>
      <x v="309"/>
      <x v="1"/>
      <x/>
      <x v="90"/>
      <x v="13"/>
      <x/>
      <x v="42"/>
      <x v="16"/>
      <x v="47"/>
      <x/>
      <x v="41"/>
    </i>
    <i>
      <x v="310"/>
      <x v="1"/>
      <x/>
      <x v="358"/>
      <x v="318"/>
      <x/>
      <x v="87"/>
      <x v="13"/>
      <x v="14"/>
      <x/>
      <x v="38"/>
    </i>
    <i>
      <x v="311"/>
      <x v="1"/>
      <x/>
      <x v="114"/>
      <x v="113"/>
      <x v="1"/>
      <x v="73"/>
      <x v="16"/>
      <x v="54"/>
      <x/>
      <x v="41"/>
    </i>
    <i r="4">
      <x v="120"/>
      <x v="1"/>
      <x v="73"/>
      <x v="16"/>
      <x v="54"/>
      <x/>
      <x v="41"/>
    </i>
    <i>
      <x v="312"/>
      <x v="1"/>
      <x/>
      <x v="329"/>
      <x v="113"/>
      <x v="1"/>
      <x v="73"/>
      <x v="16"/>
      <x v="54"/>
      <x/>
      <x v="41"/>
    </i>
    <i r="4">
      <x v="120"/>
      <x v="1"/>
      <x v="73"/>
      <x v="16"/>
      <x v="54"/>
      <x/>
      <x v="41"/>
    </i>
    <i>
      <x v="313"/>
      <x v="1"/>
      <x/>
      <x v="345"/>
      <x v="113"/>
      <x v="1"/>
      <x v="73"/>
      <x v="19"/>
      <x v="54"/>
      <x/>
      <x v="44"/>
    </i>
    <i r="4">
      <x v="120"/>
      <x v="1"/>
      <x v="73"/>
      <x v="19"/>
      <x v="54"/>
      <x/>
      <x v="44"/>
    </i>
    <i>
      <x v="314"/>
      <x v="1"/>
      <x v="5"/>
      <x v="113"/>
      <x v="82"/>
      <x/>
      <x v="45"/>
      <x v="18"/>
      <x v="52"/>
      <x/>
      <x v="43"/>
    </i>
    <i>
      <x v="315"/>
      <x v="1"/>
      <x v="5"/>
      <x v="119"/>
      <x v="81"/>
      <x/>
      <x v="53"/>
      <x v="16"/>
      <x v="95"/>
      <x/>
      <x v="43"/>
    </i>
    <i>
      <x v="316"/>
      <x v="1"/>
      <x v="5"/>
      <x v="344"/>
      <x v="81"/>
      <x/>
      <x v="53"/>
      <x v="16"/>
      <x v="95"/>
      <x/>
      <x v="43"/>
    </i>
    <i>
      <x v="317"/>
      <x v="1"/>
      <x v="5"/>
      <x v="346"/>
      <x v="81"/>
      <x/>
      <x v="53"/>
      <x v="16"/>
      <x v="95"/>
      <x/>
      <x v="41"/>
    </i>
    <i>
      <x v="318"/>
      <x v="1"/>
      <x v="5"/>
      <x v="132"/>
      <x v="82"/>
      <x/>
      <x v="45"/>
      <x v="18"/>
      <x v="50"/>
      <x/>
      <x v="43"/>
    </i>
    <i>
      <x v="319"/>
      <x v="1"/>
      <x v="5"/>
      <x v="315"/>
      <x v="289"/>
      <x v="3"/>
      <x v="53"/>
      <x v="15"/>
      <x v="95"/>
      <x/>
      <x v="40"/>
    </i>
    <i r="7">
      <x v="16"/>
      <x v="95"/>
      <x/>
      <x v="41"/>
    </i>
    <i r="7">
      <x v="24"/>
      <x v="95"/>
      <x/>
      <x v="49"/>
    </i>
    <i>
      <x v="320"/>
      <x v="1"/>
      <x v="5"/>
      <x v="212"/>
      <x v="82"/>
      <x/>
      <x v="80"/>
      <x v="21"/>
      <x v="85"/>
      <x/>
      <x v="48"/>
    </i>
    <i>
      <x v="321"/>
      <x v="1"/>
      <x v="5"/>
      <x v="210"/>
      <x v="82"/>
      <x/>
      <x v="80"/>
      <x v="23"/>
      <x v="85"/>
      <x/>
      <x v="48"/>
    </i>
    <i>
      <x v="322"/>
      <x v="1"/>
      <x v="5"/>
      <x v="121"/>
      <x v="82"/>
      <x/>
      <x v="94"/>
      <x v="21"/>
      <x v="57"/>
      <x/>
      <x v="48"/>
    </i>
    <i>
      <x v="323"/>
      <x v="1"/>
      <x v="5"/>
      <x v="213"/>
      <x v="82"/>
      <x/>
      <x v="80"/>
      <x v="20"/>
      <x v="85"/>
      <x/>
      <x v="46"/>
    </i>
    <i>
      <x v="324"/>
      <x v="1"/>
      <x v="5"/>
      <x v="123"/>
      <x v="82"/>
      <x/>
      <x v="55"/>
      <x v="22"/>
      <x v="74"/>
      <x/>
      <x v="47"/>
    </i>
    <i>
      <x v="325"/>
      <x v="1"/>
      <x v="5"/>
      <x v="122"/>
      <x v="82"/>
      <x/>
      <x v="55"/>
      <x v="22"/>
      <x v="74"/>
      <x/>
      <x v="47"/>
    </i>
    <i>
      <x v="326"/>
      <x v="1"/>
      <x v="5"/>
      <x v="211"/>
      <x v="82"/>
      <x/>
      <x v="80"/>
      <x v="22"/>
      <x v="85"/>
      <x/>
      <x v="47"/>
    </i>
    <i>
      <x v="327"/>
      <x v="1"/>
      <x v="5"/>
      <x v="131"/>
      <x v="82"/>
      <x/>
      <x v="93"/>
      <x v="24"/>
      <x v="53"/>
      <x/>
      <x v="49"/>
    </i>
    <i>
      <x v="328"/>
      <x v="1"/>
      <x v="1"/>
      <x v="223"/>
      <x v="4"/>
      <x v="6"/>
      <x v="17"/>
      <x v="14"/>
      <x v="30"/>
      <x/>
      <x v="39"/>
    </i>
    <i r="4">
      <x v="6"/>
      <x v="6"/>
      <x v="17"/>
      <x v="14"/>
      <x v="30"/>
      <x/>
      <x v="39"/>
    </i>
    <i r="4">
      <x v="52"/>
      <x v="6"/>
      <x v="17"/>
      <x v="14"/>
      <x v="30"/>
      <x/>
      <x v="39"/>
    </i>
    <i r="4">
      <x v="63"/>
      <x v="6"/>
      <x v="17"/>
      <x v="14"/>
      <x v="30"/>
      <x/>
      <x v="39"/>
    </i>
    <i r="4">
      <x v="234"/>
      <x v="6"/>
      <x v="17"/>
      <x v="14"/>
      <x v="30"/>
      <x/>
      <x v="42"/>
    </i>
    <i r="4">
      <x v="267"/>
      <x v="6"/>
      <x v="17"/>
      <x v="14"/>
      <x v="30"/>
      <x/>
      <x v="39"/>
    </i>
    <i r="4">
      <x v="319"/>
      <x v="6"/>
      <x v="17"/>
      <x v="14"/>
      <x v="30"/>
      <x/>
      <x v="39"/>
    </i>
    <i>
      <x v="329"/>
      <x v="1"/>
      <x v="1"/>
      <x v="250"/>
      <x v="159"/>
      <x/>
      <x v="17"/>
      <x v="14"/>
      <x v="30"/>
      <x/>
      <x v="39"/>
    </i>
    <i>
      <x v="330"/>
      <x v="1"/>
      <x v="1"/>
      <x v="249"/>
      <x v="124"/>
      <x/>
      <x v="18"/>
      <x v="20"/>
      <x v="30"/>
      <x/>
      <x v="45"/>
    </i>
    <i>
      <x v="331"/>
      <x v="1"/>
      <x v="1"/>
      <x v="63"/>
      <x v="25"/>
      <x/>
      <x v="17"/>
      <x v="17"/>
      <x v="30"/>
      <x/>
      <x v="42"/>
    </i>
    <i>
      <x v="332"/>
      <x v="1"/>
      <x v="1"/>
      <x v="67"/>
      <x v="128"/>
      <x v="2"/>
      <x v="17"/>
      <x v="17"/>
      <x v="30"/>
      <x/>
      <x v="42"/>
    </i>
    <i r="4">
      <x v="138"/>
      <x v="2"/>
      <x v="17"/>
      <x v="17"/>
      <x v="30"/>
      <x/>
      <x v="42"/>
    </i>
    <i r="4">
      <x v="246"/>
      <x v="2"/>
      <x v="17"/>
      <x v="17"/>
      <x v="30"/>
      <x/>
      <x v="42"/>
    </i>
    <i>
      <x v="333"/>
      <x v="1"/>
      <x v="1"/>
      <x v="41"/>
      <x v="7"/>
      <x v="5"/>
      <x v="75"/>
      <x v="20"/>
      <x v="101"/>
      <x/>
      <x v="46"/>
    </i>
    <i r="4">
      <x v="182"/>
      <x v="5"/>
      <x v="75"/>
      <x v="20"/>
      <x v="101"/>
      <x/>
      <x v="46"/>
    </i>
    <i r="4">
      <x v="198"/>
      <x v="5"/>
      <x v="75"/>
      <x v="20"/>
      <x v="101"/>
      <x/>
      <x v="46"/>
    </i>
    <i r="4">
      <x v="231"/>
      <x v="5"/>
      <x v="75"/>
      <x v="20"/>
      <x v="101"/>
      <x/>
      <x v="46"/>
    </i>
    <i r="4">
      <x v="283"/>
      <x v="5"/>
      <x v="75"/>
      <x v="20"/>
      <x v="101"/>
      <x/>
      <x v="46"/>
    </i>
    <i r="4">
      <x v="301"/>
      <x v="5"/>
      <x v="75"/>
      <x v="20"/>
      <x v="101"/>
      <x/>
      <x v="45"/>
    </i>
    <i>
      <x v="334"/>
      <x v="1"/>
      <x v="1"/>
      <x v="369"/>
      <x v="7"/>
      <x v="4"/>
      <x v="87"/>
      <x v="13"/>
      <x v="15"/>
      <x/>
      <x v="39"/>
    </i>
    <i r="4">
      <x v="26"/>
      <x v="4"/>
      <x v="87"/>
      <x v="13"/>
      <x v="15"/>
      <x/>
      <x v="39"/>
    </i>
    <i r="4">
      <x v="27"/>
      <x v="4"/>
      <x v="87"/>
      <x v="13"/>
      <x v="15"/>
      <x/>
      <x v="39"/>
    </i>
    <i r="4">
      <x v="140"/>
      <x v="4"/>
      <x v="87"/>
      <x v="13"/>
      <x v="15"/>
      <x/>
      <x v="39"/>
    </i>
    <i r="4">
      <x v="348"/>
      <x v="4"/>
      <x v="87"/>
      <x v="13"/>
      <x v="15"/>
      <x/>
      <x v="39"/>
    </i>
    <i>
      <x v="335"/>
      <x v="1"/>
      <x v="1"/>
      <x v="50"/>
      <x v="55"/>
      <x v="7"/>
      <x v="72"/>
      <x v="15"/>
      <x v="46"/>
      <x/>
      <x v="40"/>
    </i>
    <i r="4">
      <x v="58"/>
      <x v="7"/>
      <x v="72"/>
      <x v="15"/>
      <x v="46"/>
      <x/>
      <x v="40"/>
    </i>
    <i r="4">
      <x v="165"/>
      <x v="7"/>
      <x v="72"/>
      <x v="15"/>
      <x v="46"/>
      <x/>
      <x v="40"/>
    </i>
    <i r="4">
      <x v="174"/>
      <x v="7"/>
      <x v="72"/>
      <x v="15"/>
      <x v="46"/>
      <x/>
      <x v="40"/>
    </i>
    <i r="4">
      <x v="183"/>
      <x v="7"/>
      <x v="72"/>
      <x v="15"/>
      <x v="46"/>
      <x/>
      <x v="40"/>
    </i>
    <i r="4">
      <x v="213"/>
      <x v="7"/>
      <x v="72"/>
      <x v="15"/>
      <x v="46"/>
      <x/>
      <x v="40"/>
    </i>
    <i r="4">
      <x v="260"/>
      <x v="7"/>
      <x v="72"/>
      <x v="15"/>
      <x v="46"/>
      <x/>
      <x v="40"/>
    </i>
    <i r="4">
      <x v="314"/>
      <x v="7"/>
      <x v="72"/>
      <x v="15"/>
      <x v="46"/>
      <x/>
      <x v="40"/>
    </i>
    <i>
      <x v="336"/>
      <x v="1"/>
      <x v="1"/>
      <x v="372"/>
      <x v="211"/>
      <x/>
      <x v="87"/>
      <x v="15"/>
      <x v="14"/>
      <x/>
      <x v="40"/>
    </i>
    <i>
      <x v="337"/>
      <x v="1"/>
      <x v="1"/>
      <x v="367"/>
      <x v="211"/>
      <x/>
      <x v="87"/>
      <x v="14"/>
      <x v="14"/>
      <x/>
      <x v="40"/>
    </i>
    <i>
      <x v="338"/>
      <x v="1"/>
      <x v="1"/>
      <x v="84"/>
      <x v="7"/>
      <x v="4"/>
      <x v="87"/>
      <x v="13"/>
      <x v="14"/>
      <x/>
      <x v="38"/>
    </i>
    <i r="4">
      <x v="213"/>
      <x v="4"/>
      <x v="87"/>
      <x v="13"/>
      <x v="14"/>
      <x/>
      <x v="38"/>
    </i>
    <i r="4">
      <x v="231"/>
      <x v="4"/>
      <x v="87"/>
      <x v="13"/>
      <x v="14"/>
      <x/>
      <x v="38"/>
    </i>
    <i r="4">
      <x v="337"/>
      <x v="4"/>
      <x v="87"/>
      <x v="13"/>
      <x v="14"/>
      <x/>
      <x v="38"/>
    </i>
    <i r="4">
      <x v="344"/>
      <x v="4"/>
      <x v="87"/>
      <x v="13"/>
      <x v="14"/>
      <x/>
      <x v="38"/>
    </i>
    <i>
      <x v="339"/>
      <x v="1"/>
      <x v="1"/>
      <x v="219"/>
      <x v="103"/>
      <x v="6"/>
      <x v="17"/>
      <x v="14"/>
      <x v="30"/>
      <x/>
      <x v="43"/>
    </i>
    <i r="4">
      <x v="127"/>
      <x v="6"/>
      <x v="17"/>
      <x v="14"/>
      <x v="30"/>
      <x/>
      <x v="43"/>
    </i>
    <i r="4">
      <x v="129"/>
      <x v="6"/>
      <x v="17"/>
      <x v="18"/>
      <x v="30"/>
      <x/>
      <x v="43"/>
    </i>
    <i r="4">
      <x v="234"/>
      <x v="6"/>
      <x v="17"/>
      <x v="18"/>
      <x v="30"/>
      <x/>
      <x v="43"/>
    </i>
    <i r="4">
      <x v="287"/>
      <x v="6"/>
      <x v="17"/>
      <x v="18"/>
      <x v="30"/>
      <x/>
      <x v="43"/>
    </i>
    <i r="4">
      <x v="320"/>
      <x v="6"/>
      <x v="17"/>
      <x v="14"/>
      <x v="30"/>
      <x/>
      <x v="39"/>
    </i>
    <i r="4">
      <x v="332"/>
      <x v="6"/>
      <x v="17"/>
      <x v="14"/>
      <x v="30"/>
      <x/>
      <x v="39"/>
    </i>
    <i>
      <x v="340"/>
      <x v="1"/>
      <x v="1"/>
      <x v="65"/>
      <x v="25"/>
      <x/>
      <x v="17"/>
      <x v="17"/>
      <x v="30"/>
      <x/>
      <x v="42"/>
    </i>
    <i>
      <x v="341"/>
      <x/>
      <x v="1"/>
      <x v="194"/>
      <x v="237"/>
      <x/>
      <x v="106"/>
      <x v="10"/>
      <x v="17"/>
      <x v="8"/>
      <x v="9"/>
    </i>
    <i>
      <x v="342"/>
      <x/>
      <x v="1"/>
      <x v="142"/>
      <x v="41"/>
      <x/>
      <x v="10"/>
      <x v="11"/>
      <x v="89"/>
      <x v="8"/>
      <x v="3"/>
    </i>
    <i>
      <x v="343"/>
      <x/>
      <x v="1"/>
      <x v="186"/>
      <x v="86"/>
      <x/>
      <x v="27"/>
      <x v="11"/>
      <x v="59"/>
      <x v="8"/>
      <x v="9"/>
    </i>
    <i>
      <x v="344"/>
      <x v="1"/>
      <x v="1"/>
      <x v="40"/>
      <x v="94"/>
      <x/>
      <x v="60"/>
      <x v="14"/>
      <x v="102"/>
      <x v="7"/>
      <x v="12"/>
    </i>
    <i>
      <x v="345"/>
      <x v="1"/>
      <x v="1"/>
      <x v="330"/>
      <x v="177"/>
      <x v="1"/>
      <x v="22"/>
      <x v="17"/>
      <x v="32"/>
      <x/>
      <x v="42"/>
    </i>
    <i r="4">
      <x v="229"/>
      <x v="1"/>
      <x v="22"/>
      <x v="16"/>
      <x v="32"/>
      <x/>
      <x v="41"/>
    </i>
    <i>
      <x v="346"/>
      <x v="1"/>
      <x v="1"/>
      <x v="29"/>
      <x v="223"/>
      <x/>
      <x v="60"/>
      <x v="15"/>
      <x v="102"/>
      <x/>
      <x v="40"/>
    </i>
    <i>
      <x v="347"/>
      <x v="1"/>
      <x v="1"/>
      <x v="81"/>
      <x v="58"/>
      <x/>
      <x v="12"/>
      <x v="20"/>
      <x v="16"/>
      <x/>
      <x v="45"/>
    </i>
    <i>
      <x v="348"/>
      <x v="1"/>
      <x v="1"/>
      <x v="62"/>
      <x v="213"/>
      <x/>
      <x v="12"/>
      <x v="14"/>
      <x v="16"/>
      <x/>
      <x v="39"/>
    </i>
    <i>
      <x v="349"/>
      <x v="1"/>
      <x v="1"/>
      <x v="275"/>
      <x v="58"/>
      <x v="1"/>
      <x v="12"/>
      <x v="18"/>
      <x v="16"/>
      <x/>
      <x v="43"/>
    </i>
    <i r="7">
      <x v="24"/>
      <x v="16"/>
      <x/>
      <x v="49"/>
    </i>
    <i>
      <x v="350"/>
      <x v="1"/>
      <x v="1"/>
      <x v="80"/>
      <x v="10"/>
      <x/>
      <x v="12"/>
      <x v="21"/>
      <x v="16"/>
      <x/>
      <x v="46"/>
    </i>
    <i>
      <x v="351"/>
      <x v="1"/>
      <x v="1"/>
      <x v="28"/>
      <x v="265"/>
      <x/>
      <x v="60"/>
      <x v="15"/>
      <x v="102"/>
      <x/>
      <x v="40"/>
    </i>
    <i>
      <x v="352"/>
      <x v="1"/>
      <x v="1"/>
      <x v="247"/>
      <x v="9"/>
      <x v="1"/>
      <x v="12"/>
      <x v="13"/>
      <x v="16"/>
      <x/>
      <x v="38"/>
    </i>
    <i r="4">
      <x v="164"/>
      <x v="1"/>
      <x v="12"/>
      <x v="13"/>
      <x v="16"/>
      <x/>
      <x v="38"/>
    </i>
    <i>
      <x v="353"/>
      <x v="1"/>
      <x v="1"/>
      <x v="257"/>
      <x v="213"/>
      <x/>
      <x v="12"/>
      <x v="15"/>
      <x v="16"/>
      <x/>
      <x v="40"/>
    </i>
    <i>
      <x v="354"/>
      <x v="1"/>
      <x v="1"/>
      <x v="101"/>
      <x v="339"/>
      <x/>
      <x v="12"/>
      <x v="16"/>
      <x v="16"/>
      <x/>
      <x v="41"/>
    </i>
    <i>
      <x v="355"/>
      <x v="1"/>
      <x v="1"/>
      <x v="246"/>
      <x v="7"/>
      <x/>
      <x v="12"/>
      <x v="15"/>
      <x v="16"/>
      <x/>
      <x v="40"/>
    </i>
    <i>
      <x v="356"/>
      <x v="1"/>
      <x v="1"/>
      <x v="370"/>
      <x v="7"/>
      <x v="3"/>
      <x v="87"/>
      <x v="15"/>
      <x v="14"/>
      <x/>
      <x v="40"/>
    </i>
    <i r="4">
      <x v="62"/>
      <x v="3"/>
      <x v="87"/>
      <x v="15"/>
      <x v="14"/>
      <x/>
      <x v="40"/>
    </i>
    <i r="4">
      <x v="164"/>
      <x v="3"/>
      <x v="87"/>
      <x v="15"/>
      <x v="14"/>
      <x/>
      <x v="40"/>
    </i>
    <i r="4">
      <x v="253"/>
      <x v="3"/>
      <x v="87"/>
      <x v="15"/>
      <x v="14"/>
      <x/>
      <x v="40"/>
    </i>
    <i>
      <x v="357"/>
      <x v="1"/>
      <x v="1"/>
      <x v="274"/>
      <x v="7"/>
      <x v="1"/>
      <x v="87"/>
      <x v="13"/>
      <x v="14"/>
      <x/>
      <x v="38"/>
    </i>
    <i r="4">
      <x v="211"/>
      <x v="1"/>
      <x v="87"/>
      <x v="13"/>
      <x v="14"/>
      <x/>
      <x v="38"/>
    </i>
    <i>
      <x v="358"/>
      <x v="1"/>
      <x v="1"/>
      <x v="373"/>
      <x v="9"/>
      <x v="2"/>
      <x v="87"/>
      <x v="13"/>
      <x v="14"/>
      <x/>
      <x v="38"/>
    </i>
    <i r="4">
      <x v="54"/>
      <x v="2"/>
      <x v="87"/>
      <x v="13"/>
      <x v="14"/>
      <x/>
      <x v="38"/>
    </i>
    <i r="4">
      <x v="277"/>
      <x v="2"/>
      <x v="87"/>
      <x v="13"/>
      <x v="14"/>
      <x/>
      <x v="38"/>
    </i>
    <i>
      <x v="359"/>
      <x v="1"/>
      <x v="1"/>
      <x v="85"/>
      <x v="7"/>
      <x v="1"/>
      <x v="87"/>
      <x v="14"/>
      <x v="14"/>
      <x/>
      <x v="39"/>
    </i>
    <i r="4">
      <x v="211"/>
      <x v="1"/>
      <x v="87"/>
      <x v="14"/>
      <x v="14"/>
      <x/>
      <x v="39"/>
    </i>
    <i>
      <x v="360"/>
      <x v="1"/>
      <x v="1"/>
      <x v="368"/>
      <x v="7"/>
      <x v="2"/>
      <x v="87"/>
      <x v="13"/>
      <x v="14"/>
      <x/>
      <x v="38"/>
    </i>
    <i r="4">
      <x v="220"/>
      <x v="2"/>
      <x v="87"/>
      <x v="13"/>
      <x v="14"/>
      <x/>
      <x v="38"/>
    </i>
    <i r="4">
      <x v="297"/>
      <x v="2"/>
      <x v="87"/>
      <x v="13"/>
      <x v="14"/>
      <x/>
      <x v="38"/>
    </i>
    <i>
      <x v="361"/>
      <x v="1"/>
      <x v="1"/>
      <x v="383"/>
      <x v="141"/>
      <x v="1"/>
      <x v="87"/>
      <x v="13"/>
      <x v="14"/>
      <x/>
      <x v="38"/>
    </i>
    <i r="4">
      <x v="221"/>
      <x v="1"/>
      <x v="87"/>
      <x v="13"/>
      <x v="14"/>
      <x/>
      <x v="38"/>
    </i>
    <i>
      <x v="362"/>
      <x v="1"/>
      <x v="1"/>
      <x v="86"/>
      <x v="7"/>
      <x v="1"/>
      <x v="87"/>
      <x v="19"/>
      <x v="14"/>
      <x/>
      <x v="44"/>
    </i>
    <i r="4">
      <x v="215"/>
      <x v="1"/>
      <x v="87"/>
      <x v="19"/>
      <x v="14"/>
      <x/>
      <x v="44"/>
    </i>
    <i>
      <x v="363"/>
      <x v="1"/>
      <x v="1"/>
      <x v="87"/>
      <x v="214"/>
      <x v="2"/>
      <x v="87"/>
      <x v="20"/>
      <x v="14"/>
      <x/>
      <x v="45"/>
    </i>
    <i r="4">
      <x v="231"/>
      <x v="2"/>
      <x v="87"/>
      <x v="20"/>
      <x v="14"/>
      <x/>
      <x v="45"/>
    </i>
    <i r="4">
      <x v="301"/>
      <x v="2"/>
      <x v="87"/>
      <x v="20"/>
      <x v="14"/>
      <x/>
      <x v="45"/>
    </i>
    <i>
      <x v="364"/>
      <x v="1"/>
      <x v="1"/>
      <x v="271"/>
      <x v="149"/>
      <x/>
      <x v="87"/>
      <x v="15"/>
      <x v="14"/>
      <x/>
      <x v="40"/>
    </i>
    <i>
      <x v="365"/>
      <x v="1"/>
      <x v="1"/>
      <x v="88"/>
      <x v="7"/>
      <x v="3"/>
      <x v="87"/>
      <x v="23"/>
      <x v="14"/>
      <x/>
      <x v="48"/>
    </i>
    <i r="4">
      <x v="56"/>
      <x v="3"/>
      <x v="87"/>
      <x v="23"/>
      <x v="14"/>
      <x/>
      <x v="48"/>
    </i>
    <i r="4">
      <x v="211"/>
      <x v="3"/>
      <x v="87"/>
      <x v="23"/>
      <x v="14"/>
      <x/>
      <x v="48"/>
    </i>
    <i r="4">
      <x v="301"/>
      <x v="3"/>
      <x v="87"/>
      <x v="23"/>
      <x v="14"/>
      <x/>
      <x v="48"/>
    </i>
    <i>
      <x v="366"/>
      <x v="1"/>
      <x v="1"/>
      <x v="242"/>
      <x v="211"/>
      <x/>
      <x v="87"/>
      <x v="13"/>
      <x v="14"/>
      <x/>
      <x v="38"/>
    </i>
    <i>
      <x v="367"/>
      <x v="1"/>
      <x v="1"/>
      <x v="74"/>
      <x v="7"/>
      <x v="2"/>
      <x v="87"/>
      <x v="14"/>
      <x v="14"/>
      <x/>
      <x v="39"/>
    </i>
    <i r="4">
      <x v="231"/>
      <x v="2"/>
      <x v="87"/>
      <x v="14"/>
      <x v="14"/>
      <x/>
      <x v="39"/>
    </i>
    <i r="4">
      <x v="301"/>
      <x v="2"/>
      <x v="87"/>
      <x v="14"/>
      <x v="14"/>
      <x/>
      <x v="39"/>
    </i>
    <i>
      <x v="368"/>
      <x v="1"/>
      <x v="1"/>
      <x v="331"/>
      <x v="7"/>
      <x v="1"/>
      <x v="62"/>
      <x v="15"/>
      <x v="107"/>
      <x/>
      <x v="40"/>
    </i>
    <i r="4">
      <x v="123"/>
      <x v="1"/>
      <x v="62"/>
      <x v="15"/>
      <x v="107"/>
      <x/>
      <x v="40"/>
    </i>
    <i>
      <x v="369"/>
      <x v="1"/>
      <x v="1"/>
      <x v="272"/>
      <x v="7"/>
      <x v="1"/>
      <x v="87"/>
      <x v="15"/>
      <x v="14"/>
      <x/>
      <x v="40"/>
    </i>
    <i r="4">
      <x v="231"/>
      <x v="1"/>
      <x v="87"/>
      <x v="15"/>
      <x v="14"/>
      <x/>
      <x v="40"/>
    </i>
    <i>
      <x v="370"/>
      <x v="1"/>
      <x v="1"/>
      <x v="273"/>
      <x v="7"/>
      <x v="3"/>
      <x v="87"/>
      <x v="15"/>
      <x v="14"/>
      <x/>
      <x v="40"/>
    </i>
    <i r="4">
      <x v="213"/>
      <x v="3"/>
      <x v="87"/>
      <x v="15"/>
      <x v="14"/>
      <x/>
      <x v="40"/>
    </i>
    <i r="4">
      <x v="231"/>
      <x v="3"/>
      <x v="87"/>
      <x v="15"/>
      <x v="14"/>
      <x/>
      <x v="40"/>
    </i>
    <i r="4">
      <x v="252"/>
      <x v="3"/>
      <x v="87"/>
      <x v="15"/>
      <x v="14"/>
      <x/>
      <x v="40"/>
    </i>
    <i>
      <x v="371"/>
      <x v="1"/>
      <x v="1"/>
      <x v="278"/>
      <x v="213"/>
      <x v="1"/>
      <x v="30"/>
      <x v="21"/>
      <x v="35"/>
      <x/>
      <x v="47"/>
    </i>
    <i r="4">
      <x v="301"/>
      <x v="1"/>
      <x v="30"/>
      <x v="22"/>
      <x v="35"/>
      <x/>
      <x v="47"/>
    </i>
    <i>
      <x v="372"/>
      <x v="1"/>
      <x v="1"/>
      <x v="61"/>
      <x v="7"/>
      <x v="3"/>
      <x v="87"/>
      <x v="20"/>
      <x v="14"/>
      <x/>
      <x v="45"/>
    </i>
    <i r="4">
      <x v="18"/>
      <x v="3"/>
      <x v="87"/>
      <x v="20"/>
      <x v="14"/>
      <x/>
      <x v="45"/>
    </i>
    <i r="4">
      <x v="185"/>
      <x v="3"/>
      <x v="87"/>
      <x v="20"/>
      <x v="14"/>
      <x/>
      <x v="45"/>
    </i>
    <i r="4">
      <x v="330"/>
      <x v="3"/>
      <x v="87"/>
      <x v="20"/>
      <x v="14"/>
      <x/>
      <x v="45"/>
    </i>
    <i>
      <x v="373"/>
      <x v="1"/>
      <x v="1"/>
      <x v="233"/>
      <x v="55"/>
      <x v="2"/>
      <x v="39"/>
      <x v="16"/>
      <x v="20"/>
      <x/>
      <x v="41"/>
    </i>
    <i r="4">
      <x v="213"/>
      <x v="2"/>
      <x v="39"/>
      <x v="16"/>
      <x v="20"/>
      <x/>
      <x v="41"/>
    </i>
    <i r="4">
      <x v="301"/>
      <x v="2"/>
      <x v="39"/>
      <x v="16"/>
      <x v="20"/>
      <x/>
      <x v="41"/>
    </i>
    <i>
      <x v="374"/>
      <x v="1"/>
      <x v="1"/>
      <x v="263"/>
      <x v="96"/>
      <x v="3"/>
      <x v="39"/>
      <x v="18"/>
      <x v="20"/>
      <x/>
      <x v="43"/>
    </i>
    <i r="4">
      <x v="113"/>
      <x v="3"/>
      <x v="39"/>
      <x v="18"/>
      <x v="20"/>
      <x/>
      <x v="43"/>
    </i>
    <i r="4">
      <x v="165"/>
      <x v="3"/>
      <x v="39"/>
      <x v="18"/>
      <x v="20"/>
      <x/>
      <x v="43"/>
    </i>
    <i r="4">
      <x v="217"/>
      <x v="3"/>
      <x v="39"/>
      <x v="18"/>
      <x v="20"/>
      <x/>
      <x v="43"/>
    </i>
    <i>
      <x v="375"/>
      <x v="1"/>
      <x v="1"/>
      <x v="280"/>
      <x v="301"/>
      <x v="1"/>
      <x v="89"/>
      <x v="19"/>
      <x v="1"/>
      <x/>
      <x v="44"/>
    </i>
    <i r="7">
      <x v="22"/>
      <x v="1"/>
      <x/>
      <x v="47"/>
    </i>
    <i>
      <x v="376"/>
      <x v="1"/>
      <x v="1"/>
      <x v="374"/>
      <x/>
      <x v="2"/>
      <x v="87"/>
      <x v="15"/>
      <x v="14"/>
      <x/>
      <x v="40"/>
    </i>
    <i r="4">
      <x v="211"/>
      <x v="2"/>
      <x v="87"/>
      <x v="15"/>
      <x v="14"/>
      <x/>
      <x v="40"/>
    </i>
    <i r="4">
      <x v="253"/>
      <x v="2"/>
      <x v="87"/>
      <x v="15"/>
      <x v="14"/>
      <x/>
      <x v="40"/>
    </i>
    <i>
      <x v="377"/>
      <x v="1"/>
      <x v="4"/>
      <x v="127"/>
      <x v="82"/>
      <x/>
      <x v="80"/>
      <x v="22"/>
      <x v="85"/>
      <x/>
      <x v="47"/>
    </i>
    <i>
      <x v="378"/>
      <x v="1"/>
      <x v="4"/>
      <x v="128"/>
      <x v="82"/>
      <x/>
      <x v="80"/>
      <x v="23"/>
      <x v="85"/>
      <x/>
      <x v="48"/>
    </i>
    <i>
      <x v="379"/>
      <x v="1"/>
      <x v="4"/>
      <x v="214"/>
      <x v="82"/>
      <x/>
      <x v="80"/>
      <x v="20"/>
      <x v="85"/>
      <x/>
      <x v="45"/>
    </i>
    <i>
      <x v="380"/>
      <x v="1"/>
      <x v="4"/>
      <x v="120"/>
      <x v="113"/>
      <x v="1"/>
      <x v="73"/>
      <x v="19"/>
      <x v="54"/>
      <x/>
      <x v="44"/>
    </i>
    <i r="4">
      <x v="120"/>
      <x v="1"/>
      <x v="73"/>
      <x v="19"/>
      <x v="54"/>
      <x/>
      <x v="44"/>
    </i>
    <i>
      <x v="381"/>
      <x v="1"/>
      <x v="4"/>
      <x v="343"/>
      <x v="113"/>
      <x v="1"/>
      <x v="73"/>
      <x v="18"/>
      <x v="54"/>
      <x/>
      <x v="43"/>
    </i>
    <i r="4">
      <x v="120"/>
      <x v="1"/>
      <x v="73"/>
      <x v="18"/>
      <x v="54"/>
      <x/>
      <x v="43"/>
    </i>
    <i>
      <x v="382"/>
      <x v="1"/>
      <x v="4"/>
      <x v="126"/>
      <x v="82"/>
      <x/>
      <x v="80"/>
      <x v="21"/>
      <x v="85"/>
      <x/>
      <x v="46"/>
    </i>
    <i>
      <x v="383"/>
      <x v="1"/>
      <x v="4"/>
      <x v="112"/>
      <x v="113"/>
      <x v="1"/>
      <x v="73"/>
      <x v="17"/>
      <x v="54"/>
      <x/>
      <x v="42"/>
    </i>
    <i r="4">
      <x v="120"/>
      <x v="1"/>
      <x v="73"/>
      <x v="17"/>
      <x v="54"/>
      <x/>
      <x v="42"/>
    </i>
    <i>
      <x v="384"/>
      <x v="1"/>
      <x v="4"/>
      <x v="209"/>
      <x v="82"/>
      <x/>
      <x v="80"/>
      <x v="21"/>
      <x v="85"/>
      <x/>
      <x v="46"/>
    </i>
    <i>
      <x v="385"/>
      <x v="1"/>
      <x v="4"/>
      <x v="118"/>
      <x v="113"/>
      <x/>
      <x v="73"/>
      <x v="16"/>
      <x v="54"/>
      <x/>
      <x v="41"/>
    </i>
    <i>
      <x v="386"/>
      <x v="1"/>
      <x v="4"/>
      <x v="59"/>
      <x v="113"/>
      <x v="1"/>
      <x v="73"/>
      <x v="17"/>
      <x v="54"/>
      <x/>
      <x v="42"/>
    </i>
    <i r="4">
      <x v="120"/>
      <x v="1"/>
      <x v="73"/>
      <x v="17"/>
      <x v="54"/>
      <x/>
      <x v="42"/>
    </i>
    <i>
      <x v="387"/>
      <x v="1"/>
      <x v="4"/>
      <x v="47"/>
      <x v="250"/>
      <x/>
      <x v="78"/>
      <x v="13"/>
      <x v="45"/>
      <x/>
      <x v="38"/>
    </i>
    <i>
      <x v="388"/>
      <x v="1"/>
      <x v="4"/>
      <x v="234"/>
      <x v="19"/>
      <x v="5"/>
      <x v="60"/>
      <x v="17"/>
      <x v="102"/>
      <x/>
      <x v="42"/>
    </i>
    <i r="4">
      <x v="22"/>
      <x v="5"/>
      <x v="60"/>
      <x v="15"/>
      <x v="102"/>
      <x/>
      <x v="40"/>
    </i>
    <i r="4">
      <x v="121"/>
      <x v="5"/>
      <x v="60"/>
      <x v="17"/>
      <x v="102"/>
      <x/>
      <x v="42"/>
    </i>
    <i r="4">
      <x v="158"/>
      <x v="5"/>
      <x v="60"/>
      <x v="17"/>
      <x v="102"/>
      <x/>
      <x v="42"/>
    </i>
    <i r="4">
      <x v="301"/>
      <x v="5"/>
      <x v="60"/>
      <x v="21"/>
      <x v="102"/>
      <x/>
      <x v="46"/>
    </i>
    <i r="4">
      <x v="308"/>
      <x v="5"/>
      <x v="60"/>
      <x v="17"/>
      <x v="102"/>
      <x/>
      <x v="42"/>
    </i>
    <i>
      <x v="389"/>
      <x v="1"/>
      <x v="4"/>
      <x v="125"/>
      <x v="82"/>
      <x/>
      <x v="80"/>
      <x v="21"/>
      <x v="85"/>
      <x/>
      <x v="46"/>
    </i>
    <i>
      <x v="390"/>
      <x v="1"/>
      <x v="4"/>
      <x v="124"/>
      <x v="82"/>
      <x/>
      <x v="80"/>
      <x v="22"/>
      <x v="85"/>
      <x/>
      <x v="47"/>
    </i>
    <i>
      <x v="391"/>
      <x v="1"/>
      <x v="4"/>
      <x v="133"/>
      <x v="289"/>
      <x/>
      <x v="53"/>
      <x v="24"/>
      <x v="95"/>
      <x/>
      <x v="49"/>
    </i>
    <i>
      <x v="392"/>
      <x v="1"/>
      <x v="4"/>
      <x v="129"/>
      <x v="82"/>
      <x/>
      <x v="80"/>
      <x v="23"/>
      <x v="85"/>
      <x/>
      <x v="48"/>
    </i>
    <i t="grand">
      <x/>
    </i>
  </rowItems>
  <colItems count="1">
    <i/>
  </colItems>
  <dataFields count="1">
    <dataField name="Suma de Monto Total Ítem Año 2026" fld="13" baseField="0" baseItem="0" numFmtId="42"/>
  </dataFields>
  <pivotTableStyleInfo name="PivotStyleMedium12"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DCA9B1-CCF9-4105-8CAA-2583623BB7D5}" name="TablaDinámica4" cacheId="4"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I447" firstHeaderRow="1" firstDataRow="1" firstDataCol="8"/>
  <pivotFields count="32">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93">
        <item x="0"/>
        <item x="21"/>
        <item x="1"/>
        <item x="22"/>
        <item x="23"/>
        <item x="14"/>
        <item x="15"/>
        <item x="16"/>
        <item x="2"/>
        <item x="17"/>
        <item x="18"/>
        <item x="19"/>
        <item x="64"/>
        <item x="65"/>
        <item x="66"/>
        <item x="67"/>
        <item x="68"/>
        <item x="69"/>
        <item x="70"/>
        <item x="71"/>
        <item x="4"/>
        <item x="3"/>
        <item x="5"/>
        <item x="6"/>
        <item x="72"/>
        <item x="7"/>
        <item x="73"/>
        <item x="8"/>
        <item x="74"/>
        <item x="9"/>
        <item x="75"/>
        <item x="76"/>
        <item x="78"/>
        <item x="80"/>
        <item x="83"/>
        <item x="85"/>
        <item x="10"/>
        <item x="86"/>
        <item x="87"/>
        <item x="88"/>
        <item x="11"/>
        <item x="89"/>
        <item x="92"/>
        <item x="12"/>
        <item x="95"/>
        <item x="97"/>
        <item x="99"/>
        <item x="104"/>
        <item x="105"/>
        <item x="107"/>
        <item x="108"/>
        <item x="109"/>
        <item x="114"/>
        <item x="115"/>
        <item x="116"/>
        <item x="117"/>
        <item x="118"/>
        <item x="119"/>
        <item x="120"/>
        <item x="121"/>
        <item x="122"/>
        <item x="125"/>
        <item x="127"/>
        <item x="13"/>
        <item x="128"/>
        <item x="129"/>
        <item x="130"/>
        <item x="131"/>
        <item x="132"/>
        <item x="133"/>
        <item x="134"/>
        <item x="135"/>
        <item x="136"/>
        <item x="137"/>
        <item x="138"/>
        <item x="139"/>
        <item x="140"/>
        <item x="141"/>
        <item x="142"/>
        <item x="143"/>
        <item x="24"/>
        <item x="144"/>
        <item x="25"/>
        <item x="145"/>
        <item x="26"/>
        <item x="146"/>
        <item x="27"/>
        <item x="147"/>
        <item x="28"/>
        <item x="148"/>
        <item x="29"/>
        <item x="149"/>
        <item x="31"/>
        <item x="151"/>
        <item x="32"/>
        <item x="152"/>
        <item x="33"/>
        <item x="153"/>
        <item x="34"/>
        <item x="35"/>
        <item x="156"/>
        <item x="36"/>
        <item x="157"/>
        <item x="37"/>
        <item x="159"/>
        <item x="38"/>
        <item x="160"/>
        <item x="161"/>
        <item x="162"/>
        <item x="39"/>
        <item x="163"/>
        <item x="40"/>
        <item x="164"/>
        <item x="41"/>
        <item x="165"/>
        <item x="42"/>
        <item x="166"/>
        <item x="43"/>
        <item x="167"/>
        <item x="45"/>
        <item x="168"/>
        <item x="46"/>
        <item x="169"/>
        <item x="47"/>
        <item x="170"/>
        <item x="48"/>
        <item x="171"/>
        <item x="49"/>
        <item x="172"/>
        <item x="50"/>
        <item x="173"/>
        <item x="51"/>
        <item x="176"/>
        <item x="52"/>
        <item x="53"/>
        <item x="177"/>
        <item x="55"/>
        <item x="179"/>
        <item x="56"/>
        <item x="180"/>
        <item x="57"/>
        <item x="181"/>
        <item x="185"/>
        <item x="186"/>
        <item x="187"/>
        <item x="188"/>
        <item x="189"/>
        <item x="58"/>
        <item x="190"/>
        <item x="192"/>
        <item x="193"/>
        <item x="194"/>
        <item x="196"/>
        <item x="211"/>
        <item x="228"/>
        <item x="231"/>
        <item x="232"/>
        <item x="233"/>
        <item x="234"/>
        <item x="235"/>
        <item x="236"/>
        <item x="237"/>
        <item x="238"/>
        <item x="239"/>
        <item x="240"/>
        <item x="241"/>
        <item x="242"/>
        <item x="243"/>
        <item x="244"/>
        <item x="246"/>
        <item x="247"/>
        <item x="248"/>
        <item x="249"/>
        <item x="251"/>
        <item x="252"/>
        <item x="253"/>
        <item x="254"/>
        <item x="255"/>
        <item x="256"/>
        <item x="257"/>
        <item x="258"/>
        <item x="259"/>
        <item x="260"/>
        <item x="261"/>
        <item x="262"/>
        <item x="263"/>
        <item x="264"/>
        <item x="265"/>
        <item x="266"/>
        <item x="267"/>
        <item x="268"/>
        <item x="270"/>
        <item x="271"/>
        <item x="273"/>
        <item x="274"/>
        <item x="275"/>
        <item x="276"/>
        <item x="278"/>
        <item x="279"/>
        <item x="280"/>
        <item x="281"/>
        <item x="286"/>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4"/>
        <item x="325"/>
        <item x="326"/>
        <item x="327"/>
        <item x="328"/>
        <item x="329"/>
        <item x="330"/>
        <item x="331"/>
        <item x="332"/>
        <item x="333"/>
        <item x="334"/>
        <item x="335"/>
        <item x="336"/>
        <item x="338"/>
        <item x="339"/>
        <item x="340"/>
        <item x="341"/>
        <item x="342"/>
        <item x="343"/>
        <item x="344"/>
        <item x="345"/>
        <item x="346"/>
        <item x="347"/>
        <item x="348"/>
        <item x="349"/>
        <item x="350"/>
        <item x="352"/>
        <item x="353"/>
        <item x="354"/>
        <item x="355"/>
        <item x="356"/>
        <item x="357"/>
        <item x="358"/>
        <item x="359"/>
        <item x="360"/>
        <item x="361"/>
        <item x="362"/>
        <item x="365"/>
        <item x="366"/>
        <item x="367"/>
        <item x="369"/>
        <item x="370"/>
        <item x="371"/>
        <item x="373"/>
        <item x="375"/>
        <item x="376"/>
        <item x="378"/>
        <item x="380"/>
        <item x="381"/>
        <item x="383"/>
        <item x="384"/>
        <item x="385"/>
        <item x="387"/>
        <item x="388"/>
        <item x="389"/>
        <item x="390"/>
        <item x="392"/>
        <item x="20"/>
        <item x="59"/>
        <item x="219"/>
        <item x="224"/>
        <item x="225"/>
        <item x="227"/>
        <item x="229"/>
        <item x="245"/>
        <item x="250"/>
        <item x="277"/>
        <item x="287"/>
        <item x="364"/>
        <item x="368"/>
        <item x="377"/>
        <item x="382"/>
        <item x="191"/>
        <item x="200"/>
        <item x="201"/>
        <item x="212"/>
        <item x="213"/>
        <item x="210"/>
        <item x="220"/>
        <item x="221"/>
        <item x="222"/>
        <item x="226"/>
        <item x="337"/>
        <item x="202"/>
        <item x="203"/>
        <item x="204"/>
        <item x="205"/>
        <item x="206"/>
        <item x="207"/>
        <item x="208"/>
        <item x="209"/>
        <item x="269"/>
        <item x="272"/>
        <item x="282"/>
        <item x="283"/>
        <item x="284"/>
        <item x="285"/>
        <item x="351"/>
        <item x="363"/>
        <item x="372"/>
        <item x="374"/>
        <item x="379"/>
        <item x="386"/>
        <item x="391"/>
        <item x="30"/>
        <item x="44"/>
        <item x="54"/>
        <item x="60"/>
        <item x="62"/>
        <item x="63"/>
        <item x="77"/>
        <item x="79"/>
        <item x="81"/>
        <item x="82"/>
        <item x="84"/>
        <item x="90"/>
        <item x="91"/>
        <item x="93"/>
        <item x="94"/>
        <item x="96"/>
        <item x="98"/>
        <item x="100"/>
        <item x="101"/>
        <item x="106"/>
        <item x="110"/>
        <item x="111"/>
        <item x="112"/>
        <item x="113"/>
        <item x="123"/>
        <item x="124"/>
        <item x="126"/>
        <item x="150"/>
        <item x="154"/>
        <item x="155"/>
        <item x="158"/>
        <item x="174"/>
        <item x="175"/>
        <item x="178"/>
        <item x="182"/>
        <item x="195"/>
        <item x="197"/>
        <item x="198"/>
        <item x="199"/>
        <item x="214"/>
        <item x="215"/>
        <item x="216"/>
        <item x="217"/>
        <item x="218"/>
        <item x="223"/>
        <item x="230"/>
        <item x="323"/>
        <item x="61"/>
        <item x="102"/>
        <item x="103"/>
        <item x="183"/>
        <item x="184"/>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385">
        <item x="277"/>
        <item x="166"/>
        <item x="71"/>
        <item x="73"/>
        <item x="272"/>
        <item x="308"/>
        <item x="243"/>
        <item x="310"/>
        <item x="108"/>
        <item x="374"/>
        <item x="68"/>
        <item x="69"/>
        <item x="305"/>
        <item x="306"/>
        <item x="299"/>
        <item x="311"/>
        <item x="170"/>
        <item x="347"/>
        <item x="265"/>
        <item x="171"/>
        <item x="315"/>
        <item x="362"/>
        <item x="244"/>
        <item x="368"/>
        <item x="195"/>
        <item x="319"/>
        <item x="233"/>
        <item x="342"/>
        <item x="85"/>
        <item x="64"/>
        <item x="363"/>
        <item x="256"/>
        <item x="84"/>
        <item x="253"/>
        <item x="344"/>
        <item x="349"/>
        <item x="288"/>
        <item x="275"/>
        <item x="251"/>
        <item x="322"/>
        <item x="61"/>
        <item x="282"/>
        <item x="286"/>
        <item x="174"/>
        <item x="351"/>
        <item x="331"/>
        <item x="350"/>
        <item x="318"/>
        <item x="369"/>
        <item x="348"/>
        <item x="358"/>
        <item x="248"/>
        <item x="129"/>
        <item x="302"/>
        <item x="301"/>
        <item x="278"/>
        <item x="274"/>
        <item x="298"/>
        <item x="316"/>
        <item x="231"/>
        <item x="164"/>
        <item x="175"/>
        <item x="80"/>
        <item x="280"/>
        <item x="263"/>
        <item x="383"/>
        <item x="260"/>
        <item x="281"/>
        <item x="270"/>
        <item x="361"/>
        <item x="264"/>
        <item x="186"/>
        <item x="370"/>
        <item x="117"/>
        <item x="127"/>
        <item x="291"/>
        <item x="75"/>
        <item x="360"/>
        <item x="266"/>
        <item x="76"/>
        <item x="83"/>
        <item x="78"/>
        <item x="261"/>
        <item x="254"/>
        <item x="371"/>
        <item x="102"/>
        <item x="112"/>
        <item x="113"/>
        <item x="124"/>
        <item x="382"/>
        <item x="192"/>
        <item x="321"/>
        <item x="90"/>
        <item x="100"/>
        <item x="289"/>
        <item x="353"/>
        <item x="276"/>
        <item x="380"/>
        <item x="376"/>
        <item x="340"/>
        <item x="194"/>
        <item x="94"/>
        <item x="193"/>
        <item x="115"/>
        <item x="66"/>
        <item x="67"/>
        <item x="345"/>
        <item x="355"/>
        <item x="232"/>
        <item x="165"/>
        <item x="327"/>
        <item x="241"/>
        <item x="218"/>
        <item x="211"/>
        <item x="202"/>
        <item x="226"/>
        <item x="133"/>
        <item x="307"/>
        <item x="224"/>
        <item x="221"/>
        <item x="215"/>
        <item x="205"/>
        <item x="208"/>
        <item x="207"/>
        <item x="104"/>
        <item x="103"/>
        <item x="217"/>
        <item x="198"/>
        <item x="199"/>
        <item x="185"/>
        <item x="333"/>
        <item x="210"/>
        <item x="227"/>
        <item x="184"/>
        <item x="167"/>
        <item x="373"/>
        <item x="5"/>
        <item x="6"/>
        <item x="88"/>
        <item x="86"/>
        <item x="4"/>
        <item x="46"/>
        <item x="45"/>
        <item x="20"/>
        <item x="19"/>
        <item x="18"/>
        <item x="79"/>
        <item x="27"/>
        <item x="39"/>
        <item x="59"/>
        <item x="29"/>
        <item x="15"/>
        <item x="14"/>
        <item x="42"/>
        <item x="47"/>
        <item x="10"/>
        <item x="41"/>
        <item x="126"/>
        <item x="54"/>
        <item x="154"/>
        <item x="153"/>
        <item x="52"/>
        <item x="178"/>
        <item x="24"/>
        <item x="121"/>
        <item x="49"/>
        <item x="236"/>
        <item x="352"/>
        <item x="354"/>
        <item x="357"/>
        <item x="51"/>
        <item x="53"/>
        <item x="38"/>
        <item x="23"/>
        <item x="56"/>
        <item x="169"/>
        <item x="8"/>
        <item x="22"/>
        <item x="50"/>
        <item x="26"/>
        <item x="35"/>
        <item x="25"/>
        <item x="30"/>
        <item x="28"/>
        <item x="40"/>
        <item x="37"/>
        <item x="55"/>
        <item x="16"/>
        <item x="9"/>
        <item x="32"/>
        <item x="33"/>
        <item x="43"/>
        <item x="17"/>
        <item x="44"/>
        <item x="31"/>
        <item x="34"/>
        <item x="58"/>
        <item x="57"/>
        <item x="7"/>
        <item x="12"/>
        <item x="48"/>
        <item x="11"/>
        <item x="293"/>
        <item x="36"/>
        <item x="13"/>
        <item x="197"/>
        <item x="181"/>
        <item x="110"/>
        <item x="182"/>
        <item x="219"/>
        <item x="204"/>
        <item x="209"/>
        <item x="203"/>
        <item x="206"/>
        <item x="200"/>
        <item x="172"/>
        <item x="324"/>
        <item x="242"/>
        <item x="212"/>
        <item x="378"/>
        <item x="258"/>
        <item x="245"/>
        <item x="246"/>
        <item x="268"/>
        <item x="384"/>
        <item x="259"/>
        <item x="292"/>
        <item x="116"/>
        <item x="297"/>
        <item x="372"/>
        <item x="335"/>
        <item x="329"/>
        <item x="168"/>
        <item x="176"/>
        <item x="62"/>
        <item x="225"/>
        <item x="139"/>
        <item x="70"/>
        <item x="325"/>
        <item x="303"/>
        <item x="173"/>
        <item x="314"/>
        <item x="125"/>
        <item x="105"/>
        <item x="137"/>
        <item x="336"/>
        <item x="95"/>
        <item x="91"/>
        <item x="120"/>
        <item x="279"/>
        <item x="271"/>
        <item x="89"/>
        <item x="334"/>
        <item x="180"/>
        <item x="163"/>
        <item x="106"/>
        <item x="287"/>
        <item x="92"/>
        <item x="130"/>
        <item x="341"/>
        <item x="188"/>
        <item x="187"/>
        <item x="377"/>
        <item x="179"/>
        <item x="328"/>
        <item x="273"/>
        <item x="381"/>
        <item x="375"/>
        <item x="339"/>
        <item x="74"/>
        <item x="252"/>
        <item x="114"/>
        <item x="155"/>
        <item x="156"/>
        <item x="99"/>
        <item x="82"/>
        <item x="157"/>
        <item x="158"/>
        <item x="159"/>
        <item x="109"/>
        <item x="183"/>
        <item x="249"/>
        <item x="77"/>
        <item x="72"/>
        <item x="134"/>
        <item x="237"/>
        <item x="149"/>
        <item x="21"/>
        <item x="177"/>
        <item x="294"/>
        <item x="295"/>
        <item x="65"/>
        <item x="234"/>
        <item x="235"/>
        <item x="119"/>
        <item x="132"/>
        <item x="136"/>
        <item x="141"/>
        <item x="140"/>
        <item x="143"/>
        <item x="239"/>
        <item x="147"/>
        <item x="148"/>
        <item x="296"/>
        <item x="189"/>
        <item x="313"/>
        <item x="161"/>
        <item x="285"/>
        <item x="152"/>
        <item x="283"/>
        <item x="240"/>
        <item x="343"/>
        <item x="379"/>
        <item x="128"/>
        <item x="238"/>
        <item x="332"/>
        <item x="190"/>
        <item x="150"/>
        <item x="337"/>
        <item x="122"/>
        <item x="330"/>
        <item x="338"/>
        <item x="60"/>
        <item x="98"/>
        <item x="290"/>
        <item x="135"/>
        <item x="312"/>
        <item x="300"/>
        <item x="123"/>
        <item x="213"/>
        <item x="63"/>
        <item x="151"/>
        <item x="257"/>
        <item x="262"/>
        <item x="93"/>
        <item x="359"/>
        <item x="160"/>
        <item x="255"/>
        <item x="146"/>
        <item x="364"/>
        <item x="138"/>
        <item x="284"/>
        <item x="220"/>
        <item x="216"/>
        <item x="222"/>
        <item x="214"/>
        <item x="223"/>
        <item x="250"/>
        <item x="87"/>
        <item x="81"/>
        <item x="317"/>
        <item x="323"/>
        <item x="356"/>
        <item x="269"/>
        <item x="267"/>
        <item x="309"/>
        <item x="1"/>
        <item x="0"/>
        <item x="201"/>
        <item x="2"/>
        <item x="3"/>
        <item x="191"/>
        <item x="304"/>
        <item x="230"/>
        <item x="228"/>
        <item x="145"/>
        <item x="144"/>
        <item x="366"/>
        <item x="107"/>
        <item x="346"/>
        <item x="97"/>
        <item x="367"/>
        <item x="365"/>
        <item x="101"/>
        <item x="196"/>
        <item x="320"/>
        <item x="142"/>
        <item x="96"/>
        <item x="326"/>
        <item x="247"/>
        <item x="118"/>
        <item x="229"/>
        <item x="162"/>
        <item x="111"/>
        <item x="131"/>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42" outline="0" showAll="0" defaultSubtotal="0">
      <extLst>
        <ext xmlns:x14="http://schemas.microsoft.com/office/spreadsheetml/2009/9/main" uri="{2946ED86-A175-432a-8AC1-64E0C546D7DE}">
          <x14:pivotField fillDownLabels="1"/>
        </ext>
      </extLst>
    </pivotField>
    <pivotField dataField="1" compact="0" numFmtId="42" outline="0" showAll="0" defaultSubtotal="0">
      <extLst>
        <ext xmlns:x14="http://schemas.microsoft.com/office/spreadsheetml/2009/9/main" uri="{2946ED86-A175-432a-8AC1-64E0C546D7DE}">
          <x14:pivotField fillDownLabels="1"/>
        </ext>
      </extLst>
    </pivotField>
    <pivotField axis="axisRow" compact="0" outline="0" showAll="0" defaultSubtotal="0">
      <items count="16">
        <item x="4"/>
        <item x="8"/>
        <item x="15"/>
        <item x="7"/>
        <item x="9"/>
        <item x="6"/>
        <item x="10"/>
        <item x="14"/>
        <item x="11"/>
        <item x="13"/>
        <item x="12"/>
        <item x="5"/>
        <item x="1"/>
        <item x="2"/>
        <item x="3"/>
        <item x="0"/>
      </items>
      <extLst>
        <ext xmlns:x14="http://schemas.microsoft.com/office/spreadsheetml/2009/9/main" uri="{2946ED86-A175-432a-8AC1-64E0C546D7DE}">
          <x14:pivotField fillDownLabels="1"/>
        </ext>
      </extLst>
    </pivotField>
    <pivotField axis="axisRow" compact="0" outline="0" showAll="0">
      <items count="51">
        <item x="0"/>
        <item x="2"/>
        <item x="3"/>
        <item x="20"/>
        <item x="14"/>
        <item x="4"/>
        <item x="43"/>
        <item x="47"/>
        <item x="19"/>
        <item x="18"/>
        <item x="13"/>
        <item x="15"/>
        <item x="30"/>
        <item x="37"/>
        <item x="39"/>
        <item x="42"/>
        <item x="45"/>
        <item x="46"/>
        <item x="10"/>
        <item x="7"/>
        <item x="48"/>
        <item x="12"/>
        <item x="16"/>
        <item x="41"/>
        <item x="44"/>
        <item x="1"/>
        <item x="49"/>
        <item x="11"/>
        <item x="6"/>
        <item x="5"/>
        <item x="9"/>
        <item x="34"/>
        <item x="17"/>
        <item x="40"/>
        <item x="22"/>
        <item x="23"/>
        <item x="8"/>
        <item x="21"/>
        <item x="35"/>
        <item x="38"/>
        <item x="32"/>
        <item x="24"/>
        <item x="31"/>
        <item x="25"/>
        <item x="33"/>
        <item x="36"/>
        <item x="26"/>
        <item x="27"/>
        <item x="28"/>
        <item x="29"/>
        <item t="default"/>
      </items>
      <extLst>
        <ext xmlns:x14="http://schemas.microsoft.com/office/spreadsheetml/2009/9/main" uri="{2946ED86-A175-432a-8AC1-64E0C546D7DE}">
          <x14:pivotField fillDownLabels="1"/>
        </ext>
      </extLst>
    </pivotField>
    <pivotField axis="axisRow" compact="0" outline="0" showAll="0" defaultSubtotal="0">
      <items count="107">
        <item x="89"/>
        <item x="10"/>
        <item x="104"/>
        <item x="97"/>
        <item x="12"/>
        <item x="3"/>
        <item x="28"/>
        <item x="99"/>
        <item x="0"/>
        <item x="51"/>
        <item x="29"/>
        <item x="22"/>
        <item x="41"/>
        <item x="25"/>
        <item x="76"/>
        <item x="98"/>
        <item x="78"/>
        <item x="43"/>
        <item x="82"/>
        <item x="2"/>
        <item x="8"/>
        <item x="30"/>
        <item x="38"/>
        <item x="36"/>
        <item x="27"/>
        <item x="96"/>
        <item x="91"/>
        <item x="24"/>
        <item x="95"/>
        <item x="103"/>
        <item x="45"/>
        <item x="53"/>
        <item x="31"/>
        <item x="49"/>
        <item x="72"/>
        <item x="14"/>
        <item x="75"/>
        <item x="11"/>
        <item x="93"/>
        <item x="59"/>
        <item x="102"/>
        <item x="61"/>
        <item x="5"/>
        <item x="1"/>
        <item x="52"/>
        <item x="70"/>
        <item x="73"/>
        <item x="80"/>
        <item x="71"/>
        <item x="33"/>
        <item x="85"/>
        <item x="74"/>
        <item x="64"/>
        <item x="62"/>
        <item x="94"/>
        <item x="68"/>
        <item x="26"/>
        <item x="48"/>
        <item x="6"/>
        <item x="65"/>
        <item x="37"/>
        <item x="4"/>
        <item x="54"/>
        <item x="60"/>
        <item x="13"/>
        <item x="58"/>
        <item x="50"/>
        <item x="9"/>
        <item x="88"/>
        <item x="63"/>
        <item x="16"/>
        <item x="47"/>
        <item x="100"/>
        <item x="66"/>
        <item x="19"/>
        <item x="83"/>
        <item x="92"/>
        <item x="34"/>
        <item x="86"/>
        <item x="7"/>
        <item x="39"/>
        <item x="84"/>
        <item x="87"/>
        <item x="101"/>
        <item x="77"/>
        <item x="90"/>
        <item x="35"/>
        <item x="44"/>
        <item x="21"/>
        <item x="42"/>
        <item x="56"/>
        <item x="32"/>
        <item x="57"/>
        <item x="69"/>
        <item x="67"/>
        <item x="18"/>
        <item x="105"/>
        <item x="40"/>
        <item x="15"/>
        <item x="17"/>
        <item x="55"/>
        <item x="106"/>
        <item x="81"/>
        <item x="23"/>
        <item x="46"/>
        <item x="79"/>
        <item x="20"/>
      </items>
      <extLst>
        <ext xmlns:x14="http://schemas.microsoft.com/office/spreadsheetml/2009/9/main" uri="{2946ED86-A175-432a-8AC1-64E0C546D7DE}">
          <x14:pivotField fillDownLabels="1"/>
        </ext>
      </extLst>
    </pivotField>
    <pivotField axis="axisRow" compact="0" outline="0" showAll="0" defaultSubtotal="0">
      <items count="108">
        <item x="104"/>
        <item x="47"/>
        <item x="92"/>
        <item x="41"/>
        <item x="86"/>
        <item x="20"/>
        <item x="19"/>
        <item x="96"/>
        <item x="33"/>
        <item x="67"/>
        <item x="3"/>
        <item x="25"/>
        <item x="80"/>
        <item x="58"/>
        <item x="24"/>
        <item x="97"/>
        <item x="46"/>
        <item x="22"/>
        <item x="64"/>
        <item x="99"/>
        <item x="65"/>
        <item x="2"/>
        <item x="18"/>
        <item x="11"/>
        <item x="17"/>
        <item x="37"/>
        <item x="51"/>
        <item x="103"/>
        <item x="95"/>
        <item x="30"/>
        <item x="48"/>
        <item x="45"/>
        <item x="43"/>
        <item x="28"/>
        <item x="62"/>
        <item x="49"/>
        <item x="82"/>
        <item x="38"/>
        <item x="60"/>
        <item x="34"/>
        <item x="79"/>
        <item x="88"/>
        <item x="87"/>
        <item x="10"/>
        <item x="7"/>
        <item x="90"/>
        <item x="102"/>
        <item x="39"/>
        <item x="40"/>
        <item x="54"/>
        <item x="73"/>
        <item x="27"/>
        <item x="72"/>
        <item x="63"/>
        <item x="69"/>
        <item x="8"/>
        <item x="53"/>
        <item x="70"/>
        <item x="23"/>
        <item x="26"/>
        <item x="106"/>
        <item x="4"/>
        <item x="5"/>
        <item x="31"/>
        <item x="91"/>
        <item x="15"/>
        <item x="100"/>
        <item x="105"/>
        <item x="76"/>
        <item x="101"/>
        <item x="107"/>
        <item x="85"/>
        <item x="6"/>
        <item x="61"/>
        <item x="71"/>
        <item x="14"/>
        <item x="12"/>
        <item x="1"/>
        <item x="68"/>
        <item x="0"/>
        <item x="29"/>
        <item x="35"/>
        <item x="83"/>
        <item x="56"/>
        <item x="16"/>
        <item x="44"/>
        <item x="77"/>
        <item x="52"/>
        <item x="55"/>
        <item x="32"/>
        <item x="66"/>
        <item x="75"/>
        <item x="57"/>
        <item x="84"/>
        <item x="21"/>
        <item x="36"/>
        <item x="89"/>
        <item x="93"/>
        <item x="74"/>
        <item x="78"/>
        <item x="98"/>
        <item x="81"/>
        <item x="42"/>
        <item x="9"/>
        <item x="50"/>
        <item x="94"/>
        <item x="13"/>
        <item x="59"/>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defaultSubtotal="0">
      <items count="25">
        <item x="1"/>
        <item x="0"/>
        <item x="2"/>
        <item x="4"/>
        <item x="3"/>
        <item x="5"/>
        <item x="8"/>
        <item x="9"/>
        <item x="11"/>
        <item x="10"/>
        <item x="12"/>
        <item x="7"/>
        <item x="6"/>
        <item x="13"/>
        <item x="19"/>
        <item x="21"/>
        <item x="14"/>
        <item x="20"/>
        <item x="15"/>
        <item x="22"/>
        <item x="24"/>
        <item x="16"/>
        <item x="17"/>
        <item x="18"/>
        <item x="23"/>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7">
        <item x="5"/>
        <item x="2"/>
        <item x="0"/>
        <item x="4"/>
        <item x="1"/>
        <item x="3"/>
        <item x="6"/>
      </items>
      <extLst>
        <ext xmlns:x14="http://schemas.microsoft.com/office/spreadsheetml/2009/9/main" uri="{2946ED86-A175-432a-8AC1-64E0C546D7DE}">
          <x14:pivotField fillDownLabels="1"/>
        </ext>
      </extLst>
    </pivotField>
    <pivotField compact="0"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sd="0" x="4"/>
        <item sd="0" x="5"/>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sd="0" x="4"/>
        <item sd="0" x="5"/>
        <item t="default"/>
      </items>
      <extLst>
        <ext xmlns:x14="http://schemas.microsoft.com/office/spreadsheetml/2009/9/main" uri="{2946ED86-A175-432a-8AC1-64E0C546D7DE}">
          <x14:pivotField fillDownLabels="1"/>
        </ext>
      </extLst>
    </pivotField>
  </pivotFields>
  <rowFields count="8">
    <field x="27"/>
    <field x="28"/>
    <field x="2"/>
    <field x="6"/>
    <field x="16"/>
    <field x="17"/>
    <field x="14"/>
    <field x="15"/>
  </rowFields>
  <rowItems count="446">
    <i>
      <x/>
      <x v="2"/>
      <x/>
      <x v="357"/>
      <x v="8"/>
      <x v="79"/>
      <x v="15"/>
      <x/>
    </i>
    <i r="2">
      <x v="1"/>
      <x v="177"/>
      <x v="35"/>
      <x v="84"/>
      <x v="12"/>
      <x v="22"/>
    </i>
    <i r="2">
      <x v="2"/>
      <x v="356"/>
      <x v="8"/>
      <x v="77"/>
      <x v="15"/>
      <x/>
    </i>
    <i r="2">
      <x v="3"/>
      <x v="173"/>
      <x v="67"/>
      <x v="24"/>
      <x v="11"/>
      <x v="29"/>
    </i>
    <i r="2">
      <x v="4"/>
      <x v="163"/>
      <x v="98"/>
      <x v="22"/>
      <x v="8"/>
      <x v="32"/>
    </i>
    <i r="2">
      <x v="5"/>
      <x v="151"/>
      <x v="1"/>
      <x v="76"/>
      <x/>
      <x v="5"/>
    </i>
    <i r="3">
      <x v="152"/>
      <x v="1"/>
      <x v="76"/>
      <x v="14"/>
      <x v="5"/>
    </i>
    <i r="2">
      <x v="6"/>
      <x v="187"/>
      <x v="67"/>
      <x v="23"/>
      <x v="11"/>
      <x v="29"/>
    </i>
    <i r="2">
      <x v="7"/>
      <x v="192"/>
      <x v="37"/>
      <x v="106"/>
      <x v="12"/>
      <x v="1"/>
    </i>
    <i r="2">
      <x v="8"/>
      <x v="359"/>
      <x v="43"/>
      <x v="21"/>
      <x v="15"/>
      <x/>
    </i>
    <i r="2">
      <x v="9"/>
      <x v="145"/>
      <x v="4"/>
      <x v="75"/>
      <x v="12"/>
      <x v="1"/>
    </i>
    <i r="2">
      <x v="10"/>
      <x v="144"/>
      <x v="4"/>
      <x v="75"/>
      <x v="12"/>
      <x v="1"/>
    </i>
    <i r="2">
      <x v="11"/>
      <x v="143"/>
      <x v="4"/>
      <x v="75"/>
      <x v="12"/>
      <x v="1"/>
    </i>
    <i r="2">
      <x v="20"/>
      <x v="140"/>
      <x v="5"/>
      <x v="61"/>
      <x v="12"/>
      <x v="1"/>
    </i>
    <i r="2">
      <x v="21"/>
      <x v="360"/>
      <x v="19"/>
      <x v="10"/>
      <x v="15"/>
      <x v="25"/>
    </i>
    <i r="2">
      <x v="22"/>
      <x v="136"/>
      <x v="5"/>
      <x v="62"/>
      <x v="12"/>
      <x v="1"/>
    </i>
    <i r="2">
      <x v="23"/>
      <x v="137"/>
      <x v="5"/>
      <x v="62"/>
      <x v="12"/>
      <x v="1"/>
    </i>
    <i r="2">
      <x v="25"/>
      <x v="198"/>
      <x v="61"/>
      <x v="72"/>
      <x v="13"/>
      <x v="2"/>
    </i>
    <i r="2">
      <x v="27"/>
      <x v="176"/>
      <x v="42"/>
      <x v="44"/>
      <x v="12"/>
      <x v="1"/>
    </i>
    <i r="2">
      <x v="29"/>
      <x v="188"/>
      <x v="61"/>
      <x v="55"/>
      <x v="12"/>
      <x v="1"/>
    </i>
    <i r="2">
      <x v="36"/>
      <x v="155"/>
      <x v="58"/>
      <x v="103"/>
      <x v="13"/>
      <x v="2"/>
    </i>
    <i r="2">
      <x v="40"/>
      <x v="201"/>
      <x v="79"/>
      <x v="43"/>
      <x v="12"/>
      <x v="1"/>
    </i>
    <i r="2">
      <x v="43"/>
      <x v="199"/>
      <x v="20"/>
      <x v="10"/>
      <x v="12"/>
      <x v="1"/>
    </i>
    <i r="2">
      <x v="63"/>
      <x v="204"/>
      <x v="67"/>
      <x v="23"/>
      <x v="12"/>
      <x v="1"/>
    </i>
    <i r="2">
      <x v="80"/>
      <x v="181"/>
      <x v="70"/>
      <x v="6"/>
      <x v="8"/>
      <x v="9"/>
    </i>
    <i r="2">
      <x v="82"/>
      <x v="179"/>
      <x v="70"/>
      <x v="6"/>
      <x v="8"/>
      <x v="9"/>
    </i>
    <i r="2">
      <x v="84"/>
      <x v="147"/>
      <x v="99"/>
      <x v="5"/>
      <x v="8"/>
      <x v="32"/>
    </i>
    <i r="2">
      <x v="86"/>
      <x v="183"/>
      <x v="95"/>
      <x v="94"/>
      <x v="11"/>
      <x v="29"/>
    </i>
    <i r="2">
      <x v="88"/>
      <x v="150"/>
      <x v="74"/>
      <x v="17"/>
      <x v="8"/>
      <x v="9"/>
    </i>
    <i r="2">
      <x v="90"/>
      <x v="182"/>
      <x v="95"/>
      <x v="58"/>
      <x v="8"/>
      <x v="8"/>
    </i>
    <i r="2">
      <x v="92"/>
      <x v="189"/>
      <x v="88"/>
      <x v="14"/>
      <x v="8"/>
      <x v="9"/>
    </i>
    <i r="2">
      <x v="94"/>
      <x v="190"/>
      <x v="106"/>
      <x v="17"/>
      <x v="8"/>
      <x v="9"/>
    </i>
    <i r="2">
      <x v="96"/>
      <x v="195"/>
      <x v="11"/>
      <x v="11"/>
      <x v="8"/>
      <x v="9"/>
    </i>
    <i r="2">
      <x v="98"/>
      <x v="180"/>
      <x v="103"/>
      <x v="6"/>
      <x v="8"/>
      <x v="9"/>
    </i>
    <i r="2">
      <x v="99"/>
      <x v="203"/>
      <x v="74"/>
      <x v="17"/>
      <x v="8"/>
      <x v="9"/>
    </i>
    <i r="2">
      <x v="101"/>
      <x v="185"/>
      <x v="27"/>
      <x v="59"/>
      <x v="8"/>
      <x v="3"/>
    </i>
    <i r="2">
      <x v="103"/>
      <x v="172"/>
      <x v="13"/>
      <x v="51"/>
      <x v="8"/>
      <x v="9"/>
    </i>
    <i r="2">
      <x v="105"/>
      <x v="148"/>
      <x v="56"/>
      <x v="33"/>
      <x v="8"/>
      <x v="9"/>
    </i>
    <i r="2">
      <x v="109"/>
      <x v="184"/>
      <x v="70"/>
      <x v="6"/>
      <x v="8"/>
      <x v="9"/>
    </i>
    <i r="2">
      <x v="111"/>
      <x v="156"/>
      <x v="74"/>
      <x v="17"/>
      <x v="8"/>
      <x v="3"/>
    </i>
    <i r="2">
      <x v="113"/>
      <x v="153"/>
      <x v="8"/>
      <x v="80"/>
      <x v="14"/>
      <x v="37"/>
    </i>
    <i r="2">
      <x v="115"/>
      <x v="191"/>
      <x v="24"/>
      <x v="29"/>
      <x v="8"/>
      <x v="9"/>
    </i>
    <i r="2">
      <x v="117"/>
      <x v="193"/>
      <x v="6"/>
      <x v="63"/>
      <x v="8"/>
      <x v="3"/>
    </i>
    <i r="2">
      <x v="119"/>
      <x v="141"/>
      <x v="4"/>
      <x v="8"/>
      <x v="8"/>
      <x v="3"/>
    </i>
    <i r="2">
      <x v="121"/>
      <x v="154"/>
      <x v="21"/>
      <x v="39"/>
      <x v="8"/>
      <x v="32"/>
    </i>
    <i r="2">
      <x v="123"/>
      <x v="200"/>
      <x v="32"/>
      <x v="24"/>
      <x v="12"/>
      <x v="4"/>
    </i>
    <i r="2">
      <x v="125"/>
      <x v="165"/>
      <x v="91"/>
      <x v="81"/>
      <x v="10"/>
      <x v="34"/>
    </i>
    <i r="2">
      <x v="127"/>
      <x v="178"/>
      <x v="49"/>
      <x v="95"/>
      <x v="8"/>
      <x v="3"/>
    </i>
    <i r="2">
      <x v="129"/>
      <x v="170"/>
      <x v="77"/>
      <x v="25"/>
      <x v="9"/>
      <x v="35"/>
    </i>
    <i r="2">
      <x v="131"/>
      <x v="161"/>
      <x v="86"/>
      <x v="37"/>
      <x v="8"/>
      <x v="3"/>
    </i>
    <i r="2">
      <x v="133"/>
      <x v="171"/>
      <x v="86"/>
      <x v="37"/>
      <x v="8"/>
      <x v="3"/>
    </i>
    <i r="2">
      <x v="134"/>
      <x v="158"/>
      <x v="43"/>
      <x v="47"/>
      <x v="12"/>
      <x v="4"/>
    </i>
    <i r="2">
      <x v="136"/>
      <x v="174"/>
      <x v="43"/>
      <x v="47"/>
      <x v="8"/>
      <x v="3"/>
    </i>
    <i r="2">
      <x v="138"/>
      <x v="197"/>
      <x v="42"/>
      <x v="48"/>
      <x v="12"/>
      <x v="4"/>
    </i>
    <i r="2">
      <x v="140"/>
      <x v="196"/>
      <x v="42"/>
      <x v="48"/>
      <x v="8"/>
      <x v="3"/>
    </i>
    <i r="2">
      <x v="147"/>
      <x v="149"/>
      <x v="20"/>
      <x v="10"/>
      <x v="14"/>
      <x v="5"/>
    </i>
    <i r="2">
      <x v="294"/>
      <x v="287"/>
      <x v="64"/>
      <x v="65"/>
      <x v="1"/>
      <x v="11"/>
    </i>
    <i r="7">
      <x v="30"/>
    </i>
    <i r="7">
      <x v="36"/>
    </i>
    <i r="6">
      <x v="3"/>
      <x v="18"/>
    </i>
    <i r="7">
      <x v="19"/>
    </i>
    <i r="7">
      <x v="28"/>
    </i>
    <i r="6">
      <x v="4"/>
      <x v="27"/>
    </i>
    <i r="6">
      <x v="5"/>
      <x v="28"/>
    </i>
    <i r="6">
      <x v="6"/>
      <x v="10"/>
    </i>
    <i r="7">
      <x v="21"/>
    </i>
    <i r="6">
      <x v="12"/>
      <x v="4"/>
    </i>
    <i r="2">
      <x v="341"/>
      <x v="194"/>
      <x v="106"/>
      <x v="17"/>
      <x v="8"/>
      <x v="9"/>
    </i>
    <i r="2">
      <x v="342"/>
      <x v="142"/>
      <x v="10"/>
      <x v="89"/>
      <x v="8"/>
      <x v="3"/>
    </i>
    <i r="2">
      <x v="343"/>
      <x v="186"/>
      <x v="27"/>
      <x v="59"/>
      <x v="8"/>
      <x v="9"/>
    </i>
    <i>
      <x v="1"/>
      <x/>
      <x v="296"/>
      <x v="342"/>
      <x v="73"/>
      <x v="54"/>
      <x/>
      <x v="41"/>
    </i>
    <i r="2">
      <x v="297"/>
      <x v="235"/>
      <x v="73"/>
      <x v="54"/>
      <x/>
      <x v="41"/>
    </i>
    <i r="2">
      <x v="298"/>
      <x v="115"/>
      <x v="73"/>
      <x v="54"/>
      <x/>
      <x v="41"/>
    </i>
    <i r="2">
      <x v="299"/>
      <x v="364"/>
      <x v="73"/>
      <x v="54"/>
      <x/>
      <x v="41"/>
    </i>
    <i r="2">
      <x v="300"/>
      <x v="363"/>
      <x v="73"/>
      <x v="54"/>
      <x/>
      <x v="42"/>
    </i>
    <i r="2">
      <x v="301"/>
      <x v="222"/>
      <x v="100"/>
      <x v="73"/>
      <x/>
      <x v="38"/>
    </i>
    <i r="2">
      <x v="302"/>
      <x v="38"/>
      <x v="69"/>
      <x v="6"/>
      <x/>
      <x v="39"/>
    </i>
    <i r="2">
      <x v="303"/>
      <x v="37"/>
      <x v="105"/>
      <x v="17"/>
      <x/>
      <x v="38"/>
    </i>
    <i r="2">
      <x v="304"/>
      <x v="341"/>
      <x v="73"/>
      <x v="54"/>
      <x/>
      <x v="41"/>
    </i>
    <i r="2">
      <x v="305"/>
      <x v="41"/>
      <x v="83"/>
      <x v="101"/>
      <x/>
      <x v="43"/>
    </i>
    <i r="2">
      <x v="306"/>
      <x v="21"/>
      <x v="87"/>
      <x v="13"/>
      <x/>
      <x v="38"/>
    </i>
    <i r="2">
      <x v="307"/>
      <x v="48"/>
      <x/>
      <x v="42"/>
      <x/>
      <x v="40"/>
    </i>
    <i r="2">
      <x v="308"/>
      <x v="9"/>
      <x v="87"/>
      <x v="13"/>
      <x/>
      <x v="39"/>
    </i>
    <i r="2">
      <x v="309"/>
      <x v="90"/>
      <x v="42"/>
      <x v="47"/>
      <x/>
      <x v="41"/>
    </i>
    <i r="2">
      <x v="310"/>
      <x v="358"/>
      <x v="87"/>
      <x v="14"/>
      <x/>
      <x v="38"/>
    </i>
    <i r="2">
      <x v="311"/>
      <x v="114"/>
      <x v="73"/>
      <x v="54"/>
      <x/>
      <x v="41"/>
    </i>
    <i r="2">
      <x v="312"/>
      <x v="329"/>
      <x v="73"/>
      <x v="54"/>
      <x/>
      <x v="41"/>
    </i>
    <i r="2">
      <x v="313"/>
      <x v="345"/>
      <x v="73"/>
      <x v="54"/>
      <x/>
      <x v="44"/>
    </i>
    <i r="1">
      <x v="1"/>
      <x v="192"/>
      <x v="68"/>
      <x v="17"/>
      <x v="30"/>
      <x/>
      <x v="42"/>
    </i>
    <i r="2">
      <x v="328"/>
      <x v="223"/>
      <x v="17"/>
      <x v="30"/>
      <x/>
      <x v="39"/>
    </i>
    <i r="7">
      <x v="42"/>
    </i>
    <i r="2">
      <x v="329"/>
      <x v="250"/>
      <x v="17"/>
      <x v="30"/>
      <x/>
      <x v="39"/>
    </i>
    <i r="2">
      <x v="330"/>
      <x v="249"/>
      <x v="18"/>
      <x v="30"/>
      <x/>
      <x v="45"/>
    </i>
    <i r="2">
      <x v="331"/>
      <x v="63"/>
      <x v="17"/>
      <x v="30"/>
      <x/>
      <x v="42"/>
    </i>
    <i r="2">
      <x v="332"/>
      <x v="67"/>
      <x v="17"/>
      <x v="30"/>
      <x/>
      <x v="42"/>
    </i>
    <i r="2">
      <x v="333"/>
      <x v="41"/>
      <x v="75"/>
      <x v="101"/>
      <x/>
      <x v="45"/>
    </i>
    <i r="7">
      <x v="46"/>
    </i>
    <i r="2">
      <x v="334"/>
      <x v="369"/>
      <x v="87"/>
      <x v="15"/>
      <x/>
      <x v="39"/>
    </i>
    <i r="2">
      <x v="335"/>
      <x v="50"/>
      <x v="72"/>
      <x v="46"/>
      <x/>
      <x v="40"/>
    </i>
    <i r="2">
      <x v="336"/>
      <x v="372"/>
      <x v="87"/>
      <x v="14"/>
      <x/>
      <x v="40"/>
    </i>
    <i r="2">
      <x v="337"/>
      <x v="367"/>
      <x v="87"/>
      <x v="14"/>
      <x/>
      <x v="40"/>
    </i>
    <i r="2">
      <x v="338"/>
      <x v="84"/>
      <x v="87"/>
      <x v="14"/>
      <x/>
      <x v="38"/>
    </i>
    <i r="2">
      <x v="339"/>
      <x v="219"/>
      <x v="17"/>
      <x v="30"/>
      <x/>
      <x v="39"/>
    </i>
    <i r="7">
      <x v="43"/>
    </i>
    <i r="2">
      <x v="340"/>
      <x v="65"/>
      <x v="17"/>
      <x v="30"/>
      <x/>
      <x v="42"/>
    </i>
    <i r="2">
      <x v="344"/>
      <x v="40"/>
      <x v="60"/>
      <x v="102"/>
      <x v="7"/>
      <x v="12"/>
    </i>
    <i r="2">
      <x v="345"/>
      <x v="330"/>
      <x v="22"/>
      <x v="32"/>
      <x/>
      <x v="41"/>
    </i>
    <i r="7">
      <x v="42"/>
    </i>
    <i r="2">
      <x v="346"/>
      <x v="29"/>
      <x v="60"/>
      <x v="102"/>
      <x/>
      <x v="40"/>
    </i>
    <i r="2">
      <x v="347"/>
      <x v="81"/>
      <x v="12"/>
      <x v="16"/>
      <x/>
      <x v="45"/>
    </i>
    <i r="2">
      <x v="348"/>
      <x v="62"/>
      <x v="12"/>
      <x v="16"/>
      <x/>
      <x v="39"/>
    </i>
    <i r="2">
      <x v="349"/>
      <x v="275"/>
      <x v="12"/>
      <x v="16"/>
      <x/>
      <x v="43"/>
    </i>
    <i r="7">
      <x v="49"/>
    </i>
    <i r="2">
      <x v="350"/>
      <x v="80"/>
      <x v="12"/>
      <x v="16"/>
      <x/>
      <x v="46"/>
    </i>
    <i r="2">
      <x v="351"/>
      <x v="28"/>
      <x v="60"/>
      <x v="102"/>
      <x/>
      <x v="40"/>
    </i>
    <i r="2">
      <x v="352"/>
      <x v="247"/>
      <x v="12"/>
      <x v="16"/>
      <x/>
      <x v="38"/>
    </i>
    <i r="2">
      <x v="353"/>
      <x v="257"/>
      <x v="12"/>
      <x v="16"/>
      <x/>
      <x v="40"/>
    </i>
    <i r="2">
      <x v="354"/>
      <x v="101"/>
      <x v="12"/>
      <x v="16"/>
      <x/>
      <x v="41"/>
    </i>
    <i r="2">
      <x v="355"/>
      <x v="246"/>
      <x v="12"/>
      <x v="16"/>
      <x/>
      <x v="40"/>
    </i>
    <i r="2">
      <x v="356"/>
      <x v="370"/>
      <x v="87"/>
      <x v="14"/>
      <x/>
      <x v="40"/>
    </i>
    <i r="2">
      <x v="357"/>
      <x v="274"/>
      <x v="87"/>
      <x v="14"/>
      <x/>
      <x v="38"/>
    </i>
    <i r="2">
      <x v="358"/>
      <x v="373"/>
      <x v="87"/>
      <x v="14"/>
      <x/>
      <x v="38"/>
    </i>
    <i r="2">
      <x v="359"/>
      <x v="85"/>
      <x v="87"/>
      <x v="14"/>
      <x/>
      <x v="39"/>
    </i>
    <i r="2">
      <x v="360"/>
      <x v="368"/>
      <x v="87"/>
      <x v="14"/>
      <x/>
      <x v="38"/>
    </i>
    <i r="2">
      <x v="361"/>
      <x v="383"/>
      <x v="87"/>
      <x v="14"/>
      <x/>
      <x v="38"/>
    </i>
    <i r="2">
      <x v="362"/>
      <x v="86"/>
      <x v="87"/>
      <x v="14"/>
      <x/>
      <x v="44"/>
    </i>
    <i r="2">
      <x v="363"/>
      <x v="87"/>
      <x v="87"/>
      <x v="14"/>
      <x/>
      <x v="45"/>
    </i>
    <i r="2">
      <x v="364"/>
      <x v="271"/>
      <x v="87"/>
      <x v="14"/>
      <x/>
      <x v="40"/>
    </i>
    <i r="2">
      <x v="365"/>
      <x v="88"/>
      <x v="87"/>
      <x v="14"/>
      <x/>
      <x v="48"/>
    </i>
    <i r="2">
      <x v="366"/>
      <x v="242"/>
      <x v="87"/>
      <x v="14"/>
      <x/>
      <x v="38"/>
    </i>
    <i r="2">
      <x v="367"/>
      <x v="74"/>
      <x v="87"/>
      <x v="14"/>
      <x/>
      <x v="39"/>
    </i>
    <i r="2">
      <x v="368"/>
      <x v="331"/>
      <x v="62"/>
      <x v="107"/>
      <x/>
      <x v="40"/>
    </i>
    <i r="2">
      <x v="369"/>
      <x v="272"/>
      <x v="87"/>
      <x v="14"/>
      <x/>
      <x v="40"/>
    </i>
    <i r="2">
      <x v="370"/>
      <x v="273"/>
      <x v="87"/>
      <x v="14"/>
      <x/>
      <x v="40"/>
    </i>
    <i r="2">
      <x v="371"/>
      <x v="278"/>
      <x v="30"/>
      <x v="35"/>
      <x/>
      <x v="47"/>
    </i>
    <i r="2">
      <x v="372"/>
      <x v="61"/>
      <x v="87"/>
      <x v="14"/>
      <x/>
      <x v="45"/>
    </i>
    <i r="2">
      <x v="373"/>
      <x v="233"/>
      <x v="39"/>
      <x v="20"/>
      <x/>
      <x v="41"/>
    </i>
    <i r="2">
      <x v="374"/>
      <x v="263"/>
      <x v="39"/>
      <x v="20"/>
      <x/>
      <x v="43"/>
    </i>
    <i r="2">
      <x v="375"/>
      <x v="280"/>
      <x v="89"/>
      <x v="1"/>
      <x/>
      <x v="44"/>
    </i>
    <i r="7">
      <x v="47"/>
    </i>
    <i r="2">
      <x v="376"/>
      <x v="374"/>
      <x v="87"/>
      <x v="14"/>
      <x/>
      <x v="40"/>
    </i>
    <i r="1">
      <x v="3"/>
      <x v="12"/>
      <x v="291"/>
      <x v="80"/>
      <x v="85"/>
      <x/>
      <x v="46"/>
    </i>
    <i r="2">
      <x v="13"/>
      <x v="104"/>
      <x v="80"/>
      <x v="85"/>
      <x/>
      <x v="43"/>
    </i>
    <i r="2">
      <x v="14"/>
      <x v="105"/>
      <x v="80"/>
      <x v="85"/>
      <x/>
      <x v="44"/>
    </i>
    <i r="2">
      <x v="15"/>
      <x v="10"/>
      <x v="97"/>
      <x v="31"/>
      <x/>
      <x v="40"/>
    </i>
    <i r="2">
      <x v="16"/>
      <x v="11"/>
      <x v="97"/>
      <x v="31"/>
      <x/>
      <x v="40"/>
    </i>
    <i r="2">
      <x v="17"/>
      <x v="237"/>
      <x v="97"/>
      <x v="31"/>
      <x/>
      <x v="40"/>
    </i>
    <i r="2">
      <x v="18"/>
      <x v="2"/>
      <x v="12"/>
      <x v="16"/>
      <x/>
      <x v="48"/>
    </i>
    <i r="2">
      <x v="19"/>
      <x v="283"/>
      <x v="12"/>
      <x v="16"/>
      <x/>
      <x v="41"/>
    </i>
    <i r="7">
      <x v="44"/>
    </i>
    <i r="7">
      <x v="46"/>
    </i>
    <i r="7">
      <x v="49"/>
    </i>
    <i r="6">
      <x v="2"/>
      <x v="31"/>
    </i>
    <i r="2">
      <x v="24"/>
      <x v="3"/>
      <x v="12"/>
      <x v="16"/>
      <x/>
      <x v="40"/>
    </i>
    <i r="2">
      <x v="26"/>
      <x v="269"/>
      <x v="12"/>
      <x v="16"/>
      <x/>
      <x v="38"/>
    </i>
    <i r="2">
      <x v="28"/>
      <x v="76"/>
      <x v="12"/>
      <x v="16"/>
      <x/>
      <x v="42"/>
    </i>
    <i r="2">
      <x v="30"/>
      <x v="79"/>
      <x v="12"/>
      <x v="16"/>
      <x/>
      <x v="43"/>
    </i>
    <i r="2">
      <x v="31"/>
      <x v="282"/>
      <x v="12"/>
      <x v="16"/>
      <x/>
      <x v="45"/>
    </i>
    <i r="2">
      <x v="32"/>
      <x v="146"/>
      <x v="4"/>
      <x v="8"/>
      <x v="8"/>
      <x v="13"/>
    </i>
    <i r="2">
      <x v="33"/>
      <x v="349"/>
      <x v="12"/>
      <x v="16"/>
      <x/>
      <x v="42"/>
    </i>
    <i r="2">
      <x v="34"/>
      <x v="32"/>
      <x v="60"/>
      <x v="102"/>
      <x/>
      <x v="40"/>
    </i>
    <i r="2">
      <x v="35"/>
      <x v="139"/>
      <x v="4"/>
      <x v="8"/>
      <x v="12"/>
      <x v="14"/>
    </i>
    <i r="2">
      <x v="37"/>
      <x v="348"/>
      <x v="12"/>
      <x v="16"/>
      <x/>
      <x v="38"/>
    </i>
    <i r="2">
      <x v="38"/>
      <x v="138"/>
      <x v="4"/>
      <x v="8"/>
      <x v="8"/>
      <x v="13"/>
    </i>
    <i r="2">
      <x v="39"/>
      <x v="251"/>
      <x v="12"/>
      <x v="16"/>
      <x/>
      <x v="40"/>
    </i>
    <i r="2">
      <x v="41"/>
      <x v="92"/>
      <x v="89"/>
      <x v="1"/>
      <x/>
      <x v="40"/>
    </i>
    <i r="2">
      <x v="42"/>
      <x v="334"/>
      <x v="12"/>
      <x v="16"/>
      <x/>
      <x v="38"/>
    </i>
    <i r="2">
      <x v="44"/>
      <x v="377"/>
      <x v="17"/>
      <x v="30"/>
      <x/>
      <x v="47"/>
    </i>
    <i r="2">
      <x v="45"/>
      <x v="323"/>
      <x v="87"/>
      <x v="14"/>
      <x/>
      <x v="39"/>
    </i>
    <i r="2">
      <x v="46"/>
      <x v="93"/>
      <x v="30"/>
      <x v="35"/>
      <x/>
      <x v="40"/>
    </i>
    <i r="2">
      <x v="47"/>
      <x v="243"/>
      <x v="30"/>
      <x v="35"/>
      <x/>
      <x v="40"/>
    </i>
    <i r="2">
      <x v="48"/>
      <x v="255"/>
      <x v="87"/>
      <x v="14"/>
      <x/>
      <x v="38"/>
    </i>
    <i r="7">
      <x v="40"/>
    </i>
    <i r="7">
      <x v="41"/>
    </i>
    <i r="2">
      <x v="49"/>
      <x v="8"/>
      <x v="17"/>
      <x v="30"/>
      <x/>
      <x v="38"/>
    </i>
    <i r="7">
      <x v="40"/>
    </i>
    <i r="2">
      <x v="50"/>
      <x v="279"/>
      <x v="30"/>
      <x v="35"/>
      <x/>
      <x v="44"/>
    </i>
    <i r="2">
      <x v="51"/>
      <x v="207"/>
      <x v="87"/>
      <x v="14"/>
      <x/>
      <x v="38"/>
    </i>
    <i r="2">
      <x v="52"/>
      <x v="103"/>
      <x v="104"/>
      <x v="104"/>
      <x/>
      <x v="38"/>
    </i>
    <i r="2">
      <x v="53"/>
      <x v="227"/>
      <x v="80"/>
      <x v="85"/>
      <x/>
      <x v="42"/>
    </i>
    <i r="2">
      <x v="54"/>
      <x v="73"/>
      <x v="17"/>
      <x v="30"/>
      <x/>
      <x v="44"/>
    </i>
    <i r="2">
      <x v="55"/>
      <x v="380"/>
      <x v="17"/>
      <x v="30"/>
      <x/>
      <x v="40"/>
    </i>
    <i r="2">
      <x v="56"/>
      <x v="294"/>
      <x v="17"/>
      <x v="30"/>
      <x/>
      <x v="42"/>
    </i>
    <i r="2">
      <x v="57"/>
      <x v="248"/>
      <x v="17"/>
      <x v="30"/>
      <x/>
      <x v="38"/>
    </i>
    <i r="7">
      <x v="41"/>
    </i>
    <i r="7">
      <x v="43"/>
    </i>
    <i r="2">
      <x v="58"/>
      <x v="164"/>
      <x v="98"/>
      <x v="26"/>
      <x v="8"/>
      <x v="33"/>
    </i>
    <i r="2">
      <x v="59"/>
      <x v="319"/>
      <x v="71"/>
      <x v="87"/>
      <x/>
      <x v="40"/>
    </i>
    <i r="2">
      <x v="60"/>
      <x v="328"/>
      <x v="57"/>
      <x v="56"/>
      <x/>
      <x v="39"/>
    </i>
    <i r="7">
      <x v="42"/>
    </i>
    <i r="7">
      <x v="48"/>
    </i>
    <i r="2">
      <x v="61"/>
      <x v="157"/>
      <x v="33"/>
      <x v="26"/>
      <x v="8"/>
      <x v="23"/>
    </i>
    <i r="2">
      <x v="62"/>
      <x v="313"/>
      <x v="66"/>
      <x v="49"/>
      <x/>
      <x v="38"/>
    </i>
    <i r="2">
      <x v="64"/>
      <x v="52"/>
      <x v="9"/>
      <x v="88"/>
      <x/>
      <x v="41"/>
    </i>
    <i r="2">
      <x v="65"/>
      <x v="258"/>
      <x v="44"/>
      <x v="83"/>
      <x/>
      <x v="40"/>
    </i>
    <i r="2">
      <x v="66"/>
      <x v="384"/>
      <x v="31"/>
      <x v="92"/>
      <x/>
      <x v="45"/>
    </i>
    <i r="2">
      <x v="67"/>
      <x v="295"/>
      <x v="87"/>
      <x v="13"/>
      <x/>
      <x v="39"/>
    </i>
    <i r="2">
      <x v="68"/>
      <x v="116"/>
      <x v="87"/>
      <x v="13"/>
      <x/>
      <x v="39"/>
    </i>
    <i r="2">
      <x v="69"/>
      <x v="284"/>
      <x v="87"/>
      <x v="13"/>
      <x/>
      <x v="40"/>
    </i>
    <i r="2">
      <x v="70"/>
      <x v="325"/>
      <x v="87"/>
      <x v="13"/>
      <x/>
      <x v="39"/>
    </i>
    <i r="2">
      <x v="71"/>
      <x v="296"/>
      <x v="87"/>
      <x v="13"/>
      <x/>
      <x v="40"/>
    </i>
    <i r="2">
      <x v="72"/>
      <x v="244"/>
      <x v="87"/>
      <x v="13"/>
      <x/>
      <x v="41"/>
    </i>
    <i r="2">
      <x v="73"/>
      <x v="340"/>
      <x v="87"/>
      <x v="13"/>
      <x/>
      <x v="38"/>
    </i>
    <i r="2">
      <x v="74"/>
      <x v="236"/>
      <x v="87"/>
      <x v="13"/>
      <x/>
      <x v="44"/>
    </i>
    <i r="2">
      <x v="75"/>
      <x v="298"/>
      <x v="87"/>
      <x v="13"/>
      <x/>
      <x v="40"/>
    </i>
    <i r="2">
      <x v="76"/>
      <x v="297"/>
      <x v="87"/>
      <x v="13"/>
      <x/>
      <x v="41"/>
    </i>
    <i r="2">
      <x v="77"/>
      <x v="376"/>
      <x v="66"/>
      <x v="49"/>
      <x/>
      <x v="38"/>
    </i>
    <i r="2">
      <x v="78"/>
      <x v="299"/>
      <x v="87"/>
      <x v="13"/>
      <x/>
      <x v="43"/>
    </i>
    <i r="2">
      <x v="79"/>
      <x v="366"/>
      <x v="87"/>
      <x v="13"/>
      <x v="3"/>
      <x v="15"/>
    </i>
    <i r="2">
      <x v="81"/>
      <x v="365"/>
      <x v="87"/>
      <x v="13"/>
      <x/>
      <x v="42"/>
    </i>
    <i r="2">
      <x v="83"/>
      <x v="338"/>
      <x v="87"/>
      <x v="13"/>
      <x/>
      <x v="40"/>
    </i>
    <i r="2">
      <x v="85"/>
      <x v="301"/>
      <x v="87"/>
      <x v="13"/>
      <x/>
      <x v="43"/>
    </i>
    <i r="2">
      <x v="87"/>
      <x v="302"/>
      <x v="87"/>
      <x v="13"/>
      <x/>
      <x v="45"/>
    </i>
    <i r="2">
      <x v="89"/>
      <x v="286"/>
      <x v="87"/>
      <x v="13"/>
      <x/>
      <x v="45"/>
    </i>
    <i r="2">
      <x v="91"/>
      <x v="317"/>
      <x v="87"/>
      <x v="14"/>
      <x v="8"/>
      <x v="6"/>
    </i>
    <i r="2">
      <x v="93"/>
      <x v="308"/>
      <x v="87"/>
      <x v="14"/>
      <x/>
      <x v="40"/>
    </i>
    <i r="2">
      <x v="95"/>
      <x v="160"/>
      <x v="86"/>
      <x v="37"/>
      <x v="8"/>
      <x v="3"/>
    </i>
    <i r="2">
      <x v="97"/>
      <x v="159"/>
      <x v="86"/>
      <x v="38"/>
      <x v="8"/>
      <x v="3"/>
    </i>
    <i r="2">
      <x v="100"/>
      <x v="276"/>
      <x v="30"/>
      <x v="35"/>
      <x/>
      <x v="47"/>
    </i>
    <i r="2">
      <x v="102"/>
      <x v="277"/>
      <x v="30"/>
      <x v="35"/>
      <x/>
      <x v="47"/>
    </i>
    <i r="2">
      <x v="104"/>
      <x v="336"/>
      <x v="66"/>
      <x v="49"/>
      <x/>
      <x v="38"/>
    </i>
    <i r="2">
      <x v="106"/>
      <x v="306"/>
      <x v="100"/>
      <x v="73"/>
      <x/>
      <x v="39"/>
    </i>
    <i r="2">
      <x v="107"/>
      <x v="382"/>
      <x v="100"/>
      <x v="73"/>
      <x/>
      <x v="40"/>
    </i>
    <i r="2">
      <x v="108"/>
      <x v="254"/>
      <x v="66"/>
      <x v="49"/>
      <x/>
      <x v="38"/>
    </i>
    <i r="2">
      <x v="110"/>
      <x v="60"/>
      <x v="66"/>
      <x v="49"/>
      <x/>
      <x v="39"/>
    </i>
    <i r="2">
      <x v="112"/>
      <x v="109"/>
      <x v="90"/>
      <x v="34"/>
      <x/>
      <x v="47"/>
    </i>
    <i r="2">
      <x v="114"/>
      <x v="1"/>
      <x v="24"/>
      <x v="29"/>
      <x/>
      <x v="43"/>
    </i>
    <i r="2">
      <x v="116"/>
      <x v="134"/>
      <x v="92"/>
      <x v="53"/>
      <x/>
      <x v="47"/>
    </i>
    <i r="2">
      <x v="118"/>
      <x v="232"/>
      <x v="24"/>
      <x v="29"/>
      <x/>
      <x v="44"/>
    </i>
    <i r="2">
      <x v="120"/>
      <x v="175"/>
      <x v="98"/>
      <x v="26"/>
      <x v="14"/>
      <x v="24"/>
    </i>
    <i r="2">
      <x v="122"/>
      <x v="16"/>
      <x v="65"/>
      <x v="18"/>
      <x/>
      <x v="40"/>
    </i>
    <i r="2">
      <x v="124"/>
      <x v="19"/>
      <x v="65"/>
      <x v="18"/>
      <x/>
      <x v="40"/>
    </i>
    <i r="2">
      <x v="126"/>
      <x v="215"/>
      <x v="65"/>
      <x v="18"/>
      <x/>
      <x v="40"/>
    </i>
    <i r="2">
      <x v="128"/>
      <x v="240"/>
      <x v="65"/>
      <x v="18"/>
      <x/>
      <x v="40"/>
    </i>
    <i r="2">
      <x v="130"/>
      <x v="43"/>
      <x v="65"/>
      <x v="18"/>
      <x/>
      <x v="40"/>
    </i>
    <i r="2">
      <x v="132"/>
      <x v="288"/>
      <x v="63"/>
      <x v="65"/>
      <x/>
      <x v="43"/>
    </i>
    <i r="6">
      <x v="2"/>
      <x v="16"/>
    </i>
    <i r="2">
      <x v="135"/>
      <x v="162"/>
      <x v="63"/>
      <x v="65"/>
      <x v="8"/>
      <x v="6"/>
    </i>
    <i r="2">
      <x v="137"/>
      <x v="253"/>
      <x v="41"/>
      <x v="90"/>
      <x/>
      <x v="40"/>
    </i>
    <i r="2">
      <x v="139"/>
      <x v="206"/>
      <x v="30"/>
      <x v="35"/>
      <x/>
      <x v="42"/>
    </i>
    <i r="2">
      <x v="141"/>
      <x v="208"/>
      <x v="30"/>
      <x v="35"/>
      <x/>
      <x v="47"/>
    </i>
    <i r="2">
      <x v="142"/>
      <x v="71"/>
      <x v="69"/>
      <x v="6"/>
      <x/>
      <x v="41"/>
    </i>
    <i r="2">
      <x v="143"/>
      <x v="261"/>
      <x v="11"/>
      <x v="9"/>
      <x/>
      <x v="38"/>
    </i>
    <i r="2">
      <x v="144"/>
      <x v="260"/>
      <x v="11"/>
      <x v="9"/>
      <x/>
      <x v="38"/>
    </i>
    <i r="2">
      <x v="145"/>
      <x v="304"/>
      <x v="69"/>
      <x v="6"/>
      <x/>
      <x v="41"/>
    </i>
    <i r="2">
      <x v="146"/>
      <x v="316"/>
      <x v="19"/>
      <x v="10"/>
      <x/>
      <x v="38"/>
    </i>
    <i r="2">
      <x v="148"/>
      <x v="361"/>
      <x v="19"/>
      <x v="10"/>
      <x/>
      <x v="39"/>
    </i>
    <i r="2">
      <x v="149"/>
      <x v="102"/>
      <x v="42"/>
      <x v="47"/>
      <x/>
      <x v="39"/>
    </i>
    <i r="2">
      <x v="150"/>
      <x v="100"/>
      <x v="52"/>
      <x v="78"/>
      <x/>
      <x v="39"/>
    </i>
    <i r="2">
      <x v="151"/>
      <x v="24"/>
      <x v="11"/>
      <x v="9"/>
      <x/>
      <x v="38"/>
    </i>
    <i r="2">
      <x v="152"/>
      <x v="205"/>
      <x v="59"/>
      <x v="95"/>
      <x/>
      <x v="38"/>
    </i>
    <i r="7">
      <x v="40"/>
    </i>
    <i r="2">
      <x v="153"/>
      <x v="218"/>
      <x v="73"/>
      <x v="54"/>
      <x/>
      <x v="41"/>
    </i>
    <i r="2">
      <x v="154"/>
      <x v="381"/>
      <x v="19"/>
      <x v="10"/>
      <x/>
      <x v="39"/>
    </i>
    <i r="2">
      <x v="155"/>
      <x v="108"/>
      <x v="62"/>
      <x v="107"/>
      <x/>
      <x v="48"/>
    </i>
    <i r="2">
      <x v="156"/>
      <x v="26"/>
      <x v="60"/>
      <x v="102"/>
      <x/>
      <x v="40"/>
    </i>
    <i r="2">
      <x v="157"/>
      <x v="292"/>
      <x v="48"/>
      <x v="95"/>
      <x/>
      <x v="43"/>
    </i>
    <i r="2">
      <x v="158"/>
      <x v="293"/>
      <x v="48"/>
      <x v="95"/>
      <x/>
      <x v="49"/>
    </i>
    <i r="2">
      <x v="159"/>
      <x v="166"/>
      <x v="48"/>
      <x v="95"/>
      <x v="8"/>
      <x v="6"/>
    </i>
    <i r="2">
      <x v="160"/>
      <x v="285"/>
      <x v="48"/>
      <x v="95"/>
      <x/>
      <x v="48"/>
    </i>
    <i r="2">
      <x v="161"/>
      <x v="314"/>
      <x v="48"/>
      <x v="95"/>
      <x/>
      <x v="48"/>
    </i>
    <i r="2">
      <x v="162"/>
      <x v="300"/>
      <x v="34"/>
      <x v="98"/>
      <x/>
      <x v="47"/>
    </i>
    <i r="2">
      <x v="163"/>
      <x v="310"/>
      <x v="19"/>
      <x v="10"/>
      <x/>
      <x v="45"/>
    </i>
    <i r="2">
      <x v="164"/>
      <x v="111"/>
      <x v="46"/>
      <x v="91"/>
      <x/>
      <x v="39"/>
    </i>
    <i r="2">
      <x v="165"/>
      <x v="217"/>
      <x v="100"/>
      <x v="73"/>
      <x/>
      <x v="38"/>
    </i>
    <i r="7">
      <x v="40"/>
    </i>
    <i r="2">
      <x v="166"/>
      <x v="6"/>
      <x v="46"/>
      <x v="91"/>
      <x/>
      <x v="41"/>
    </i>
    <i r="2">
      <x v="167"/>
      <x v="22"/>
      <x v="69"/>
      <x v="6"/>
      <x/>
      <x v="39"/>
    </i>
    <i r="2">
      <x v="168"/>
      <x v="221"/>
      <x v="100"/>
      <x v="73"/>
      <x/>
      <x v="38"/>
    </i>
    <i r="2">
      <x v="169"/>
      <x v="379"/>
      <x v="51"/>
      <x v="68"/>
      <x/>
      <x v="39"/>
    </i>
    <i r="2">
      <x v="170"/>
      <x v="51"/>
      <x v="36"/>
      <x v="106"/>
      <x/>
      <x v="38"/>
    </i>
    <i r="2">
      <x v="171"/>
      <x v="281"/>
      <x v="46"/>
      <x v="91"/>
      <x/>
      <x v="42"/>
    </i>
    <i r="2">
      <x v="172"/>
      <x v="347"/>
      <x v="36"/>
      <x v="106"/>
      <x/>
      <x v="38"/>
    </i>
    <i r="2">
      <x v="173"/>
      <x v="270"/>
      <x v="69"/>
      <x v="6"/>
      <x/>
      <x v="41"/>
    </i>
    <i r="2">
      <x v="174"/>
      <x v="33"/>
      <x v="60"/>
      <x v="102"/>
      <x/>
      <x v="40"/>
    </i>
    <i r="2">
      <x v="175"/>
      <x v="83"/>
      <x v="100"/>
      <x v="73"/>
      <x/>
      <x v="40"/>
    </i>
    <i r="2">
      <x v="176"/>
      <x v="337"/>
      <x v="14"/>
      <x v="51"/>
      <x v="8"/>
      <x v="3"/>
    </i>
    <i r="2">
      <x v="177"/>
      <x v="31"/>
      <x v="60"/>
      <x v="102"/>
      <x/>
      <x v="41"/>
    </i>
    <i r="2">
      <x v="178"/>
      <x v="332"/>
      <x v="100"/>
      <x v="73"/>
      <x/>
      <x v="46"/>
    </i>
    <i r="2">
      <x v="179"/>
      <x v="220"/>
      <x v="17"/>
      <x v="30"/>
      <x/>
      <x v="42"/>
    </i>
    <i r="2">
      <x v="180"/>
      <x v="337"/>
      <x v="14"/>
      <x v="51"/>
      <x/>
      <x v="38"/>
    </i>
    <i r="2">
      <x v="181"/>
      <x v="225"/>
      <x v="100"/>
      <x v="73"/>
      <x/>
      <x v="42"/>
    </i>
    <i r="2">
      <x v="182"/>
      <x v="66"/>
      <x v="17"/>
      <x v="30"/>
      <x/>
      <x v="42"/>
    </i>
    <i r="2">
      <x v="183"/>
      <x v="82"/>
      <x v="69"/>
      <x v="6"/>
      <x/>
      <x v="48"/>
    </i>
    <i r="2">
      <x v="184"/>
      <x v="333"/>
      <x v="100"/>
      <x v="73"/>
      <x/>
      <x v="44"/>
    </i>
    <i r="2">
      <x v="185"/>
      <x v="64"/>
      <x v="17"/>
      <x v="30"/>
      <x/>
      <x v="42"/>
    </i>
    <i r="2">
      <x v="186"/>
      <x v="70"/>
      <x v="17"/>
      <x v="30"/>
      <x/>
      <x v="42"/>
    </i>
    <i r="2">
      <x v="187"/>
      <x v="18"/>
      <x v="84"/>
      <x v="86"/>
      <x/>
      <x v="41"/>
    </i>
    <i r="2">
      <x v="188"/>
      <x v="108"/>
      <x v="62"/>
      <x v="107"/>
      <x/>
      <x v="48"/>
    </i>
    <i r="2">
      <x v="189"/>
      <x v="78"/>
      <x v="69"/>
      <x v="6"/>
      <x/>
      <x v="39"/>
    </i>
    <i r="2">
      <x v="190"/>
      <x v="354"/>
      <x v="16"/>
      <x v="99"/>
      <x/>
      <x v="40"/>
    </i>
    <i r="2">
      <x v="191"/>
      <x v="353"/>
      <x v="16"/>
      <x v="99"/>
      <x/>
      <x v="40"/>
    </i>
    <i r="2">
      <x v="193"/>
      <x v="4"/>
      <x v="16"/>
      <x v="99"/>
      <x/>
      <x v="45"/>
    </i>
    <i r="2">
      <x v="194"/>
      <x v="265"/>
      <x v="105"/>
      <x v="17"/>
      <x/>
      <x v="38"/>
    </i>
    <i r="2">
      <x v="195"/>
      <x v="56"/>
      <x v="47"/>
      <x v="40"/>
      <x/>
      <x v="38"/>
    </i>
    <i r="7">
      <x v="39"/>
    </i>
    <i r="7">
      <x v="40"/>
    </i>
    <i r="2">
      <x v="196"/>
      <x v="37"/>
      <x v="105"/>
      <x v="17"/>
      <x/>
      <x v="38"/>
    </i>
    <i r="2">
      <x v="197"/>
      <x v="96"/>
      <x v="16"/>
      <x v="99"/>
      <x/>
      <x v="41"/>
    </i>
    <i r="2">
      <x v="198"/>
      <x/>
      <x v="66"/>
      <x v="49"/>
      <x/>
      <x v="44"/>
    </i>
    <i r="2">
      <x v="199"/>
      <x v="253"/>
      <x v="41"/>
      <x v="90"/>
      <x/>
      <x v="40"/>
    </i>
    <i r="2">
      <x v="200"/>
      <x v="55"/>
      <x v="102"/>
      <x v="12"/>
      <x/>
      <x v="40"/>
    </i>
    <i r="2">
      <x v="201"/>
      <x v="309"/>
      <x v="19"/>
      <x v="10"/>
      <x/>
      <x v="39"/>
    </i>
    <i r="6">
      <x v="3"/>
      <x v="17"/>
    </i>
    <i r="2">
      <x v="202"/>
      <x v="41"/>
      <x v="75"/>
      <x v="101"/>
      <x/>
      <x v="43"/>
    </i>
    <i r="2">
      <x v="203"/>
      <x v="307"/>
      <x v="24"/>
      <x v="36"/>
      <x/>
      <x v="38"/>
    </i>
    <i r="2">
      <x v="204"/>
      <x v="42"/>
      <x v="102"/>
      <x v="12"/>
      <x/>
      <x v="39"/>
    </i>
    <i r="2">
      <x v="205"/>
      <x v="256"/>
      <x v="81"/>
      <x v="104"/>
      <x/>
      <x v="40"/>
    </i>
    <i r="2">
      <x v="206"/>
      <x v="36"/>
      <x v="27"/>
      <x v="82"/>
      <x/>
      <x v="42"/>
    </i>
    <i r="2">
      <x v="207"/>
      <x v="41"/>
      <x v="75"/>
      <x v="101"/>
      <x/>
      <x v="43"/>
    </i>
    <i r="2">
      <x v="208"/>
      <x v="94"/>
      <x v="50"/>
      <x v="93"/>
      <x/>
      <x v="42"/>
    </i>
    <i r="2">
      <x v="209"/>
      <x v="324"/>
      <x v="31"/>
      <x v="92"/>
      <x/>
      <x v="38"/>
    </i>
    <i r="2">
      <x v="210"/>
      <x v="75"/>
      <x v="16"/>
      <x v="99"/>
      <x/>
      <x v="40"/>
    </i>
    <i r="2">
      <x v="211"/>
      <x v="226"/>
      <x v="31"/>
      <x v="92"/>
      <x/>
      <x v="38"/>
    </i>
    <i r="2">
      <x v="212"/>
      <x v="202"/>
      <x v="78"/>
      <x v="43"/>
      <x v="12"/>
      <x v="7"/>
    </i>
    <i r="2">
      <x v="213"/>
      <x v="289"/>
      <x v="69"/>
      <x v="6"/>
      <x/>
      <x v="42"/>
    </i>
    <i r="2">
      <x v="214"/>
      <x v="290"/>
      <x v="69"/>
      <x v="6"/>
      <x/>
      <x v="49"/>
    </i>
    <i r="2">
      <x v="215"/>
      <x v="303"/>
      <x v="16"/>
      <x v="99"/>
      <x/>
      <x v="40"/>
    </i>
    <i r="2">
      <x v="216"/>
      <x v="228"/>
      <x v="80"/>
      <x v="85"/>
      <x/>
      <x v="42"/>
    </i>
    <i r="2">
      <x v="217"/>
      <x v="57"/>
      <x v="78"/>
      <x v="43"/>
      <x/>
      <x v="41"/>
    </i>
    <i r="2">
      <x v="218"/>
      <x v="14"/>
      <x v="82"/>
      <x v="71"/>
      <x/>
      <x v="40"/>
    </i>
    <i r="2">
      <x v="219"/>
      <x v="327"/>
      <x v="68"/>
      <x v="4"/>
      <x/>
      <x v="38"/>
    </i>
    <i r="2">
      <x v="220"/>
      <x v="54"/>
      <x/>
      <x v="42"/>
      <x/>
      <x v="46"/>
    </i>
    <i r="2">
      <x v="221"/>
      <x v="53"/>
      <x/>
      <x v="42"/>
      <x/>
      <x v="44"/>
    </i>
    <i r="2">
      <x v="222"/>
      <x v="239"/>
      <x v="102"/>
      <x v="12"/>
      <x/>
      <x v="40"/>
    </i>
    <i r="2">
      <x v="223"/>
      <x v="362"/>
      <x v="85"/>
      <x v="41"/>
      <x/>
      <x v="41"/>
    </i>
    <i r="2">
      <x v="224"/>
      <x v="12"/>
      <x v="82"/>
      <x v="71"/>
      <x/>
      <x v="42"/>
    </i>
    <i r="2">
      <x v="225"/>
      <x v="13"/>
      <x v="82"/>
      <x v="71"/>
      <x/>
      <x v="40"/>
    </i>
    <i r="2">
      <x v="226"/>
      <x v="117"/>
      <x v="85"/>
      <x v="41"/>
      <x/>
      <x v="40"/>
    </i>
    <i r="2">
      <x v="227"/>
      <x v="5"/>
      <x v="102"/>
      <x v="12"/>
      <x/>
      <x v="46"/>
    </i>
    <i r="2">
      <x v="228"/>
      <x v="355"/>
      <x v="85"/>
      <x v="41"/>
      <x/>
      <x v="39"/>
    </i>
    <i r="2">
      <x v="229"/>
      <x v="7"/>
      <x v="26"/>
      <x v="96"/>
      <x/>
      <x v="38"/>
    </i>
    <i r="2">
      <x v="230"/>
      <x v="15"/>
      <x v="76"/>
      <x v="25"/>
      <x/>
      <x v="39"/>
    </i>
    <i r="2">
      <x v="231"/>
      <x v="326"/>
      <x v="68"/>
      <x v="4"/>
      <x/>
      <x v="38"/>
    </i>
    <i r="2">
      <x v="232"/>
      <x v="305"/>
      <x v="26"/>
      <x v="96"/>
      <x/>
      <x v="38"/>
    </i>
    <i r="2">
      <x v="233"/>
      <x v="241"/>
      <x v="102"/>
      <x v="12"/>
      <x/>
      <x v="41"/>
    </i>
    <i r="2">
      <x v="234"/>
      <x v="20"/>
      <x v="78"/>
      <x v="43"/>
      <x/>
      <x v="43"/>
    </i>
    <i r="2">
      <x v="235"/>
      <x v="58"/>
      <x v="78"/>
      <x v="43"/>
      <x/>
      <x v="41"/>
    </i>
    <i r="2">
      <x v="236"/>
      <x v="350"/>
      <x v="76"/>
      <x v="25"/>
      <x/>
      <x v="41"/>
    </i>
    <i r="2">
      <x v="237"/>
      <x v="25"/>
      <x v="102"/>
      <x v="12"/>
      <x/>
      <x v="43"/>
    </i>
    <i r="2">
      <x v="238"/>
      <x v="375"/>
      <x v="102"/>
      <x v="12"/>
      <x/>
      <x v="45"/>
    </i>
    <i r="2">
      <x v="239"/>
      <x v="91"/>
      <x v="16"/>
      <x v="99"/>
      <x/>
      <x v="41"/>
    </i>
    <i r="2">
      <x v="240"/>
      <x v="39"/>
      <x v="42"/>
      <x v="47"/>
      <x/>
      <x v="42"/>
    </i>
    <i r="2">
      <x v="241"/>
      <x v="351"/>
      <x v="16"/>
      <x v="99"/>
      <x/>
      <x v="46"/>
    </i>
    <i r="2">
      <x v="242"/>
      <x v="216"/>
      <x v="27"/>
      <x v="64"/>
      <x/>
      <x v="40"/>
    </i>
    <i r="2">
      <x v="243"/>
      <x v="238"/>
      <x v="46"/>
      <x v="91"/>
      <x/>
      <x v="39"/>
    </i>
    <i r="2">
      <x v="244"/>
      <x v="378"/>
      <x v="17"/>
      <x v="30"/>
      <x/>
      <x v="43"/>
    </i>
    <i r="2">
      <x v="245"/>
      <x v="110"/>
      <x v="26"/>
      <x v="96"/>
      <x/>
      <x v="39"/>
    </i>
    <i r="2">
      <x v="246"/>
      <x v="264"/>
      <x v="38"/>
      <x v="2"/>
      <x/>
      <x v="38"/>
    </i>
    <i r="2">
      <x v="247"/>
      <x v="231"/>
      <x v="54"/>
      <x v="97"/>
      <x/>
      <x v="40"/>
    </i>
    <i r="2">
      <x v="248"/>
      <x v="320"/>
      <x v="87"/>
      <x v="13"/>
      <x/>
      <x v="45"/>
    </i>
    <i r="2">
      <x v="249"/>
      <x v="45"/>
      <x/>
      <x v="42"/>
      <x/>
      <x v="40"/>
    </i>
    <i r="2">
      <x v="250"/>
      <x v="130"/>
      <x v="28"/>
      <x v="105"/>
      <x/>
      <x v="38"/>
    </i>
    <i r="2">
      <x v="251"/>
      <x v="252"/>
      <x v="26"/>
      <x v="96"/>
      <x/>
      <x v="38"/>
    </i>
    <i r="2">
      <x v="252"/>
      <x v="230"/>
      <x v="17"/>
      <x v="30"/>
      <x/>
      <x v="39"/>
    </i>
    <i r="2">
      <x v="253"/>
      <x v="245"/>
      <x v="26"/>
      <x v="96"/>
      <x/>
      <x v="38"/>
    </i>
    <i r="2">
      <x v="254"/>
      <x v="318"/>
      <x v="28"/>
      <x v="105"/>
      <x/>
      <x v="38"/>
    </i>
    <i r="2">
      <x v="255"/>
      <x v="321"/>
      <x v="46"/>
      <x v="91"/>
      <x/>
      <x v="40"/>
    </i>
    <i r="2">
      <x v="256"/>
      <x v="268"/>
      <x v="25"/>
      <x v="2"/>
      <x/>
      <x v="38"/>
    </i>
    <i r="2">
      <x v="257"/>
      <x v="99"/>
      <x v="3"/>
      <x v="28"/>
      <x/>
      <x v="44"/>
    </i>
    <i r="7">
      <x v="46"/>
    </i>
    <i r="2">
      <x v="258"/>
      <x v="259"/>
      <x v="17"/>
      <x v="30"/>
      <x/>
      <x v="44"/>
    </i>
    <i r="2">
      <x v="259"/>
      <x v="27"/>
      <x v="27"/>
      <x v="64"/>
      <x/>
      <x v="40"/>
    </i>
    <i r="2">
      <x v="260"/>
      <x v="311"/>
      <x v="17"/>
      <x v="30"/>
      <x/>
      <x v="41"/>
    </i>
    <i r="2">
      <x v="261"/>
      <x v="34"/>
      <x v="27"/>
      <x v="64"/>
      <x/>
      <x v="40"/>
    </i>
    <i r="2">
      <x v="262"/>
      <x v="106"/>
      <x v="15"/>
      <x v="7"/>
      <x/>
      <x v="46"/>
    </i>
    <i r="2">
      <x v="263"/>
      <x v="17"/>
      <x v="75"/>
      <x v="100"/>
      <x/>
      <x v="41"/>
    </i>
    <i r="2">
      <x v="264"/>
      <x v="49"/>
      <x v="7"/>
      <x v="19"/>
      <x/>
      <x v="38"/>
    </i>
    <i r="2">
      <x v="265"/>
      <x v="35"/>
      <x v="27"/>
      <x v="64"/>
      <x/>
      <x v="41"/>
    </i>
    <i r="2">
      <x v="266"/>
      <x v="46"/>
      <x v="27"/>
      <x v="66"/>
      <x/>
      <x v="40"/>
    </i>
    <i r="2">
      <x v="267"/>
      <x v="44"/>
      <x v="7"/>
      <x v="19"/>
      <x/>
      <x v="41"/>
    </i>
    <i r="2">
      <x v="268"/>
      <x v="167"/>
      <x v="7"/>
      <x v="19"/>
      <x v="8"/>
      <x v="3"/>
    </i>
    <i r="2">
      <x v="269"/>
      <x v="95"/>
      <x v="51"/>
      <x v="69"/>
      <x/>
      <x v="40"/>
    </i>
    <i r="7">
      <x v="41"/>
    </i>
    <i r="7">
      <x v="43"/>
    </i>
    <i r="2">
      <x v="270"/>
      <x v="168"/>
      <x v="7"/>
      <x v="19"/>
      <x v="8"/>
      <x v="3"/>
    </i>
    <i r="2">
      <x v="271"/>
      <x v="107"/>
      <x v="15"/>
      <x v="7"/>
      <x/>
      <x v="40"/>
    </i>
    <i r="2">
      <x v="272"/>
      <x v="352"/>
      <x v="7"/>
      <x v="19"/>
      <x/>
      <x v="38"/>
    </i>
    <i r="2">
      <x v="273"/>
      <x v="169"/>
      <x v="7"/>
      <x v="19"/>
      <x v="8"/>
      <x v="3"/>
    </i>
    <i r="2">
      <x v="274"/>
      <x v="335"/>
      <x v="12"/>
      <x v="16"/>
      <x/>
      <x v="38"/>
    </i>
    <i r="2">
      <x v="275"/>
      <x v="77"/>
      <x v="40"/>
      <x v="27"/>
      <x/>
      <x v="43"/>
    </i>
    <i r="2">
      <x v="276"/>
      <x v="69"/>
      <x v="102"/>
      <x v="12"/>
      <x/>
      <x v="41"/>
    </i>
    <i r="7">
      <x v="44"/>
    </i>
    <i r="2">
      <x v="277"/>
      <x v="30"/>
      <x v="60"/>
      <x v="102"/>
      <x/>
      <x v="40"/>
    </i>
    <i r="2">
      <x v="278"/>
      <x v="339"/>
      <x v="102"/>
      <x v="12"/>
      <x/>
      <x v="42"/>
    </i>
    <i r="2">
      <x v="279"/>
      <x v="93"/>
      <x v="29"/>
      <x/>
      <x/>
      <x v="40"/>
    </i>
    <i r="2">
      <x v="280"/>
      <x v="321"/>
      <x v="46"/>
      <x v="91"/>
      <x/>
      <x v="40"/>
    </i>
    <i r="2">
      <x v="281"/>
      <x v="371"/>
      <x v="17"/>
      <x v="30"/>
      <x/>
      <x v="42"/>
    </i>
    <i r="2">
      <x v="282"/>
      <x v="23"/>
      <x v="60"/>
      <x v="102"/>
      <x/>
      <x v="41"/>
    </i>
    <i r="7">
      <x v="42"/>
    </i>
    <i r="2">
      <x v="283"/>
      <x v="72"/>
      <x v="17"/>
      <x v="30"/>
      <x/>
      <x v="39"/>
    </i>
    <i r="2">
      <x v="284"/>
      <x v="229"/>
      <x v="17"/>
      <x v="30"/>
      <x/>
      <x v="46"/>
    </i>
    <i r="2">
      <x v="285"/>
      <x v="135"/>
      <x v="2"/>
      <x v="9"/>
      <x/>
      <x v="41"/>
    </i>
    <i r="7">
      <x v="42"/>
    </i>
    <i r="7">
      <x v="43"/>
    </i>
    <i r="6">
      <x v="2"/>
      <x v="20"/>
    </i>
    <i r="6">
      <x v="3"/>
      <x v="26"/>
    </i>
    <i r="2">
      <x v="286"/>
      <x v="267"/>
      <x v="19"/>
      <x v="10"/>
      <x/>
      <x v="41"/>
    </i>
    <i r="2">
      <x v="287"/>
      <x v="98"/>
      <x v="96"/>
      <x v="67"/>
      <x/>
      <x v="39"/>
    </i>
    <i r="2">
      <x v="288"/>
      <x v="262"/>
      <x v="11"/>
      <x v="9"/>
      <x/>
      <x v="38"/>
    </i>
    <i r="2">
      <x v="289"/>
      <x v="312"/>
      <x v="19"/>
      <x v="10"/>
      <x/>
      <x v="39"/>
    </i>
    <i r="2">
      <x v="290"/>
      <x v="97"/>
      <x v="101"/>
      <x v="60"/>
      <x/>
      <x v="39"/>
    </i>
    <i r="2">
      <x v="291"/>
      <x v="266"/>
      <x v="28"/>
      <x v="70"/>
      <x/>
      <x v="38"/>
    </i>
    <i r="2">
      <x v="292"/>
      <x v="89"/>
      <x v="44"/>
      <x v="83"/>
      <x/>
      <x v="41"/>
    </i>
    <i r="2">
      <x v="293"/>
      <x v="224"/>
      <x v="17"/>
      <x v="30"/>
      <x/>
      <x v="42"/>
    </i>
    <i r="1">
      <x v="4"/>
      <x v="295"/>
      <x v="322"/>
      <x v="23"/>
      <x v="3"/>
      <x/>
      <x v="41"/>
    </i>
    <i r="7">
      <x v="43"/>
    </i>
    <i r="7">
      <x v="46"/>
    </i>
    <i r="7">
      <x v="47"/>
    </i>
    <i r="7">
      <x v="48"/>
    </i>
    <i r="7">
      <x v="49"/>
    </i>
    <i r="1">
      <x v="5"/>
      <x v="377"/>
      <x v="127"/>
      <x v="80"/>
      <x v="85"/>
      <x/>
      <x v="47"/>
    </i>
    <i r="2">
      <x v="378"/>
      <x v="128"/>
      <x v="80"/>
      <x v="85"/>
      <x/>
      <x v="48"/>
    </i>
    <i r="2">
      <x v="379"/>
      <x v="214"/>
      <x v="80"/>
      <x v="85"/>
      <x/>
      <x v="45"/>
    </i>
    <i r="2">
      <x v="380"/>
      <x v="120"/>
      <x v="73"/>
      <x v="54"/>
      <x/>
      <x v="44"/>
    </i>
    <i r="2">
      <x v="381"/>
      <x v="343"/>
      <x v="73"/>
      <x v="54"/>
      <x/>
      <x v="43"/>
    </i>
    <i r="2">
      <x v="382"/>
      <x v="126"/>
      <x v="80"/>
      <x v="85"/>
      <x/>
      <x v="46"/>
    </i>
    <i r="2">
      <x v="383"/>
      <x v="112"/>
      <x v="73"/>
      <x v="54"/>
      <x/>
      <x v="42"/>
    </i>
    <i r="2">
      <x v="384"/>
      <x v="209"/>
      <x v="80"/>
      <x v="85"/>
      <x/>
      <x v="46"/>
    </i>
    <i r="2">
      <x v="385"/>
      <x v="118"/>
      <x v="73"/>
      <x v="54"/>
      <x/>
      <x v="41"/>
    </i>
    <i r="2">
      <x v="386"/>
      <x v="59"/>
      <x v="73"/>
      <x v="54"/>
      <x/>
      <x v="42"/>
    </i>
    <i r="2">
      <x v="387"/>
      <x v="47"/>
      <x v="78"/>
      <x v="45"/>
      <x/>
      <x v="38"/>
    </i>
    <i r="2">
      <x v="388"/>
      <x v="234"/>
      <x v="60"/>
      <x v="102"/>
      <x/>
      <x v="40"/>
    </i>
    <i r="7">
      <x v="42"/>
    </i>
    <i r="7">
      <x v="46"/>
    </i>
    <i r="2">
      <x v="389"/>
      <x v="125"/>
      <x v="80"/>
      <x v="85"/>
      <x/>
      <x v="46"/>
    </i>
    <i r="2">
      <x v="390"/>
      <x v="124"/>
      <x v="80"/>
      <x v="85"/>
      <x/>
      <x v="47"/>
    </i>
    <i r="2">
      <x v="391"/>
      <x v="133"/>
      <x v="53"/>
      <x v="95"/>
      <x/>
      <x v="49"/>
    </i>
    <i r="2">
      <x v="392"/>
      <x v="129"/>
      <x v="80"/>
      <x v="85"/>
      <x/>
      <x v="48"/>
    </i>
    <i r="1">
      <x v="6"/>
      <x v="314"/>
      <x v="113"/>
      <x v="45"/>
      <x v="52"/>
      <x/>
      <x v="43"/>
    </i>
    <i r="2">
      <x v="315"/>
      <x v="119"/>
      <x v="53"/>
      <x v="95"/>
      <x/>
      <x v="43"/>
    </i>
    <i r="2">
      <x v="316"/>
      <x v="344"/>
      <x v="53"/>
      <x v="95"/>
      <x/>
      <x v="43"/>
    </i>
    <i r="2">
      <x v="317"/>
      <x v="346"/>
      <x v="53"/>
      <x v="95"/>
      <x/>
      <x v="41"/>
    </i>
    <i r="2">
      <x v="318"/>
      <x v="132"/>
      <x v="45"/>
      <x v="50"/>
      <x/>
      <x v="43"/>
    </i>
    <i r="2">
      <x v="319"/>
      <x v="315"/>
      <x v="53"/>
      <x v="95"/>
      <x/>
      <x v="40"/>
    </i>
    <i r="7">
      <x v="41"/>
    </i>
    <i r="7">
      <x v="49"/>
    </i>
    <i r="2">
      <x v="320"/>
      <x v="212"/>
      <x v="80"/>
      <x v="85"/>
      <x/>
      <x v="48"/>
    </i>
    <i r="2">
      <x v="321"/>
      <x v="210"/>
      <x v="80"/>
      <x v="85"/>
      <x/>
      <x v="48"/>
    </i>
    <i r="2">
      <x v="322"/>
      <x v="121"/>
      <x v="94"/>
      <x v="57"/>
      <x/>
      <x v="48"/>
    </i>
    <i r="2">
      <x v="323"/>
      <x v="213"/>
      <x v="80"/>
      <x v="85"/>
      <x/>
      <x v="46"/>
    </i>
    <i r="2">
      <x v="324"/>
      <x v="123"/>
      <x v="55"/>
      <x v="74"/>
      <x/>
      <x v="47"/>
    </i>
    <i r="2">
      <x v="325"/>
      <x v="122"/>
      <x v="55"/>
      <x v="74"/>
      <x/>
      <x v="47"/>
    </i>
    <i r="2">
      <x v="326"/>
      <x v="211"/>
      <x v="80"/>
      <x v="85"/>
      <x/>
      <x v="47"/>
    </i>
    <i r="2">
      <x v="327"/>
      <x v="131"/>
      <x v="93"/>
      <x v="53"/>
      <x/>
      <x v="49"/>
    </i>
    <i t="grand">
      <x/>
    </i>
  </rowItems>
  <colItems count="1">
    <i/>
  </colItems>
  <dataFields count="1">
    <dataField name="Suma de Monto Total Ítem Año 2026" fld="13" baseField="0" baseItem="0" numFmtId="42"/>
  </dataFields>
  <pivotTableStyleInfo name="PivotStyleMedium12"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07CC9E-3ACE-4D5C-99EE-54F3DDFE721A}" name="TablaDinámica17"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Unidad de Compra">
  <location ref="A3:C11" firstHeaderRow="0" firstDataRow="1" firstDataCol="1"/>
  <pivotFields count="7">
    <pivotField dataField="1" showAll="0"/>
    <pivotField axis="axisRow" showAll="0">
      <items count="8">
        <item x="3"/>
        <item x="1"/>
        <item x="2"/>
        <item x="4"/>
        <item x="5"/>
        <item x="6"/>
        <item n="Proyectos de Arrastre" x="0"/>
        <item t="default"/>
      </items>
    </pivotField>
    <pivotField showAll="0"/>
    <pivotField showAll="0"/>
    <pivotField showAll="0"/>
    <pivotField showAll="0"/>
    <pivotField dataField="1" numFmtId="42" showAll="0"/>
  </pivotFields>
  <rowFields count="1">
    <field x="1"/>
  </rowFields>
  <rowItems count="8">
    <i>
      <x/>
    </i>
    <i>
      <x v="1"/>
    </i>
    <i>
      <x v="2"/>
    </i>
    <i>
      <x v="3"/>
    </i>
    <i>
      <x v="4"/>
    </i>
    <i>
      <x v="5"/>
    </i>
    <i>
      <x v="6"/>
    </i>
    <i t="grand">
      <x/>
    </i>
  </rowItems>
  <colFields count="1">
    <field x="-2"/>
  </colFields>
  <colItems count="2">
    <i>
      <x/>
    </i>
    <i i="1">
      <x v="1"/>
    </i>
  </colItems>
  <dataFields count="2">
    <dataField name="Proyectos" fld="0" subtotal="count" baseField="0" baseItem="0"/>
    <dataField name="Monto" fld="6" baseField="0" baseItem="0" numFmtId="42"/>
  </dataFields>
  <formats count="2">
    <format dxfId="4">
      <pivotArea outline="0" collapsedLevelsAreSubtotals="1" fieldPosition="0"/>
    </format>
    <format dxfId="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BDB83-6B00-4255-90A1-B0AEB7079051}">
  <dimension ref="A3:C11"/>
  <sheetViews>
    <sheetView workbookViewId="0">
      <selection activeCell="B30" sqref="B30"/>
    </sheetView>
  </sheetViews>
  <sheetFormatPr baseColWidth="10" defaultRowHeight="15" x14ac:dyDescent="0.25"/>
  <cols>
    <col min="1" max="1" width="41.5703125" bestFit="1" customWidth="1"/>
    <col min="2" max="2" width="14.42578125" bestFit="1" customWidth="1"/>
    <col min="3" max="3" width="15.5703125" bestFit="1" customWidth="1"/>
    <col min="4" max="4" width="15" customWidth="1"/>
  </cols>
  <sheetData>
    <row r="3" spans="1:3" x14ac:dyDescent="0.25">
      <c r="A3" t="s">
        <v>1</v>
      </c>
      <c r="B3" s="3" t="s">
        <v>2214</v>
      </c>
      <c r="C3" s="3" t="s">
        <v>2200</v>
      </c>
    </row>
    <row r="4" spans="1:3" x14ac:dyDescent="0.25">
      <c r="A4" s="5" t="s">
        <v>28</v>
      </c>
      <c r="B4" s="3">
        <v>238</v>
      </c>
      <c r="C4" s="48">
        <v>1932801598</v>
      </c>
    </row>
    <row r="5" spans="1:3" x14ac:dyDescent="0.25">
      <c r="A5" s="5" t="s">
        <v>1238</v>
      </c>
      <c r="B5" s="3">
        <v>18</v>
      </c>
      <c r="C5" s="48">
        <v>4545805005</v>
      </c>
    </row>
    <row r="6" spans="1:3" x14ac:dyDescent="0.25">
      <c r="A6" s="5" t="s">
        <v>374</v>
      </c>
      <c r="B6" s="3">
        <v>47</v>
      </c>
      <c r="C6" s="48">
        <v>216217147</v>
      </c>
    </row>
    <row r="7" spans="1:3" x14ac:dyDescent="0.25">
      <c r="A7" s="5" t="s">
        <v>567</v>
      </c>
      <c r="B7" s="3">
        <v>1</v>
      </c>
      <c r="C7" s="48">
        <v>156000000</v>
      </c>
    </row>
    <row r="8" spans="1:3" x14ac:dyDescent="0.25">
      <c r="A8" s="5" t="s">
        <v>594</v>
      </c>
      <c r="B8" s="3">
        <v>16</v>
      </c>
      <c r="C8" s="48">
        <v>1438588008</v>
      </c>
    </row>
    <row r="9" spans="1:3" x14ac:dyDescent="0.25">
      <c r="A9" s="5" t="s">
        <v>1304</v>
      </c>
      <c r="B9" s="3">
        <v>14</v>
      </c>
      <c r="C9" s="48">
        <v>7264673295</v>
      </c>
    </row>
    <row r="10" spans="1:3" x14ac:dyDescent="0.25">
      <c r="A10" s="5" t="s">
        <v>2212</v>
      </c>
      <c r="B10" s="3">
        <v>59</v>
      </c>
      <c r="C10" s="48">
        <v>6588447864</v>
      </c>
    </row>
    <row r="11" spans="1:3" x14ac:dyDescent="0.25">
      <c r="A11" s="5" t="s">
        <v>2198</v>
      </c>
      <c r="B11" s="3">
        <v>393</v>
      </c>
      <c r="C11" s="48">
        <v>22142532917</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0FE4F-CA4A-4422-8121-04A786FAFC3A}">
  <sheetPr filterMode="1"/>
  <dimension ref="A1:G394"/>
  <sheetViews>
    <sheetView topLeftCell="A374" workbookViewId="0">
      <selection activeCell="D388" sqref="D388"/>
    </sheetView>
  </sheetViews>
  <sheetFormatPr baseColWidth="10" defaultRowHeight="15" x14ac:dyDescent="0.25"/>
  <cols>
    <col min="3" max="3" width="24.85546875" customWidth="1"/>
    <col min="4" max="4" width="107.42578125" customWidth="1"/>
    <col min="5" max="5" width="28.85546875" bestFit="1" customWidth="1"/>
    <col min="7" max="7" width="15.5703125" style="2" bestFit="1" customWidth="1"/>
  </cols>
  <sheetData>
    <row r="1" spans="1:7" x14ac:dyDescent="0.25">
      <c r="A1" s="9" t="s">
        <v>2197</v>
      </c>
      <c r="B1" s="9" t="s">
        <v>2213</v>
      </c>
      <c r="C1" s="9" t="s">
        <v>2</v>
      </c>
      <c r="D1" s="9" t="s">
        <v>6</v>
      </c>
      <c r="E1" s="9" t="s">
        <v>16</v>
      </c>
      <c r="F1" s="9" t="s">
        <v>17</v>
      </c>
      <c r="G1" s="33" t="s">
        <v>2202</v>
      </c>
    </row>
    <row r="2" spans="1:7" x14ac:dyDescent="0.25">
      <c r="A2" t="s">
        <v>2199</v>
      </c>
      <c r="B2" t="s">
        <v>1238</v>
      </c>
      <c r="C2" t="s">
        <v>1369</v>
      </c>
      <c r="D2" t="s">
        <v>1370</v>
      </c>
      <c r="E2" t="s">
        <v>1299</v>
      </c>
      <c r="F2" t="s">
        <v>1300</v>
      </c>
      <c r="G2" s="2">
        <v>1578831000</v>
      </c>
    </row>
    <row r="3" spans="1:7" x14ac:dyDescent="0.25">
      <c r="A3" t="s">
        <v>2199</v>
      </c>
      <c r="B3" t="s">
        <v>1238</v>
      </c>
      <c r="C3" t="s">
        <v>1385</v>
      </c>
      <c r="D3" t="s">
        <v>1386</v>
      </c>
      <c r="E3" t="s">
        <v>1299</v>
      </c>
      <c r="F3" t="s">
        <v>1300</v>
      </c>
      <c r="G3" s="2">
        <v>1969068000</v>
      </c>
    </row>
    <row r="4" spans="1:7" x14ac:dyDescent="0.25">
      <c r="A4" t="s">
        <v>2199</v>
      </c>
      <c r="B4" t="s">
        <v>1238</v>
      </c>
      <c r="C4" t="s">
        <v>1387</v>
      </c>
      <c r="D4" t="s">
        <v>1388</v>
      </c>
      <c r="E4" t="s">
        <v>1299</v>
      </c>
      <c r="F4" t="s">
        <v>1300</v>
      </c>
      <c r="G4" s="2">
        <v>18632000</v>
      </c>
    </row>
    <row r="5" spans="1:7" x14ac:dyDescent="0.25">
      <c r="A5" t="s">
        <v>2199</v>
      </c>
      <c r="B5" t="s">
        <v>1238</v>
      </c>
      <c r="C5" t="s">
        <v>1393</v>
      </c>
      <c r="D5" t="s">
        <v>1394</v>
      </c>
      <c r="E5" t="s">
        <v>1299</v>
      </c>
      <c r="F5" t="s">
        <v>1300</v>
      </c>
      <c r="G5" s="2">
        <v>280000000</v>
      </c>
    </row>
    <row r="6" spans="1:7" x14ac:dyDescent="0.25">
      <c r="A6" t="s">
        <v>2199</v>
      </c>
      <c r="B6" t="s">
        <v>1238</v>
      </c>
      <c r="C6" t="s">
        <v>1398</v>
      </c>
      <c r="D6" t="s">
        <v>1399</v>
      </c>
      <c r="E6" t="s">
        <v>1299</v>
      </c>
      <c r="F6" t="s">
        <v>1300</v>
      </c>
      <c r="G6" s="2">
        <v>61000000</v>
      </c>
    </row>
    <row r="7" spans="1:7" x14ac:dyDescent="0.25">
      <c r="A7" t="s">
        <v>2199</v>
      </c>
      <c r="B7" t="s">
        <v>1238</v>
      </c>
      <c r="C7" t="s">
        <v>1464</v>
      </c>
      <c r="D7" t="s">
        <v>1465</v>
      </c>
      <c r="E7" t="s">
        <v>1075</v>
      </c>
      <c r="F7" t="s">
        <v>1076</v>
      </c>
      <c r="G7" s="2">
        <v>1000000</v>
      </c>
    </row>
    <row r="8" spans="1:7" x14ac:dyDescent="0.25">
      <c r="A8" t="s">
        <v>2199</v>
      </c>
      <c r="B8" t="s">
        <v>1238</v>
      </c>
      <c r="C8" t="s">
        <v>1485</v>
      </c>
      <c r="D8" t="s">
        <v>1486</v>
      </c>
      <c r="E8" t="s">
        <v>1211</v>
      </c>
      <c r="F8" t="s">
        <v>320</v>
      </c>
      <c r="G8" s="2">
        <v>250000</v>
      </c>
    </row>
    <row r="9" spans="1:7" x14ac:dyDescent="0.25">
      <c r="A9" t="s">
        <v>2199</v>
      </c>
      <c r="B9" t="s">
        <v>1238</v>
      </c>
      <c r="C9" t="s">
        <v>1624</v>
      </c>
      <c r="D9" t="s">
        <v>1621</v>
      </c>
      <c r="E9" t="s">
        <v>1608</v>
      </c>
      <c r="F9" t="s">
        <v>361</v>
      </c>
      <c r="G9" s="2">
        <v>780000</v>
      </c>
    </row>
    <row r="10" spans="1:7" x14ac:dyDescent="0.25">
      <c r="A10" t="s">
        <v>2199</v>
      </c>
      <c r="B10" t="s">
        <v>1238</v>
      </c>
      <c r="C10" t="s">
        <v>1673</v>
      </c>
      <c r="D10" t="s">
        <v>1674</v>
      </c>
      <c r="E10" t="s">
        <v>1299</v>
      </c>
      <c r="F10" t="s">
        <v>1300</v>
      </c>
      <c r="G10" s="2">
        <v>6773000</v>
      </c>
    </row>
    <row r="11" spans="1:7" x14ac:dyDescent="0.25">
      <c r="A11" t="s">
        <v>2199</v>
      </c>
      <c r="B11" t="s">
        <v>1238</v>
      </c>
      <c r="C11" t="s">
        <v>2037</v>
      </c>
      <c r="D11" t="s">
        <v>1658</v>
      </c>
      <c r="E11" t="s">
        <v>2039</v>
      </c>
      <c r="F11" t="s">
        <v>1661</v>
      </c>
      <c r="G11" s="2">
        <v>19000000</v>
      </c>
    </row>
    <row r="12" spans="1:7" x14ac:dyDescent="0.25">
      <c r="A12" t="s">
        <v>2199</v>
      </c>
      <c r="B12" t="s">
        <v>1238</v>
      </c>
      <c r="C12" t="s">
        <v>2063</v>
      </c>
      <c r="D12" t="s">
        <v>2064</v>
      </c>
      <c r="E12" t="s">
        <v>768</v>
      </c>
      <c r="F12" t="s">
        <v>966</v>
      </c>
      <c r="G12" s="2">
        <v>300000</v>
      </c>
    </row>
    <row r="13" spans="1:7" x14ac:dyDescent="0.25">
      <c r="A13" t="s">
        <v>2199</v>
      </c>
      <c r="B13" t="s">
        <v>1238</v>
      </c>
      <c r="C13" t="s">
        <v>2102</v>
      </c>
      <c r="D13" t="s">
        <v>2103</v>
      </c>
      <c r="E13" t="s">
        <v>1759</v>
      </c>
      <c r="F13" t="s">
        <v>1760</v>
      </c>
      <c r="G13" s="2">
        <v>16000000</v>
      </c>
    </row>
    <row r="14" spans="1:7" x14ac:dyDescent="0.25">
      <c r="A14" t="s">
        <v>2199</v>
      </c>
      <c r="B14" t="s">
        <v>1238</v>
      </c>
      <c r="C14" t="s">
        <v>2140</v>
      </c>
      <c r="D14" t="s">
        <v>2141</v>
      </c>
      <c r="E14" t="s">
        <v>768</v>
      </c>
      <c r="F14" t="s">
        <v>966</v>
      </c>
      <c r="G14" s="2">
        <v>250000</v>
      </c>
    </row>
    <row r="15" spans="1:7" x14ac:dyDescent="0.25">
      <c r="A15" t="s">
        <v>2199</v>
      </c>
      <c r="B15" t="s">
        <v>1238</v>
      </c>
      <c r="C15" t="s">
        <v>1239</v>
      </c>
      <c r="D15" t="s">
        <v>1241</v>
      </c>
      <c r="E15" t="s">
        <v>122</v>
      </c>
      <c r="F15" t="s">
        <v>544</v>
      </c>
      <c r="G15" s="2">
        <v>108183000</v>
      </c>
    </row>
    <row r="16" spans="1:7" x14ac:dyDescent="0.25">
      <c r="A16" t="s">
        <v>2199</v>
      </c>
      <c r="B16" t="s">
        <v>1238</v>
      </c>
      <c r="C16" t="s">
        <v>1289</v>
      </c>
      <c r="D16" t="s">
        <v>1291</v>
      </c>
      <c r="E16" t="s">
        <v>768</v>
      </c>
      <c r="F16" t="s">
        <v>386</v>
      </c>
      <c r="G16" s="2">
        <v>4000005</v>
      </c>
    </row>
    <row r="17" spans="1:7" x14ac:dyDescent="0.25">
      <c r="A17" t="s">
        <v>2199</v>
      </c>
      <c r="B17" t="s">
        <v>1238</v>
      </c>
      <c r="C17" t="s">
        <v>1295</v>
      </c>
      <c r="D17" t="s">
        <v>1297</v>
      </c>
      <c r="E17" t="s">
        <v>1299</v>
      </c>
      <c r="F17" t="s">
        <v>1300</v>
      </c>
      <c r="G17" s="2">
        <v>142663000</v>
      </c>
    </row>
    <row r="18" spans="1:7" x14ac:dyDescent="0.25">
      <c r="A18" t="s">
        <v>2199</v>
      </c>
      <c r="B18" t="s">
        <v>1238</v>
      </c>
      <c r="C18" t="s">
        <v>1349</v>
      </c>
      <c r="D18" t="s">
        <v>1350</v>
      </c>
      <c r="E18" t="s">
        <v>1299</v>
      </c>
      <c r="F18" t="s">
        <v>1300</v>
      </c>
      <c r="G18" s="2">
        <v>210000000</v>
      </c>
    </row>
    <row r="19" spans="1:7" x14ac:dyDescent="0.25">
      <c r="A19" t="s">
        <v>2199</v>
      </c>
      <c r="B19" t="s">
        <v>1238</v>
      </c>
      <c r="C19" t="s">
        <v>1352</v>
      </c>
      <c r="D19" t="s">
        <v>1353</v>
      </c>
      <c r="E19" t="s">
        <v>1299</v>
      </c>
      <c r="F19" t="s">
        <v>1300</v>
      </c>
      <c r="G19" s="2">
        <v>129075000</v>
      </c>
    </row>
    <row r="20" spans="1:7" x14ac:dyDescent="0.25">
      <c r="A20" t="s">
        <v>2199</v>
      </c>
      <c r="B20" t="s">
        <v>374</v>
      </c>
      <c r="C20" t="s">
        <v>1590</v>
      </c>
      <c r="D20" t="s">
        <v>1591</v>
      </c>
      <c r="E20" t="s">
        <v>761</v>
      </c>
      <c r="F20" t="s">
        <v>762</v>
      </c>
      <c r="G20" s="2">
        <v>295000</v>
      </c>
    </row>
    <row r="21" spans="1:7" x14ac:dyDescent="0.25">
      <c r="A21" t="s">
        <v>2199</v>
      </c>
      <c r="B21" t="s">
        <v>374</v>
      </c>
      <c r="C21" t="s">
        <v>1575</v>
      </c>
      <c r="D21" t="s">
        <v>1576</v>
      </c>
      <c r="E21" t="s">
        <v>761</v>
      </c>
      <c r="F21" t="s">
        <v>762</v>
      </c>
      <c r="G21" s="2">
        <v>6710000</v>
      </c>
    </row>
    <row r="22" spans="1:7" x14ac:dyDescent="0.25">
      <c r="A22" t="s">
        <v>2199</v>
      </c>
      <c r="B22" t="s">
        <v>374</v>
      </c>
      <c r="C22" t="s">
        <v>1595</v>
      </c>
      <c r="D22" t="s">
        <v>1597</v>
      </c>
      <c r="E22" t="s">
        <v>761</v>
      </c>
      <c r="F22" t="s">
        <v>762</v>
      </c>
      <c r="G22" s="2">
        <v>360000</v>
      </c>
    </row>
    <row r="23" spans="1:7" x14ac:dyDescent="0.25">
      <c r="A23" t="s">
        <v>2199</v>
      </c>
      <c r="B23" t="s">
        <v>374</v>
      </c>
      <c r="C23" t="s">
        <v>1645</v>
      </c>
      <c r="D23" t="s">
        <v>1646</v>
      </c>
      <c r="E23" t="s">
        <v>1649</v>
      </c>
      <c r="F23" t="s">
        <v>762</v>
      </c>
      <c r="G23" s="2">
        <v>4160004</v>
      </c>
    </row>
    <row r="24" spans="1:7" x14ac:dyDescent="0.25">
      <c r="A24" t="s">
        <v>2199</v>
      </c>
      <c r="B24" t="s">
        <v>374</v>
      </c>
      <c r="C24" t="s">
        <v>1650</v>
      </c>
      <c r="D24" t="s">
        <v>1651</v>
      </c>
      <c r="E24" t="s">
        <v>761</v>
      </c>
      <c r="F24" t="s">
        <v>762</v>
      </c>
      <c r="G24" s="2">
        <v>200004</v>
      </c>
    </row>
    <row r="25" spans="1:7" x14ac:dyDescent="0.25">
      <c r="A25" t="s">
        <v>2199</v>
      </c>
      <c r="B25" t="s">
        <v>374</v>
      </c>
      <c r="C25" t="s">
        <v>1654</v>
      </c>
      <c r="D25" t="s">
        <v>1655</v>
      </c>
      <c r="E25" t="s">
        <v>761</v>
      </c>
      <c r="F25" t="s">
        <v>762</v>
      </c>
      <c r="G25" s="2">
        <v>280000</v>
      </c>
    </row>
    <row r="26" spans="1:7" x14ac:dyDescent="0.25">
      <c r="A26" t="s">
        <v>2199</v>
      </c>
      <c r="B26" t="s">
        <v>374</v>
      </c>
      <c r="C26" t="s">
        <v>1657</v>
      </c>
      <c r="D26" t="s">
        <v>1658</v>
      </c>
      <c r="E26" t="s">
        <v>1660</v>
      </c>
      <c r="F26" t="s">
        <v>1661</v>
      </c>
      <c r="G26" s="2">
        <v>18710018</v>
      </c>
    </row>
    <row r="27" spans="1:7" x14ac:dyDescent="0.25">
      <c r="A27" t="s">
        <v>2199</v>
      </c>
      <c r="B27" t="s">
        <v>374</v>
      </c>
      <c r="C27" t="s">
        <v>1967</v>
      </c>
      <c r="D27" t="s">
        <v>1969</v>
      </c>
      <c r="E27" t="s">
        <v>768</v>
      </c>
      <c r="F27" t="s">
        <v>1972</v>
      </c>
      <c r="G27" s="2">
        <v>207409</v>
      </c>
    </row>
    <row r="28" spans="1:7" x14ac:dyDescent="0.25">
      <c r="A28" t="s">
        <v>2199</v>
      </c>
      <c r="B28" t="s">
        <v>374</v>
      </c>
      <c r="C28" t="s">
        <v>2028</v>
      </c>
      <c r="D28" t="s">
        <v>2029</v>
      </c>
      <c r="E28" t="s">
        <v>2032</v>
      </c>
      <c r="F28" t="s">
        <v>2033</v>
      </c>
      <c r="G28" s="2">
        <v>7584540</v>
      </c>
    </row>
    <row r="29" spans="1:7" x14ac:dyDescent="0.25">
      <c r="A29" t="s">
        <v>2199</v>
      </c>
      <c r="B29" t="s">
        <v>374</v>
      </c>
      <c r="C29" t="s">
        <v>2080</v>
      </c>
      <c r="D29" t="s">
        <v>2081</v>
      </c>
      <c r="E29" t="s">
        <v>768</v>
      </c>
      <c r="F29" t="s">
        <v>386</v>
      </c>
      <c r="G29" s="2">
        <v>350280</v>
      </c>
    </row>
    <row r="30" spans="1:7" x14ac:dyDescent="0.25">
      <c r="A30" t="s">
        <v>2199</v>
      </c>
      <c r="B30" t="s">
        <v>374</v>
      </c>
      <c r="C30" t="s">
        <v>2086</v>
      </c>
      <c r="D30" t="s">
        <v>2087</v>
      </c>
      <c r="E30" t="s">
        <v>768</v>
      </c>
      <c r="F30" t="s">
        <v>386</v>
      </c>
      <c r="G30" s="2">
        <v>506160</v>
      </c>
    </row>
    <row r="31" spans="1:7" x14ac:dyDescent="0.25">
      <c r="A31" t="s">
        <v>2199</v>
      </c>
      <c r="B31" t="s">
        <v>374</v>
      </c>
      <c r="C31" t="s">
        <v>2110</v>
      </c>
      <c r="D31" t="s">
        <v>2111</v>
      </c>
      <c r="E31" t="s">
        <v>768</v>
      </c>
      <c r="F31" t="s">
        <v>386</v>
      </c>
      <c r="G31" s="2">
        <v>1303030</v>
      </c>
    </row>
    <row r="32" spans="1:7" x14ac:dyDescent="0.25">
      <c r="A32" t="s">
        <v>2199</v>
      </c>
      <c r="B32" t="s">
        <v>374</v>
      </c>
      <c r="C32" t="s">
        <v>2159</v>
      </c>
      <c r="D32" t="s">
        <v>2160</v>
      </c>
      <c r="E32" t="s">
        <v>761</v>
      </c>
      <c r="F32" t="s">
        <v>762</v>
      </c>
      <c r="G32" s="2">
        <v>7810025</v>
      </c>
    </row>
    <row r="33" spans="1:7" x14ac:dyDescent="0.25">
      <c r="A33" t="s">
        <v>2199</v>
      </c>
      <c r="B33" t="s">
        <v>374</v>
      </c>
      <c r="C33" t="s">
        <v>2181</v>
      </c>
      <c r="D33" t="s">
        <v>2182</v>
      </c>
      <c r="E33" t="s">
        <v>761</v>
      </c>
      <c r="F33" t="s">
        <v>762</v>
      </c>
      <c r="G33" s="2">
        <v>280008</v>
      </c>
    </row>
    <row r="34" spans="1:7" x14ac:dyDescent="0.25">
      <c r="A34" t="s">
        <v>2199</v>
      </c>
      <c r="B34" t="s">
        <v>374</v>
      </c>
      <c r="C34" t="s">
        <v>584</v>
      </c>
      <c r="D34" t="s">
        <v>586</v>
      </c>
      <c r="E34" t="s">
        <v>590</v>
      </c>
      <c r="F34" t="s">
        <v>591</v>
      </c>
      <c r="G34" s="2">
        <v>56320000</v>
      </c>
    </row>
    <row r="35" spans="1:7" x14ac:dyDescent="0.25">
      <c r="A35" t="s">
        <v>2199</v>
      </c>
      <c r="B35" t="s">
        <v>374</v>
      </c>
      <c r="C35" t="s">
        <v>605</v>
      </c>
      <c r="D35" t="s">
        <v>607</v>
      </c>
      <c r="E35" t="s">
        <v>609</v>
      </c>
      <c r="F35" t="s">
        <v>610</v>
      </c>
      <c r="G35" s="2">
        <v>60000000</v>
      </c>
    </row>
    <row r="36" spans="1:7" x14ac:dyDescent="0.25">
      <c r="A36" t="s">
        <v>2199</v>
      </c>
      <c r="B36" t="s">
        <v>374</v>
      </c>
      <c r="C36" t="s">
        <v>614</v>
      </c>
      <c r="D36" t="s">
        <v>616</v>
      </c>
      <c r="E36" t="s">
        <v>590</v>
      </c>
      <c r="F36" t="s">
        <v>591</v>
      </c>
      <c r="G36" s="2">
        <v>410000</v>
      </c>
    </row>
    <row r="37" spans="1:7" x14ac:dyDescent="0.25">
      <c r="A37" t="s">
        <v>2199</v>
      </c>
      <c r="B37" t="s">
        <v>374</v>
      </c>
      <c r="C37" t="s">
        <v>683</v>
      </c>
      <c r="D37" t="s">
        <v>684</v>
      </c>
      <c r="E37" t="s">
        <v>657</v>
      </c>
      <c r="F37" t="s">
        <v>658</v>
      </c>
      <c r="G37" s="2">
        <v>225000</v>
      </c>
    </row>
    <row r="38" spans="1:7" x14ac:dyDescent="0.25">
      <c r="A38" t="s">
        <v>2199</v>
      </c>
      <c r="B38" t="s">
        <v>374</v>
      </c>
      <c r="C38" t="s">
        <v>693</v>
      </c>
      <c r="D38" t="s">
        <v>694</v>
      </c>
      <c r="E38" t="s">
        <v>657</v>
      </c>
      <c r="F38" t="s">
        <v>658</v>
      </c>
      <c r="G38" s="2">
        <v>260000</v>
      </c>
    </row>
    <row r="39" spans="1:7" x14ac:dyDescent="0.25">
      <c r="A39" t="s">
        <v>2199</v>
      </c>
      <c r="B39" t="s">
        <v>374</v>
      </c>
      <c r="C39" t="s">
        <v>699</v>
      </c>
      <c r="D39" t="s">
        <v>700</v>
      </c>
      <c r="E39" t="s">
        <v>657</v>
      </c>
      <c r="F39" t="s">
        <v>658</v>
      </c>
      <c r="G39" s="2">
        <v>900000</v>
      </c>
    </row>
    <row r="40" spans="1:7" x14ac:dyDescent="0.25">
      <c r="A40" t="s">
        <v>2199</v>
      </c>
      <c r="B40" t="s">
        <v>374</v>
      </c>
      <c r="C40" t="s">
        <v>702</v>
      </c>
      <c r="D40" t="s">
        <v>703</v>
      </c>
      <c r="E40" t="s">
        <v>657</v>
      </c>
      <c r="F40" t="s">
        <v>658</v>
      </c>
      <c r="G40" s="2">
        <v>625000</v>
      </c>
    </row>
    <row r="41" spans="1:7" x14ac:dyDescent="0.25">
      <c r="A41" t="s">
        <v>2199</v>
      </c>
      <c r="B41" t="s">
        <v>374</v>
      </c>
      <c r="C41" t="s">
        <v>709</v>
      </c>
      <c r="D41" t="s">
        <v>710</v>
      </c>
      <c r="E41" t="s">
        <v>590</v>
      </c>
      <c r="F41" t="s">
        <v>591</v>
      </c>
      <c r="G41" s="2">
        <v>150000</v>
      </c>
    </row>
    <row r="42" spans="1:7" x14ac:dyDescent="0.25">
      <c r="A42" t="s">
        <v>2199</v>
      </c>
      <c r="B42" t="s">
        <v>374</v>
      </c>
      <c r="C42" t="s">
        <v>737</v>
      </c>
      <c r="D42" t="s">
        <v>738</v>
      </c>
      <c r="E42" t="s">
        <v>657</v>
      </c>
      <c r="F42" t="s">
        <v>658</v>
      </c>
      <c r="G42" s="2">
        <v>2772880</v>
      </c>
    </row>
    <row r="43" spans="1:7" x14ac:dyDescent="0.25">
      <c r="A43" t="s">
        <v>2199</v>
      </c>
      <c r="B43" t="s">
        <v>374</v>
      </c>
      <c r="C43" t="s">
        <v>741</v>
      </c>
      <c r="D43" t="s">
        <v>742</v>
      </c>
      <c r="E43" t="s">
        <v>657</v>
      </c>
      <c r="F43" t="s">
        <v>658</v>
      </c>
      <c r="G43" s="2">
        <v>1468231</v>
      </c>
    </row>
    <row r="44" spans="1:7" x14ac:dyDescent="0.25">
      <c r="A44" t="s">
        <v>2199</v>
      </c>
      <c r="B44" t="s">
        <v>374</v>
      </c>
      <c r="C44" t="s">
        <v>749</v>
      </c>
      <c r="D44" t="s">
        <v>750</v>
      </c>
      <c r="E44" t="s">
        <v>657</v>
      </c>
      <c r="F44" t="s">
        <v>658</v>
      </c>
      <c r="G44" s="2">
        <v>350000</v>
      </c>
    </row>
    <row r="45" spans="1:7" x14ac:dyDescent="0.25">
      <c r="A45" t="s">
        <v>2199</v>
      </c>
      <c r="B45" t="s">
        <v>374</v>
      </c>
      <c r="C45" t="s">
        <v>753</v>
      </c>
      <c r="D45" t="s">
        <v>754</v>
      </c>
      <c r="E45" t="s">
        <v>657</v>
      </c>
      <c r="F45" t="s">
        <v>658</v>
      </c>
      <c r="G45" s="2">
        <v>1287890</v>
      </c>
    </row>
    <row r="46" spans="1:7" x14ac:dyDescent="0.25">
      <c r="A46" t="s">
        <v>2199</v>
      </c>
      <c r="B46" t="s">
        <v>374</v>
      </c>
      <c r="C46" t="s">
        <v>765</v>
      </c>
      <c r="D46" t="s">
        <v>766</v>
      </c>
      <c r="E46" t="s">
        <v>768</v>
      </c>
      <c r="F46" t="s">
        <v>386</v>
      </c>
      <c r="G46" s="2">
        <v>283834</v>
      </c>
    </row>
    <row r="47" spans="1:7" x14ac:dyDescent="0.25">
      <c r="A47" t="s">
        <v>2199</v>
      </c>
      <c r="B47" t="s">
        <v>374</v>
      </c>
      <c r="C47" t="s">
        <v>782</v>
      </c>
      <c r="D47" t="s">
        <v>784</v>
      </c>
      <c r="E47" t="s">
        <v>768</v>
      </c>
      <c r="F47" t="s">
        <v>386</v>
      </c>
      <c r="G47" s="2">
        <v>266424</v>
      </c>
    </row>
    <row r="48" spans="1:7" x14ac:dyDescent="0.25">
      <c r="A48" t="s">
        <v>2199</v>
      </c>
      <c r="B48" t="s">
        <v>374</v>
      </c>
      <c r="C48" t="s">
        <v>794</v>
      </c>
      <c r="D48" t="s">
        <v>795</v>
      </c>
      <c r="E48" t="s">
        <v>768</v>
      </c>
      <c r="F48" t="s">
        <v>386</v>
      </c>
      <c r="G48" s="2">
        <v>503080</v>
      </c>
    </row>
    <row r="49" spans="1:7" x14ac:dyDescent="0.25">
      <c r="A49" t="s">
        <v>2199</v>
      </c>
      <c r="B49" t="s">
        <v>374</v>
      </c>
      <c r="C49" t="s">
        <v>799</v>
      </c>
      <c r="D49" t="s">
        <v>801</v>
      </c>
      <c r="E49" t="s">
        <v>768</v>
      </c>
      <c r="F49" t="s">
        <v>386</v>
      </c>
      <c r="G49" s="2">
        <v>85670</v>
      </c>
    </row>
    <row r="50" spans="1:7" x14ac:dyDescent="0.25">
      <c r="A50" t="s">
        <v>2199</v>
      </c>
      <c r="B50" t="s">
        <v>374</v>
      </c>
      <c r="C50" t="s">
        <v>822</v>
      </c>
      <c r="D50" t="s">
        <v>823</v>
      </c>
      <c r="E50" t="s">
        <v>768</v>
      </c>
      <c r="F50" t="s">
        <v>386</v>
      </c>
      <c r="G50" s="2">
        <v>450012</v>
      </c>
    </row>
    <row r="51" spans="1:7" x14ac:dyDescent="0.25">
      <c r="A51" t="s">
        <v>2199</v>
      </c>
      <c r="B51" t="s">
        <v>374</v>
      </c>
      <c r="C51" t="s">
        <v>841</v>
      </c>
      <c r="D51" t="s">
        <v>843</v>
      </c>
      <c r="E51" t="s">
        <v>768</v>
      </c>
      <c r="F51" t="s">
        <v>386</v>
      </c>
      <c r="G51" s="2">
        <v>150000</v>
      </c>
    </row>
    <row r="52" spans="1:7" x14ac:dyDescent="0.25">
      <c r="A52" t="s">
        <v>2199</v>
      </c>
      <c r="B52" t="s">
        <v>374</v>
      </c>
      <c r="C52" t="s">
        <v>847</v>
      </c>
      <c r="D52" t="s">
        <v>848</v>
      </c>
      <c r="E52" t="s">
        <v>768</v>
      </c>
      <c r="F52" t="s">
        <v>386</v>
      </c>
      <c r="G52" s="2">
        <v>72793</v>
      </c>
    </row>
    <row r="53" spans="1:7" x14ac:dyDescent="0.25">
      <c r="A53" t="s">
        <v>2199</v>
      </c>
      <c r="B53" t="s">
        <v>374</v>
      </c>
      <c r="C53" t="s">
        <v>851</v>
      </c>
      <c r="D53" t="s">
        <v>852</v>
      </c>
      <c r="E53" t="s">
        <v>768</v>
      </c>
      <c r="F53" t="s">
        <v>386</v>
      </c>
      <c r="G53" s="2">
        <v>589022</v>
      </c>
    </row>
    <row r="54" spans="1:7" x14ac:dyDescent="0.25">
      <c r="A54" t="s">
        <v>2199</v>
      </c>
      <c r="B54" t="s">
        <v>374</v>
      </c>
      <c r="C54" t="s">
        <v>856</v>
      </c>
      <c r="D54" t="s">
        <v>857</v>
      </c>
      <c r="E54" t="s">
        <v>768</v>
      </c>
      <c r="F54" t="s">
        <v>386</v>
      </c>
      <c r="G54" s="2">
        <v>300000</v>
      </c>
    </row>
    <row r="55" spans="1:7" x14ac:dyDescent="0.25">
      <c r="A55" t="s">
        <v>2199</v>
      </c>
      <c r="B55" t="s">
        <v>374</v>
      </c>
      <c r="C55" t="s">
        <v>915</v>
      </c>
      <c r="D55" t="s">
        <v>916</v>
      </c>
      <c r="E55" t="s">
        <v>768</v>
      </c>
      <c r="F55" t="s">
        <v>386</v>
      </c>
      <c r="G55" s="2">
        <v>399870</v>
      </c>
    </row>
    <row r="56" spans="1:7" x14ac:dyDescent="0.25">
      <c r="A56" t="s">
        <v>2199</v>
      </c>
      <c r="B56" t="s">
        <v>374</v>
      </c>
      <c r="C56" t="s">
        <v>919</v>
      </c>
      <c r="D56" t="s">
        <v>920</v>
      </c>
      <c r="E56" t="s">
        <v>768</v>
      </c>
      <c r="F56" t="s">
        <v>386</v>
      </c>
      <c r="G56" s="2">
        <v>159016</v>
      </c>
    </row>
    <row r="57" spans="1:7" x14ac:dyDescent="0.25">
      <c r="A57" t="s">
        <v>2199</v>
      </c>
      <c r="B57" t="s">
        <v>374</v>
      </c>
      <c r="C57" t="s">
        <v>927</v>
      </c>
      <c r="D57" t="s">
        <v>928</v>
      </c>
      <c r="E57" t="s">
        <v>768</v>
      </c>
      <c r="F57" t="s">
        <v>386</v>
      </c>
      <c r="G57" s="2">
        <v>1131791</v>
      </c>
    </row>
    <row r="58" spans="1:7" x14ac:dyDescent="0.25">
      <c r="A58" t="s">
        <v>2199</v>
      </c>
      <c r="B58" t="s">
        <v>374</v>
      </c>
      <c r="C58" t="s">
        <v>1030</v>
      </c>
      <c r="D58" t="s">
        <v>1032</v>
      </c>
      <c r="E58" t="s">
        <v>1035</v>
      </c>
      <c r="F58" t="s">
        <v>1036</v>
      </c>
      <c r="G58" s="2">
        <v>30400000</v>
      </c>
    </row>
    <row r="59" spans="1:7" x14ac:dyDescent="0.25">
      <c r="A59" t="s">
        <v>2199</v>
      </c>
      <c r="B59" t="s">
        <v>374</v>
      </c>
      <c r="C59" t="s">
        <v>1052</v>
      </c>
      <c r="D59" t="s">
        <v>1053</v>
      </c>
      <c r="E59" t="s">
        <v>768</v>
      </c>
      <c r="F59" t="s">
        <v>386</v>
      </c>
      <c r="G59" s="2">
        <v>211860</v>
      </c>
    </row>
    <row r="60" spans="1:7" x14ac:dyDescent="0.25">
      <c r="A60" t="s">
        <v>2199</v>
      </c>
      <c r="B60" t="s">
        <v>374</v>
      </c>
      <c r="C60" t="s">
        <v>1055</v>
      </c>
      <c r="D60" t="s">
        <v>1056</v>
      </c>
      <c r="E60" t="s">
        <v>768</v>
      </c>
      <c r="F60" t="s">
        <v>386</v>
      </c>
      <c r="G60" s="2">
        <v>263860</v>
      </c>
    </row>
    <row r="61" spans="1:7" x14ac:dyDescent="0.25">
      <c r="A61" t="s">
        <v>2199</v>
      </c>
      <c r="B61" t="s">
        <v>374</v>
      </c>
      <c r="C61" t="s">
        <v>1066</v>
      </c>
      <c r="D61" t="s">
        <v>1067</v>
      </c>
      <c r="E61" t="s">
        <v>790</v>
      </c>
      <c r="F61" t="s">
        <v>791</v>
      </c>
      <c r="G61" s="2">
        <v>1750000</v>
      </c>
    </row>
    <row r="62" spans="1:7" x14ac:dyDescent="0.25">
      <c r="A62" t="s">
        <v>2199</v>
      </c>
      <c r="B62" t="s">
        <v>374</v>
      </c>
      <c r="C62" t="s">
        <v>1143</v>
      </c>
      <c r="D62" t="s">
        <v>1144</v>
      </c>
      <c r="E62" t="s">
        <v>768</v>
      </c>
      <c r="F62" t="s">
        <v>386</v>
      </c>
      <c r="G62" s="2">
        <v>249504</v>
      </c>
    </row>
    <row r="63" spans="1:7" x14ac:dyDescent="0.25">
      <c r="A63" t="s">
        <v>2199</v>
      </c>
      <c r="B63" t="s">
        <v>374</v>
      </c>
      <c r="C63" t="s">
        <v>1149</v>
      </c>
      <c r="D63" t="s">
        <v>1150</v>
      </c>
      <c r="E63" t="s">
        <v>1152</v>
      </c>
      <c r="F63" t="s">
        <v>1153</v>
      </c>
      <c r="G63" s="2">
        <v>672240</v>
      </c>
    </row>
    <row r="64" spans="1:7" x14ac:dyDescent="0.25">
      <c r="A64" t="s">
        <v>2199</v>
      </c>
      <c r="B64" t="s">
        <v>374</v>
      </c>
      <c r="C64" t="s">
        <v>1171</v>
      </c>
      <c r="D64" t="s">
        <v>1172</v>
      </c>
      <c r="E64" t="s">
        <v>1152</v>
      </c>
      <c r="F64" t="s">
        <v>1153</v>
      </c>
      <c r="G64" s="2">
        <v>2975561</v>
      </c>
    </row>
    <row r="65" spans="1:7" x14ac:dyDescent="0.25">
      <c r="A65" t="s">
        <v>2199</v>
      </c>
      <c r="B65" t="s">
        <v>374</v>
      </c>
      <c r="C65" t="s">
        <v>1193</v>
      </c>
      <c r="D65" t="s">
        <v>1194</v>
      </c>
      <c r="E65" t="s">
        <v>733</v>
      </c>
      <c r="F65" t="s">
        <v>734</v>
      </c>
      <c r="G65" s="2">
        <v>1500000</v>
      </c>
    </row>
    <row r="66" spans="1:7" x14ac:dyDescent="0.25">
      <c r="A66" t="s">
        <v>2199</v>
      </c>
      <c r="B66" t="s">
        <v>374</v>
      </c>
      <c r="C66" t="s">
        <v>1264</v>
      </c>
      <c r="D66" t="s">
        <v>1266</v>
      </c>
      <c r="E66" t="s">
        <v>768</v>
      </c>
      <c r="F66" t="s">
        <v>386</v>
      </c>
      <c r="G66" s="2">
        <v>277131</v>
      </c>
    </row>
    <row r="67" spans="1:7" hidden="1" x14ac:dyDescent="0.25">
      <c r="A67" t="s">
        <v>2196</v>
      </c>
      <c r="B67" t="s">
        <v>2196</v>
      </c>
      <c r="C67" t="s">
        <v>29</v>
      </c>
      <c r="D67" t="s">
        <v>33</v>
      </c>
      <c r="E67" t="s">
        <v>37</v>
      </c>
      <c r="F67" t="s">
        <v>38</v>
      </c>
      <c r="G67" s="2">
        <v>30000000</v>
      </c>
    </row>
    <row r="68" spans="1:7" hidden="1" x14ac:dyDescent="0.25">
      <c r="A68" t="s">
        <v>2196</v>
      </c>
      <c r="B68" t="s">
        <v>2196</v>
      </c>
      <c r="C68" t="s">
        <v>284</v>
      </c>
      <c r="D68" t="s">
        <v>286</v>
      </c>
      <c r="E68" t="s">
        <v>290</v>
      </c>
      <c r="F68" t="s">
        <v>291</v>
      </c>
      <c r="G68" s="2">
        <v>75000000</v>
      </c>
    </row>
    <row r="69" spans="1:7" hidden="1" x14ac:dyDescent="0.25">
      <c r="A69" t="s">
        <v>2196</v>
      </c>
      <c r="B69" t="s">
        <v>2196</v>
      </c>
      <c r="C69" t="s">
        <v>44</v>
      </c>
      <c r="D69" t="s">
        <v>46</v>
      </c>
      <c r="E69" t="s">
        <v>37</v>
      </c>
      <c r="F69" t="s">
        <v>49</v>
      </c>
      <c r="G69" s="2">
        <v>6711996</v>
      </c>
    </row>
    <row r="70" spans="1:7" hidden="1" x14ac:dyDescent="0.25">
      <c r="A70" t="s">
        <v>2196</v>
      </c>
      <c r="B70" t="s">
        <v>2196</v>
      </c>
      <c r="C70" t="s">
        <v>298</v>
      </c>
      <c r="D70" t="s">
        <v>300</v>
      </c>
      <c r="E70" t="s">
        <v>182</v>
      </c>
      <c r="F70" t="s">
        <v>302</v>
      </c>
      <c r="G70" s="2">
        <v>144000000</v>
      </c>
    </row>
    <row r="71" spans="1:7" hidden="1" x14ac:dyDescent="0.25">
      <c r="A71" t="s">
        <v>2196</v>
      </c>
      <c r="B71" t="s">
        <v>2196</v>
      </c>
      <c r="C71" t="s">
        <v>304</v>
      </c>
      <c r="D71" t="s">
        <v>305</v>
      </c>
      <c r="E71" t="s">
        <v>309</v>
      </c>
      <c r="F71" t="s">
        <v>310</v>
      </c>
      <c r="G71" s="2">
        <v>40833335</v>
      </c>
    </row>
    <row r="72" spans="1:7" hidden="1" x14ac:dyDescent="0.25">
      <c r="A72" t="s">
        <v>2196</v>
      </c>
      <c r="B72" t="s">
        <v>2196</v>
      </c>
      <c r="C72" t="s">
        <v>191</v>
      </c>
      <c r="D72" t="s">
        <v>201</v>
      </c>
      <c r="E72" t="s">
        <v>197</v>
      </c>
      <c r="F72" t="s">
        <v>198</v>
      </c>
      <c r="G72" s="8">
        <v>111102840</v>
      </c>
    </row>
    <row r="73" spans="1:7" hidden="1" x14ac:dyDescent="0.25">
      <c r="A73" t="s">
        <v>2196</v>
      </c>
      <c r="B73" t="s">
        <v>2196</v>
      </c>
      <c r="C73" t="s">
        <v>202</v>
      </c>
      <c r="D73" t="s">
        <v>203</v>
      </c>
      <c r="E73" t="s">
        <v>182</v>
      </c>
      <c r="F73" t="s">
        <v>183</v>
      </c>
      <c r="G73" s="2">
        <v>70333380</v>
      </c>
    </row>
    <row r="74" spans="1:7" hidden="1" x14ac:dyDescent="0.25">
      <c r="A74" t="s">
        <v>2196</v>
      </c>
      <c r="B74" t="s">
        <v>2196</v>
      </c>
      <c r="C74" t="s">
        <v>214</v>
      </c>
      <c r="D74" t="s">
        <v>216</v>
      </c>
      <c r="E74" t="s">
        <v>218</v>
      </c>
      <c r="F74" t="s">
        <v>219</v>
      </c>
      <c r="G74" s="2">
        <v>6255504</v>
      </c>
    </row>
    <row r="75" spans="1:7" hidden="1" x14ac:dyDescent="0.25">
      <c r="A75" t="s">
        <v>2196</v>
      </c>
      <c r="B75" t="s">
        <v>2196</v>
      </c>
      <c r="C75" t="s">
        <v>51</v>
      </c>
      <c r="D75" t="s">
        <v>52</v>
      </c>
      <c r="E75" t="s">
        <v>55</v>
      </c>
      <c r="F75" t="s">
        <v>56</v>
      </c>
      <c r="G75" s="2">
        <v>6712008</v>
      </c>
    </row>
    <row r="76" spans="1:7" hidden="1" x14ac:dyDescent="0.25">
      <c r="A76" t="s">
        <v>2196</v>
      </c>
      <c r="B76" t="s">
        <v>2196</v>
      </c>
      <c r="C76" t="s">
        <v>222</v>
      </c>
      <c r="D76" t="s">
        <v>224</v>
      </c>
      <c r="E76" t="s">
        <v>227</v>
      </c>
      <c r="F76" t="s">
        <v>228</v>
      </c>
      <c r="G76" s="2">
        <v>48115128</v>
      </c>
    </row>
    <row r="77" spans="1:7" hidden="1" x14ac:dyDescent="0.25">
      <c r="A77" t="s">
        <v>2196</v>
      </c>
      <c r="B77" t="s">
        <v>2196</v>
      </c>
      <c r="C77" t="s">
        <v>238</v>
      </c>
      <c r="D77" t="s">
        <v>239</v>
      </c>
      <c r="E77" t="s">
        <v>227</v>
      </c>
      <c r="F77" t="s">
        <v>228</v>
      </c>
      <c r="G77" s="2">
        <v>237155100</v>
      </c>
    </row>
    <row r="78" spans="1:7" hidden="1" x14ac:dyDescent="0.25">
      <c r="A78" t="s">
        <v>2196</v>
      </c>
      <c r="B78" t="s">
        <v>2196</v>
      </c>
      <c r="C78" t="s">
        <v>244</v>
      </c>
      <c r="D78" t="s">
        <v>245</v>
      </c>
      <c r="E78" t="s">
        <v>227</v>
      </c>
      <c r="F78" t="s">
        <v>228</v>
      </c>
      <c r="G78" s="2">
        <v>284700000</v>
      </c>
    </row>
    <row r="79" spans="1:7" hidden="1" x14ac:dyDescent="0.25">
      <c r="A79" t="s">
        <v>2196</v>
      </c>
      <c r="B79" t="s">
        <v>2196</v>
      </c>
      <c r="C79" t="s">
        <v>68</v>
      </c>
      <c r="D79" t="s">
        <v>70</v>
      </c>
      <c r="E79" t="s">
        <v>74</v>
      </c>
      <c r="F79" t="s">
        <v>75</v>
      </c>
      <c r="G79" s="2">
        <v>40432878</v>
      </c>
    </row>
    <row r="80" spans="1:7" hidden="1" x14ac:dyDescent="0.25">
      <c r="A80" t="s">
        <v>2196</v>
      </c>
      <c r="B80" t="s">
        <v>2196</v>
      </c>
      <c r="C80" t="s">
        <v>59</v>
      </c>
      <c r="D80" t="s">
        <v>60</v>
      </c>
      <c r="E80" t="s">
        <v>64</v>
      </c>
      <c r="F80" t="s">
        <v>65</v>
      </c>
      <c r="G80" s="2">
        <v>43333332</v>
      </c>
    </row>
    <row r="81" spans="1:7" hidden="1" x14ac:dyDescent="0.25">
      <c r="A81" t="s">
        <v>2196</v>
      </c>
      <c r="B81" t="s">
        <v>2196</v>
      </c>
      <c r="C81" t="s">
        <v>82</v>
      </c>
      <c r="D81" t="s">
        <v>83</v>
      </c>
      <c r="E81" t="s">
        <v>74</v>
      </c>
      <c r="F81" t="s">
        <v>85</v>
      </c>
      <c r="G81" s="2">
        <v>78361124</v>
      </c>
    </row>
    <row r="82" spans="1:7" hidden="1" x14ac:dyDescent="0.25">
      <c r="A82" t="s">
        <v>2196</v>
      </c>
      <c r="B82" t="s">
        <v>2196</v>
      </c>
      <c r="C82" t="s">
        <v>91</v>
      </c>
      <c r="D82" t="s">
        <v>92</v>
      </c>
      <c r="E82" t="s">
        <v>74</v>
      </c>
      <c r="F82" t="s">
        <v>85</v>
      </c>
      <c r="G82" s="2">
        <v>78361124</v>
      </c>
    </row>
    <row r="83" spans="1:7" hidden="1" x14ac:dyDescent="0.25">
      <c r="A83" t="s">
        <v>2196</v>
      </c>
      <c r="B83" t="s">
        <v>2196</v>
      </c>
      <c r="C83" t="s">
        <v>103</v>
      </c>
      <c r="D83" t="s">
        <v>105</v>
      </c>
      <c r="E83" t="s">
        <v>109</v>
      </c>
      <c r="F83" t="s">
        <v>110</v>
      </c>
      <c r="G83" s="2">
        <v>18060000</v>
      </c>
    </row>
    <row r="84" spans="1:7" hidden="1" x14ac:dyDescent="0.25">
      <c r="A84" t="s">
        <v>2196</v>
      </c>
      <c r="B84" t="s">
        <v>2196</v>
      </c>
      <c r="C84" t="s">
        <v>117</v>
      </c>
      <c r="D84" t="s">
        <v>119</v>
      </c>
      <c r="E84" t="s">
        <v>122</v>
      </c>
      <c r="F84" t="s">
        <v>123</v>
      </c>
      <c r="G84" s="2">
        <v>150000000</v>
      </c>
    </row>
    <row r="85" spans="1:7" hidden="1" x14ac:dyDescent="0.25">
      <c r="A85" t="s">
        <v>2196</v>
      </c>
      <c r="B85" t="s">
        <v>2196</v>
      </c>
      <c r="C85" t="s">
        <v>128</v>
      </c>
      <c r="D85" t="s">
        <v>130</v>
      </c>
      <c r="E85" t="s">
        <v>109</v>
      </c>
      <c r="F85" t="s">
        <v>133</v>
      </c>
      <c r="G85" s="2">
        <v>397359215</v>
      </c>
    </row>
    <row r="86" spans="1:7" hidden="1" x14ac:dyDescent="0.25">
      <c r="A86" t="s">
        <v>2196</v>
      </c>
      <c r="B86" t="s">
        <v>2196</v>
      </c>
      <c r="C86" t="s">
        <v>136</v>
      </c>
      <c r="D86" t="s">
        <v>138</v>
      </c>
      <c r="E86" t="s">
        <v>141</v>
      </c>
      <c r="F86" t="s">
        <v>142</v>
      </c>
      <c r="G86" s="2">
        <v>496977708</v>
      </c>
    </row>
    <row r="87" spans="1:7" hidden="1" x14ac:dyDescent="0.25">
      <c r="A87" t="s">
        <v>2196</v>
      </c>
      <c r="B87" t="s">
        <v>2196</v>
      </c>
      <c r="C87" t="s">
        <v>148</v>
      </c>
      <c r="D87" t="s">
        <v>150</v>
      </c>
      <c r="E87" t="s">
        <v>153</v>
      </c>
      <c r="F87" t="s">
        <v>154</v>
      </c>
      <c r="G87" s="2">
        <v>118000004</v>
      </c>
    </row>
    <row r="88" spans="1:7" hidden="1" x14ac:dyDescent="0.25">
      <c r="A88" t="s">
        <v>2196</v>
      </c>
      <c r="B88" t="s">
        <v>2196</v>
      </c>
      <c r="C88" t="s">
        <v>165</v>
      </c>
      <c r="D88" t="s">
        <v>167</v>
      </c>
      <c r="E88" t="s">
        <v>169</v>
      </c>
      <c r="F88" t="s">
        <v>65</v>
      </c>
      <c r="G88" s="2">
        <v>10000004</v>
      </c>
    </row>
    <row r="89" spans="1:7" hidden="1" x14ac:dyDescent="0.25">
      <c r="A89" t="s">
        <v>2196</v>
      </c>
      <c r="B89" t="s">
        <v>2196</v>
      </c>
      <c r="C89" t="s">
        <v>177</v>
      </c>
      <c r="D89" t="s">
        <v>179</v>
      </c>
      <c r="E89" t="s">
        <v>182</v>
      </c>
      <c r="F89" t="s">
        <v>183</v>
      </c>
      <c r="G89" s="2">
        <v>905196910</v>
      </c>
    </row>
    <row r="90" spans="1:7" hidden="1" x14ac:dyDescent="0.25">
      <c r="A90" t="s">
        <v>2196</v>
      </c>
      <c r="B90" t="s">
        <v>2196</v>
      </c>
      <c r="C90" t="s">
        <v>313</v>
      </c>
      <c r="D90" t="s">
        <v>315</v>
      </c>
      <c r="E90" t="s">
        <v>319</v>
      </c>
      <c r="F90" t="s">
        <v>320</v>
      </c>
      <c r="G90" s="2">
        <v>36208337</v>
      </c>
    </row>
    <row r="91" spans="1:7" hidden="1" x14ac:dyDescent="0.25">
      <c r="A91" t="s">
        <v>2196</v>
      </c>
      <c r="B91" t="s">
        <v>2196</v>
      </c>
      <c r="C91" t="s">
        <v>323</v>
      </c>
      <c r="D91" t="s">
        <v>324</v>
      </c>
      <c r="E91" t="s">
        <v>319</v>
      </c>
      <c r="F91" t="s">
        <v>320</v>
      </c>
      <c r="G91" s="2">
        <v>28875000</v>
      </c>
    </row>
    <row r="92" spans="1:7" hidden="1" x14ac:dyDescent="0.25">
      <c r="A92" t="s">
        <v>2196</v>
      </c>
      <c r="B92" t="s">
        <v>2196</v>
      </c>
      <c r="C92" t="s">
        <v>328</v>
      </c>
      <c r="D92" t="s">
        <v>329</v>
      </c>
      <c r="E92" t="s">
        <v>332</v>
      </c>
      <c r="F92" t="s">
        <v>333</v>
      </c>
      <c r="G92" s="2">
        <v>52500000</v>
      </c>
    </row>
    <row r="93" spans="1:7" hidden="1" x14ac:dyDescent="0.25">
      <c r="A93" t="s">
        <v>2196</v>
      </c>
      <c r="B93" t="s">
        <v>2196</v>
      </c>
      <c r="C93" t="s">
        <v>337</v>
      </c>
      <c r="D93" t="s">
        <v>338</v>
      </c>
      <c r="E93" t="s">
        <v>341</v>
      </c>
      <c r="F93" t="s">
        <v>342</v>
      </c>
      <c r="G93" s="2">
        <v>11000004</v>
      </c>
    </row>
    <row r="94" spans="1:7" hidden="1" x14ac:dyDescent="0.25">
      <c r="A94" t="s">
        <v>2196</v>
      </c>
      <c r="B94" t="s">
        <v>2196</v>
      </c>
      <c r="C94" t="s">
        <v>355</v>
      </c>
      <c r="D94" t="s">
        <v>357</v>
      </c>
      <c r="E94" t="s">
        <v>360</v>
      </c>
      <c r="F94" t="s">
        <v>361</v>
      </c>
      <c r="G94" s="2">
        <v>30250000</v>
      </c>
    </row>
    <row r="95" spans="1:7" hidden="1" x14ac:dyDescent="0.25">
      <c r="A95" t="s">
        <v>2196</v>
      </c>
      <c r="B95" t="s">
        <v>2196</v>
      </c>
      <c r="C95" t="s">
        <v>366</v>
      </c>
      <c r="D95" t="s">
        <v>368</v>
      </c>
      <c r="E95" t="s">
        <v>341</v>
      </c>
      <c r="F95" t="s">
        <v>372</v>
      </c>
      <c r="G95" s="2">
        <v>80000000</v>
      </c>
    </row>
    <row r="96" spans="1:7" hidden="1" x14ac:dyDescent="0.25">
      <c r="A96" t="s">
        <v>2196</v>
      </c>
      <c r="B96" t="s">
        <v>2196</v>
      </c>
      <c r="C96" t="s">
        <v>382</v>
      </c>
      <c r="D96" t="s">
        <v>383</v>
      </c>
      <c r="E96" t="s">
        <v>385</v>
      </c>
      <c r="F96" t="s">
        <v>386</v>
      </c>
      <c r="G96" s="2">
        <v>16041663</v>
      </c>
    </row>
    <row r="97" spans="1:7" hidden="1" x14ac:dyDescent="0.25">
      <c r="A97" t="s">
        <v>2196</v>
      </c>
      <c r="B97" t="s">
        <v>2196</v>
      </c>
      <c r="C97" t="s">
        <v>389</v>
      </c>
      <c r="D97" t="s">
        <v>390</v>
      </c>
      <c r="E97" t="s">
        <v>378</v>
      </c>
      <c r="F97" t="s">
        <v>361</v>
      </c>
      <c r="G97" s="2">
        <v>16500000</v>
      </c>
    </row>
    <row r="98" spans="1:7" hidden="1" x14ac:dyDescent="0.25">
      <c r="A98" t="s">
        <v>2196</v>
      </c>
      <c r="B98" t="s">
        <v>2196</v>
      </c>
      <c r="C98" t="s">
        <v>392</v>
      </c>
      <c r="D98" t="s">
        <v>393</v>
      </c>
      <c r="E98" t="s">
        <v>395</v>
      </c>
      <c r="F98" t="s">
        <v>396</v>
      </c>
      <c r="G98" s="2">
        <v>17416663</v>
      </c>
    </row>
    <row r="99" spans="1:7" hidden="1" x14ac:dyDescent="0.25">
      <c r="A99" t="s">
        <v>2196</v>
      </c>
      <c r="B99" t="s">
        <v>2196</v>
      </c>
      <c r="C99" t="s">
        <v>399</v>
      </c>
      <c r="D99" t="s">
        <v>400</v>
      </c>
      <c r="E99" t="s">
        <v>402</v>
      </c>
      <c r="F99" t="s">
        <v>320</v>
      </c>
      <c r="G99" s="2">
        <v>28875000</v>
      </c>
    </row>
    <row r="100" spans="1:7" hidden="1" x14ac:dyDescent="0.25">
      <c r="A100" s="49" t="s">
        <v>2196</v>
      </c>
      <c r="B100" s="49" t="s">
        <v>2196</v>
      </c>
      <c r="C100" s="49" t="s">
        <v>405</v>
      </c>
      <c r="D100" s="49" t="s">
        <v>406</v>
      </c>
      <c r="E100" t="s">
        <v>360</v>
      </c>
      <c r="F100" t="s">
        <v>361</v>
      </c>
      <c r="G100" s="2">
        <v>23833337</v>
      </c>
    </row>
    <row r="101" spans="1:7" hidden="1" x14ac:dyDescent="0.25">
      <c r="A101" t="s">
        <v>2196</v>
      </c>
      <c r="B101" t="s">
        <v>2196</v>
      </c>
      <c r="C101" t="s">
        <v>408</v>
      </c>
      <c r="D101" t="s">
        <v>410</v>
      </c>
      <c r="E101" t="s">
        <v>414</v>
      </c>
      <c r="F101" t="s">
        <v>415</v>
      </c>
      <c r="G101" s="2">
        <v>500000000</v>
      </c>
    </row>
    <row r="102" spans="1:7" hidden="1" x14ac:dyDescent="0.25">
      <c r="A102" t="s">
        <v>2196</v>
      </c>
      <c r="B102" t="s">
        <v>2196</v>
      </c>
      <c r="C102" t="s">
        <v>418</v>
      </c>
      <c r="D102" t="s">
        <v>419</v>
      </c>
      <c r="E102" t="s">
        <v>422</v>
      </c>
      <c r="F102" t="s">
        <v>423</v>
      </c>
      <c r="G102" s="2">
        <v>87524976</v>
      </c>
    </row>
    <row r="103" spans="1:7" hidden="1" x14ac:dyDescent="0.25">
      <c r="A103" t="s">
        <v>2196</v>
      </c>
      <c r="B103" t="s">
        <v>2196</v>
      </c>
      <c r="C103" t="s">
        <v>426</v>
      </c>
      <c r="D103" t="s">
        <v>428</v>
      </c>
      <c r="E103" t="s">
        <v>430</v>
      </c>
      <c r="F103" t="s">
        <v>431</v>
      </c>
      <c r="G103" s="2">
        <v>48583326</v>
      </c>
    </row>
    <row r="104" spans="1:7" hidden="1" x14ac:dyDescent="0.25">
      <c r="A104" t="s">
        <v>2196</v>
      </c>
      <c r="B104" t="s">
        <v>2196</v>
      </c>
      <c r="C104" t="s">
        <v>434</v>
      </c>
      <c r="D104" t="s">
        <v>435</v>
      </c>
      <c r="E104" t="s">
        <v>319</v>
      </c>
      <c r="F104" t="s">
        <v>320</v>
      </c>
      <c r="G104" s="2">
        <v>73333326</v>
      </c>
    </row>
    <row r="105" spans="1:7" hidden="1" x14ac:dyDescent="0.25">
      <c r="A105" t="s">
        <v>2196</v>
      </c>
      <c r="B105" t="s">
        <v>2196</v>
      </c>
      <c r="C105" t="s">
        <v>438</v>
      </c>
      <c r="D105" t="s">
        <v>440</v>
      </c>
      <c r="E105" t="s">
        <v>360</v>
      </c>
      <c r="F105" t="s">
        <v>361</v>
      </c>
      <c r="G105" s="2">
        <v>6417500</v>
      </c>
    </row>
    <row r="106" spans="1:7" hidden="1" x14ac:dyDescent="0.25">
      <c r="A106" t="s">
        <v>2196</v>
      </c>
      <c r="B106" t="s">
        <v>2196</v>
      </c>
      <c r="C106" t="s">
        <v>444</v>
      </c>
      <c r="D106" t="s">
        <v>445</v>
      </c>
      <c r="E106" t="s">
        <v>37</v>
      </c>
      <c r="F106" t="s">
        <v>449</v>
      </c>
      <c r="G106" s="2">
        <v>89478000</v>
      </c>
    </row>
    <row r="107" spans="1:7" hidden="1" x14ac:dyDescent="0.25">
      <c r="A107" t="s">
        <v>2196</v>
      </c>
      <c r="B107" t="s">
        <v>2196</v>
      </c>
      <c r="C107" t="s">
        <v>452</v>
      </c>
      <c r="D107" t="s">
        <v>454</v>
      </c>
      <c r="E107" t="s">
        <v>457</v>
      </c>
      <c r="F107" t="s">
        <v>458</v>
      </c>
      <c r="G107" s="2">
        <v>189933326</v>
      </c>
    </row>
    <row r="108" spans="1:7" hidden="1" x14ac:dyDescent="0.25">
      <c r="A108" t="s">
        <v>2196</v>
      </c>
      <c r="B108" t="s">
        <v>2196</v>
      </c>
      <c r="C108" t="s">
        <v>461</v>
      </c>
      <c r="D108" t="s">
        <v>462</v>
      </c>
      <c r="E108" t="s">
        <v>465</v>
      </c>
      <c r="F108" t="s">
        <v>466</v>
      </c>
      <c r="G108" s="2">
        <v>246357600</v>
      </c>
    </row>
    <row r="109" spans="1:7" hidden="1" x14ac:dyDescent="0.25">
      <c r="A109" t="s">
        <v>2196</v>
      </c>
      <c r="B109" t="s">
        <v>2196</v>
      </c>
      <c r="C109" t="s">
        <v>476</v>
      </c>
      <c r="D109" t="s">
        <v>477</v>
      </c>
      <c r="E109" t="s">
        <v>227</v>
      </c>
      <c r="F109" t="s">
        <v>480</v>
      </c>
      <c r="G109" s="2">
        <v>114626790</v>
      </c>
    </row>
    <row r="110" spans="1:7" hidden="1" x14ac:dyDescent="0.25">
      <c r="A110" t="s">
        <v>2196</v>
      </c>
      <c r="B110" t="s">
        <v>2196</v>
      </c>
      <c r="C110" t="s">
        <v>482</v>
      </c>
      <c r="D110" t="s">
        <v>484</v>
      </c>
      <c r="E110" t="s">
        <v>487</v>
      </c>
      <c r="F110" t="s">
        <v>488</v>
      </c>
      <c r="G110" s="2">
        <v>16817500</v>
      </c>
    </row>
    <row r="111" spans="1:7" hidden="1" x14ac:dyDescent="0.25">
      <c r="A111" t="s">
        <v>2196</v>
      </c>
      <c r="B111" t="s">
        <v>2196</v>
      </c>
      <c r="C111" t="s">
        <v>493</v>
      </c>
      <c r="D111" t="s">
        <v>494</v>
      </c>
      <c r="E111" t="s">
        <v>497</v>
      </c>
      <c r="F111" t="s">
        <v>302</v>
      </c>
      <c r="G111" s="2">
        <v>72999996</v>
      </c>
    </row>
    <row r="112" spans="1:7" hidden="1" x14ac:dyDescent="0.25">
      <c r="A112" t="s">
        <v>2196</v>
      </c>
      <c r="B112" t="s">
        <v>2196</v>
      </c>
      <c r="C112" t="s">
        <v>499</v>
      </c>
      <c r="D112" t="s">
        <v>501</v>
      </c>
      <c r="E112" t="s">
        <v>505</v>
      </c>
      <c r="F112" t="s">
        <v>506</v>
      </c>
      <c r="G112" s="2">
        <v>56250000</v>
      </c>
    </row>
    <row r="113" spans="1:7" hidden="1" x14ac:dyDescent="0.25">
      <c r="A113" t="s">
        <v>2196</v>
      </c>
      <c r="B113" t="s">
        <v>2196</v>
      </c>
      <c r="C113" t="s">
        <v>509</v>
      </c>
      <c r="D113" t="s">
        <v>510</v>
      </c>
      <c r="E113" t="s">
        <v>513</v>
      </c>
      <c r="F113" t="s">
        <v>514</v>
      </c>
      <c r="G113" s="2">
        <v>83594337</v>
      </c>
    </row>
    <row r="114" spans="1:7" hidden="1" x14ac:dyDescent="0.25">
      <c r="A114" t="s">
        <v>2196</v>
      </c>
      <c r="B114" t="s">
        <v>2196</v>
      </c>
      <c r="C114" t="s">
        <v>517</v>
      </c>
      <c r="D114" t="s">
        <v>518</v>
      </c>
      <c r="E114" t="s">
        <v>522</v>
      </c>
      <c r="F114" t="s">
        <v>523</v>
      </c>
      <c r="G114" s="2">
        <v>10192001</v>
      </c>
    </row>
    <row r="115" spans="1:7" hidden="1" x14ac:dyDescent="0.25">
      <c r="A115" t="s">
        <v>2196</v>
      </c>
      <c r="B115" t="s">
        <v>2196</v>
      </c>
      <c r="C115" t="s">
        <v>527</v>
      </c>
      <c r="D115" t="s">
        <v>528</v>
      </c>
      <c r="E115" t="s">
        <v>531</v>
      </c>
      <c r="F115" t="s">
        <v>532</v>
      </c>
      <c r="G115" s="2">
        <v>40000000</v>
      </c>
    </row>
    <row r="116" spans="1:7" hidden="1" x14ac:dyDescent="0.25">
      <c r="A116" t="s">
        <v>2196</v>
      </c>
      <c r="B116" t="s">
        <v>2196</v>
      </c>
      <c r="C116" t="s">
        <v>535</v>
      </c>
      <c r="D116" t="s">
        <v>537</v>
      </c>
      <c r="E116" t="s">
        <v>531</v>
      </c>
      <c r="F116" t="s">
        <v>532</v>
      </c>
      <c r="G116" s="2">
        <v>80000000</v>
      </c>
    </row>
    <row r="117" spans="1:7" hidden="1" x14ac:dyDescent="0.25">
      <c r="A117" t="s">
        <v>2196</v>
      </c>
      <c r="B117" t="s">
        <v>2196</v>
      </c>
      <c r="C117" t="s">
        <v>539</v>
      </c>
      <c r="D117" t="s">
        <v>541</v>
      </c>
      <c r="E117" t="s">
        <v>55</v>
      </c>
      <c r="F117" t="s">
        <v>544</v>
      </c>
      <c r="G117" s="2">
        <v>39999996</v>
      </c>
    </row>
    <row r="118" spans="1:7" hidden="1" x14ac:dyDescent="0.25">
      <c r="A118" t="s">
        <v>2196</v>
      </c>
      <c r="B118" t="s">
        <v>2196</v>
      </c>
      <c r="C118" t="s">
        <v>548</v>
      </c>
      <c r="D118" t="s">
        <v>550</v>
      </c>
      <c r="E118" t="s">
        <v>55</v>
      </c>
      <c r="F118" t="s">
        <v>544</v>
      </c>
      <c r="G118" s="2">
        <v>96100000</v>
      </c>
    </row>
    <row r="119" spans="1:7" hidden="1" x14ac:dyDescent="0.25">
      <c r="A119" t="s">
        <v>2196</v>
      </c>
      <c r="B119" t="s">
        <v>2196</v>
      </c>
      <c r="C119" t="s">
        <v>552</v>
      </c>
      <c r="D119" t="s">
        <v>553</v>
      </c>
      <c r="E119" t="s">
        <v>122</v>
      </c>
      <c r="F119" t="s">
        <v>555</v>
      </c>
      <c r="G119" s="2">
        <v>100200000</v>
      </c>
    </row>
    <row r="120" spans="1:7" hidden="1" x14ac:dyDescent="0.25">
      <c r="A120" t="s">
        <v>2196</v>
      </c>
      <c r="B120" t="s">
        <v>2196</v>
      </c>
      <c r="C120" t="s">
        <v>557</v>
      </c>
      <c r="D120" t="s">
        <v>558</v>
      </c>
      <c r="E120" t="s">
        <v>122</v>
      </c>
      <c r="F120" t="s">
        <v>555</v>
      </c>
      <c r="G120" s="2">
        <v>30000000</v>
      </c>
    </row>
    <row r="121" spans="1:7" hidden="1" x14ac:dyDescent="0.25">
      <c r="A121" t="s">
        <v>2196</v>
      </c>
      <c r="B121" t="s">
        <v>2196</v>
      </c>
      <c r="C121" t="s">
        <v>560</v>
      </c>
      <c r="D121" t="s">
        <v>562</v>
      </c>
      <c r="E121" t="s">
        <v>169</v>
      </c>
      <c r="F121" t="s">
        <v>65</v>
      </c>
      <c r="G121" s="2">
        <v>69333336</v>
      </c>
    </row>
    <row r="122" spans="1:7" hidden="1" x14ac:dyDescent="0.25">
      <c r="A122" t="s">
        <v>2196</v>
      </c>
      <c r="B122" t="s">
        <v>2196</v>
      </c>
      <c r="C122" t="s">
        <v>251</v>
      </c>
      <c r="D122" t="s">
        <v>253</v>
      </c>
      <c r="E122" t="s">
        <v>257</v>
      </c>
      <c r="F122" t="s">
        <v>258</v>
      </c>
      <c r="G122" s="2">
        <v>355624997</v>
      </c>
    </row>
    <row r="123" spans="1:7" hidden="1" x14ac:dyDescent="0.25">
      <c r="A123" t="s">
        <v>2196</v>
      </c>
      <c r="B123" t="s">
        <v>2196</v>
      </c>
      <c r="C123" t="s">
        <v>375</v>
      </c>
      <c r="D123" t="s">
        <v>376</v>
      </c>
      <c r="E123" t="s">
        <v>378</v>
      </c>
      <c r="F123" t="s">
        <v>361</v>
      </c>
      <c r="G123" s="2">
        <v>17416663</v>
      </c>
    </row>
    <row r="124" spans="1:7" hidden="1" x14ac:dyDescent="0.25">
      <c r="A124" t="s">
        <v>2196</v>
      </c>
      <c r="B124" t="s">
        <v>2196</v>
      </c>
      <c r="C124" t="s">
        <v>468</v>
      </c>
      <c r="D124" t="s">
        <v>470</v>
      </c>
      <c r="E124" t="s">
        <v>473</v>
      </c>
      <c r="F124" t="s">
        <v>474</v>
      </c>
      <c r="G124" s="2">
        <v>394362600</v>
      </c>
    </row>
    <row r="125" spans="1:7" hidden="1" x14ac:dyDescent="0.25">
      <c r="A125" t="s">
        <v>2196</v>
      </c>
      <c r="B125" t="s">
        <v>2196</v>
      </c>
      <c r="C125" t="s">
        <v>545</v>
      </c>
      <c r="D125" t="s">
        <v>546</v>
      </c>
      <c r="E125" t="s">
        <v>414</v>
      </c>
      <c r="F125" t="s">
        <v>415</v>
      </c>
      <c r="G125" s="2">
        <v>30800000</v>
      </c>
    </row>
    <row r="126" spans="1:7" x14ac:dyDescent="0.25">
      <c r="A126" t="s">
        <v>2199</v>
      </c>
      <c r="B126" t="s">
        <v>28</v>
      </c>
      <c r="C126" t="s">
        <v>619</v>
      </c>
      <c r="D126" t="s">
        <v>621</v>
      </c>
      <c r="E126" t="s">
        <v>624</v>
      </c>
      <c r="F126" t="s">
        <v>625</v>
      </c>
      <c r="G126" s="2">
        <v>1250000</v>
      </c>
    </row>
    <row r="127" spans="1:7" x14ac:dyDescent="0.25">
      <c r="A127" t="s">
        <v>2199</v>
      </c>
      <c r="B127" t="s">
        <v>28</v>
      </c>
      <c r="C127" t="s">
        <v>628</v>
      </c>
      <c r="D127" t="s">
        <v>629</v>
      </c>
      <c r="E127" t="s">
        <v>624</v>
      </c>
      <c r="F127" t="s">
        <v>625</v>
      </c>
      <c r="G127" s="2">
        <v>300000</v>
      </c>
    </row>
    <row r="128" spans="1:7" x14ac:dyDescent="0.25">
      <c r="A128" t="s">
        <v>2199</v>
      </c>
      <c r="B128" t="s">
        <v>28</v>
      </c>
      <c r="C128" t="s">
        <v>632</v>
      </c>
      <c r="D128" t="s">
        <v>634</v>
      </c>
      <c r="E128" t="s">
        <v>624</v>
      </c>
      <c r="F128" t="s">
        <v>625</v>
      </c>
      <c r="G128" s="2">
        <v>1320000</v>
      </c>
    </row>
    <row r="129" spans="1:7" x14ac:dyDescent="0.25">
      <c r="A129" t="s">
        <v>2199</v>
      </c>
      <c r="B129" t="s">
        <v>28</v>
      </c>
      <c r="C129" t="s">
        <v>637</v>
      </c>
      <c r="D129" t="s">
        <v>638</v>
      </c>
      <c r="E129" t="s">
        <v>640</v>
      </c>
      <c r="F129" t="s">
        <v>641</v>
      </c>
      <c r="G129" s="2">
        <v>2000700</v>
      </c>
    </row>
    <row r="130" spans="1:7" x14ac:dyDescent="0.25">
      <c r="A130" t="s">
        <v>2199</v>
      </c>
      <c r="B130" t="s">
        <v>28</v>
      </c>
      <c r="C130" t="s">
        <v>644</v>
      </c>
      <c r="D130" t="s">
        <v>646</v>
      </c>
      <c r="E130" t="s">
        <v>640</v>
      </c>
      <c r="F130" t="s">
        <v>641</v>
      </c>
      <c r="G130" s="2">
        <v>1510005</v>
      </c>
    </row>
    <row r="131" spans="1:7" x14ac:dyDescent="0.25">
      <c r="A131" t="s">
        <v>2199</v>
      </c>
      <c r="B131" t="s">
        <v>28</v>
      </c>
      <c r="C131" t="s">
        <v>649</v>
      </c>
      <c r="D131" t="s">
        <v>650</v>
      </c>
      <c r="E131" t="s">
        <v>640</v>
      </c>
      <c r="F131" t="s">
        <v>641</v>
      </c>
      <c r="G131" s="2">
        <v>872500</v>
      </c>
    </row>
    <row r="132" spans="1:7" x14ac:dyDescent="0.25">
      <c r="A132" t="s">
        <v>2199</v>
      </c>
      <c r="B132" t="s">
        <v>28</v>
      </c>
      <c r="C132" t="s">
        <v>653</v>
      </c>
      <c r="D132" t="s">
        <v>655</v>
      </c>
      <c r="E132" t="s">
        <v>657</v>
      </c>
      <c r="F132" t="s">
        <v>658</v>
      </c>
      <c r="G132" s="2">
        <v>540000</v>
      </c>
    </row>
    <row r="133" spans="1:7" x14ac:dyDescent="0.25">
      <c r="A133" t="s">
        <v>2199</v>
      </c>
      <c r="B133" t="s">
        <v>28</v>
      </c>
      <c r="C133" t="s">
        <v>661</v>
      </c>
      <c r="D133" t="s">
        <v>662</v>
      </c>
      <c r="E133" t="s">
        <v>657</v>
      </c>
      <c r="F133" t="s">
        <v>658</v>
      </c>
      <c r="G133" s="2">
        <v>1080000</v>
      </c>
    </row>
    <row r="134" spans="1:7" x14ac:dyDescent="0.25">
      <c r="A134" t="s">
        <v>2199</v>
      </c>
      <c r="B134" t="s">
        <v>28</v>
      </c>
      <c r="C134" t="s">
        <v>665</v>
      </c>
      <c r="D134" t="s">
        <v>667</v>
      </c>
      <c r="E134" t="s">
        <v>657</v>
      </c>
      <c r="F134" t="s">
        <v>658</v>
      </c>
      <c r="G134" s="2">
        <v>1500000</v>
      </c>
    </row>
    <row r="135" spans="1:7" x14ac:dyDescent="0.25">
      <c r="A135" t="s">
        <v>2199</v>
      </c>
      <c r="B135" t="s">
        <v>28</v>
      </c>
      <c r="C135" t="s">
        <v>670</v>
      </c>
      <c r="D135" t="s">
        <v>671</v>
      </c>
      <c r="E135" t="s">
        <v>657</v>
      </c>
      <c r="F135" t="s">
        <v>658</v>
      </c>
      <c r="G135" s="2">
        <v>850000</v>
      </c>
    </row>
    <row r="136" spans="1:7" x14ac:dyDescent="0.25">
      <c r="A136" t="s">
        <v>2199</v>
      </c>
      <c r="B136" t="s">
        <v>28</v>
      </c>
      <c r="C136" t="s">
        <v>674</v>
      </c>
      <c r="D136" t="s">
        <v>675</v>
      </c>
      <c r="E136" t="s">
        <v>657</v>
      </c>
      <c r="F136" t="s">
        <v>658</v>
      </c>
      <c r="G136" s="2">
        <v>900000</v>
      </c>
    </row>
    <row r="137" spans="1:7" x14ac:dyDescent="0.25">
      <c r="A137" t="s">
        <v>2199</v>
      </c>
      <c r="B137" t="s">
        <v>28</v>
      </c>
      <c r="C137" t="s">
        <v>677</v>
      </c>
      <c r="D137" t="s">
        <v>678</v>
      </c>
      <c r="E137" t="s">
        <v>657</v>
      </c>
      <c r="F137" t="s">
        <v>658</v>
      </c>
      <c r="G137" s="2">
        <v>630000</v>
      </c>
    </row>
    <row r="138" spans="1:7" x14ac:dyDescent="0.25">
      <c r="A138" t="s">
        <v>2199</v>
      </c>
      <c r="B138" t="s">
        <v>28</v>
      </c>
      <c r="C138" t="s">
        <v>680</v>
      </c>
      <c r="D138" t="s">
        <v>681</v>
      </c>
      <c r="E138" t="s">
        <v>657</v>
      </c>
      <c r="F138" t="s">
        <v>658</v>
      </c>
      <c r="G138" s="2">
        <v>135000</v>
      </c>
    </row>
    <row r="139" spans="1:7" x14ac:dyDescent="0.25">
      <c r="A139" t="s">
        <v>2199</v>
      </c>
      <c r="B139" t="s">
        <v>28</v>
      </c>
      <c r="C139" t="s">
        <v>686</v>
      </c>
      <c r="D139" t="s">
        <v>687</v>
      </c>
      <c r="E139" t="s">
        <v>227</v>
      </c>
      <c r="F139" t="s">
        <v>480</v>
      </c>
      <c r="G139" s="2">
        <v>101193519</v>
      </c>
    </row>
    <row r="140" spans="1:7" x14ac:dyDescent="0.25">
      <c r="A140" t="s">
        <v>2199</v>
      </c>
      <c r="B140" t="s">
        <v>28</v>
      </c>
      <c r="C140" t="s">
        <v>696</v>
      </c>
      <c r="D140" t="s">
        <v>697</v>
      </c>
      <c r="E140" t="s">
        <v>657</v>
      </c>
      <c r="F140" t="s">
        <v>658</v>
      </c>
      <c r="G140" s="2">
        <v>675000</v>
      </c>
    </row>
    <row r="141" spans="1:7" x14ac:dyDescent="0.25">
      <c r="A141" t="s">
        <v>2199</v>
      </c>
      <c r="B141" t="s">
        <v>28</v>
      </c>
      <c r="C141" t="s">
        <v>706</v>
      </c>
      <c r="D141" t="s">
        <v>707</v>
      </c>
      <c r="E141" t="s">
        <v>590</v>
      </c>
      <c r="F141" t="s">
        <v>591</v>
      </c>
      <c r="G141" s="2">
        <v>190000</v>
      </c>
    </row>
    <row r="142" spans="1:7" x14ac:dyDescent="0.25">
      <c r="A142" t="s">
        <v>2199</v>
      </c>
      <c r="B142" t="s">
        <v>28</v>
      </c>
      <c r="C142" t="s">
        <v>713</v>
      </c>
      <c r="D142" t="s">
        <v>714</v>
      </c>
      <c r="E142" t="s">
        <v>227</v>
      </c>
      <c r="F142" t="s">
        <v>480</v>
      </c>
      <c r="G142" s="2">
        <v>49483210</v>
      </c>
    </row>
    <row r="143" spans="1:7" x14ac:dyDescent="0.25">
      <c r="A143" t="s">
        <v>2199</v>
      </c>
      <c r="B143" t="s">
        <v>28</v>
      </c>
      <c r="C143" t="s">
        <v>718</v>
      </c>
      <c r="D143" t="s">
        <v>719</v>
      </c>
      <c r="E143" t="s">
        <v>657</v>
      </c>
      <c r="F143" t="s">
        <v>658</v>
      </c>
      <c r="G143" s="2">
        <v>430010</v>
      </c>
    </row>
    <row r="144" spans="1:7" x14ac:dyDescent="0.25">
      <c r="A144" t="s">
        <v>2199</v>
      </c>
      <c r="B144" t="s">
        <v>28</v>
      </c>
      <c r="C144" t="s">
        <v>721</v>
      </c>
      <c r="D144" t="s">
        <v>722</v>
      </c>
      <c r="E144" t="s">
        <v>227</v>
      </c>
      <c r="F144" t="s">
        <v>480</v>
      </c>
      <c r="G144" s="2">
        <v>247689000</v>
      </c>
    </row>
    <row r="145" spans="1:7" x14ac:dyDescent="0.25">
      <c r="A145" t="s">
        <v>2199</v>
      </c>
      <c r="B145" t="s">
        <v>28</v>
      </c>
      <c r="C145" t="s">
        <v>724</v>
      </c>
      <c r="D145" t="s">
        <v>726</v>
      </c>
      <c r="E145" t="s">
        <v>657</v>
      </c>
      <c r="F145" t="s">
        <v>658</v>
      </c>
      <c r="G145" s="2">
        <v>990002</v>
      </c>
    </row>
    <row r="146" spans="1:7" x14ac:dyDescent="0.25">
      <c r="A146" t="s">
        <v>2199</v>
      </c>
      <c r="B146" t="s">
        <v>28</v>
      </c>
      <c r="C146" t="s">
        <v>729</v>
      </c>
      <c r="D146" t="s">
        <v>731</v>
      </c>
      <c r="E146" t="s">
        <v>733</v>
      </c>
      <c r="F146" t="s">
        <v>734</v>
      </c>
      <c r="G146" s="2">
        <v>1352694</v>
      </c>
    </row>
    <row r="147" spans="1:7" x14ac:dyDescent="0.25">
      <c r="A147" t="s">
        <v>2199</v>
      </c>
      <c r="B147" t="s">
        <v>28</v>
      </c>
      <c r="C147" t="s">
        <v>744</v>
      </c>
      <c r="D147" t="s">
        <v>746</v>
      </c>
      <c r="E147" t="s">
        <v>657</v>
      </c>
      <c r="F147" t="s">
        <v>658</v>
      </c>
      <c r="G147" s="2">
        <v>300000</v>
      </c>
    </row>
    <row r="148" spans="1:7" x14ac:dyDescent="0.25">
      <c r="A148" t="s">
        <v>2199</v>
      </c>
      <c r="B148" t="s">
        <v>28</v>
      </c>
      <c r="C148" t="s">
        <v>756</v>
      </c>
      <c r="D148" t="s">
        <v>758</v>
      </c>
      <c r="E148" t="s">
        <v>761</v>
      </c>
      <c r="F148" t="s">
        <v>762</v>
      </c>
      <c r="G148" s="2">
        <v>800000</v>
      </c>
    </row>
    <row r="149" spans="1:7" x14ac:dyDescent="0.25">
      <c r="A149" t="s">
        <v>2199</v>
      </c>
      <c r="B149" t="s">
        <v>28</v>
      </c>
      <c r="C149" t="s">
        <v>773</v>
      </c>
      <c r="D149" t="s">
        <v>774</v>
      </c>
      <c r="E149" t="s">
        <v>768</v>
      </c>
      <c r="F149" t="s">
        <v>386</v>
      </c>
      <c r="G149" s="2">
        <v>1166048</v>
      </c>
    </row>
    <row r="150" spans="1:7" x14ac:dyDescent="0.25">
      <c r="A150" t="s">
        <v>2199</v>
      </c>
      <c r="B150" t="s">
        <v>28</v>
      </c>
      <c r="C150" t="s">
        <v>787</v>
      </c>
      <c r="D150" t="s">
        <v>788</v>
      </c>
      <c r="E150" t="s">
        <v>790</v>
      </c>
      <c r="F150" t="s">
        <v>791</v>
      </c>
      <c r="G150" s="2">
        <v>1007461</v>
      </c>
    </row>
    <row r="151" spans="1:7" x14ac:dyDescent="0.25">
      <c r="A151" t="s">
        <v>2199</v>
      </c>
      <c r="B151" t="s">
        <v>28</v>
      </c>
      <c r="C151" t="s">
        <v>811</v>
      </c>
      <c r="D151" t="s">
        <v>813</v>
      </c>
      <c r="E151" t="s">
        <v>790</v>
      </c>
      <c r="F151" t="s">
        <v>791</v>
      </c>
      <c r="G151" s="2">
        <v>400000</v>
      </c>
    </row>
    <row r="152" spans="1:7" x14ac:dyDescent="0.25">
      <c r="A152" t="s">
        <v>2199</v>
      </c>
      <c r="B152" t="s">
        <v>28</v>
      </c>
      <c r="C152" t="s">
        <v>816</v>
      </c>
      <c r="D152" t="s">
        <v>817</v>
      </c>
      <c r="E152" t="s">
        <v>768</v>
      </c>
      <c r="F152" t="s">
        <v>386</v>
      </c>
      <c r="G152" s="2">
        <v>5204058</v>
      </c>
    </row>
    <row r="153" spans="1:7" x14ac:dyDescent="0.25">
      <c r="A153" t="s">
        <v>2199</v>
      </c>
      <c r="B153" t="s">
        <v>28</v>
      </c>
      <c r="C153" t="s">
        <v>827</v>
      </c>
      <c r="D153" t="s">
        <v>828</v>
      </c>
      <c r="E153" t="s">
        <v>761</v>
      </c>
      <c r="F153" t="s">
        <v>762</v>
      </c>
      <c r="G153" s="2">
        <v>1697066</v>
      </c>
    </row>
    <row r="154" spans="1:7" x14ac:dyDescent="0.25">
      <c r="A154" t="s">
        <v>2199</v>
      </c>
      <c r="B154" t="s">
        <v>28</v>
      </c>
      <c r="C154" t="s">
        <v>834</v>
      </c>
      <c r="D154" t="s">
        <v>835</v>
      </c>
      <c r="E154" t="s">
        <v>790</v>
      </c>
      <c r="F154" t="s">
        <v>791</v>
      </c>
      <c r="G154" s="2">
        <v>400000</v>
      </c>
    </row>
    <row r="155" spans="1:7" x14ac:dyDescent="0.25">
      <c r="A155" t="s">
        <v>2199</v>
      </c>
      <c r="B155" t="s">
        <v>28</v>
      </c>
      <c r="C155" t="s">
        <v>837</v>
      </c>
      <c r="D155" t="s">
        <v>838</v>
      </c>
      <c r="E155" t="s">
        <v>768</v>
      </c>
      <c r="F155" t="s">
        <v>386</v>
      </c>
      <c r="G155" s="2">
        <v>130000</v>
      </c>
    </row>
    <row r="156" spans="1:7" x14ac:dyDescent="0.25">
      <c r="A156" t="s">
        <v>2199</v>
      </c>
      <c r="B156" t="s">
        <v>28</v>
      </c>
      <c r="C156" t="s">
        <v>860</v>
      </c>
      <c r="D156" t="s">
        <v>861</v>
      </c>
      <c r="E156" t="s">
        <v>864</v>
      </c>
      <c r="F156" t="s">
        <v>865</v>
      </c>
      <c r="G156" s="2">
        <v>370107</v>
      </c>
    </row>
    <row r="157" spans="1:7" x14ac:dyDescent="0.25">
      <c r="A157" t="s">
        <v>2199</v>
      </c>
      <c r="B157" t="s">
        <v>28</v>
      </c>
      <c r="C157" t="s">
        <v>868</v>
      </c>
      <c r="D157" t="s">
        <v>869</v>
      </c>
      <c r="E157" t="s">
        <v>624</v>
      </c>
      <c r="F157" t="s">
        <v>625</v>
      </c>
      <c r="G157" s="2">
        <v>3000000</v>
      </c>
    </row>
    <row r="158" spans="1:7" x14ac:dyDescent="0.25">
      <c r="A158" t="s">
        <v>2199</v>
      </c>
      <c r="B158" t="s">
        <v>28</v>
      </c>
      <c r="C158" t="s">
        <v>871</v>
      </c>
      <c r="D158" t="s">
        <v>872</v>
      </c>
      <c r="E158" t="s">
        <v>761</v>
      </c>
      <c r="F158" t="s">
        <v>762</v>
      </c>
      <c r="G158" s="2">
        <v>472004</v>
      </c>
    </row>
    <row r="159" spans="1:7" x14ac:dyDescent="0.25">
      <c r="A159" t="s">
        <v>2199</v>
      </c>
      <c r="B159" t="s">
        <v>28</v>
      </c>
      <c r="C159" t="s">
        <v>875</v>
      </c>
      <c r="D159" t="s">
        <v>876</v>
      </c>
      <c r="E159" t="s">
        <v>761</v>
      </c>
      <c r="F159" t="s">
        <v>762</v>
      </c>
      <c r="G159" s="2">
        <v>600000</v>
      </c>
    </row>
    <row r="160" spans="1:7" x14ac:dyDescent="0.25">
      <c r="A160" t="s">
        <v>2199</v>
      </c>
      <c r="B160" t="s">
        <v>28</v>
      </c>
      <c r="C160" t="s">
        <v>879</v>
      </c>
      <c r="D160" t="s">
        <v>880</v>
      </c>
      <c r="E160" t="s">
        <v>761</v>
      </c>
      <c r="F160" t="s">
        <v>762</v>
      </c>
      <c r="G160" s="2">
        <v>6100024</v>
      </c>
    </row>
    <row r="161" spans="1:7" x14ac:dyDescent="0.25">
      <c r="A161" t="s">
        <v>2199</v>
      </c>
      <c r="B161" t="s">
        <v>28</v>
      </c>
      <c r="C161" t="s">
        <v>884</v>
      </c>
      <c r="D161" t="s">
        <v>885</v>
      </c>
      <c r="E161" t="s">
        <v>761</v>
      </c>
      <c r="F161" t="s">
        <v>762</v>
      </c>
      <c r="G161" s="2">
        <v>2730006</v>
      </c>
    </row>
    <row r="162" spans="1:7" x14ac:dyDescent="0.25">
      <c r="A162" t="s">
        <v>2199</v>
      </c>
      <c r="B162" t="s">
        <v>28</v>
      </c>
      <c r="C162" t="s">
        <v>888</v>
      </c>
      <c r="D162" t="s">
        <v>889</v>
      </c>
      <c r="E162" t="s">
        <v>309</v>
      </c>
      <c r="F162" t="s">
        <v>893</v>
      </c>
      <c r="G162" s="2">
        <v>31250000</v>
      </c>
    </row>
    <row r="163" spans="1:7" x14ac:dyDescent="0.25">
      <c r="A163" t="s">
        <v>2199</v>
      </c>
      <c r="B163" t="s">
        <v>28</v>
      </c>
      <c r="C163" t="s">
        <v>895</v>
      </c>
      <c r="D163" t="s">
        <v>896</v>
      </c>
      <c r="E163" t="s">
        <v>899</v>
      </c>
      <c r="F163" t="s">
        <v>900</v>
      </c>
      <c r="G163" s="2">
        <v>200000</v>
      </c>
    </row>
    <row r="164" spans="1:7" x14ac:dyDescent="0.25">
      <c r="A164" t="s">
        <v>2199</v>
      </c>
      <c r="B164" t="s">
        <v>28</v>
      </c>
      <c r="C164" t="s">
        <v>903</v>
      </c>
      <c r="D164" t="s">
        <v>904</v>
      </c>
      <c r="E164" t="s">
        <v>906</v>
      </c>
      <c r="F164" t="s">
        <v>907</v>
      </c>
      <c r="G164" s="2">
        <v>46677001</v>
      </c>
    </row>
    <row r="165" spans="1:7" x14ac:dyDescent="0.25">
      <c r="A165" t="s">
        <v>2199</v>
      </c>
      <c r="B165" t="s">
        <v>28</v>
      </c>
      <c r="C165" t="s">
        <v>922</v>
      </c>
      <c r="D165" t="s">
        <v>923</v>
      </c>
      <c r="E165" t="s">
        <v>926</v>
      </c>
      <c r="F165" t="s">
        <v>893</v>
      </c>
      <c r="G165" s="2">
        <v>23333328</v>
      </c>
    </row>
    <row r="166" spans="1:7" x14ac:dyDescent="0.25">
      <c r="A166" t="s">
        <v>2199</v>
      </c>
      <c r="B166" t="s">
        <v>28</v>
      </c>
      <c r="C166" t="s">
        <v>930</v>
      </c>
      <c r="D166" t="s">
        <v>931</v>
      </c>
      <c r="E166" t="s">
        <v>934</v>
      </c>
      <c r="F166" t="s">
        <v>935</v>
      </c>
      <c r="G166" s="2">
        <v>681264</v>
      </c>
    </row>
    <row r="167" spans="1:7" x14ac:dyDescent="0.25">
      <c r="A167" t="s">
        <v>2199</v>
      </c>
      <c r="B167" t="s">
        <v>28</v>
      </c>
      <c r="C167" t="s">
        <v>938</v>
      </c>
      <c r="D167" t="s">
        <v>939</v>
      </c>
      <c r="E167" t="s">
        <v>942</v>
      </c>
      <c r="F167" t="s">
        <v>943</v>
      </c>
      <c r="G167" s="2">
        <v>12003336</v>
      </c>
    </row>
    <row r="168" spans="1:7" x14ac:dyDescent="0.25">
      <c r="A168" t="s">
        <v>2199</v>
      </c>
      <c r="B168" t="s">
        <v>28</v>
      </c>
      <c r="C168" t="s">
        <v>947</v>
      </c>
      <c r="D168" t="s">
        <v>948</v>
      </c>
      <c r="E168" t="s">
        <v>950</v>
      </c>
      <c r="F168" t="s">
        <v>951</v>
      </c>
      <c r="G168" s="2">
        <v>557936</v>
      </c>
    </row>
    <row r="169" spans="1:7" x14ac:dyDescent="0.25">
      <c r="A169" t="s">
        <v>2199</v>
      </c>
      <c r="B169" t="s">
        <v>28</v>
      </c>
      <c r="C169" t="s">
        <v>954</v>
      </c>
      <c r="D169" t="s">
        <v>955</v>
      </c>
      <c r="E169" t="s">
        <v>958</v>
      </c>
      <c r="F169" t="s">
        <v>959</v>
      </c>
      <c r="G169" s="2">
        <v>675200</v>
      </c>
    </row>
    <row r="170" spans="1:7" x14ac:dyDescent="0.25">
      <c r="A170" t="s">
        <v>2199</v>
      </c>
      <c r="B170" t="s">
        <v>28</v>
      </c>
      <c r="C170" t="s">
        <v>963</v>
      </c>
      <c r="D170" t="s">
        <v>964</v>
      </c>
      <c r="E170" t="s">
        <v>768</v>
      </c>
      <c r="F170" t="s">
        <v>966</v>
      </c>
      <c r="G170" s="2">
        <v>700002</v>
      </c>
    </row>
    <row r="171" spans="1:7" x14ac:dyDescent="0.25">
      <c r="A171" t="s">
        <v>2199</v>
      </c>
      <c r="B171" t="s">
        <v>28</v>
      </c>
      <c r="C171" t="s">
        <v>969</v>
      </c>
      <c r="D171" t="s">
        <v>970</v>
      </c>
      <c r="E171" t="s">
        <v>768</v>
      </c>
      <c r="F171" t="s">
        <v>966</v>
      </c>
      <c r="G171" s="2">
        <v>7000008</v>
      </c>
    </row>
    <row r="172" spans="1:7" x14ac:dyDescent="0.25">
      <c r="A172" t="s">
        <v>2199</v>
      </c>
      <c r="B172" t="s">
        <v>28</v>
      </c>
      <c r="C172" t="s">
        <v>972</v>
      </c>
      <c r="D172" t="s">
        <v>973</v>
      </c>
      <c r="E172" t="s">
        <v>768</v>
      </c>
      <c r="F172" t="s">
        <v>966</v>
      </c>
      <c r="G172" s="2">
        <v>800000</v>
      </c>
    </row>
    <row r="173" spans="1:7" x14ac:dyDescent="0.25">
      <c r="A173" t="s">
        <v>2199</v>
      </c>
      <c r="B173" t="s">
        <v>28</v>
      </c>
      <c r="C173" t="s">
        <v>975</v>
      </c>
      <c r="D173" t="s">
        <v>976</v>
      </c>
      <c r="E173" t="s">
        <v>768</v>
      </c>
      <c r="F173" t="s">
        <v>966</v>
      </c>
      <c r="G173" s="2">
        <v>3500000</v>
      </c>
    </row>
    <row r="174" spans="1:7" x14ac:dyDescent="0.25">
      <c r="A174" t="s">
        <v>2199</v>
      </c>
      <c r="B174" t="s">
        <v>28</v>
      </c>
      <c r="C174" t="s">
        <v>978</v>
      </c>
      <c r="D174" t="s">
        <v>979</v>
      </c>
      <c r="E174" t="s">
        <v>768</v>
      </c>
      <c r="F174" t="s">
        <v>966</v>
      </c>
      <c r="G174" s="2">
        <v>2000000</v>
      </c>
    </row>
    <row r="175" spans="1:7" x14ac:dyDescent="0.25">
      <c r="A175" t="s">
        <v>2199</v>
      </c>
      <c r="B175" t="s">
        <v>28</v>
      </c>
      <c r="C175" t="s">
        <v>981</v>
      </c>
      <c r="D175" t="s">
        <v>982</v>
      </c>
      <c r="E175" t="s">
        <v>768</v>
      </c>
      <c r="F175" t="s">
        <v>966</v>
      </c>
      <c r="G175" s="2">
        <v>800004</v>
      </c>
    </row>
    <row r="176" spans="1:7" x14ac:dyDescent="0.25">
      <c r="A176" t="s">
        <v>2199</v>
      </c>
      <c r="B176" t="s">
        <v>28</v>
      </c>
      <c r="C176" t="s">
        <v>984</v>
      </c>
      <c r="D176" t="s">
        <v>985</v>
      </c>
      <c r="E176" t="s">
        <v>768</v>
      </c>
      <c r="F176" t="s">
        <v>966</v>
      </c>
      <c r="G176" s="2">
        <v>600000</v>
      </c>
    </row>
    <row r="177" spans="1:7" x14ac:dyDescent="0.25">
      <c r="A177" t="s">
        <v>2199</v>
      </c>
      <c r="B177" t="s">
        <v>28</v>
      </c>
      <c r="C177" t="s">
        <v>987</v>
      </c>
      <c r="D177" t="s">
        <v>988</v>
      </c>
      <c r="E177" t="s">
        <v>768</v>
      </c>
      <c r="F177" t="s">
        <v>966</v>
      </c>
      <c r="G177" s="2">
        <v>4000000</v>
      </c>
    </row>
    <row r="178" spans="1:7" x14ac:dyDescent="0.25">
      <c r="A178" t="s">
        <v>2199</v>
      </c>
      <c r="B178" t="s">
        <v>28</v>
      </c>
      <c r="C178" t="s">
        <v>990</v>
      </c>
      <c r="D178" t="s">
        <v>991</v>
      </c>
      <c r="E178" t="s">
        <v>768</v>
      </c>
      <c r="F178" t="s">
        <v>966</v>
      </c>
      <c r="G178" s="2">
        <v>5500000</v>
      </c>
    </row>
    <row r="179" spans="1:7" x14ac:dyDescent="0.25">
      <c r="A179" t="s">
        <v>2199</v>
      </c>
      <c r="B179" t="s">
        <v>28</v>
      </c>
      <c r="C179" t="s">
        <v>993</v>
      </c>
      <c r="D179" t="s">
        <v>994</v>
      </c>
      <c r="E179" t="s">
        <v>768</v>
      </c>
      <c r="F179" t="s">
        <v>966</v>
      </c>
      <c r="G179" s="2">
        <v>3000000</v>
      </c>
    </row>
    <row r="180" spans="1:7" x14ac:dyDescent="0.25">
      <c r="A180" t="s">
        <v>2199</v>
      </c>
      <c r="B180" t="s">
        <v>28</v>
      </c>
      <c r="C180" t="s">
        <v>996</v>
      </c>
      <c r="D180" t="s">
        <v>997</v>
      </c>
      <c r="E180" t="s">
        <v>934</v>
      </c>
      <c r="F180" t="s">
        <v>935</v>
      </c>
      <c r="G180" s="2">
        <v>60000</v>
      </c>
    </row>
    <row r="181" spans="1:7" x14ac:dyDescent="0.25">
      <c r="A181" t="s">
        <v>2199</v>
      </c>
      <c r="B181" t="s">
        <v>28</v>
      </c>
      <c r="C181" t="s">
        <v>1000</v>
      </c>
      <c r="D181" t="s">
        <v>1001</v>
      </c>
      <c r="E181" t="s">
        <v>768</v>
      </c>
      <c r="F181" t="s">
        <v>966</v>
      </c>
      <c r="G181" s="2">
        <v>1500000</v>
      </c>
    </row>
    <row r="182" spans="1:7" x14ac:dyDescent="0.25">
      <c r="A182" t="s">
        <v>2199</v>
      </c>
      <c r="B182" t="s">
        <v>28</v>
      </c>
      <c r="C182" t="s">
        <v>1003</v>
      </c>
      <c r="D182" t="s">
        <v>1004</v>
      </c>
      <c r="E182" t="s">
        <v>768</v>
      </c>
      <c r="F182" t="s">
        <v>966</v>
      </c>
      <c r="G182" s="2">
        <v>17500000</v>
      </c>
    </row>
    <row r="183" spans="1:7" x14ac:dyDescent="0.25">
      <c r="A183" t="s">
        <v>2199</v>
      </c>
      <c r="B183" t="s">
        <v>28</v>
      </c>
      <c r="C183" t="s">
        <v>1008</v>
      </c>
      <c r="D183" t="s">
        <v>1010</v>
      </c>
      <c r="E183" t="s">
        <v>768</v>
      </c>
      <c r="F183" t="s">
        <v>966</v>
      </c>
      <c r="G183" s="2">
        <v>1820000</v>
      </c>
    </row>
    <row r="184" spans="1:7" x14ac:dyDescent="0.25">
      <c r="A184" t="s">
        <v>2199</v>
      </c>
      <c r="B184" t="s">
        <v>28</v>
      </c>
      <c r="C184" t="s">
        <v>1013</v>
      </c>
      <c r="D184" t="s">
        <v>1014</v>
      </c>
      <c r="E184" t="s">
        <v>768</v>
      </c>
      <c r="F184" t="s">
        <v>966</v>
      </c>
      <c r="G184" s="2">
        <v>1200000</v>
      </c>
    </row>
    <row r="185" spans="1:7" x14ac:dyDescent="0.25">
      <c r="A185" t="s">
        <v>2199</v>
      </c>
      <c r="B185" t="s">
        <v>28</v>
      </c>
      <c r="C185" t="s">
        <v>1016</v>
      </c>
      <c r="D185" t="s">
        <v>1017</v>
      </c>
      <c r="E185" t="s">
        <v>768</v>
      </c>
      <c r="F185" t="s">
        <v>966</v>
      </c>
      <c r="G185" s="2">
        <v>2500020</v>
      </c>
    </row>
    <row r="186" spans="1:7" x14ac:dyDescent="0.25">
      <c r="A186" t="s">
        <v>2199</v>
      </c>
      <c r="B186" t="s">
        <v>28</v>
      </c>
      <c r="C186" t="s">
        <v>1019</v>
      </c>
      <c r="D186" t="s">
        <v>1020</v>
      </c>
      <c r="E186" t="s">
        <v>768</v>
      </c>
      <c r="F186" t="s">
        <v>966</v>
      </c>
      <c r="G186" s="2">
        <v>2500000</v>
      </c>
    </row>
    <row r="187" spans="1:7" x14ac:dyDescent="0.25">
      <c r="A187" t="s">
        <v>2199</v>
      </c>
      <c r="B187" t="s">
        <v>28</v>
      </c>
      <c r="C187" t="s">
        <v>1022</v>
      </c>
      <c r="D187" t="s">
        <v>1023</v>
      </c>
      <c r="E187" t="s">
        <v>768</v>
      </c>
      <c r="F187" t="s">
        <v>966</v>
      </c>
      <c r="G187" s="2">
        <v>2500000</v>
      </c>
    </row>
    <row r="188" spans="1:7" x14ac:dyDescent="0.25">
      <c r="A188" t="s">
        <v>2199</v>
      </c>
      <c r="B188" t="s">
        <v>28</v>
      </c>
      <c r="C188" t="s">
        <v>1025</v>
      </c>
      <c r="D188" t="s">
        <v>1026</v>
      </c>
      <c r="E188" t="s">
        <v>768</v>
      </c>
      <c r="F188" t="s">
        <v>386</v>
      </c>
      <c r="G188" s="2">
        <v>0</v>
      </c>
    </row>
    <row r="189" spans="1:7" x14ac:dyDescent="0.25">
      <c r="A189" t="s">
        <v>2199</v>
      </c>
      <c r="B189" t="s">
        <v>28</v>
      </c>
      <c r="C189" t="s">
        <v>1039</v>
      </c>
      <c r="D189" t="s">
        <v>1040</v>
      </c>
      <c r="E189" t="s">
        <v>768</v>
      </c>
      <c r="F189" t="s">
        <v>386</v>
      </c>
      <c r="G189" s="2">
        <v>816730</v>
      </c>
    </row>
    <row r="190" spans="1:7" x14ac:dyDescent="0.25">
      <c r="A190" t="s">
        <v>2199</v>
      </c>
      <c r="B190" t="s">
        <v>28</v>
      </c>
      <c r="C190" t="s">
        <v>1042</v>
      </c>
      <c r="D190" t="s">
        <v>1044</v>
      </c>
      <c r="E190" t="s">
        <v>531</v>
      </c>
      <c r="F190" t="s">
        <v>532</v>
      </c>
      <c r="G190" s="2">
        <v>60000000</v>
      </c>
    </row>
    <row r="191" spans="1:7" x14ac:dyDescent="0.25">
      <c r="A191" t="s">
        <v>2199</v>
      </c>
      <c r="B191" t="s">
        <v>28</v>
      </c>
      <c r="C191" t="s">
        <v>1047</v>
      </c>
      <c r="D191" t="s">
        <v>1049</v>
      </c>
      <c r="E191" t="s">
        <v>531</v>
      </c>
      <c r="F191" t="s">
        <v>1051</v>
      </c>
      <c r="G191" s="2">
        <v>11000000</v>
      </c>
    </row>
    <row r="192" spans="1:7" x14ac:dyDescent="0.25">
      <c r="A192" t="s">
        <v>2199</v>
      </c>
      <c r="B192" t="s">
        <v>28</v>
      </c>
      <c r="C192" t="s">
        <v>1059</v>
      </c>
      <c r="D192" t="s">
        <v>1060</v>
      </c>
      <c r="E192" t="s">
        <v>790</v>
      </c>
      <c r="F192" t="s">
        <v>791</v>
      </c>
      <c r="G192" s="2">
        <v>510006</v>
      </c>
    </row>
    <row r="193" spans="1:7" x14ac:dyDescent="0.25">
      <c r="A193" t="s">
        <v>2199</v>
      </c>
      <c r="B193" t="s">
        <v>28</v>
      </c>
      <c r="C193" t="s">
        <v>1063</v>
      </c>
      <c r="D193" t="s">
        <v>1064</v>
      </c>
      <c r="E193" t="s">
        <v>790</v>
      </c>
      <c r="F193" t="s">
        <v>791</v>
      </c>
      <c r="G193" s="2">
        <v>450000</v>
      </c>
    </row>
    <row r="194" spans="1:7" x14ac:dyDescent="0.25">
      <c r="A194" t="s">
        <v>2199</v>
      </c>
      <c r="B194" t="s">
        <v>28</v>
      </c>
      <c r="C194" t="s">
        <v>1069</v>
      </c>
      <c r="D194" t="s">
        <v>1070</v>
      </c>
      <c r="E194" t="s">
        <v>934</v>
      </c>
      <c r="F194" t="s">
        <v>935</v>
      </c>
      <c r="G194" s="2">
        <v>450000</v>
      </c>
    </row>
    <row r="195" spans="1:7" x14ac:dyDescent="0.25">
      <c r="A195" t="s">
        <v>2199</v>
      </c>
      <c r="B195" t="s">
        <v>28</v>
      </c>
      <c r="C195" t="s">
        <v>1072</v>
      </c>
      <c r="D195" t="s">
        <v>1073</v>
      </c>
      <c r="E195" t="s">
        <v>1075</v>
      </c>
      <c r="F195" t="s">
        <v>1076</v>
      </c>
      <c r="G195" s="2">
        <v>169000</v>
      </c>
    </row>
    <row r="196" spans="1:7" x14ac:dyDescent="0.25">
      <c r="A196" t="s">
        <v>2199</v>
      </c>
      <c r="B196" t="s">
        <v>28</v>
      </c>
      <c r="C196" t="s">
        <v>1079</v>
      </c>
      <c r="D196" t="s">
        <v>1081</v>
      </c>
      <c r="E196" t="s">
        <v>1075</v>
      </c>
      <c r="F196" t="s">
        <v>1076</v>
      </c>
      <c r="G196" s="2">
        <v>100000</v>
      </c>
    </row>
    <row r="197" spans="1:7" x14ac:dyDescent="0.25">
      <c r="A197" t="s">
        <v>2199</v>
      </c>
      <c r="B197" t="s">
        <v>28</v>
      </c>
      <c r="C197" t="s">
        <v>1085</v>
      </c>
      <c r="D197" t="s">
        <v>1086</v>
      </c>
      <c r="E197" t="s">
        <v>934</v>
      </c>
      <c r="F197" t="s">
        <v>935</v>
      </c>
      <c r="G197" s="2">
        <v>352600</v>
      </c>
    </row>
    <row r="198" spans="1:7" x14ac:dyDescent="0.25">
      <c r="A198" t="s">
        <v>2199</v>
      </c>
      <c r="B198" t="s">
        <v>28</v>
      </c>
      <c r="C198" t="s">
        <v>1089</v>
      </c>
      <c r="D198" t="s">
        <v>1090</v>
      </c>
      <c r="E198" t="s">
        <v>934</v>
      </c>
      <c r="F198" t="s">
        <v>935</v>
      </c>
      <c r="G198" s="2">
        <v>50004</v>
      </c>
    </row>
    <row r="199" spans="1:7" x14ac:dyDescent="0.25">
      <c r="A199" t="s">
        <v>2199</v>
      </c>
      <c r="B199" t="s">
        <v>28</v>
      </c>
      <c r="C199" t="s">
        <v>1092</v>
      </c>
      <c r="D199" t="s">
        <v>1093</v>
      </c>
      <c r="E199" t="s">
        <v>1095</v>
      </c>
      <c r="F199" t="s">
        <v>1096</v>
      </c>
      <c r="G199" s="2">
        <v>624234</v>
      </c>
    </row>
    <row r="200" spans="1:7" x14ac:dyDescent="0.25">
      <c r="A200" t="s">
        <v>2199</v>
      </c>
      <c r="B200" t="s">
        <v>28</v>
      </c>
      <c r="C200" t="s">
        <v>1099</v>
      </c>
      <c r="D200" t="s">
        <v>1100</v>
      </c>
      <c r="E200" t="s">
        <v>457</v>
      </c>
      <c r="F200" t="s">
        <v>458</v>
      </c>
      <c r="G200" s="2">
        <v>183238</v>
      </c>
    </row>
    <row r="201" spans="1:7" x14ac:dyDescent="0.25">
      <c r="A201" t="s">
        <v>2199</v>
      </c>
      <c r="B201" t="s">
        <v>28</v>
      </c>
      <c r="C201" t="s">
        <v>1103</v>
      </c>
      <c r="D201" t="s">
        <v>1104</v>
      </c>
      <c r="E201" t="s">
        <v>1106</v>
      </c>
      <c r="F201" t="s">
        <v>1107</v>
      </c>
      <c r="G201" s="2">
        <v>5696005</v>
      </c>
    </row>
    <row r="202" spans="1:7" x14ac:dyDescent="0.25">
      <c r="A202" t="s">
        <v>2199</v>
      </c>
      <c r="B202" t="s">
        <v>28</v>
      </c>
      <c r="C202" t="s">
        <v>1110</v>
      </c>
      <c r="D202" t="s">
        <v>1111</v>
      </c>
      <c r="E202" t="s">
        <v>457</v>
      </c>
      <c r="F202" t="s">
        <v>458</v>
      </c>
      <c r="G202" s="2">
        <v>225046</v>
      </c>
    </row>
    <row r="203" spans="1:7" x14ac:dyDescent="0.25">
      <c r="A203" t="s">
        <v>2199</v>
      </c>
      <c r="B203" t="s">
        <v>28</v>
      </c>
      <c r="C203" t="s">
        <v>1113</v>
      </c>
      <c r="D203" t="s">
        <v>1115</v>
      </c>
      <c r="E203" t="s">
        <v>309</v>
      </c>
      <c r="F203" t="s">
        <v>893</v>
      </c>
      <c r="G203" s="2">
        <v>371161848</v>
      </c>
    </row>
    <row r="204" spans="1:7" x14ac:dyDescent="0.25">
      <c r="A204" t="s">
        <v>2199</v>
      </c>
      <c r="B204" t="s">
        <v>28</v>
      </c>
      <c r="C204" t="s">
        <v>1119</v>
      </c>
      <c r="D204" t="s">
        <v>1120</v>
      </c>
      <c r="E204" t="s">
        <v>1122</v>
      </c>
      <c r="F204" t="s">
        <v>1123</v>
      </c>
      <c r="G204" s="2">
        <v>600000</v>
      </c>
    </row>
    <row r="205" spans="1:7" x14ac:dyDescent="0.25">
      <c r="A205" t="s">
        <v>2199</v>
      </c>
      <c r="B205" t="s">
        <v>28</v>
      </c>
      <c r="C205" t="s">
        <v>1126</v>
      </c>
      <c r="D205" t="s">
        <v>1127</v>
      </c>
      <c r="E205" t="s">
        <v>1122</v>
      </c>
      <c r="F205" t="s">
        <v>1123</v>
      </c>
      <c r="G205" s="2">
        <v>1700000</v>
      </c>
    </row>
    <row r="206" spans="1:7" x14ac:dyDescent="0.25">
      <c r="A206" t="s">
        <v>2199</v>
      </c>
      <c r="B206" t="s">
        <v>28</v>
      </c>
      <c r="C206" t="s">
        <v>1130</v>
      </c>
      <c r="D206" t="s">
        <v>1131</v>
      </c>
      <c r="E206" t="s">
        <v>1122</v>
      </c>
      <c r="F206" t="s">
        <v>1123</v>
      </c>
      <c r="G206" s="2">
        <v>1670016</v>
      </c>
    </row>
    <row r="207" spans="1:7" x14ac:dyDescent="0.25">
      <c r="A207" t="s">
        <v>2199</v>
      </c>
      <c r="B207" t="s">
        <v>28</v>
      </c>
      <c r="C207" t="s">
        <v>1134</v>
      </c>
      <c r="D207" t="s">
        <v>1135</v>
      </c>
      <c r="E207" t="s">
        <v>1122</v>
      </c>
      <c r="F207" t="s">
        <v>1123</v>
      </c>
      <c r="G207" s="2">
        <v>900000</v>
      </c>
    </row>
    <row r="208" spans="1:7" x14ac:dyDescent="0.25">
      <c r="A208" t="s">
        <v>2199</v>
      </c>
      <c r="B208" t="s">
        <v>28</v>
      </c>
      <c r="C208" t="s">
        <v>1138</v>
      </c>
      <c r="D208" t="s">
        <v>1140</v>
      </c>
      <c r="E208" t="s">
        <v>1122</v>
      </c>
      <c r="F208" t="s">
        <v>1123</v>
      </c>
      <c r="G208" s="2">
        <v>3500010</v>
      </c>
    </row>
    <row r="209" spans="1:7" x14ac:dyDescent="0.25">
      <c r="A209" t="s">
        <v>2199</v>
      </c>
      <c r="B209" t="s">
        <v>28</v>
      </c>
      <c r="C209" t="s">
        <v>1156</v>
      </c>
      <c r="D209" t="s">
        <v>1158</v>
      </c>
      <c r="E209" t="s">
        <v>1162</v>
      </c>
      <c r="F209" t="s">
        <v>258</v>
      </c>
      <c r="G209" s="2">
        <v>17750002</v>
      </c>
    </row>
    <row r="210" spans="1:7" x14ac:dyDescent="0.25">
      <c r="A210" t="s">
        <v>2199</v>
      </c>
      <c r="B210" t="s">
        <v>28</v>
      </c>
      <c r="C210" t="s">
        <v>1168</v>
      </c>
      <c r="D210" t="s">
        <v>1169</v>
      </c>
      <c r="E210" t="s">
        <v>1162</v>
      </c>
      <c r="F210" t="s">
        <v>258</v>
      </c>
      <c r="G210" s="2">
        <v>0</v>
      </c>
    </row>
    <row r="211" spans="1:7" x14ac:dyDescent="0.25">
      <c r="A211" t="s">
        <v>2199</v>
      </c>
      <c r="B211" t="s">
        <v>28</v>
      </c>
      <c r="C211" t="s">
        <v>1176</v>
      </c>
      <c r="D211" t="s">
        <v>1177</v>
      </c>
      <c r="E211" t="s">
        <v>1180</v>
      </c>
      <c r="F211" t="s">
        <v>1181</v>
      </c>
      <c r="G211" s="2">
        <v>696000</v>
      </c>
    </row>
    <row r="212" spans="1:7" x14ac:dyDescent="0.25">
      <c r="A212" t="s">
        <v>2199</v>
      </c>
      <c r="B212" t="s">
        <v>28</v>
      </c>
      <c r="C212" t="s">
        <v>1183</v>
      </c>
      <c r="D212" t="s">
        <v>1185</v>
      </c>
      <c r="E212" t="s">
        <v>790</v>
      </c>
      <c r="F212" t="s">
        <v>791</v>
      </c>
      <c r="G212" s="2">
        <v>2885085</v>
      </c>
    </row>
    <row r="213" spans="1:7" x14ac:dyDescent="0.25">
      <c r="A213" t="s">
        <v>2199</v>
      </c>
      <c r="B213" t="s">
        <v>28</v>
      </c>
      <c r="C213" t="s">
        <v>1188</v>
      </c>
      <c r="D213" t="s">
        <v>1189</v>
      </c>
      <c r="E213" t="s">
        <v>790</v>
      </c>
      <c r="F213" t="s">
        <v>791</v>
      </c>
      <c r="G213" s="2">
        <v>2997268</v>
      </c>
    </row>
    <row r="214" spans="1:7" x14ac:dyDescent="0.25">
      <c r="A214" t="s">
        <v>2199</v>
      </c>
      <c r="B214" t="s">
        <v>28</v>
      </c>
      <c r="C214" t="s">
        <v>1207</v>
      </c>
      <c r="D214" t="s">
        <v>1208</v>
      </c>
      <c r="E214" t="s">
        <v>1211</v>
      </c>
      <c r="F214" t="s">
        <v>320</v>
      </c>
      <c r="G214" s="2">
        <v>198030</v>
      </c>
    </row>
    <row r="215" spans="1:7" x14ac:dyDescent="0.25">
      <c r="A215" t="s">
        <v>2199</v>
      </c>
      <c r="B215" t="s">
        <v>28</v>
      </c>
      <c r="C215" t="s">
        <v>1213</v>
      </c>
      <c r="D215" t="s">
        <v>1214</v>
      </c>
      <c r="E215" t="s">
        <v>395</v>
      </c>
      <c r="F215" t="s">
        <v>1217</v>
      </c>
      <c r="G215" s="2">
        <v>126581</v>
      </c>
    </row>
    <row r="216" spans="1:7" x14ac:dyDescent="0.25">
      <c r="A216" t="s">
        <v>2199</v>
      </c>
      <c r="B216" t="s">
        <v>28</v>
      </c>
      <c r="C216" t="s">
        <v>1219</v>
      </c>
      <c r="D216" t="s">
        <v>1220</v>
      </c>
      <c r="E216" t="s">
        <v>395</v>
      </c>
      <c r="F216" t="s">
        <v>1217</v>
      </c>
      <c r="G216" s="2">
        <v>172000</v>
      </c>
    </row>
    <row r="217" spans="1:7" x14ac:dyDescent="0.25">
      <c r="A217" t="s">
        <v>2199</v>
      </c>
      <c r="B217" t="s">
        <v>28</v>
      </c>
      <c r="C217" t="s">
        <v>1224</v>
      </c>
      <c r="D217" t="s">
        <v>1225</v>
      </c>
      <c r="E217" t="s">
        <v>1211</v>
      </c>
      <c r="F217" t="s">
        <v>320</v>
      </c>
      <c r="G217" s="2">
        <v>715014</v>
      </c>
    </row>
    <row r="218" spans="1:7" x14ac:dyDescent="0.25">
      <c r="A218" t="s">
        <v>2199</v>
      </c>
      <c r="B218" t="s">
        <v>28</v>
      </c>
      <c r="C218" t="s">
        <v>1228</v>
      </c>
      <c r="D218" t="s">
        <v>1229</v>
      </c>
      <c r="E218" t="s">
        <v>64</v>
      </c>
      <c r="F218" t="s">
        <v>65</v>
      </c>
      <c r="G218" s="2">
        <v>930000</v>
      </c>
    </row>
    <row r="219" spans="1:7" x14ac:dyDescent="0.25">
      <c r="A219" t="s">
        <v>2199</v>
      </c>
      <c r="B219" t="s">
        <v>28</v>
      </c>
      <c r="C219" t="s">
        <v>1234</v>
      </c>
      <c r="D219" t="s">
        <v>1235</v>
      </c>
      <c r="E219" t="s">
        <v>64</v>
      </c>
      <c r="F219" t="s">
        <v>65</v>
      </c>
      <c r="G219" s="2">
        <v>1400000</v>
      </c>
    </row>
    <row r="220" spans="1:7" x14ac:dyDescent="0.25">
      <c r="A220" t="s">
        <v>2199</v>
      </c>
      <c r="B220" t="s">
        <v>28</v>
      </c>
      <c r="C220" t="s">
        <v>1245</v>
      </c>
      <c r="D220" t="s">
        <v>1247</v>
      </c>
      <c r="E220" t="s">
        <v>122</v>
      </c>
      <c r="F220" t="s">
        <v>544</v>
      </c>
      <c r="G220" s="2">
        <v>610000</v>
      </c>
    </row>
    <row r="221" spans="1:7" x14ac:dyDescent="0.25">
      <c r="A221" t="s">
        <v>2199</v>
      </c>
      <c r="B221" t="s">
        <v>28</v>
      </c>
      <c r="C221" t="s">
        <v>1252</v>
      </c>
      <c r="D221" t="s">
        <v>1253</v>
      </c>
      <c r="E221" t="s">
        <v>1255</v>
      </c>
      <c r="F221" t="s">
        <v>1256</v>
      </c>
      <c r="G221" s="2">
        <v>52000</v>
      </c>
    </row>
    <row r="222" spans="1:7" x14ac:dyDescent="0.25">
      <c r="A222" t="s">
        <v>2199</v>
      </c>
      <c r="B222" t="s">
        <v>28</v>
      </c>
      <c r="C222" t="s">
        <v>1259</v>
      </c>
      <c r="D222" t="s">
        <v>1260</v>
      </c>
      <c r="E222" t="s">
        <v>395</v>
      </c>
      <c r="F222" t="s">
        <v>1217</v>
      </c>
      <c r="G222" s="2">
        <v>370100</v>
      </c>
    </row>
    <row r="223" spans="1:7" x14ac:dyDescent="0.25">
      <c r="A223" t="s">
        <v>2199</v>
      </c>
      <c r="B223" t="s">
        <v>28</v>
      </c>
      <c r="C223" t="s">
        <v>1269</v>
      </c>
      <c r="D223" t="s">
        <v>1270</v>
      </c>
      <c r="E223" t="s">
        <v>1273</v>
      </c>
      <c r="F223" t="s">
        <v>514</v>
      </c>
      <c r="G223" s="2">
        <v>603000</v>
      </c>
    </row>
    <row r="224" spans="1:7" x14ac:dyDescent="0.25">
      <c r="A224" t="s">
        <v>2199</v>
      </c>
      <c r="B224" t="s">
        <v>28</v>
      </c>
      <c r="C224" t="s">
        <v>1345</v>
      </c>
      <c r="D224" t="s">
        <v>1347</v>
      </c>
      <c r="E224" t="s">
        <v>1299</v>
      </c>
      <c r="F224" t="s">
        <v>1300</v>
      </c>
      <c r="G224" s="2">
        <v>150000</v>
      </c>
    </row>
    <row r="225" spans="1:7" x14ac:dyDescent="0.25">
      <c r="A225" t="s">
        <v>2199</v>
      </c>
      <c r="B225" t="s">
        <v>28</v>
      </c>
      <c r="C225" t="s">
        <v>1395</v>
      </c>
      <c r="D225" t="s">
        <v>1396</v>
      </c>
      <c r="E225" t="s">
        <v>64</v>
      </c>
      <c r="F225" t="s">
        <v>65</v>
      </c>
      <c r="G225" s="2">
        <v>500004</v>
      </c>
    </row>
    <row r="226" spans="1:7" x14ac:dyDescent="0.25">
      <c r="A226" t="s">
        <v>2199</v>
      </c>
      <c r="B226" t="s">
        <v>28</v>
      </c>
      <c r="C226" t="s">
        <v>1403</v>
      </c>
      <c r="D226" t="s">
        <v>1404</v>
      </c>
      <c r="E226" t="s">
        <v>1035</v>
      </c>
      <c r="F226" t="s">
        <v>1036</v>
      </c>
      <c r="G226" s="2">
        <v>173624</v>
      </c>
    </row>
    <row r="227" spans="1:7" x14ac:dyDescent="0.25">
      <c r="A227" t="s">
        <v>2199</v>
      </c>
      <c r="B227" t="s">
        <v>28</v>
      </c>
      <c r="C227" t="s">
        <v>1407</v>
      </c>
      <c r="D227" t="s">
        <v>1408</v>
      </c>
      <c r="E227" t="s">
        <v>590</v>
      </c>
      <c r="F227" t="s">
        <v>591</v>
      </c>
      <c r="G227" s="2">
        <v>80000</v>
      </c>
    </row>
    <row r="228" spans="1:7" x14ac:dyDescent="0.25">
      <c r="A228" t="s">
        <v>2199</v>
      </c>
      <c r="B228" t="s">
        <v>28</v>
      </c>
      <c r="C228" t="s">
        <v>1411</v>
      </c>
      <c r="D228" t="s">
        <v>1413</v>
      </c>
      <c r="E228" t="s">
        <v>1415</v>
      </c>
      <c r="F228" t="s">
        <v>514</v>
      </c>
      <c r="G228" s="2">
        <v>2000000</v>
      </c>
    </row>
    <row r="229" spans="1:7" x14ac:dyDescent="0.25">
      <c r="A229" t="s">
        <v>2199</v>
      </c>
      <c r="B229" t="s">
        <v>28</v>
      </c>
      <c r="C229" t="s">
        <v>1416</v>
      </c>
      <c r="D229" t="s">
        <v>1417</v>
      </c>
      <c r="E229" t="s">
        <v>1415</v>
      </c>
      <c r="F229" t="s">
        <v>514</v>
      </c>
      <c r="G229" s="2">
        <v>6000000</v>
      </c>
    </row>
    <row r="230" spans="1:7" x14ac:dyDescent="0.25">
      <c r="A230" t="s">
        <v>2199</v>
      </c>
      <c r="B230" t="s">
        <v>28</v>
      </c>
      <c r="C230" t="s">
        <v>1419</v>
      </c>
      <c r="D230" t="s">
        <v>1420</v>
      </c>
      <c r="E230" t="s">
        <v>1415</v>
      </c>
      <c r="F230" t="s">
        <v>514</v>
      </c>
      <c r="G230" s="2">
        <v>0</v>
      </c>
    </row>
    <row r="231" spans="1:7" x14ac:dyDescent="0.25">
      <c r="A231" t="s">
        <v>2199</v>
      </c>
      <c r="B231" t="s">
        <v>28</v>
      </c>
      <c r="C231" t="s">
        <v>1422</v>
      </c>
      <c r="D231" t="s">
        <v>1423</v>
      </c>
      <c r="E231" t="s">
        <v>1415</v>
      </c>
      <c r="F231" t="s">
        <v>514</v>
      </c>
      <c r="G231" s="2">
        <v>25000000</v>
      </c>
    </row>
    <row r="232" spans="1:7" x14ac:dyDescent="0.25">
      <c r="A232" t="s">
        <v>2199</v>
      </c>
      <c r="B232" t="s">
        <v>28</v>
      </c>
      <c r="C232" t="s">
        <v>1426</v>
      </c>
      <c r="D232" t="s">
        <v>1427</v>
      </c>
      <c r="E232" t="s">
        <v>1415</v>
      </c>
      <c r="F232" t="s">
        <v>514</v>
      </c>
      <c r="G232" s="2">
        <v>10000000</v>
      </c>
    </row>
    <row r="233" spans="1:7" x14ac:dyDescent="0.25">
      <c r="A233" t="s">
        <v>2199</v>
      </c>
      <c r="B233" t="s">
        <v>28</v>
      </c>
      <c r="C233" t="s">
        <v>1429</v>
      </c>
      <c r="D233" t="s">
        <v>1430</v>
      </c>
      <c r="E233" t="s">
        <v>1432</v>
      </c>
      <c r="F233" t="s">
        <v>1433</v>
      </c>
      <c r="G233" s="2">
        <v>35304528</v>
      </c>
    </row>
    <row r="234" spans="1:7" x14ac:dyDescent="0.25">
      <c r="A234" t="s">
        <v>2199</v>
      </c>
      <c r="B234" t="s">
        <v>28</v>
      </c>
      <c r="C234" t="s">
        <v>1436</v>
      </c>
      <c r="D234" t="s">
        <v>1438</v>
      </c>
      <c r="E234" t="s">
        <v>64</v>
      </c>
      <c r="F234" t="s">
        <v>65</v>
      </c>
      <c r="G234" s="2">
        <v>500000</v>
      </c>
    </row>
    <row r="235" spans="1:7" x14ac:dyDescent="0.25">
      <c r="A235" t="s">
        <v>2199</v>
      </c>
      <c r="B235" t="s">
        <v>28</v>
      </c>
      <c r="C235" t="s">
        <v>1442</v>
      </c>
      <c r="D235" t="s">
        <v>1443</v>
      </c>
      <c r="E235" t="s">
        <v>1445</v>
      </c>
      <c r="F235" t="s">
        <v>1446</v>
      </c>
      <c r="G235" s="2">
        <v>299940</v>
      </c>
    </row>
    <row r="236" spans="1:7" x14ac:dyDescent="0.25">
      <c r="A236" t="s">
        <v>2199</v>
      </c>
      <c r="B236" t="s">
        <v>28</v>
      </c>
      <c r="C236" t="s">
        <v>1449</v>
      </c>
      <c r="D236" t="s">
        <v>1450</v>
      </c>
      <c r="E236" t="s">
        <v>1075</v>
      </c>
      <c r="F236" t="s">
        <v>1076</v>
      </c>
      <c r="G236" s="2">
        <v>390000</v>
      </c>
    </row>
    <row r="237" spans="1:7" x14ac:dyDescent="0.25">
      <c r="A237" t="s">
        <v>2199</v>
      </c>
      <c r="B237" t="s">
        <v>28</v>
      </c>
      <c r="C237" t="s">
        <v>1453</v>
      </c>
      <c r="D237" t="s">
        <v>1454</v>
      </c>
      <c r="E237" t="s">
        <v>1445</v>
      </c>
      <c r="F237" t="s">
        <v>1446</v>
      </c>
      <c r="G237" s="2">
        <v>720000</v>
      </c>
    </row>
    <row r="238" spans="1:7" x14ac:dyDescent="0.25">
      <c r="A238" t="s">
        <v>2199</v>
      </c>
      <c r="B238" t="s">
        <v>28</v>
      </c>
      <c r="C238" t="s">
        <v>1456</v>
      </c>
      <c r="D238" t="s">
        <v>1457</v>
      </c>
      <c r="E238" t="s">
        <v>1211</v>
      </c>
      <c r="F238" t="s">
        <v>320</v>
      </c>
      <c r="G238" s="2">
        <v>170001</v>
      </c>
    </row>
    <row r="239" spans="1:7" x14ac:dyDescent="0.25">
      <c r="A239" t="s">
        <v>2199</v>
      </c>
      <c r="B239" t="s">
        <v>28</v>
      </c>
      <c r="C239" t="s">
        <v>1460</v>
      </c>
      <c r="D239" t="s">
        <v>1461</v>
      </c>
      <c r="E239" t="s">
        <v>1075</v>
      </c>
      <c r="F239" t="s">
        <v>1076</v>
      </c>
      <c r="G239" s="2">
        <v>8196174</v>
      </c>
    </row>
    <row r="240" spans="1:7" x14ac:dyDescent="0.25">
      <c r="A240" t="s">
        <v>2199</v>
      </c>
      <c r="B240" t="s">
        <v>28</v>
      </c>
      <c r="C240" t="s">
        <v>1466</v>
      </c>
      <c r="D240" t="s">
        <v>1467</v>
      </c>
      <c r="E240" t="s">
        <v>1469</v>
      </c>
      <c r="F240" t="s">
        <v>1470</v>
      </c>
      <c r="G240" s="2">
        <v>5000001</v>
      </c>
    </row>
    <row r="241" spans="1:7" x14ac:dyDescent="0.25">
      <c r="A241" t="s">
        <v>2199</v>
      </c>
      <c r="B241" t="s">
        <v>28</v>
      </c>
      <c r="C241" t="s">
        <v>1473</v>
      </c>
      <c r="D241" t="s">
        <v>1474</v>
      </c>
      <c r="E241" t="s">
        <v>1477</v>
      </c>
      <c r="F241" t="s">
        <v>219</v>
      </c>
      <c r="G241" s="2">
        <v>300006</v>
      </c>
    </row>
    <row r="242" spans="1:7" x14ac:dyDescent="0.25">
      <c r="A242" t="s">
        <v>2199</v>
      </c>
      <c r="B242" t="s">
        <v>28</v>
      </c>
      <c r="C242" t="s">
        <v>1479</v>
      </c>
      <c r="D242" t="s">
        <v>1480</v>
      </c>
      <c r="E242" t="s">
        <v>1445</v>
      </c>
      <c r="F242" t="s">
        <v>1446</v>
      </c>
      <c r="G242" s="2">
        <v>220000</v>
      </c>
    </row>
    <row r="243" spans="1:7" x14ac:dyDescent="0.25">
      <c r="A243" t="s">
        <v>2199</v>
      </c>
      <c r="B243" t="s">
        <v>28</v>
      </c>
      <c r="C243" t="s">
        <v>1482</v>
      </c>
      <c r="D243" t="s">
        <v>1483</v>
      </c>
      <c r="E243" t="s">
        <v>1477</v>
      </c>
      <c r="F243" t="s">
        <v>219</v>
      </c>
      <c r="G243" s="2">
        <v>1500018</v>
      </c>
    </row>
    <row r="244" spans="1:7" x14ac:dyDescent="0.25">
      <c r="A244" t="s">
        <v>2199</v>
      </c>
      <c r="B244" t="s">
        <v>28</v>
      </c>
      <c r="C244" t="s">
        <v>1489</v>
      </c>
      <c r="D244" t="s">
        <v>1490</v>
      </c>
      <c r="E244" t="s">
        <v>1211</v>
      </c>
      <c r="F244" t="s">
        <v>320</v>
      </c>
      <c r="G244" s="2">
        <v>218020</v>
      </c>
    </row>
    <row r="245" spans="1:7" x14ac:dyDescent="0.25">
      <c r="A245" t="s">
        <v>2199</v>
      </c>
      <c r="B245" t="s">
        <v>28</v>
      </c>
      <c r="C245" t="s">
        <v>1492</v>
      </c>
      <c r="D245" t="s">
        <v>1494</v>
      </c>
      <c r="E245" t="s">
        <v>590</v>
      </c>
      <c r="F245" t="s">
        <v>591</v>
      </c>
      <c r="G245" s="2">
        <v>100000</v>
      </c>
    </row>
    <row r="246" spans="1:7" x14ac:dyDescent="0.25">
      <c r="A246" t="s">
        <v>2199</v>
      </c>
      <c r="B246" t="s">
        <v>28</v>
      </c>
      <c r="C246" t="s">
        <v>1497</v>
      </c>
      <c r="D246" t="s">
        <v>1498</v>
      </c>
      <c r="E246" t="s">
        <v>1075</v>
      </c>
      <c r="F246" t="s">
        <v>1076</v>
      </c>
      <c r="G246" s="2">
        <v>335005</v>
      </c>
    </row>
    <row r="247" spans="1:7" x14ac:dyDescent="0.25">
      <c r="A247" t="s">
        <v>2199</v>
      </c>
      <c r="B247" t="s">
        <v>28</v>
      </c>
      <c r="C247" t="s">
        <v>1501</v>
      </c>
      <c r="D247" t="s">
        <v>1502</v>
      </c>
      <c r="E247" t="s">
        <v>1505</v>
      </c>
      <c r="F247" t="s">
        <v>423</v>
      </c>
      <c r="G247" s="2">
        <v>2400000</v>
      </c>
    </row>
    <row r="248" spans="1:7" x14ac:dyDescent="0.25">
      <c r="A248" t="s">
        <v>2199</v>
      </c>
      <c r="B248" t="s">
        <v>28</v>
      </c>
      <c r="C248" t="s">
        <v>1509</v>
      </c>
      <c r="D248" t="s">
        <v>1510</v>
      </c>
      <c r="E248" t="s">
        <v>590</v>
      </c>
      <c r="F248" t="s">
        <v>591</v>
      </c>
      <c r="G248" s="2">
        <v>300090</v>
      </c>
    </row>
    <row r="249" spans="1:7" x14ac:dyDescent="0.25">
      <c r="A249" t="s">
        <v>2199</v>
      </c>
      <c r="B249" t="s">
        <v>28</v>
      </c>
      <c r="C249" t="s">
        <v>1514</v>
      </c>
      <c r="D249" t="s">
        <v>1515</v>
      </c>
      <c r="E249" t="s">
        <v>1075</v>
      </c>
      <c r="F249" t="s">
        <v>1076</v>
      </c>
      <c r="G249" s="2">
        <v>150000</v>
      </c>
    </row>
    <row r="250" spans="1:7" x14ac:dyDescent="0.25">
      <c r="A250" t="s">
        <v>2199</v>
      </c>
      <c r="B250" t="s">
        <v>28</v>
      </c>
      <c r="C250" t="s">
        <v>1518</v>
      </c>
      <c r="D250" t="s">
        <v>1520</v>
      </c>
      <c r="E250" t="s">
        <v>761</v>
      </c>
      <c r="F250" t="s">
        <v>762</v>
      </c>
      <c r="G250" s="2">
        <v>1660004</v>
      </c>
    </row>
    <row r="251" spans="1:7" x14ac:dyDescent="0.25">
      <c r="A251" t="s">
        <v>2199</v>
      </c>
      <c r="B251" t="s">
        <v>28</v>
      </c>
      <c r="C251" t="s">
        <v>1525</v>
      </c>
      <c r="D251" t="s">
        <v>1502</v>
      </c>
      <c r="E251" t="s">
        <v>1505</v>
      </c>
      <c r="F251" t="s">
        <v>423</v>
      </c>
      <c r="G251" s="2">
        <v>3861900</v>
      </c>
    </row>
    <row r="252" spans="1:7" x14ac:dyDescent="0.25">
      <c r="A252" t="s">
        <v>2199</v>
      </c>
      <c r="B252" t="s">
        <v>28</v>
      </c>
      <c r="C252" t="s">
        <v>1528</v>
      </c>
      <c r="D252" t="s">
        <v>1529</v>
      </c>
      <c r="E252" t="s">
        <v>1075</v>
      </c>
      <c r="F252" t="s">
        <v>1076</v>
      </c>
      <c r="G252" s="2">
        <v>36000</v>
      </c>
    </row>
    <row r="253" spans="1:7" x14ac:dyDescent="0.25">
      <c r="A253" t="s">
        <v>2199</v>
      </c>
      <c r="B253" t="s">
        <v>28</v>
      </c>
      <c r="C253" t="s">
        <v>1532</v>
      </c>
      <c r="D253" t="s">
        <v>1533</v>
      </c>
      <c r="E253" t="s">
        <v>761</v>
      </c>
      <c r="F253" t="s">
        <v>762</v>
      </c>
      <c r="G253" s="2">
        <v>2740091</v>
      </c>
    </row>
    <row r="254" spans="1:7" x14ac:dyDescent="0.25">
      <c r="A254" t="s">
        <v>2199</v>
      </c>
      <c r="B254" t="s">
        <v>28</v>
      </c>
      <c r="C254" t="s">
        <v>1539</v>
      </c>
      <c r="D254" t="s">
        <v>1540</v>
      </c>
      <c r="E254" t="s">
        <v>1211</v>
      </c>
      <c r="F254" t="s">
        <v>320</v>
      </c>
      <c r="G254" s="2">
        <v>400000</v>
      </c>
    </row>
    <row r="255" spans="1:7" x14ac:dyDescent="0.25">
      <c r="A255" t="s">
        <v>2199</v>
      </c>
      <c r="B255" t="s">
        <v>28</v>
      </c>
      <c r="C255" t="s">
        <v>1542</v>
      </c>
      <c r="D255" t="s">
        <v>1543</v>
      </c>
      <c r="E255" t="s">
        <v>1075</v>
      </c>
      <c r="F255" t="s">
        <v>1076</v>
      </c>
      <c r="G255" s="2">
        <v>800000</v>
      </c>
    </row>
    <row r="256" spans="1:7" x14ac:dyDescent="0.25">
      <c r="A256" t="s">
        <v>2199</v>
      </c>
      <c r="B256" t="s">
        <v>28</v>
      </c>
      <c r="C256" t="s">
        <v>1546</v>
      </c>
      <c r="D256" t="s">
        <v>1548</v>
      </c>
      <c r="E256" t="s">
        <v>761</v>
      </c>
      <c r="F256" t="s">
        <v>762</v>
      </c>
      <c r="G256" s="2">
        <v>1322042</v>
      </c>
    </row>
    <row r="257" spans="1:7" x14ac:dyDescent="0.25">
      <c r="A257" t="s">
        <v>2199</v>
      </c>
      <c r="B257" t="s">
        <v>28</v>
      </c>
      <c r="C257" t="s">
        <v>1551</v>
      </c>
      <c r="D257" t="s">
        <v>1553</v>
      </c>
      <c r="E257" t="s">
        <v>761</v>
      </c>
      <c r="F257" t="s">
        <v>762</v>
      </c>
      <c r="G257" s="2">
        <v>334061</v>
      </c>
    </row>
    <row r="258" spans="1:7" x14ac:dyDescent="0.25">
      <c r="A258" t="s">
        <v>2199</v>
      </c>
      <c r="B258" t="s">
        <v>28</v>
      </c>
      <c r="C258" t="s">
        <v>1555</v>
      </c>
      <c r="D258" t="s">
        <v>1556</v>
      </c>
      <c r="E258" t="s">
        <v>1559</v>
      </c>
      <c r="F258" t="s">
        <v>1560</v>
      </c>
      <c r="G258" s="2">
        <v>14500000</v>
      </c>
    </row>
    <row r="259" spans="1:7" x14ac:dyDescent="0.25">
      <c r="A259" t="s">
        <v>2199</v>
      </c>
      <c r="B259" t="s">
        <v>28</v>
      </c>
      <c r="C259" t="s">
        <v>1563</v>
      </c>
      <c r="D259" t="s">
        <v>1404</v>
      </c>
      <c r="E259" t="s">
        <v>1035</v>
      </c>
      <c r="F259" t="s">
        <v>1036</v>
      </c>
      <c r="G259" s="2">
        <v>460000</v>
      </c>
    </row>
    <row r="260" spans="1:7" x14ac:dyDescent="0.25">
      <c r="A260" t="s">
        <v>2199</v>
      </c>
      <c r="B260" t="s">
        <v>28</v>
      </c>
      <c r="C260" t="s">
        <v>1566</v>
      </c>
      <c r="D260" t="s">
        <v>1567</v>
      </c>
      <c r="E260" t="s">
        <v>1211</v>
      </c>
      <c r="F260" t="s">
        <v>320</v>
      </c>
      <c r="G260" s="2">
        <v>120000</v>
      </c>
    </row>
    <row r="261" spans="1:7" x14ac:dyDescent="0.25">
      <c r="A261" t="s">
        <v>2199</v>
      </c>
      <c r="B261" t="s">
        <v>28</v>
      </c>
      <c r="C261" t="s">
        <v>1569</v>
      </c>
      <c r="D261" t="s">
        <v>1570</v>
      </c>
      <c r="E261" t="s">
        <v>1572</v>
      </c>
      <c r="F261" t="s">
        <v>1573</v>
      </c>
      <c r="G261" s="2">
        <v>7000000</v>
      </c>
    </row>
    <row r="262" spans="1:7" x14ac:dyDescent="0.25">
      <c r="A262" t="s">
        <v>2199</v>
      </c>
      <c r="B262" t="s">
        <v>28</v>
      </c>
      <c r="C262" t="s">
        <v>1585</v>
      </c>
      <c r="D262" t="s">
        <v>1587</v>
      </c>
      <c r="E262" t="s">
        <v>1572</v>
      </c>
      <c r="F262" t="s">
        <v>1573</v>
      </c>
      <c r="G262" s="2">
        <v>1428000</v>
      </c>
    </row>
    <row r="263" spans="1:7" x14ac:dyDescent="0.25">
      <c r="A263" t="s">
        <v>2199</v>
      </c>
      <c r="B263" t="s">
        <v>28</v>
      </c>
      <c r="C263" t="s">
        <v>1600</v>
      </c>
      <c r="D263" t="s">
        <v>1601</v>
      </c>
      <c r="E263" t="s">
        <v>1572</v>
      </c>
      <c r="F263" t="s">
        <v>1573</v>
      </c>
      <c r="G263" s="2">
        <v>1428000</v>
      </c>
    </row>
    <row r="264" spans="1:7" x14ac:dyDescent="0.25">
      <c r="A264" t="s">
        <v>2199</v>
      </c>
      <c r="B264" t="s">
        <v>28</v>
      </c>
      <c r="C264" t="s">
        <v>1604</v>
      </c>
      <c r="D264" t="s">
        <v>1605</v>
      </c>
      <c r="E264" t="s">
        <v>1608</v>
      </c>
      <c r="F264" t="s">
        <v>361</v>
      </c>
      <c r="G264" s="2">
        <v>1160000</v>
      </c>
    </row>
    <row r="265" spans="1:7" x14ac:dyDescent="0.25">
      <c r="A265" t="s">
        <v>2199</v>
      </c>
      <c r="B265" t="s">
        <v>28</v>
      </c>
      <c r="C265" t="s">
        <v>1610</v>
      </c>
      <c r="D265" t="s">
        <v>1611</v>
      </c>
      <c r="E265" t="s">
        <v>1613</v>
      </c>
      <c r="F265" t="s">
        <v>1614</v>
      </c>
      <c r="G265" s="2">
        <v>62432002</v>
      </c>
    </row>
    <row r="266" spans="1:7" x14ac:dyDescent="0.25">
      <c r="A266" t="s">
        <v>2199</v>
      </c>
      <c r="B266" t="s">
        <v>28</v>
      </c>
      <c r="C266" t="s">
        <v>1620</v>
      </c>
      <c r="D266" t="s">
        <v>1621</v>
      </c>
      <c r="E266" t="s">
        <v>1608</v>
      </c>
      <c r="F266" t="s">
        <v>361</v>
      </c>
      <c r="G266" s="2">
        <v>600000</v>
      </c>
    </row>
    <row r="267" spans="1:7" x14ac:dyDescent="0.25">
      <c r="A267" t="s">
        <v>2199</v>
      </c>
      <c r="B267" t="s">
        <v>28</v>
      </c>
      <c r="C267" t="s">
        <v>1626</v>
      </c>
      <c r="D267" t="s">
        <v>1627</v>
      </c>
      <c r="E267" t="s">
        <v>1572</v>
      </c>
      <c r="F267" t="s">
        <v>1573</v>
      </c>
      <c r="G267" s="2">
        <v>5580820</v>
      </c>
    </row>
    <row r="268" spans="1:7" x14ac:dyDescent="0.25">
      <c r="A268" t="s">
        <v>2199</v>
      </c>
      <c r="B268" t="s">
        <v>28</v>
      </c>
      <c r="C268" t="s">
        <v>1632</v>
      </c>
      <c r="D268" t="s">
        <v>1633</v>
      </c>
      <c r="E268" t="s">
        <v>934</v>
      </c>
      <c r="F268" t="s">
        <v>935</v>
      </c>
      <c r="G268" s="2">
        <v>440000</v>
      </c>
    </row>
    <row r="269" spans="1:7" x14ac:dyDescent="0.25">
      <c r="A269" t="s">
        <v>2199</v>
      </c>
      <c r="B269" t="s">
        <v>28</v>
      </c>
      <c r="C269" t="s">
        <v>1637</v>
      </c>
      <c r="D269" t="s">
        <v>1177</v>
      </c>
      <c r="E269" t="s">
        <v>1180</v>
      </c>
      <c r="F269" t="s">
        <v>1181</v>
      </c>
      <c r="G269" s="2">
        <v>115003</v>
      </c>
    </row>
    <row r="270" spans="1:7" x14ac:dyDescent="0.25">
      <c r="A270" t="s">
        <v>2199</v>
      </c>
      <c r="B270" t="s">
        <v>28</v>
      </c>
      <c r="C270" t="s">
        <v>1638</v>
      </c>
      <c r="D270" t="s">
        <v>1639</v>
      </c>
      <c r="E270" t="s">
        <v>1642</v>
      </c>
      <c r="F270" t="s">
        <v>1643</v>
      </c>
      <c r="G270" s="2">
        <v>405000</v>
      </c>
    </row>
    <row r="271" spans="1:7" x14ac:dyDescent="0.25">
      <c r="A271" t="s">
        <v>2199</v>
      </c>
      <c r="B271" t="s">
        <v>28</v>
      </c>
      <c r="C271" t="s">
        <v>1667</v>
      </c>
      <c r="D271" t="s">
        <v>1668</v>
      </c>
      <c r="E271" t="s">
        <v>64</v>
      </c>
      <c r="F271" t="s">
        <v>65</v>
      </c>
      <c r="G271" s="2">
        <v>542153</v>
      </c>
    </row>
    <row r="272" spans="1:7" x14ac:dyDescent="0.25">
      <c r="A272" t="s">
        <v>2199</v>
      </c>
      <c r="B272" t="s">
        <v>28</v>
      </c>
      <c r="C272" t="s">
        <v>1675</v>
      </c>
      <c r="D272" t="s">
        <v>1658</v>
      </c>
      <c r="E272" t="s">
        <v>1660</v>
      </c>
      <c r="F272" t="s">
        <v>1661</v>
      </c>
      <c r="G272" s="2">
        <v>2502600</v>
      </c>
    </row>
    <row r="273" spans="1:7" x14ac:dyDescent="0.25">
      <c r="A273" t="s">
        <v>2199</v>
      </c>
      <c r="B273" t="s">
        <v>28</v>
      </c>
      <c r="C273" t="s">
        <v>1679</v>
      </c>
      <c r="D273" t="s">
        <v>1680</v>
      </c>
      <c r="E273" t="s">
        <v>457</v>
      </c>
      <c r="F273" t="s">
        <v>1682</v>
      </c>
      <c r="G273" s="2">
        <v>222014</v>
      </c>
    </row>
    <row r="274" spans="1:7" x14ac:dyDescent="0.25">
      <c r="A274" t="s">
        <v>2199</v>
      </c>
      <c r="B274" t="s">
        <v>28</v>
      </c>
      <c r="C274" t="s">
        <v>1684</v>
      </c>
      <c r="D274" t="s">
        <v>1685</v>
      </c>
      <c r="E274" t="s">
        <v>1642</v>
      </c>
      <c r="F274" t="s">
        <v>1643</v>
      </c>
      <c r="G274" s="2">
        <v>200000</v>
      </c>
    </row>
    <row r="275" spans="1:7" x14ac:dyDescent="0.25">
      <c r="A275" t="s">
        <v>2199</v>
      </c>
      <c r="B275" t="s">
        <v>28</v>
      </c>
      <c r="C275" t="s">
        <v>1687</v>
      </c>
      <c r="D275" t="s">
        <v>1688</v>
      </c>
      <c r="E275" t="s">
        <v>1690</v>
      </c>
      <c r="F275" t="s">
        <v>865</v>
      </c>
      <c r="G275" s="2">
        <v>2026009</v>
      </c>
    </row>
    <row r="276" spans="1:7" x14ac:dyDescent="0.25">
      <c r="A276" t="s">
        <v>2199</v>
      </c>
      <c r="B276" t="s">
        <v>28</v>
      </c>
      <c r="C276" t="s">
        <v>1694</v>
      </c>
      <c r="D276" t="s">
        <v>1695</v>
      </c>
      <c r="E276" t="s">
        <v>414</v>
      </c>
      <c r="F276" t="s">
        <v>1697</v>
      </c>
      <c r="G276" s="2">
        <v>2500008</v>
      </c>
    </row>
    <row r="277" spans="1:7" x14ac:dyDescent="0.25">
      <c r="A277" t="s">
        <v>2199</v>
      </c>
      <c r="B277" t="s">
        <v>28</v>
      </c>
      <c r="C277" t="s">
        <v>1699</v>
      </c>
      <c r="D277" t="s">
        <v>1658</v>
      </c>
      <c r="E277" t="s">
        <v>1660</v>
      </c>
      <c r="F277" t="s">
        <v>1661</v>
      </c>
      <c r="G277" s="2">
        <v>500115</v>
      </c>
    </row>
    <row r="278" spans="1:7" x14ac:dyDescent="0.25">
      <c r="A278" t="s">
        <v>2199</v>
      </c>
      <c r="B278" t="s">
        <v>28</v>
      </c>
      <c r="C278" t="s">
        <v>1700</v>
      </c>
      <c r="D278" t="s">
        <v>1701</v>
      </c>
      <c r="E278" t="s">
        <v>1704</v>
      </c>
      <c r="F278" t="s">
        <v>1705</v>
      </c>
      <c r="G278" s="2">
        <v>4059825</v>
      </c>
    </row>
    <row r="279" spans="1:7" x14ac:dyDescent="0.25">
      <c r="A279" t="s">
        <v>2199</v>
      </c>
      <c r="B279" t="s">
        <v>28</v>
      </c>
      <c r="C279" t="s">
        <v>1708</v>
      </c>
      <c r="D279" t="s">
        <v>1709</v>
      </c>
      <c r="E279" t="s">
        <v>958</v>
      </c>
      <c r="F279" t="s">
        <v>959</v>
      </c>
      <c r="G279" s="2">
        <v>550000</v>
      </c>
    </row>
    <row r="280" spans="1:7" x14ac:dyDescent="0.25">
      <c r="A280" t="s">
        <v>2199</v>
      </c>
      <c r="B280" t="s">
        <v>28</v>
      </c>
      <c r="C280" t="s">
        <v>1712</v>
      </c>
      <c r="D280" t="s">
        <v>1713</v>
      </c>
      <c r="E280" t="s">
        <v>1572</v>
      </c>
      <c r="F280" t="s">
        <v>1573</v>
      </c>
      <c r="G280" s="2">
        <v>783090</v>
      </c>
    </row>
    <row r="281" spans="1:7" x14ac:dyDescent="0.25">
      <c r="A281" t="s">
        <v>2199</v>
      </c>
      <c r="B281" t="s">
        <v>28</v>
      </c>
      <c r="C281" t="s">
        <v>1715</v>
      </c>
      <c r="D281" t="s">
        <v>1716</v>
      </c>
      <c r="E281" t="s">
        <v>958</v>
      </c>
      <c r="F281" t="s">
        <v>959</v>
      </c>
      <c r="G281" s="2">
        <v>60000</v>
      </c>
    </row>
    <row r="282" spans="1:7" x14ac:dyDescent="0.25">
      <c r="A282" t="s">
        <v>2199</v>
      </c>
      <c r="B282" t="s">
        <v>28</v>
      </c>
      <c r="C282" t="s">
        <v>1718</v>
      </c>
      <c r="D282" t="s">
        <v>1719</v>
      </c>
      <c r="E282" t="s">
        <v>1723</v>
      </c>
      <c r="F282" t="s">
        <v>154</v>
      </c>
      <c r="G282" s="2">
        <v>0</v>
      </c>
    </row>
    <row r="283" spans="1:7" x14ac:dyDescent="0.25">
      <c r="A283" t="s">
        <v>2199</v>
      </c>
      <c r="B283" t="s">
        <v>28</v>
      </c>
      <c r="C283" t="s">
        <v>1725</v>
      </c>
      <c r="D283" t="s">
        <v>1726</v>
      </c>
      <c r="E283" t="s">
        <v>1211</v>
      </c>
      <c r="F283" t="s">
        <v>320</v>
      </c>
      <c r="G283" s="2">
        <v>900000</v>
      </c>
    </row>
    <row r="284" spans="1:7" x14ac:dyDescent="0.25">
      <c r="A284" t="s">
        <v>2199</v>
      </c>
      <c r="B284" t="s">
        <v>28</v>
      </c>
      <c r="C284" t="s">
        <v>1728</v>
      </c>
      <c r="D284" t="s">
        <v>1729</v>
      </c>
      <c r="E284" t="s">
        <v>1211</v>
      </c>
      <c r="F284" t="s">
        <v>320</v>
      </c>
      <c r="G284" s="2">
        <v>1500000</v>
      </c>
    </row>
    <row r="285" spans="1:7" x14ac:dyDescent="0.25">
      <c r="A285" t="s">
        <v>2199</v>
      </c>
      <c r="B285" t="s">
        <v>28</v>
      </c>
      <c r="C285" t="s">
        <v>1731</v>
      </c>
      <c r="D285" t="s">
        <v>1732</v>
      </c>
      <c r="E285" t="s">
        <v>1572</v>
      </c>
      <c r="F285" t="s">
        <v>1573</v>
      </c>
      <c r="G285" s="2">
        <v>726450</v>
      </c>
    </row>
    <row r="286" spans="1:7" x14ac:dyDescent="0.25">
      <c r="A286" t="s">
        <v>2199</v>
      </c>
      <c r="B286" t="s">
        <v>28</v>
      </c>
      <c r="C286" t="s">
        <v>1734</v>
      </c>
      <c r="D286" t="s">
        <v>1736</v>
      </c>
      <c r="E286" t="s">
        <v>624</v>
      </c>
      <c r="F286" t="s">
        <v>625</v>
      </c>
      <c r="G286" s="2">
        <v>5000000</v>
      </c>
    </row>
    <row r="287" spans="1:7" x14ac:dyDescent="0.25">
      <c r="A287" t="s">
        <v>2199</v>
      </c>
      <c r="B287" t="s">
        <v>28</v>
      </c>
      <c r="C287" t="s">
        <v>1738</v>
      </c>
      <c r="D287" t="s">
        <v>1739</v>
      </c>
      <c r="E287" t="s">
        <v>1723</v>
      </c>
      <c r="F287" t="s">
        <v>154</v>
      </c>
      <c r="G287" s="2">
        <v>500000</v>
      </c>
    </row>
    <row r="288" spans="1:7" x14ac:dyDescent="0.25">
      <c r="A288" t="s">
        <v>2199</v>
      </c>
      <c r="B288" t="s">
        <v>28</v>
      </c>
      <c r="C288" t="s">
        <v>1741</v>
      </c>
      <c r="D288" t="s">
        <v>1742</v>
      </c>
      <c r="E288" t="s">
        <v>1744</v>
      </c>
      <c r="F288" t="s">
        <v>1745</v>
      </c>
      <c r="G288" s="2">
        <v>316013</v>
      </c>
    </row>
    <row r="289" spans="1:7" x14ac:dyDescent="0.25">
      <c r="A289" t="s">
        <v>2199</v>
      </c>
      <c r="B289" t="s">
        <v>28</v>
      </c>
      <c r="C289" t="s">
        <v>1748</v>
      </c>
      <c r="D289" t="s">
        <v>1749</v>
      </c>
      <c r="E289" t="s">
        <v>1752</v>
      </c>
      <c r="F289" t="s">
        <v>1753</v>
      </c>
      <c r="G289" s="2">
        <v>10000000</v>
      </c>
    </row>
    <row r="290" spans="1:7" x14ac:dyDescent="0.25">
      <c r="A290" t="s">
        <v>2199</v>
      </c>
      <c r="B290" t="s">
        <v>28</v>
      </c>
      <c r="C290" t="s">
        <v>1756</v>
      </c>
      <c r="D290" t="s">
        <v>1757</v>
      </c>
      <c r="E290" t="s">
        <v>1759</v>
      </c>
      <c r="F290" t="s">
        <v>1760</v>
      </c>
      <c r="G290" s="2">
        <v>15000018</v>
      </c>
    </row>
    <row r="291" spans="1:7" x14ac:dyDescent="0.25">
      <c r="A291" t="s">
        <v>2199</v>
      </c>
      <c r="B291" t="s">
        <v>28</v>
      </c>
      <c r="C291" t="s">
        <v>1763</v>
      </c>
      <c r="D291" t="s">
        <v>1764</v>
      </c>
      <c r="E291" t="s">
        <v>1759</v>
      </c>
      <c r="F291" t="s">
        <v>1760</v>
      </c>
      <c r="G291" s="2">
        <v>30000000</v>
      </c>
    </row>
    <row r="292" spans="1:7" x14ac:dyDescent="0.25">
      <c r="A292" t="s">
        <v>2199</v>
      </c>
      <c r="B292" t="s">
        <v>28</v>
      </c>
      <c r="C292" t="s">
        <v>1767</v>
      </c>
      <c r="D292" t="s">
        <v>1768</v>
      </c>
      <c r="E292" t="s">
        <v>1642</v>
      </c>
      <c r="F292" t="s">
        <v>1643</v>
      </c>
      <c r="G292" s="2">
        <v>280000</v>
      </c>
    </row>
    <row r="293" spans="1:7" x14ac:dyDescent="0.25">
      <c r="A293" t="s">
        <v>2199</v>
      </c>
      <c r="B293" t="s">
        <v>28</v>
      </c>
      <c r="C293" t="s">
        <v>1770</v>
      </c>
      <c r="D293" t="s">
        <v>1771</v>
      </c>
      <c r="E293" t="s">
        <v>1773</v>
      </c>
      <c r="F293" t="s">
        <v>1774</v>
      </c>
      <c r="G293" s="2">
        <v>7000000</v>
      </c>
    </row>
    <row r="294" spans="1:7" x14ac:dyDescent="0.25">
      <c r="A294" t="s">
        <v>2199</v>
      </c>
      <c r="B294" t="s">
        <v>28</v>
      </c>
      <c r="C294" t="s">
        <v>1777</v>
      </c>
      <c r="D294" t="s">
        <v>1778</v>
      </c>
      <c r="E294" t="s">
        <v>1744</v>
      </c>
      <c r="F294" t="s">
        <v>1745</v>
      </c>
      <c r="G294" s="2">
        <v>1200000</v>
      </c>
    </row>
    <row r="295" spans="1:7" x14ac:dyDescent="0.25">
      <c r="A295" t="s">
        <v>2199</v>
      </c>
      <c r="B295" t="s">
        <v>28</v>
      </c>
      <c r="C295" t="s">
        <v>1780</v>
      </c>
      <c r="D295" t="s">
        <v>1781</v>
      </c>
      <c r="E295" t="s">
        <v>1744</v>
      </c>
      <c r="F295" t="s">
        <v>1745</v>
      </c>
      <c r="G295" s="2">
        <v>150100</v>
      </c>
    </row>
    <row r="296" spans="1:7" x14ac:dyDescent="0.25">
      <c r="A296" t="s">
        <v>2199</v>
      </c>
      <c r="B296" t="s">
        <v>28</v>
      </c>
      <c r="C296" t="s">
        <v>1783</v>
      </c>
      <c r="D296" t="s">
        <v>1784</v>
      </c>
      <c r="E296" t="s">
        <v>1773</v>
      </c>
      <c r="F296" t="s">
        <v>1774</v>
      </c>
      <c r="G296" s="2">
        <v>1500000</v>
      </c>
    </row>
    <row r="297" spans="1:7" x14ac:dyDescent="0.25">
      <c r="A297" t="s">
        <v>2199</v>
      </c>
      <c r="B297" t="s">
        <v>28</v>
      </c>
      <c r="C297" t="s">
        <v>1787</v>
      </c>
      <c r="D297" t="s">
        <v>1788</v>
      </c>
      <c r="E297" t="s">
        <v>1642</v>
      </c>
      <c r="F297" t="s">
        <v>1643</v>
      </c>
      <c r="G297" s="2">
        <v>118548</v>
      </c>
    </row>
    <row r="298" spans="1:7" x14ac:dyDescent="0.25">
      <c r="A298" t="s">
        <v>2199</v>
      </c>
      <c r="B298" t="s">
        <v>28</v>
      </c>
      <c r="C298" t="s">
        <v>1790</v>
      </c>
      <c r="D298" t="s">
        <v>1791</v>
      </c>
      <c r="E298" t="s">
        <v>1773</v>
      </c>
      <c r="F298" t="s">
        <v>1774</v>
      </c>
      <c r="G298" s="2">
        <v>1000000</v>
      </c>
    </row>
    <row r="299" spans="1:7" x14ac:dyDescent="0.25">
      <c r="A299" t="s">
        <v>2199</v>
      </c>
      <c r="B299" t="s">
        <v>28</v>
      </c>
      <c r="C299" t="s">
        <v>1793</v>
      </c>
      <c r="D299" t="s">
        <v>1794</v>
      </c>
      <c r="E299" t="s">
        <v>1797</v>
      </c>
      <c r="F299" t="s">
        <v>1798</v>
      </c>
      <c r="G299" s="2">
        <v>110000</v>
      </c>
    </row>
    <row r="300" spans="1:7" x14ac:dyDescent="0.25">
      <c r="A300" t="s">
        <v>2199</v>
      </c>
      <c r="B300" t="s">
        <v>28</v>
      </c>
      <c r="C300" t="s">
        <v>1802</v>
      </c>
      <c r="D300" t="s">
        <v>1803</v>
      </c>
      <c r="E300" t="s">
        <v>1805</v>
      </c>
      <c r="F300" t="s">
        <v>523</v>
      </c>
      <c r="G300" s="2">
        <v>600000</v>
      </c>
    </row>
    <row r="301" spans="1:7" x14ac:dyDescent="0.25">
      <c r="A301" t="s">
        <v>2199</v>
      </c>
      <c r="B301" t="s">
        <v>28</v>
      </c>
      <c r="C301" t="s">
        <v>1807</v>
      </c>
      <c r="D301" t="s">
        <v>1808</v>
      </c>
      <c r="E301" t="s">
        <v>1752</v>
      </c>
      <c r="F301" t="s">
        <v>1753</v>
      </c>
      <c r="G301" s="2">
        <v>10000000</v>
      </c>
    </row>
    <row r="302" spans="1:7" x14ac:dyDescent="0.25">
      <c r="A302" t="s">
        <v>2199</v>
      </c>
      <c r="B302" t="s">
        <v>28</v>
      </c>
      <c r="C302" t="s">
        <v>1811</v>
      </c>
      <c r="D302" t="s">
        <v>1812</v>
      </c>
      <c r="E302" t="s">
        <v>1797</v>
      </c>
      <c r="F302" t="s">
        <v>1798</v>
      </c>
      <c r="G302" s="2">
        <v>500000</v>
      </c>
    </row>
    <row r="303" spans="1:7" x14ac:dyDescent="0.25">
      <c r="A303" t="s">
        <v>2199</v>
      </c>
      <c r="B303" t="s">
        <v>28</v>
      </c>
      <c r="C303" t="s">
        <v>1815</v>
      </c>
      <c r="D303" t="s">
        <v>1816</v>
      </c>
      <c r="E303" t="s">
        <v>1642</v>
      </c>
      <c r="F303" t="s">
        <v>1643</v>
      </c>
      <c r="G303" s="2">
        <v>450008</v>
      </c>
    </row>
    <row r="304" spans="1:7" x14ac:dyDescent="0.25">
      <c r="A304" t="s">
        <v>2199</v>
      </c>
      <c r="B304" t="s">
        <v>28</v>
      </c>
      <c r="C304" t="s">
        <v>1818</v>
      </c>
      <c r="D304" t="s">
        <v>1819</v>
      </c>
      <c r="E304" t="s">
        <v>1723</v>
      </c>
      <c r="F304" t="s">
        <v>154</v>
      </c>
      <c r="G304" s="2">
        <v>700000</v>
      </c>
    </row>
    <row r="305" spans="1:7" x14ac:dyDescent="0.25">
      <c r="A305" t="s">
        <v>2199</v>
      </c>
      <c r="B305" t="s">
        <v>28</v>
      </c>
      <c r="C305" t="s">
        <v>1821</v>
      </c>
      <c r="D305" t="s">
        <v>1822</v>
      </c>
      <c r="E305" t="s">
        <v>1723</v>
      </c>
      <c r="F305" t="s">
        <v>154</v>
      </c>
      <c r="G305" s="2">
        <v>2000160</v>
      </c>
    </row>
    <row r="306" spans="1:7" x14ac:dyDescent="0.25">
      <c r="A306" t="s">
        <v>2199</v>
      </c>
      <c r="B306" t="s">
        <v>28</v>
      </c>
      <c r="C306" t="s">
        <v>1824</v>
      </c>
      <c r="D306" t="s">
        <v>1825</v>
      </c>
      <c r="E306" t="s">
        <v>1805</v>
      </c>
      <c r="F306" t="s">
        <v>523</v>
      </c>
      <c r="G306" s="2">
        <v>420000</v>
      </c>
    </row>
    <row r="307" spans="1:7" x14ac:dyDescent="0.25">
      <c r="A307" t="s">
        <v>2199</v>
      </c>
      <c r="B307" t="s">
        <v>28</v>
      </c>
      <c r="C307" t="s">
        <v>1832</v>
      </c>
      <c r="D307" t="s">
        <v>1833</v>
      </c>
      <c r="E307" t="s">
        <v>1642</v>
      </c>
      <c r="F307" t="s">
        <v>1643</v>
      </c>
      <c r="G307" s="2">
        <v>1000000</v>
      </c>
    </row>
    <row r="308" spans="1:7" x14ac:dyDescent="0.25">
      <c r="A308" t="s">
        <v>2199</v>
      </c>
      <c r="B308" t="s">
        <v>28</v>
      </c>
      <c r="C308" t="s">
        <v>1835</v>
      </c>
      <c r="D308" t="s">
        <v>1836</v>
      </c>
      <c r="E308" t="s">
        <v>1642</v>
      </c>
      <c r="F308" t="s">
        <v>1643</v>
      </c>
      <c r="G308" s="2">
        <v>440040</v>
      </c>
    </row>
    <row r="309" spans="1:7" x14ac:dyDescent="0.25">
      <c r="A309" t="s">
        <v>2199</v>
      </c>
      <c r="B309" t="s">
        <v>28</v>
      </c>
      <c r="C309" t="s">
        <v>1839</v>
      </c>
      <c r="D309" t="s">
        <v>1840</v>
      </c>
      <c r="E309" t="s">
        <v>1572</v>
      </c>
      <c r="F309" t="s">
        <v>1573</v>
      </c>
      <c r="G309" s="2">
        <v>2578000</v>
      </c>
    </row>
    <row r="310" spans="1:7" x14ac:dyDescent="0.25">
      <c r="A310" t="s">
        <v>2199</v>
      </c>
      <c r="B310" t="s">
        <v>28</v>
      </c>
      <c r="C310" t="s">
        <v>1842</v>
      </c>
      <c r="D310" t="s">
        <v>1843</v>
      </c>
      <c r="E310" t="s">
        <v>122</v>
      </c>
      <c r="F310" t="s">
        <v>544</v>
      </c>
      <c r="G310" s="2">
        <v>3000000</v>
      </c>
    </row>
    <row r="311" spans="1:7" x14ac:dyDescent="0.25">
      <c r="A311" t="s">
        <v>2199</v>
      </c>
      <c r="B311" t="s">
        <v>28</v>
      </c>
      <c r="C311" t="s">
        <v>1845</v>
      </c>
      <c r="D311" t="s">
        <v>1846</v>
      </c>
      <c r="E311" t="s">
        <v>1572</v>
      </c>
      <c r="F311" t="s">
        <v>1573</v>
      </c>
      <c r="G311" s="2">
        <v>1428000</v>
      </c>
    </row>
    <row r="312" spans="1:7" x14ac:dyDescent="0.25">
      <c r="A312" t="s">
        <v>2199</v>
      </c>
      <c r="B312" t="s">
        <v>28</v>
      </c>
      <c r="C312" t="s">
        <v>1848</v>
      </c>
      <c r="D312" t="s">
        <v>1849</v>
      </c>
      <c r="E312" t="s">
        <v>414</v>
      </c>
      <c r="F312" t="s">
        <v>1852</v>
      </c>
      <c r="G312" s="2">
        <v>9000000</v>
      </c>
    </row>
    <row r="313" spans="1:7" x14ac:dyDescent="0.25">
      <c r="A313" t="s">
        <v>2199</v>
      </c>
      <c r="B313" t="s">
        <v>28</v>
      </c>
      <c r="C313" t="s">
        <v>1853</v>
      </c>
      <c r="D313" t="s">
        <v>1854</v>
      </c>
      <c r="E313" t="s">
        <v>1445</v>
      </c>
      <c r="F313" t="s">
        <v>1446</v>
      </c>
      <c r="G313" s="2">
        <v>3000000</v>
      </c>
    </row>
    <row r="314" spans="1:7" x14ac:dyDescent="0.25">
      <c r="A314" t="s">
        <v>2199</v>
      </c>
      <c r="B314" t="s">
        <v>28</v>
      </c>
      <c r="C314" t="s">
        <v>1856</v>
      </c>
      <c r="D314" t="s">
        <v>1857</v>
      </c>
      <c r="E314" t="s">
        <v>761</v>
      </c>
      <c r="F314" t="s">
        <v>762</v>
      </c>
      <c r="G314" s="2">
        <v>1250000</v>
      </c>
    </row>
    <row r="315" spans="1:7" x14ac:dyDescent="0.25">
      <c r="A315" t="s">
        <v>2199</v>
      </c>
      <c r="B315" t="s">
        <v>28</v>
      </c>
      <c r="C315" t="s">
        <v>1860</v>
      </c>
      <c r="D315" t="s">
        <v>1861</v>
      </c>
      <c r="E315" t="s">
        <v>1797</v>
      </c>
      <c r="F315" t="s">
        <v>1798</v>
      </c>
      <c r="G315" s="2">
        <v>449086</v>
      </c>
    </row>
    <row r="316" spans="1:7" x14ac:dyDescent="0.25">
      <c r="A316" t="s">
        <v>2199</v>
      </c>
      <c r="B316" t="s">
        <v>28</v>
      </c>
      <c r="C316" t="s">
        <v>1865</v>
      </c>
      <c r="D316" t="s">
        <v>1866</v>
      </c>
      <c r="E316" t="s">
        <v>1868</v>
      </c>
      <c r="F316" t="s">
        <v>1869</v>
      </c>
      <c r="G316" s="2">
        <v>506850</v>
      </c>
    </row>
    <row r="317" spans="1:7" x14ac:dyDescent="0.25">
      <c r="A317" t="s">
        <v>2199</v>
      </c>
      <c r="B317" t="s">
        <v>28</v>
      </c>
      <c r="C317" t="s">
        <v>1872</v>
      </c>
      <c r="D317" t="s">
        <v>1873</v>
      </c>
      <c r="E317" t="s">
        <v>1875</v>
      </c>
      <c r="F317" t="s">
        <v>1876</v>
      </c>
      <c r="G317" s="2">
        <v>505068</v>
      </c>
    </row>
    <row r="318" spans="1:7" x14ac:dyDescent="0.25">
      <c r="A318" t="s">
        <v>2199</v>
      </c>
      <c r="B318" t="s">
        <v>28</v>
      </c>
      <c r="C318" t="s">
        <v>1879</v>
      </c>
      <c r="D318" t="s">
        <v>1880</v>
      </c>
      <c r="E318" t="s">
        <v>768</v>
      </c>
      <c r="F318" t="s">
        <v>966</v>
      </c>
      <c r="G318" s="2">
        <v>12000000</v>
      </c>
    </row>
    <row r="319" spans="1:7" x14ac:dyDescent="0.25">
      <c r="A319" t="s">
        <v>2199</v>
      </c>
      <c r="B319" t="s">
        <v>28</v>
      </c>
      <c r="C319" t="s">
        <v>1883</v>
      </c>
      <c r="D319" t="s">
        <v>1884</v>
      </c>
      <c r="E319" t="s">
        <v>1759</v>
      </c>
      <c r="F319" t="s">
        <v>1760</v>
      </c>
      <c r="G319" s="2">
        <v>3550000</v>
      </c>
    </row>
    <row r="320" spans="1:7" x14ac:dyDescent="0.25">
      <c r="A320" t="s">
        <v>2199</v>
      </c>
      <c r="B320" t="s">
        <v>28</v>
      </c>
      <c r="C320" t="s">
        <v>1890</v>
      </c>
      <c r="D320" t="s">
        <v>1891</v>
      </c>
      <c r="E320" t="s">
        <v>1893</v>
      </c>
      <c r="F320" t="s">
        <v>1894</v>
      </c>
      <c r="G320" s="2">
        <v>70000</v>
      </c>
    </row>
    <row r="321" spans="1:7" x14ac:dyDescent="0.25">
      <c r="A321" t="s">
        <v>2199</v>
      </c>
      <c r="B321" t="s">
        <v>28</v>
      </c>
      <c r="C321" t="s">
        <v>1897</v>
      </c>
      <c r="D321" t="s">
        <v>1898</v>
      </c>
      <c r="E321" t="s">
        <v>1797</v>
      </c>
      <c r="F321" t="s">
        <v>1798</v>
      </c>
      <c r="G321" s="2">
        <v>335000</v>
      </c>
    </row>
    <row r="322" spans="1:7" x14ac:dyDescent="0.25">
      <c r="A322" t="s">
        <v>2199</v>
      </c>
      <c r="B322" t="s">
        <v>28</v>
      </c>
      <c r="C322" t="s">
        <v>1901</v>
      </c>
      <c r="D322" t="s">
        <v>1903</v>
      </c>
      <c r="E322" t="s">
        <v>761</v>
      </c>
      <c r="F322" t="s">
        <v>762</v>
      </c>
      <c r="G322" s="2">
        <v>6517038</v>
      </c>
    </row>
    <row r="323" spans="1:7" x14ac:dyDescent="0.25">
      <c r="A323" t="s">
        <v>2199</v>
      </c>
      <c r="B323" t="s">
        <v>28</v>
      </c>
      <c r="C323" t="s">
        <v>1908</v>
      </c>
      <c r="D323" t="s">
        <v>1909</v>
      </c>
      <c r="E323" t="s">
        <v>1797</v>
      </c>
      <c r="F323" t="s">
        <v>1798</v>
      </c>
      <c r="G323" s="2">
        <v>170000</v>
      </c>
    </row>
    <row r="324" spans="1:7" x14ac:dyDescent="0.25">
      <c r="A324" t="s">
        <v>2199</v>
      </c>
      <c r="B324" t="s">
        <v>28</v>
      </c>
      <c r="C324" t="s">
        <v>1911</v>
      </c>
      <c r="D324" t="s">
        <v>1912</v>
      </c>
      <c r="E324" t="s">
        <v>1893</v>
      </c>
      <c r="F324" t="s">
        <v>1894</v>
      </c>
      <c r="G324" s="2">
        <v>100000</v>
      </c>
    </row>
    <row r="325" spans="1:7" x14ac:dyDescent="0.25">
      <c r="A325" t="s">
        <v>2199</v>
      </c>
      <c r="B325" t="s">
        <v>28</v>
      </c>
      <c r="C325" t="s">
        <v>1914</v>
      </c>
      <c r="D325" t="s">
        <v>1916</v>
      </c>
      <c r="E325" t="s">
        <v>1445</v>
      </c>
      <c r="F325" t="s">
        <v>1446</v>
      </c>
      <c r="G325" s="2">
        <v>220000</v>
      </c>
    </row>
    <row r="326" spans="1:7" x14ac:dyDescent="0.25">
      <c r="A326" t="s">
        <v>2199</v>
      </c>
      <c r="B326" t="s">
        <v>28</v>
      </c>
      <c r="C326" t="s">
        <v>1921</v>
      </c>
      <c r="D326" t="s">
        <v>1922</v>
      </c>
      <c r="E326" t="s">
        <v>1924</v>
      </c>
      <c r="F326" t="s">
        <v>1869</v>
      </c>
      <c r="G326" s="2">
        <v>511508</v>
      </c>
    </row>
    <row r="327" spans="1:7" x14ac:dyDescent="0.25">
      <c r="A327" t="s">
        <v>2199</v>
      </c>
      <c r="B327" t="s">
        <v>28</v>
      </c>
      <c r="C327" t="s">
        <v>1927</v>
      </c>
      <c r="D327" t="s">
        <v>1928</v>
      </c>
      <c r="E327" t="s">
        <v>1931</v>
      </c>
      <c r="F327" t="s">
        <v>1932</v>
      </c>
      <c r="G327" s="2">
        <v>207808160</v>
      </c>
    </row>
    <row r="328" spans="1:7" x14ac:dyDescent="0.25">
      <c r="A328" t="s">
        <v>2199</v>
      </c>
      <c r="B328" t="s">
        <v>28</v>
      </c>
      <c r="C328" t="s">
        <v>1942</v>
      </c>
      <c r="D328" t="s">
        <v>1943</v>
      </c>
      <c r="E328" t="s">
        <v>761</v>
      </c>
      <c r="F328" t="s">
        <v>762</v>
      </c>
      <c r="G328" s="2">
        <v>1793388</v>
      </c>
    </row>
    <row r="329" spans="1:7" x14ac:dyDescent="0.25">
      <c r="A329" t="s">
        <v>2199</v>
      </c>
      <c r="B329" t="s">
        <v>28</v>
      </c>
      <c r="C329" t="s">
        <v>1948</v>
      </c>
      <c r="D329" t="s">
        <v>1949</v>
      </c>
      <c r="E329" t="s">
        <v>414</v>
      </c>
      <c r="F329" t="s">
        <v>1852</v>
      </c>
      <c r="G329" s="2">
        <v>10002100</v>
      </c>
    </row>
    <row r="330" spans="1:7" x14ac:dyDescent="0.25">
      <c r="A330" t="s">
        <v>2199</v>
      </c>
      <c r="B330" t="s">
        <v>28</v>
      </c>
      <c r="C330" t="s">
        <v>1951</v>
      </c>
      <c r="D330" t="s">
        <v>1952</v>
      </c>
      <c r="E330" t="s">
        <v>761</v>
      </c>
      <c r="F330" t="s">
        <v>762</v>
      </c>
      <c r="G330" s="2">
        <v>1149277</v>
      </c>
    </row>
    <row r="331" spans="1:7" x14ac:dyDescent="0.25">
      <c r="A331" t="s">
        <v>2199</v>
      </c>
      <c r="B331" t="s">
        <v>28</v>
      </c>
      <c r="C331" t="s">
        <v>1955</v>
      </c>
      <c r="D331" t="s">
        <v>1956</v>
      </c>
      <c r="E331" t="s">
        <v>414</v>
      </c>
      <c r="F331" t="s">
        <v>1852</v>
      </c>
      <c r="G331" s="2">
        <v>5560000</v>
      </c>
    </row>
    <row r="332" spans="1:7" x14ac:dyDescent="0.25">
      <c r="A332" t="s">
        <v>2199</v>
      </c>
      <c r="B332" t="s">
        <v>28</v>
      </c>
      <c r="C332" t="s">
        <v>1960</v>
      </c>
      <c r="D332" t="s">
        <v>1961</v>
      </c>
      <c r="E332" t="s">
        <v>1963</v>
      </c>
      <c r="F332" t="s">
        <v>1964</v>
      </c>
      <c r="G332" s="2">
        <v>920000</v>
      </c>
    </row>
    <row r="333" spans="1:7" x14ac:dyDescent="0.25">
      <c r="A333" t="s">
        <v>2199</v>
      </c>
      <c r="B333" t="s">
        <v>28</v>
      </c>
      <c r="C333" t="s">
        <v>1976</v>
      </c>
      <c r="D333" t="s">
        <v>1977</v>
      </c>
      <c r="E333" t="s">
        <v>1660</v>
      </c>
      <c r="F333" t="s">
        <v>1980</v>
      </c>
      <c r="G333" s="2">
        <v>15984280</v>
      </c>
    </row>
    <row r="334" spans="1:7" x14ac:dyDescent="0.25">
      <c r="A334" t="s">
        <v>2199</v>
      </c>
      <c r="B334" t="s">
        <v>28</v>
      </c>
      <c r="C334" t="s">
        <v>1981</v>
      </c>
      <c r="D334" t="s">
        <v>1982</v>
      </c>
      <c r="E334" t="s">
        <v>1985</v>
      </c>
      <c r="F334" t="s">
        <v>1986</v>
      </c>
      <c r="G334" s="2">
        <v>901000</v>
      </c>
    </row>
    <row r="335" spans="1:7" x14ac:dyDescent="0.25">
      <c r="A335" t="s">
        <v>2199</v>
      </c>
      <c r="B335" t="s">
        <v>28</v>
      </c>
      <c r="C335" t="s">
        <v>1990</v>
      </c>
      <c r="D335" t="s">
        <v>1991</v>
      </c>
      <c r="E335" t="s">
        <v>414</v>
      </c>
      <c r="F335" t="s">
        <v>1852</v>
      </c>
      <c r="G335" s="2">
        <v>3500000</v>
      </c>
    </row>
    <row r="336" spans="1:7" x14ac:dyDescent="0.25">
      <c r="A336" t="s">
        <v>2199</v>
      </c>
      <c r="B336" t="s">
        <v>28</v>
      </c>
      <c r="C336" t="s">
        <v>1993</v>
      </c>
      <c r="D336" t="s">
        <v>1994</v>
      </c>
      <c r="E336" t="s">
        <v>414</v>
      </c>
      <c r="F336" t="s">
        <v>1996</v>
      </c>
      <c r="G336" s="2">
        <v>15135390</v>
      </c>
    </row>
    <row r="337" spans="1:7" x14ac:dyDescent="0.25">
      <c r="A337" t="s">
        <v>2199</v>
      </c>
      <c r="B337" t="s">
        <v>28</v>
      </c>
      <c r="C337" t="s">
        <v>1997</v>
      </c>
      <c r="D337" t="s">
        <v>1998</v>
      </c>
      <c r="E337" t="s">
        <v>1985</v>
      </c>
      <c r="F337" t="s">
        <v>1986</v>
      </c>
      <c r="G337" s="2">
        <v>1200000</v>
      </c>
    </row>
    <row r="338" spans="1:7" x14ac:dyDescent="0.25">
      <c r="A338" t="s">
        <v>2199</v>
      </c>
      <c r="B338" t="s">
        <v>28</v>
      </c>
      <c r="C338" t="s">
        <v>2000</v>
      </c>
      <c r="D338" t="s">
        <v>2001</v>
      </c>
      <c r="E338" t="s">
        <v>1985</v>
      </c>
      <c r="F338" t="s">
        <v>1986</v>
      </c>
      <c r="G338" s="2">
        <v>20000000</v>
      </c>
    </row>
    <row r="339" spans="1:7" x14ac:dyDescent="0.25">
      <c r="A339" t="s">
        <v>2199</v>
      </c>
      <c r="B339" t="s">
        <v>28</v>
      </c>
      <c r="C339" t="s">
        <v>2005</v>
      </c>
      <c r="D339" t="s">
        <v>2006</v>
      </c>
      <c r="E339" t="s">
        <v>1469</v>
      </c>
      <c r="F339" t="s">
        <v>2008</v>
      </c>
      <c r="G339" s="2">
        <v>911311</v>
      </c>
    </row>
    <row r="340" spans="1:7" x14ac:dyDescent="0.25">
      <c r="A340" t="s">
        <v>2199</v>
      </c>
      <c r="B340" t="s">
        <v>28</v>
      </c>
      <c r="C340" t="s">
        <v>2011</v>
      </c>
      <c r="D340" t="s">
        <v>2012</v>
      </c>
      <c r="E340" t="s">
        <v>1985</v>
      </c>
      <c r="F340" t="s">
        <v>1986</v>
      </c>
      <c r="G340" s="2">
        <v>50008000</v>
      </c>
    </row>
    <row r="341" spans="1:7" x14ac:dyDescent="0.25">
      <c r="A341" t="s">
        <v>2199</v>
      </c>
      <c r="B341" t="s">
        <v>28</v>
      </c>
      <c r="C341" t="s">
        <v>2016</v>
      </c>
      <c r="D341" t="s">
        <v>2017</v>
      </c>
      <c r="E341" t="s">
        <v>1963</v>
      </c>
      <c r="F341" t="s">
        <v>1964</v>
      </c>
      <c r="G341" s="2">
        <v>230032</v>
      </c>
    </row>
    <row r="342" spans="1:7" x14ac:dyDescent="0.25">
      <c r="A342" t="s">
        <v>2199</v>
      </c>
      <c r="B342" t="s">
        <v>28</v>
      </c>
      <c r="C342" t="s">
        <v>2020</v>
      </c>
      <c r="D342" t="s">
        <v>2021</v>
      </c>
      <c r="E342" t="s">
        <v>1985</v>
      </c>
      <c r="F342" t="s">
        <v>1986</v>
      </c>
      <c r="G342" s="2">
        <v>700005</v>
      </c>
    </row>
    <row r="343" spans="1:7" x14ac:dyDescent="0.25">
      <c r="A343" t="s">
        <v>2199</v>
      </c>
      <c r="B343" t="s">
        <v>28</v>
      </c>
      <c r="C343" t="s">
        <v>2024</v>
      </c>
      <c r="D343" t="s">
        <v>2025</v>
      </c>
      <c r="E343" t="s">
        <v>1985</v>
      </c>
      <c r="F343" t="s">
        <v>1986</v>
      </c>
      <c r="G343" s="2">
        <v>10000000</v>
      </c>
    </row>
    <row r="344" spans="1:7" x14ac:dyDescent="0.25">
      <c r="A344" t="s">
        <v>2199</v>
      </c>
      <c r="B344" t="s">
        <v>28</v>
      </c>
      <c r="C344" t="s">
        <v>2041</v>
      </c>
      <c r="D344" t="s">
        <v>2042</v>
      </c>
      <c r="E344" t="s">
        <v>657</v>
      </c>
      <c r="F344" t="s">
        <v>658</v>
      </c>
      <c r="G344" s="2">
        <v>2638010</v>
      </c>
    </row>
    <row r="345" spans="1:7" x14ac:dyDescent="0.25">
      <c r="A345" t="s">
        <v>2199</v>
      </c>
      <c r="B345" t="s">
        <v>28</v>
      </c>
      <c r="C345" t="s">
        <v>2047</v>
      </c>
      <c r="D345" t="s">
        <v>2048</v>
      </c>
      <c r="E345" t="s">
        <v>2051</v>
      </c>
      <c r="F345" t="s">
        <v>2052</v>
      </c>
      <c r="G345" s="2">
        <v>1248835</v>
      </c>
    </row>
    <row r="346" spans="1:7" x14ac:dyDescent="0.25">
      <c r="A346" t="s">
        <v>2199</v>
      </c>
      <c r="B346" t="s">
        <v>28</v>
      </c>
      <c r="C346" t="s">
        <v>2056</v>
      </c>
      <c r="D346" t="s">
        <v>2057</v>
      </c>
      <c r="E346" t="s">
        <v>1642</v>
      </c>
      <c r="F346" t="s">
        <v>1643</v>
      </c>
      <c r="G346" s="2">
        <v>883038</v>
      </c>
    </row>
    <row r="347" spans="1:7" x14ac:dyDescent="0.25">
      <c r="A347" t="s">
        <v>2199</v>
      </c>
      <c r="B347" t="s">
        <v>28</v>
      </c>
      <c r="C347" t="s">
        <v>2067</v>
      </c>
      <c r="D347" t="s">
        <v>2068</v>
      </c>
      <c r="E347" t="s">
        <v>590</v>
      </c>
      <c r="F347" t="s">
        <v>591</v>
      </c>
      <c r="G347" s="2">
        <v>490280</v>
      </c>
    </row>
    <row r="348" spans="1:7" x14ac:dyDescent="0.25">
      <c r="A348" t="s">
        <v>2199</v>
      </c>
      <c r="B348" t="s">
        <v>28</v>
      </c>
      <c r="C348" t="s">
        <v>2070</v>
      </c>
      <c r="D348" t="s">
        <v>2071</v>
      </c>
      <c r="E348" t="s">
        <v>1642</v>
      </c>
      <c r="F348" t="s">
        <v>1643</v>
      </c>
      <c r="G348" s="2">
        <v>70000</v>
      </c>
    </row>
    <row r="349" spans="1:7" x14ac:dyDescent="0.25">
      <c r="A349" t="s">
        <v>2199</v>
      </c>
      <c r="B349" t="s">
        <v>28</v>
      </c>
      <c r="C349" t="s">
        <v>2074</v>
      </c>
      <c r="D349" t="s">
        <v>788</v>
      </c>
      <c r="E349" t="s">
        <v>2076</v>
      </c>
      <c r="F349" t="s">
        <v>2077</v>
      </c>
      <c r="G349" s="2">
        <v>2473910</v>
      </c>
    </row>
    <row r="350" spans="1:7" x14ac:dyDescent="0.25">
      <c r="A350" t="s">
        <v>2199</v>
      </c>
      <c r="B350" t="s">
        <v>28</v>
      </c>
      <c r="C350" t="s">
        <v>2083</v>
      </c>
      <c r="D350" t="s">
        <v>1916</v>
      </c>
      <c r="E350" t="s">
        <v>1445</v>
      </c>
      <c r="F350" t="s">
        <v>1446</v>
      </c>
      <c r="G350" s="2">
        <v>200000</v>
      </c>
    </row>
    <row r="351" spans="1:7" x14ac:dyDescent="0.25">
      <c r="A351" t="s">
        <v>2199</v>
      </c>
      <c r="B351" t="s">
        <v>28</v>
      </c>
      <c r="C351" t="s">
        <v>2089</v>
      </c>
      <c r="D351" t="s">
        <v>2090</v>
      </c>
      <c r="E351" t="s">
        <v>761</v>
      </c>
      <c r="F351" t="s">
        <v>762</v>
      </c>
      <c r="G351" s="2">
        <v>3287930</v>
      </c>
    </row>
    <row r="352" spans="1:7" x14ac:dyDescent="0.25">
      <c r="A352" t="s">
        <v>2199</v>
      </c>
      <c r="B352" t="s">
        <v>28</v>
      </c>
      <c r="C352" t="s">
        <v>2097</v>
      </c>
      <c r="D352" t="s">
        <v>2098</v>
      </c>
      <c r="E352" t="s">
        <v>590</v>
      </c>
      <c r="F352" t="s">
        <v>591</v>
      </c>
      <c r="G352" s="2">
        <v>2173106</v>
      </c>
    </row>
    <row r="353" spans="1:7" x14ac:dyDescent="0.25">
      <c r="A353" t="s">
        <v>2199</v>
      </c>
      <c r="B353" t="s">
        <v>28</v>
      </c>
      <c r="C353" t="s">
        <v>2107</v>
      </c>
      <c r="D353" t="s">
        <v>2108</v>
      </c>
      <c r="E353" t="s">
        <v>761</v>
      </c>
      <c r="F353" t="s">
        <v>762</v>
      </c>
      <c r="G353" s="2">
        <v>2525004</v>
      </c>
    </row>
    <row r="354" spans="1:7" x14ac:dyDescent="0.25">
      <c r="A354" t="s">
        <v>2199</v>
      </c>
      <c r="B354" t="s">
        <v>28</v>
      </c>
      <c r="C354" t="s">
        <v>2115</v>
      </c>
      <c r="D354" t="s">
        <v>2116</v>
      </c>
      <c r="E354" t="s">
        <v>761</v>
      </c>
      <c r="F354" t="s">
        <v>762</v>
      </c>
      <c r="G354" s="2">
        <v>2225980</v>
      </c>
    </row>
    <row r="355" spans="1:7" x14ac:dyDescent="0.25">
      <c r="A355" t="s">
        <v>2199</v>
      </c>
      <c r="B355" t="s">
        <v>28</v>
      </c>
      <c r="C355" t="s">
        <v>2121</v>
      </c>
      <c r="D355" t="s">
        <v>2122</v>
      </c>
      <c r="E355" t="s">
        <v>2124</v>
      </c>
      <c r="F355" t="s">
        <v>1217</v>
      </c>
      <c r="G355" s="2">
        <v>29029170</v>
      </c>
    </row>
    <row r="356" spans="1:7" x14ac:dyDescent="0.25">
      <c r="A356" t="s">
        <v>2199</v>
      </c>
      <c r="B356" t="s">
        <v>28</v>
      </c>
      <c r="C356" t="s">
        <v>2144</v>
      </c>
      <c r="D356" t="s">
        <v>2145</v>
      </c>
      <c r="E356" t="s">
        <v>64</v>
      </c>
      <c r="F356" t="s">
        <v>65</v>
      </c>
      <c r="G356" s="2">
        <v>1953508</v>
      </c>
    </row>
    <row r="357" spans="1:7" x14ac:dyDescent="0.25">
      <c r="A357" t="s">
        <v>2199</v>
      </c>
      <c r="B357" t="s">
        <v>28</v>
      </c>
      <c r="C357" t="s">
        <v>2149</v>
      </c>
      <c r="D357" t="s">
        <v>2150</v>
      </c>
      <c r="E357" t="s">
        <v>2152</v>
      </c>
      <c r="F357" t="s">
        <v>2153</v>
      </c>
      <c r="G357" s="2">
        <v>6587696</v>
      </c>
    </row>
    <row r="358" spans="1:7" x14ac:dyDescent="0.25">
      <c r="A358" t="s">
        <v>2199</v>
      </c>
      <c r="B358" t="s">
        <v>28</v>
      </c>
      <c r="C358" t="s">
        <v>2156</v>
      </c>
      <c r="D358" t="s">
        <v>2157</v>
      </c>
      <c r="E358" t="s">
        <v>395</v>
      </c>
      <c r="F358" t="s">
        <v>1217</v>
      </c>
      <c r="G358" s="2">
        <v>821208</v>
      </c>
    </row>
    <row r="359" spans="1:7" x14ac:dyDescent="0.25">
      <c r="A359" t="s">
        <v>2199</v>
      </c>
      <c r="B359" t="s">
        <v>28</v>
      </c>
      <c r="C359" t="s">
        <v>2166</v>
      </c>
      <c r="D359" t="s">
        <v>2167</v>
      </c>
      <c r="E359" t="s">
        <v>64</v>
      </c>
      <c r="F359" t="s">
        <v>65</v>
      </c>
      <c r="G359" s="2">
        <v>395496</v>
      </c>
    </row>
    <row r="360" spans="1:7" x14ac:dyDescent="0.25">
      <c r="A360" t="s">
        <v>2199</v>
      </c>
      <c r="B360" t="s">
        <v>28</v>
      </c>
      <c r="C360" t="s">
        <v>2169</v>
      </c>
      <c r="D360" t="s">
        <v>2170</v>
      </c>
      <c r="E360" t="s">
        <v>2171</v>
      </c>
      <c r="F360" t="s">
        <v>2172</v>
      </c>
      <c r="G360" s="2">
        <v>1527348</v>
      </c>
    </row>
    <row r="361" spans="1:7" x14ac:dyDescent="0.25">
      <c r="A361" t="s">
        <v>2199</v>
      </c>
      <c r="B361" t="s">
        <v>28</v>
      </c>
      <c r="C361" t="s">
        <v>2174</v>
      </c>
      <c r="D361" t="s">
        <v>2175</v>
      </c>
      <c r="E361" t="s">
        <v>1893</v>
      </c>
      <c r="F361" t="s">
        <v>2177</v>
      </c>
      <c r="G361" s="2">
        <v>489000</v>
      </c>
    </row>
    <row r="362" spans="1:7" x14ac:dyDescent="0.25">
      <c r="A362" t="s">
        <v>2199</v>
      </c>
      <c r="B362" t="s">
        <v>28</v>
      </c>
      <c r="C362" t="s">
        <v>2178</v>
      </c>
      <c r="D362" t="s">
        <v>2179</v>
      </c>
      <c r="E362" t="s">
        <v>950</v>
      </c>
      <c r="F362" t="s">
        <v>951</v>
      </c>
      <c r="G362" s="2">
        <v>57500000</v>
      </c>
    </row>
    <row r="363" spans="1:7" x14ac:dyDescent="0.25">
      <c r="A363" t="s">
        <v>2199</v>
      </c>
      <c r="B363" t="s">
        <v>28</v>
      </c>
      <c r="C363" t="s">
        <v>2183</v>
      </c>
      <c r="D363" t="s">
        <v>2184</v>
      </c>
      <c r="E363" t="s">
        <v>761</v>
      </c>
      <c r="F363" t="s">
        <v>762</v>
      </c>
      <c r="G363" s="2">
        <v>11310771</v>
      </c>
    </row>
    <row r="364" spans="1:7" x14ac:dyDescent="0.25">
      <c r="A364" t="s">
        <v>2199</v>
      </c>
      <c r="B364" t="s">
        <v>567</v>
      </c>
      <c r="C364" t="s">
        <v>568</v>
      </c>
      <c r="D364" t="s">
        <v>570</v>
      </c>
      <c r="E364" t="s">
        <v>573</v>
      </c>
      <c r="F364" t="s">
        <v>574</v>
      </c>
      <c r="G364" s="2">
        <v>156000000</v>
      </c>
    </row>
    <row r="365" spans="1:7" x14ac:dyDescent="0.25">
      <c r="A365" t="s">
        <v>2199</v>
      </c>
      <c r="B365" t="s">
        <v>594</v>
      </c>
      <c r="C365" t="s">
        <v>1280</v>
      </c>
      <c r="D365" t="s">
        <v>1281</v>
      </c>
      <c r="E365" t="s">
        <v>624</v>
      </c>
      <c r="F365" t="s">
        <v>625</v>
      </c>
      <c r="G365" s="2">
        <v>25000000</v>
      </c>
    </row>
    <row r="366" spans="1:7" x14ac:dyDescent="0.25">
      <c r="A366" t="s">
        <v>2199</v>
      </c>
      <c r="B366" t="s">
        <v>594</v>
      </c>
      <c r="C366" t="s">
        <v>1283</v>
      </c>
      <c r="D366" t="s">
        <v>1284</v>
      </c>
      <c r="E366" t="s">
        <v>624</v>
      </c>
      <c r="F366" t="s">
        <v>625</v>
      </c>
      <c r="G366" s="2">
        <v>37000000</v>
      </c>
    </row>
    <row r="367" spans="1:7" x14ac:dyDescent="0.25">
      <c r="A367" t="s">
        <v>2199</v>
      </c>
      <c r="B367" t="s">
        <v>594</v>
      </c>
      <c r="C367" t="s">
        <v>1286</v>
      </c>
      <c r="D367" t="s">
        <v>1287</v>
      </c>
      <c r="E367" t="s">
        <v>624</v>
      </c>
      <c r="F367" t="s">
        <v>625</v>
      </c>
      <c r="G367" s="2">
        <v>60000000</v>
      </c>
    </row>
    <row r="368" spans="1:7" x14ac:dyDescent="0.25">
      <c r="A368" t="s">
        <v>2199</v>
      </c>
      <c r="B368" t="s">
        <v>594</v>
      </c>
      <c r="C368" t="s">
        <v>1355</v>
      </c>
      <c r="D368" t="s">
        <v>1356</v>
      </c>
      <c r="E368" t="s">
        <v>1299</v>
      </c>
      <c r="F368" t="s">
        <v>1300</v>
      </c>
      <c r="G368" s="2">
        <v>17187000</v>
      </c>
    </row>
    <row r="369" spans="1:7" x14ac:dyDescent="0.25">
      <c r="A369" t="s">
        <v>2199</v>
      </c>
      <c r="B369" t="s">
        <v>594</v>
      </c>
      <c r="C369" t="s">
        <v>1357</v>
      </c>
      <c r="D369" t="s">
        <v>1358</v>
      </c>
      <c r="E369" t="s">
        <v>1299</v>
      </c>
      <c r="F369" t="s">
        <v>1300</v>
      </c>
      <c r="G369" s="2">
        <v>293779000</v>
      </c>
    </row>
    <row r="370" spans="1:7" x14ac:dyDescent="0.25">
      <c r="A370" t="s">
        <v>2199</v>
      </c>
      <c r="B370" t="s">
        <v>594</v>
      </c>
      <c r="C370" t="s">
        <v>1360</v>
      </c>
      <c r="D370" t="s">
        <v>1361</v>
      </c>
      <c r="E370" t="s">
        <v>624</v>
      </c>
      <c r="F370" t="s">
        <v>625</v>
      </c>
      <c r="G370" s="2">
        <v>37000000</v>
      </c>
    </row>
    <row r="371" spans="1:7" x14ac:dyDescent="0.25">
      <c r="A371" t="s">
        <v>2199</v>
      </c>
      <c r="B371" t="s">
        <v>594</v>
      </c>
      <c r="C371" t="s">
        <v>1363</v>
      </c>
      <c r="D371" t="s">
        <v>1364</v>
      </c>
      <c r="E371" t="s">
        <v>1299</v>
      </c>
      <c r="F371" t="s">
        <v>1300</v>
      </c>
      <c r="G371" s="2">
        <v>102410000</v>
      </c>
    </row>
    <row r="372" spans="1:7" x14ac:dyDescent="0.25">
      <c r="A372" t="s">
        <v>2199</v>
      </c>
      <c r="B372" t="s">
        <v>594</v>
      </c>
      <c r="C372" t="s">
        <v>1366</v>
      </c>
      <c r="D372" t="s">
        <v>1367</v>
      </c>
      <c r="E372" t="s">
        <v>624</v>
      </c>
      <c r="F372" t="s">
        <v>625</v>
      </c>
      <c r="G372" s="2">
        <v>103000000</v>
      </c>
    </row>
    <row r="373" spans="1:7" x14ac:dyDescent="0.25">
      <c r="A373" t="s">
        <v>2199</v>
      </c>
      <c r="B373" t="s">
        <v>594</v>
      </c>
      <c r="C373" t="s">
        <v>1382</v>
      </c>
      <c r="D373" t="s">
        <v>1383</v>
      </c>
      <c r="E373" t="s">
        <v>1299</v>
      </c>
      <c r="F373" t="s">
        <v>1300</v>
      </c>
      <c r="G373" s="2">
        <v>6442000</v>
      </c>
    </row>
    <row r="374" spans="1:7" x14ac:dyDescent="0.25">
      <c r="A374" t="s">
        <v>2199</v>
      </c>
      <c r="B374" t="s">
        <v>594</v>
      </c>
      <c r="C374" t="s">
        <v>1401</v>
      </c>
      <c r="D374" t="s">
        <v>1402</v>
      </c>
      <c r="E374" t="s">
        <v>1299</v>
      </c>
      <c r="F374" t="s">
        <v>1300</v>
      </c>
      <c r="G374" s="2">
        <v>356525000</v>
      </c>
    </row>
    <row r="375" spans="1:7" x14ac:dyDescent="0.25">
      <c r="A375" t="s">
        <v>2199</v>
      </c>
      <c r="B375" t="s">
        <v>594</v>
      </c>
      <c r="C375" t="s">
        <v>1827</v>
      </c>
      <c r="D375" t="s">
        <v>1828</v>
      </c>
      <c r="E375" t="s">
        <v>1723</v>
      </c>
      <c r="F375" t="s">
        <v>1831</v>
      </c>
      <c r="G375" s="2">
        <v>7200000</v>
      </c>
    </row>
    <row r="376" spans="1:7" x14ac:dyDescent="0.25">
      <c r="A376" t="s">
        <v>2199</v>
      </c>
      <c r="B376" t="s">
        <v>594</v>
      </c>
      <c r="C376" t="s">
        <v>595</v>
      </c>
      <c r="D376" t="s">
        <v>597</v>
      </c>
      <c r="E376" t="s">
        <v>590</v>
      </c>
      <c r="F376" t="s">
        <v>591</v>
      </c>
      <c r="G376" s="2">
        <v>278615006</v>
      </c>
    </row>
    <row r="377" spans="1:7" x14ac:dyDescent="0.25">
      <c r="A377" t="s">
        <v>2199</v>
      </c>
      <c r="B377" t="s">
        <v>594</v>
      </c>
      <c r="C377" t="s">
        <v>803</v>
      </c>
      <c r="D377" t="s">
        <v>805</v>
      </c>
      <c r="E377" t="s">
        <v>624</v>
      </c>
      <c r="F377" t="s">
        <v>625</v>
      </c>
      <c r="G377" s="2">
        <v>37000000</v>
      </c>
    </row>
    <row r="378" spans="1:7" x14ac:dyDescent="0.25">
      <c r="A378" t="s">
        <v>2199</v>
      </c>
      <c r="B378" t="s">
        <v>594</v>
      </c>
      <c r="C378" t="s">
        <v>808</v>
      </c>
      <c r="D378" t="s">
        <v>809</v>
      </c>
      <c r="E378" t="s">
        <v>624</v>
      </c>
      <c r="F378" t="s">
        <v>625</v>
      </c>
      <c r="G378" s="2">
        <v>37000000</v>
      </c>
    </row>
    <row r="379" spans="1:7" x14ac:dyDescent="0.25">
      <c r="A379" t="s">
        <v>2199</v>
      </c>
      <c r="B379" t="s">
        <v>594</v>
      </c>
      <c r="C379" t="s">
        <v>1196</v>
      </c>
      <c r="D379" t="s">
        <v>1197</v>
      </c>
      <c r="E379" t="s">
        <v>1200</v>
      </c>
      <c r="F379" t="s">
        <v>514</v>
      </c>
      <c r="G379" s="2">
        <v>3430002</v>
      </c>
    </row>
    <row r="380" spans="1:7" x14ac:dyDescent="0.25">
      <c r="A380" t="s">
        <v>2199</v>
      </c>
      <c r="B380" t="s">
        <v>594</v>
      </c>
      <c r="C380" t="s">
        <v>1204</v>
      </c>
      <c r="D380" t="s">
        <v>1205</v>
      </c>
      <c r="E380" t="s">
        <v>624</v>
      </c>
      <c r="F380" t="s">
        <v>625</v>
      </c>
      <c r="G380" s="2">
        <v>37000000</v>
      </c>
    </row>
    <row r="381" spans="1:7" x14ac:dyDescent="0.25">
      <c r="A381" t="s">
        <v>2199</v>
      </c>
      <c r="B381" t="s">
        <v>1304</v>
      </c>
      <c r="C381" t="s">
        <v>1339</v>
      </c>
      <c r="D381" t="s">
        <v>1340</v>
      </c>
      <c r="E381" t="s">
        <v>1342</v>
      </c>
      <c r="F381" t="s">
        <v>1343</v>
      </c>
      <c r="G381" s="2">
        <v>525000</v>
      </c>
    </row>
    <row r="382" spans="1:7" x14ac:dyDescent="0.25">
      <c r="A382" t="s">
        <v>2199</v>
      </c>
      <c r="B382" t="s">
        <v>1304</v>
      </c>
      <c r="C382" t="s">
        <v>1371</v>
      </c>
      <c r="D382" t="s">
        <v>1373</v>
      </c>
      <c r="E382" t="s">
        <v>1200</v>
      </c>
      <c r="F382" t="s">
        <v>514</v>
      </c>
      <c r="G382" s="2">
        <v>1058222000</v>
      </c>
    </row>
    <row r="383" spans="1:7" x14ac:dyDescent="0.25">
      <c r="A383" t="s">
        <v>2199</v>
      </c>
      <c r="B383" t="s">
        <v>1304</v>
      </c>
      <c r="C383" t="s">
        <v>1376</v>
      </c>
      <c r="D383" t="s">
        <v>1377</v>
      </c>
      <c r="E383" t="s">
        <v>1200</v>
      </c>
      <c r="F383" t="s">
        <v>514</v>
      </c>
      <c r="G383" s="2">
        <v>916961000</v>
      </c>
    </row>
    <row r="384" spans="1:7" x14ac:dyDescent="0.25">
      <c r="A384" t="s">
        <v>2199</v>
      </c>
      <c r="B384" t="s">
        <v>1304</v>
      </c>
      <c r="C384" t="s">
        <v>1379</v>
      </c>
      <c r="D384" t="s">
        <v>1380</v>
      </c>
      <c r="E384" t="s">
        <v>1200</v>
      </c>
      <c r="F384" t="s">
        <v>514</v>
      </c>
      <c r="G384" s="2">
        <v>888441000</v>
      </c>
    </row>
    <row r="385" spans="1:7" x14ac:dyDescent="0.25">
      <c r="A385" t="s">
        <v>2199</v>
      </c>
      <c r="B385" t="s">
        <v>1304</v>
      </c>
      <c r="C385" t="s">
        <v>1389</v>
      </c>
      <c r="D385" t="s">
        <v>1390</v>
      </c>
      <c r="E385" t="s">
        <v>1342</v>
      </c>
      <c r="F385" t="s">
        <v>1392</v>
      </c>
      <c r="G385" s="2">
        <v>630000</v>
      </c>
    </row>
    <row r="386" spans="1:7" x14ac:dyDescent="0.25">
      <c r="A386" t="s">
        <v>2199</v>
      </c>
      <c r="B386" t="s">
        <v>1304</v>
      </c>
      <c r="C386" t="s">
        <v>1887</v>
      </c>
      <c r="D386" t="s">
        <v>1888</v>
      </c>
      <c r="E386" t="s">
        <v>1200</v>
      </c>
      <c r="F386" t="s">
        <v>514</v>
      </c>
      <c r="G386" s="2">
        <v>2075079539</v>
      </c>
    </row>
    <row r="387" spans="1:7" x14ac:dyDescent="0.25">
      <c r="A387" t="s">
        <v>2199</v>
      </c>
      <c r="B387" t="s">
        <v>1304</v>
      </c>
      <c r="C387" t="s">
        <v>1305</v>
      </c>
      <c r="D387" t="s">
        <v>1306</v>
      </c>
      <c r="E387" t="s">
        <v>624</v>
      </c>
      <c r="F387" t="s">
        <v>625</v>
      </c>
      <c r="G387" s="2">
        <v>1680000000</v>
      </c>
    </row>
    <row r="388" spans="1:7" x14ac:dyDescent="0.25">
      <c r="A388" t="s">
        <v>2199</v>
      </c>
      <c r="B388" t="s">
        <v>1304</v>
      </c>
      <c r="C388" t="s">
        <v>1308</v>
      </c>
      <c r="D388" t="s">
        <v>1309</v>
      </c>
      <c r="E388" t="s">
        <v>624</v>
      </c>
      <c r="F388" t="s">
        <v>625</v>
      </c>
      <c r="G388" s="2">
        <v>80000000</v>
      </c>
    </row>
    <row r="389" spans="1:7" x14ac:dyDescent="0.25">
      <c r="A389" t="s">
        <v>2199</v>
      </c>
      <c r="B389" t="s">
        <v>1304</v>
      </c>
      <c r="C389" t="s">
        <v>1311</v>
      </c>
      <c r="D389" t="s">
        <v>1313</v>
      </c>
      <c r="E389" t="s">
        <v>1315</v>
      </c>
      <c r="F389" t="s">
        <v>1316</v>
      </c>
      <c r="G389" s="2">
        <v>250000000</v>
      </c>
    </row>
    <row r="390" spans="1:7" x14ac:dyDescent="0.25">
      <c r="A390" t="s">
        <v>2199</v>
      </c>
      <c r="B390" t="s">
        <v>1304</v>
      </c>
      <c r="C390" t="s">
        <v>1319</v>
      </c>
      <c r="D390" t="s">
        <v>1320</v>
      </c>
      <c r="E390" t="s">
        <v>624</v>
      </c>
      <c r="F390" t="s">
        <v>625</v>
      </c>
      <c r="G390" s="2">
        <v>55000000</v>
      </c>
    </row>
    <row r="391" spans="1:7" x14ac:dyDescent="0.25">
      <c r="A391" t="s">
        <v>2199</v>
      </c>
      <c r="B391" t="s">
        <v>1304</v>
      </c>
      <c r="C391" t="s">
        <v>1322</v>
      </c>
      <c r="D391" t="s">
        <v>1323</v>
      </c>
      <c r="E391" t="s">
        <v>1325</v>
      </c>
      <c r="F391" t="s">
        <v>1326</v>
      </c>
      <c r="G391" s="2">
        <v>80000000</v>
      </c>
    </row>
    <row r="392" spans="1:7" x14ac:dyDescent="0.25">
      <c r="A392" t="s">
        <v>2199</v>
      </c>
      <c r="B392" t="s">
        <v>1304</v>
      </c>
      <c r="C392" t="s">
        <v>1328</v>
      </c>
      <c r="D392" t="s">
        <v>1329</v>
      </c>
      <c r="E392" t="s">
        <v>1325</v>
      </c>
      <c r="F392" t="s">
        <v>1326</v>
      </c>
      <c r="G392" s="2">
        <v>80000000</v>
      </c>
    </row>
    <row r="393" spans="1:7" x14ac:dyDescent="0.25">
      <c r="A393" t="s">
        <v>2199</v>
      </c>
      <c r="B393" t="s">
        <v>1304</v>
      </c>
      <c r="C393" t="s">
        <v>1331</v>
      </c>
      <c r="D393" t="s">
        <v>1332</v>
      </c>
      <c r="E393" t="s">
        <v>624</v>
      </c>
      <c r="F393" t="s">
        <v>625</v>
      </c>
      <c r="G393" s="2">
        <v>90000000</v>
      </c>
    </row>
    <row r="394" spans="1:7" x14ac:dyDescent="0.25">
      <c r="A394" t="s">
        <v>2199</v>
      </c>
      <c r="B394" t="s">
        <v>1304</v>
      </c>
      <c r="C394" t="s">
        <v>1334</v>
      </c>
      <c r="D394" t="s">
        <v>1335</v>
      </c>
      <c r="E394" t="s">
        <v>1337</v>
      </c>
      <c r="F394" t="s">
        <v>1107</v>
      </c>
      <c r="G394" s="2">
        <v>9814756</v>
      </c>
    </row>
  </sheetData>
  <autoFilter ref="A1:G394" xr:uid="{DBF0FE4F-CA4A-4422-8121-04A786FAFC3A}">
    <filterColumn colId="1">
      <filters>
        <filter val="Activos Fijos"/>
        <filter val="Administración de Fondos"/>
        <filter val="Bienes y Servicios"/>
        <filter val="Bienestar"/>
        <filter val="Compras Convenio GORE Region de Los Lagos"/>
        <filter val="Obras Civiles"/>
      </filters>
    </filterColumn>
  </autoFilter>
  <sortState xmlns:xlrd2="http://schemas.microsoft.com/office/spreadsheetml/2017/richdata2" ref="A2:G394">
    <sortCondition ref="B60:B394"/>
  </sortState>
  <conditionalFormatting sqref="C1:C1048576">
    <cfRule type="duplicateValues" dxfId="2"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46B4B-379E-4D3F-8410-D71DEF10A217}">
  <dimension ref="A3:L707"/>
  <sheetViews>
    <sheetView workbookViewId="0">
      <selection activeCell="L706" sqref="A3:L706"/>
    </sheetView>
  </sheetViews>
  <sheetFormatPr baseColWidth="10" defaultRowHeight="15" x14ac:dyDescent="0.25"/>
  <cols>
    <col min="1" max="1" width="20.42578125" customWidth="1"/>
    <col min="2" max="3" width="25.7109375" customWidth="1"/>
    <col min="4" max="4" width="75.42578125" bestFit="1" customWidth="1"/>
    <col min="5" max="5" width="29.42578125" customWidth="1"/>
    <col min="6" max="6" width="28.85546875" bestFit="1" customWidth="1"/>
    <col min="7" max="7" width="26.28515625" customWidth="1"/>
    <col min="8" max="8" width="31.140625" customWidth="1"/>
    <col min="9" max="9" width="94.28515625" bestFit="1" customWidth="1"/>
    <col min="10" max="10" width="13.7109375" bestFit="1" customWidth="1"/>
    <col min="11" max="11" width="255.7109375" bestFit="1" customWidth="1"/>
    <col min="12" max="12" width="30.42578125" bestFit="1" customWidth="1"/>
  </cols>
  <sheetData>
    <row r="3" spans="1:12" x14ac:dyDescent="0.25">
      <c r="A3" s="4" t="s">
        <v>2</v>
      </c>
      <c r="B3" s="4" t="s">
        <v>2197</v>
      </c>
      <c r="C3" s="4" t="s">
        <v>1</v>
      </c>
      <c r="D3" s="4" t="s">
        <v>6</v>
      </c>
      <c r="E3" s="4" t="s">
        <v>9</v>
      </c>
      <c r="F3" s="4" t="s">
        <v>8</v>
      </c>
      <c r="G3" s="4" t="s">
        <v>16</v>
      </c>
      <c r="H3" s="4" t="s">
        <v>20</v>
      </c>
      <c r="I3" s="4" t="s">
        <v>17</v>
      </c>
      <c r="J3" s="4" t="s">
        <v>14</v>
      </c>
      <c r="K3" s="4" t="s">
        <v>15</v>
      </c>
      <c r="L3" t="s">
        <v>2202</v>
      </c>
    </row>
    <row r="4" spans="1:12" x14ac:dyDescent="0.25">
      <c r="A4" t="s">
        <v>29</v>
      </c>
      <c r="B4" t="s">
        <v>2196</v>
      </c>
      <c r="C4" t="s">
        <v>28</v>
      </c>
      <c r="D4" t="s">
        <v>33</v>
      </c>
      <c r="E4" t="s">
        <v>35</v>
      </c>
      <c r="F4">
        <v>2</v>
      </c>
      <c r="G4" t="s">
        <v>37</v>
      </c>
      <c r="H4" s="1">
        <v>45292</v>
      </c>
      <c r="I4" t="s">
        <v>38</v>
      </c>
      <c r="J4">
        <v>36</v>
      </c>
      <c r="K4" t="s">
        <v>36</v>
      </c>
      <c r="L4" s="8">
        <v>30000000</v>
      </c>
    </row>
    <row r="5" spans="1:12" x14ac:dyDescent="0.25">
      <c r="A5" t="s">
        <v>284</v>
      </c>
      <c r="B5" t="s">
        <v>2196</v>
      </c>
      <c r="C5" t="s">
        <v>28</v>
      </c>
      <c r="D5" t="s">
        <v>286</v>
      </c>
      <c r="E5" t="s">
        <v>288</v>
      </c>
      <c r="F5">
        <v>1</v>
      </c>
      <c r="G5" t="s">
        <v>290</v>
      </c>
      <c r="H5" s="1">
        <v>45748</v>
      </c>
      <c r="I5" t="s">
        <v>291</v>
      </c>
      <c r="J5">
        <v>24</v>
      </c>
      <c r="K5" t="s">
        <v>289</v>
      </c>
      <c r="L5" s="8">
        <v>75000000</v>
      </c>
    </row>
    <row r="6" spans="1:12" x14ac:dyDescent="0.25">
      <c r="A6" t="s">
        <v>44</v>
      </c>
      <c r="B6" t="s">
        <v>2196</v>
      </c>
      <c r="C6" t="s">
        <v>28</v>
      </c>
      <c r="D6" t="s">
        <v>46</v>
      </c>
      <c r="E6" t="s">
        <v>48</v>
      </c>
      <c r="F6">
        <v>2</v>
      </c>
      <c r="G6" t="s">
        <v>37</v>
      </c>
      <c r="H6" s="1">
        <v>45200</v>
      </c>
      <c r="I6" t="s">
        <v>49</v>
      </c>
      <c r="J6">
        <v>36</v>
      </c>
      <c r="K6" t="s">
        <v>36</v>
      </c>
      <c r="L6" s="8">
        <v>6711996</v>
      </c>
    </row>
    <row r="7" spans="1:12" x14ac:dyDescent="0.25">
      <c r="A7" t="s">
        <v>298</v>
      </c>
      <c r="B7" t="s">
        <v>2196</v>
      </c>
      <c r="C7" t="s">
        <v>28</v>
      </c>
      <c r="D7" t="s">
        <v>300</v>
      </c>
      <c r="E7" t="s">
        <v>205</v>
      </c>
      <c r="F7">
        <v>1</v>
      </c>
      <c r="G7" t="s">
        <v>182</v>
      </c>
      <c r="H7" s="1">
        <v>45839</v>
      </c>
      <c r="I7" t="s">
        <v>302</v>
      </c>
      <c r="J7">
        <v>18</v>
      </c>
      <c r="K7" t="s">
        <v>206</v>
      </c>
      <c r="L7" s="8">
        <v>144000000</v>
      </c>
    </row>
    <row r="8" spans="1:12" x14ac:dyDescent="0.25">
      <c r="A8" t="s">
        <v>304</v>
      </c>
      <c r="B8" t="s">
        <v>2196</v>
      </c>
      <c r="C8" t="s">
        <v>28</v>
      </c>
      <c r="D8" t="s">
        <v>305</v>
      </c>
      <c r="E8" t="s">
        <v>307</v>
      </c>
      <c r="F8">
        <v>1</v>
      </c>
      <c r="G8" t="s">
        <v>309</v>
      </c>
      <c r="H8" s="1">
        <v>45839</v>
      </c>
      <c r="I8" t="s">
        <v>310</v>
      </c>
      <c r="J8">
        <v>12</v>
      </c>
      <c r="K8" t="s">
        <v>308</v>
      </c>
      <c r="L8" s="8">
        <v>40833335</v>
      </c>
    </row>
    <row r="9" spans="1:12" x14ac:dyDescent="0.25">
      <c r="A9" t="s">
        <v>191</v>
      </c>
      <c r="B9" t="s">
        <v>2196</v>
      </c>
      <c r="C9" t="s">
        <v>28</v>
      </c>
      <c r="D9" t="s">
        <v>201</v>
      </c>
      <c r="E9" t="s">
        <v>195</v>
      </c>
      <c r="F9">
        <v>2</v>
      </c>
      <c r="G9" t="s">
        <v>197</v>
      </c>
      <c r="H9" s="1">
        <v>45870</v>
      </c>
      <c r="I9" t="s">
        <v>198</v>
      </c>
      <c r="J9">
        <v>1</v>
      </c>
      <c r="K9" t="s">
        <v>196</v>
      </c>
      <c r="L9" s="8">
        <v>74068560</v>
      </c>
    </row>
    <row r="10" spans="1:12" x14ac:dyDescent="0.25">
      <c r="A10" t="s">
        <v>191</v>
      </c>
      <c r="B10" t="s">
        <v>2196</v>
      </c>
      <c r="C10" t="s">
        <v>28</v>
      </c>
      <c r="D10" t="s">
        <v>193</v>
      </c>
      <c r="E10" t="s">
        <v>195</v>
      </c>
      <c r="F10">
        <v>2</v>
      </c>
      <c r="G10" t="s">
        <v>197</v>
      </c>
      <c r="H10" s="1">
        <v>45992</v>
      </c>
      <c r="I10" t="s">
        <v>198</v>
      </c>
      <c r="J10">
        <v>32</v>
      </c>
      <c r="K10" t="s">
        <v>196</v>
      </c>
      <c r="L10" s="8">
        <v>37034280</v>
      </c>
    </row>
    <row r="11" spans="1:12" x14ac:dyDescent="0.25">
      <c r="A11" t="s">
        <v>202</v>
      </c>
      <c r="B11" t="s">
        <v>2196</v>
      </c>
      <c r="C11" t="s">
        <v>28</v>
      </c>
      <c r="D11" t="s">
        <v>203</v>
      </c>
      <c r="E11" t="s">
        <v>205</v>
      </c>
      <c r="F11">
        <v>2</v>
      </c>
      <c r="G11" t="s">
        <v>182</v>
      </c>
      <c r="H11" s="1">
        <v>45658</v>
      </c>
      <c r="I11" t="s">
        <v>183</v>
      </c>
      <c r="J11">
        <v>18</v>
      </c>
      <c r="K11" t="s">
        <v>206</v>
      </c>
      <c r="L11" s="8">
        <v>70333380</v>
      </c>
    </row>
    <row r="12" spans="1:12" x14ac:dyDescent="0.25">
      <c r="A12" t="s">
        <v>214</v>
      </c>
      <c r="B12" t="s">
        <v>2196</v>
      </c>
      <c r="C12" t="s">
        <v>28</v>
      </c>
      <c r="D12" t="s">
        <v>216</v>
      </c>
      <c r="E12" t="s">
        <v>121</v>
      </c>
      <c r="F12">
        <v>2</v>
      </c>
      <c r="G12" t="s">
        <v>218</v>
      </c>
      <c r="H12" s="1">
        <v>45658</v>
      </c>
      <c r="I12" t="s">
        <v>219</v>
      </c>
      <c r="J12">
        <v>24</v>
      </c>
      <c r="K12" t="s">
        <v>73</v>
      </c>
      <c r="L12" s="8">
        <v>6255504</v>
      </c>
    </row>
    <row r="13" spans="1:12" x14ac:dyDescent="0.25">
      <c r="A13" t="s">
        <v>51</v>
      </c>
      <c r="B13" t="s">
        <v>2196</v>
      </c>
      <c r="C13" t="s">
        <v>28</v>
      </c>
      <c r="D13" t="s">
        <v>52</v>
      </c>
      <c r="E13" t="s">
        <v>54</v>
      </c>
      <c r="F13">
        <v>1</v>
      </c>
      <c r="G13" t="s">
        <v>55</v>
      </c>
      <c r="H13" s="1">
        <v>45292</v>
      </c>
      <c r="I13" t="s">
        <v>56</v>
      </c>
      <c r="J13">
        <v>36</v>
      </c>
      <c r="K13" t="s">
        <v>36</v>
      </c>
      <c r="L13" s="8">
        <v>6712008</v>
      </c>
    </row>
    <row r="14" spans="1:12" x14ac:dyDescent="0.25">
      <c r="A14" t="s">
        <v>222</v>
      </c>
      <c r="B14" t="s">
        <v>2196</v>
      </c>
      <c r="C14" t="s">
        <v>28</v>
      </c>
      <c r="D14" t="s">
        <v>224</v>
      </c>
      <c r="E14" t="s">
        <v>226</v>
      </c>
      <c r="F14">
        <v>2</v>
      </c>
      <c r="G14" t="s">
        <v>227</v>
      </c>
      <c r="H14" s="1">
        <v>45658</v>
      </c>
      <c r="I14" t="s">
        <v>228</v>
      </c>
      <c r="J14">
        <v>24</v>
      </c>
      <c r="K14" t="s">
        <v>73</v>
      </c>
      <c r="L14" s="8">
        <v>48115128</v>
      </c>
    </row>
    <row r="15" spans="1:12" x14ac:dyDescent="0.25">
      <c r="A15" t="s">
        <v>238</v>
      </c>
      <c r="B15" t="s">
        <v>2196</v>
      </c>
      <c r="C15" t="s">
        <v>28</v>
      </c>
      <c r="D15" t="s">
        <v>239</v>
      </c>
      <c r="E15" t="s">
        <v>226</v>
      </c>
      <c r="F15">
        <v>2</v>
      </c>
      <c r="G15" t="s">
        <v>227</v>
      </c>
      <c r="H15" s="1">
        <v>45658</v>
      </c>
      <c r="I15" t="s">
        <v>228</v>
      </c>
      <c r="J15">
        <v>24</v>
      </c>
      <c r="K15" t="s">
        <v>73</v>
      </c>
      <c r="L15" s="8">
        <v>237155100</v>
      </c>
    </row>
    <row r="16" spans="1:12" x14ac:dyDescent="0.25">
      <c r="A16" t="s">
        <v>244</v>
      </c>
      <c r="B16" t="s">
        <v>2196</v>
      </c>
      <c r="C16" t="s">
        <v>28</v>
      </c>
      <c r="D16" t="s">
        <v>245</v>
      </c>
      <c r="E16" t="s">
        <v>226</v>
      </c>
      <c r="F16">
        <v>2</v>
      </c>
      <c r="G16" t="s">
        <v>227</v>
      </c>
      <c r="H16" s="1">
        <v>45658</v>
      </c>
      <c r="I16" t="s">
        <v>228</v>
      </c>
      <c r="J16">
        <v>24</v>
      </c>
      <c r="K16" t="s">
        <v>73</v>
      </c>
      <c r="L16" s="8">
        <v>284700000</v>
      </c>
    </row>
    <row r="17" spans="1:12" x14ac:dyDescent="0.25">
      <c r="A17" t="s">
        <v>619</v>
      </c>
      <c r="B17" t="s">
        <v>2199</v>
      </c>
      <c r="C17" t="s">
        <v>28</v>
      </c>
      <c r="D17" t="s">
        <v>621</v>
      </c>
      <c r="E17" t="s">
        <v>623</v>
      </c>
      <c r="F17">
        <v>1</v>
      </c>
      <c r="G17" t="s">
        <v>624</v>
      </c>
      <c r="H17" s="1">
        <v>46266</v>
      </c>
      <c r="I17" t="s">
        <v>625</v>
      </c>
      <c r="J17">
        <v>1</v>
      </c>
      <c r="K17" s="1">
        <v>46266</v>
      </c>
      <c r="L17" s="8">
        <v>1250000</v>
      </c>
    </row>
    <row r="18" spans="1:12" x14ac:dyDescent="0.25">
      <c r="A18" t="s">
        <v>628</v>
      </c>
      <c r="B18" t="s">
        <v>2199</v>
      </c>
      <c r="C18" t="s">
        <v>28</v>
      </c>
      <c r="D18" t="s">
        <v>629</v>
      </c>
      <c r="E18" t="s">
        <v>631</v>
      </c>
      <c r="F18">
        <v>1</v>
      </c>
      <c r="G18" t="s">
        <v>624</v>
      </c>
      <c r="H18" s="1">
        <v>46174</v>
      </c>
      <c r="I18" t="s">
        <v>625</v>
      </c>
      <c r="J18">
        <v>1</v>
      </c>
      <c r="K18" s="1">
        <v>46174</v>
      </c>
      <c r="L18" s="8">
        <v>300000</v>
      </c>
    </row>
    <row r="19" spans="1:12" x14ac:dyDescent="0.25">
      <c r="A19" t="s">
        <v>632</v>
      </c>
      <c r="B19" t="s">
        <v>2199</v>
      </c>
      <c r="C19" t="s">
        <v>28</v>
      </c>
      <c r="D19" t="s">
        <v>634</v>
      </c>
      <c r="E19" t="s">
        <v>636</v>
      </c>
      <c r="F19">
        <v>1</v>
      </c>
      <c r="G19" t="s">
        <v>624</v>
      </c>
      <c r="H19" s="1">
        <v>46204</v>
      </c>
      <c r="I19" t="s">
        <v>625</v>
      </c>
      <c r="J19">
        <v>1</v>
      </c>
      <c r="K19" s="1">
        <v>46204</v>
      </c>
      <c r="L19" s="8">
        <v>1320000</v>
      </c>
    </row>
    <row r="20" spans="1:12" x14ac:dyDescent="0.25">
      <c r="A20" t="s">
        <v>637</v>
      </c>
      <c r="B20" t="s">
        <v>2199</v>
      </c>
      <c r="C20" t="s">
        <v>28</v>
      </c>
      <c r="D20" t="s">
        <v>638</v>
      </c>
      <c r="E20" t="s">
        <v>639</v>
      </c>
      <c r="F20">
        <v>1</v>
      </c>
      <c r="G20" t="s">
        <v>640</v>
      </c>
      <c r="H20" s="1">
        <v>46082</v>
      </c>
      <c r="I20" t="s">
        <v>641</v>
      </c>
      <c r="J20">
        <v>1</v>
      </c>
      <c r="K20" s="1">
        <v>46082</v>
      </c>
      <c r="L20" s="8">
        <v>2000700</v>
      </c>
    </row>
    <row r="21" spans="1:12" x14ac:dyDescent="0.25">
      <c r="A21" t="s">
        <v>644</v>
      </c>
      <c r="B21" t="s">
        <v>2199</v>
      </c>
      <c r="C21" t="s">
        <v>28</v>
      </c>
      <c r="D21" t="s">
        <v>646</v>
      </c>
      <c r="E21" t="s">
        <v>648</v>
      </c>
      <c r="F21">
        <v>1</v>
      </c>
      <c r="G21" t="s">
        <v>640</v>
      </c>
      <c r="H21" s="1">
        <v>46082</v>
      </c>
      <c r="I21" t="s">
        <v>641</v>
      </c>
      <c r="J21">
        <v>1</v>
      </c>
      <c r="K21" s="1">
        <v>46082</v>
      </c>
      <c r="L21" s="8">
        <v>1510005</v>
      </c>
    </row>
    <row r="22" spans="1:12" x14ac:dyDescent="0.25">
      <c r="A22" t="s">
        <v>649</v>
      </c>
      <c r="B22" t="s">
        <v>2199</v>
      </c>
      <c r="C22" t="s">
        <v>28</v>
      </c>
      <c r="D22" t="s">
        <v>650</v>
      </c>
      <c r="E22" t="s">
        <v>370</v>
      </c>
      <c r="F22">
        <v>2</v>
      </c>
      <c r="G22" t="s">
        <v>640</v>
      </c>
      <c r="H22" s="1">
        <v>46082</v>
      </c>
      <c r="I22" t="s">
        <v>641</v>
      </c>
      <c r="J22">
        <v>1</v>
      </c>
      <c r="K22" s="1">
        <v>46082</v>
      </c>
      <c r="L22" s="8">
        <v>850000</v>
      </c>
    </row>
    <row r="23" spans="1:12" x14ac:dyDescent="0.25">
      <c r="A23" t="s">
        <v>649</v>
      </c>
      <c r="B23" t="s">
        <v>2199</v>
      </c>
      <c r="C23" t="s">
        <v>28</v>
      </c>
      <c r="D23" t="s">
        <v>650</v>
      </c>
      <c r="E23" t="s">
        <v>652</v>
      </c>
      <c r="F23">
        <v>2</v>
      </c>
      <c r="G23" t="s">
        <v>640</v>
      </c>
      <c r="H23" s="1">
        <v>46082</v>
      </c>
      <c r="I23" t="s">
        <v>641</v>
      </c>
      <c r="J23">
        <v>1</v>
      </c>
      <c r="K23" s="1">
        <v>46082</v>
      </c>
      <c r="L23" s="8">
        <v>22500</v>
      </c>
    </row>
    <row r="24" spans="1:12" x14ac:dyDescent="0.25">
      <c r="A24" t="s">
        <v>653</v>
      </c>
      <c r="B24" t="s">
        <v>2199</v>
      </c>
      <c r="C24" t="s">
        <v>28</v>
      </c>
      <c r="D24" t="s">
        <v>655</v>
      </c>
      <c r="E24" t="s">
        <v>370</v>
      </c>
      <c r="F24">
        <v>1</v>
      </c>
      <c r="G24" t="s">
        <v>657</v>
      </c>
      <c r="H24" s="1">
        <v>46327</v>
      </c>
      <c r="I24" t="s">
        <v>658</v>
      </c>
      <c r="J24">
        <v>1</v>
      </c>
      <c r="K24" s="1">
        <v>46327</v>
      </c>
      <c r="L24" s="8">
        <v>540000</v>
      </c>
    </row>
    <row r="25" spans="1:12" x14ac:dyDescent="0.25">
      <c r="A25" t="s">
        <v>661</v>
      </c>
      <c r="B25" t="s">
        <v>2199</v>
      </c>
      <c r="C25" t="s">
        <v>28</v>
      </c>
      <c r="D25" t="s">
        <v>662</v>
      </c>
      <c r="E25" t="s">
        <v>359</v>
      </c>
      <c r="F25">
        <v>6</v>
      </c>
      <c r="G25" t="s">
        <v>657</v>
      </c>
      <c r="H25" s="1">
        <v>46113</v>
      </c>
      <c r="I25" t="s">
        <v>658</v>
      </c>
      <c r="J25">
        <v>1</v>
      </c>
      <c r="K25" s="1">
        <v>46113</v>
      </c>
      <c r="L25" s="8">
        <v>135000</v>
      </c>
    </row>
    <row r="26" spans="1:12" x14ac:dyDescent="0.25">
      <c r="A26" t="s">
        <v>661</v>
      </c>
      <c r="B26" t="s">
        <v>2199</v>
      </c>
      <c r="C26" t="s">
        <v>28</v>
      </c>
      <c r="D26" t="s">
        <v>662</v>
      </c>
      <c r="E26" t="s">
        <v>359</v>
      </c>
      <c r="F26">
        <v>6</v>
      </c>
      <c r="G26" t="s">
        <v>657</v>
      </c>
      <c r="H26" s="1">
        <v>46204</v>
      </c>
      <c r="I26" t="s">
        <v>658</v>
      </c>
      <c r="J26">
        <v>1</v>
      </c>
      <c r="K26" s="1">
        <v>46204</v>
      </c>
      <c r="L26" s="8">
        <v>135000</v>
      </c>
    </row>
    <row r="27" spans="1:12" x14ac:dyDescent="0.25">
      <c r="A27" t="s">
        <v>661</v>
      </c>
      <c r="B27" t="s">
        <v>2199</v>
      </c>
      <c r="C27" t="s">
        <v>28</v>
      </c>
      <c r="D27" t="s">
        <v>662</v>
      </c>
      <c r="E27" t="s">
        <v>359</v>
      </c>
      <c r="F27">
        <v>6</v>
      </c>
      <c r="G27" t="s">
        <v>657</v>
      </c>
      <c r="H27" s="1">
        <v>46266</v>
      </c>
      <c r="I27" t="s">
        <v>658</v>
      </c>
      <c r="J27">
        <v>1</v>
      </c>
      <c r="K27" s="1">
        <v>46266</v>
      </c>
      <c r="L27" s="8">
        <v>135000</v>
      </c>
    </row>
    <row r="28" spans="1:12" x14ac:dyDescent="0.25">
      <c r="A28" t="s">
        <v>661</v>
      </c>
      <c r="B28" t="s">
        <v>2199</v>
      </c>
      <c r="C28" t="s">
        <v>28</v>
      </c>
      <c r="D28" t="s">
        <v>662</v>
      </c>
      <c r="E28" t="s">
        <v>359</v>
      </c>
      <c r="F28">
        <v>6</v>
      </c>
      <c r="G28" t="s">
        <v>657</v>
      </c>
      <c r="H28" s="1">
        <v>46357</v>
      </c>
      <c r="I28" t="s">
        <v>658</v>
      </c>
      <c r="J28">
        <v>1</v>
      </c>
      <c r="K28" s="1">
        <v>46357</v>
      </c>
      <c r="L28" s="8">
        <v>135000</v>
      </c>
    </row>
    <row r="29" spans="1:12" x14ac:dyDescent="0.25">
      <c r="A29" t="s">
        <v>661</v>
      </c>
      <c r="B29" t="s">
        <v>2199</v>
      </c>
      <c r="C29" t="s">
        <v>28</v>
      </c>
      <c r="D29" t="s">
        <v>662</v>
      </c>
      <c r="E29" t="s">
        <v>370</v>
      </c>
      <c r="F29">
        <v>6</v>
      </c>
      <c r="G29" t="s">
        <v>657</v>
      </c>
      <c r="H29" s="1">
        <v>46113</v>
      </c>
      <c r="I29" t="s">
        <v>658</v>
      </c>
      <c r="J29">
        <v>1</v>
      </c>
      <c r="K29" s="1">
        <v>46113</v>
      </c>
      <c r="L29" s="8">
        <v>135000</v>
      </c>
    </row>
    <row r="30" spans="1:12" x14ac:dyDescent="0.25">
      <c r="A30" t="s">
        <v>661</v>
      </c>
      <c r="B30" t="s">
        <v>2199</v>
      </c>
      <c r="C30" t="s">
        <v>28</v>
      </c>
      <c r="D30" t="s">
        <v>662</v>
      </c>
      <c r="E30" t="s">
        <v>370</v>
      </c>
      <c r="F30">
        <v>6</v>
      </c>
      <c r="G30" t="s">
        <v>657</v>
      </c>
      <c r="H30" s="1">
        <v>46204</v>
      </c>
      <c r="I30" t="s">
        <v>658</v>
      </c>
      <c r="J30">
        <v>3</v>
      </c>
      <c r="K30" t="s">
        <v>664</v>
      </c>
      <c r="L30" s="8">
        <v>405000</v>
      </c>
    </row>
    <row r="31" spans="1:12" x14ac:dyDescent="0.25">
      <c r="A31" t="s">
        <v>68</v>
      </c>
      <c r="B31" t="s">
        <v>2196</v>
      </c>
      <c r="C31" t="s">
        <v>28</v>
      </c>
      <c r="D31" t="s">
        <v>70</v>
      </c>
      <c r="E31" t="s">
        <v>72</v>
      </c>
      <c r="F31">
        <v>1</v>
      </c>
      <c r="G31" t="s">
        <v>74</v>
      </c>
      <c r="H31" s="1">
        <v>45474</v>
      </c>
      <c r="I31" t="s">
        <v>75</v>
      </c>
      <c r="J31">
        <v>24</v>
      </c>
      <c r="K31" t="s">
        <v>73</v>
      </c>
      <c r="L31" s="8">
        <v>40432878</v>
      </c>
    </row>
    <row r="32" spans="1:12" x14ac:dyDescent="0.25">
      <c r="A32" t="s">
        <v>59</v>
      </c>
      <c r="B32" t="s">
        <v>2196</v>
      </c>
      <c r="C32" t="s">
        <v>28</v>
      </c>
      <c r="D32" t="s">
        <v>60</v>
      </c>
      <c r="E32" t="s">
        <v>62</v>
      </c>
      <c r="F32">
        <v>1</v>
      </c>
      <c r="G32" t="s">
        <v>64</v>
      </c>
      <c r="H32" s="1">
        <v>45413</v>
      </c>
      <c r="I32" t="s">
        <v>65</v>
      </c>
      <c r="J32">
        <v>36</v>
      </c>
      <c r="K32" t="s">
        <v>63</v>
      </c>
      <c r="L32" s="8">
        <v>43333332</v>
      </c>
    </row>
    <row r="33" spans="1:12" x14ac:dyDescent="0.25">
      <c r="A33" t="s">
        <v>82</v>
      </c>
      <c r="B33" t="s">
        <v>2196</v>
      </c>
      <c r="C33" t="s">
        <v>28</v>
      </c>
      <c r="D33" t="s">
        <v>83</v>
      </c>
      <c r="E33" t="s">
        <v>72</v>
      </c>
      <c r="F33">
        <v>1</v>
      </c>
      <c r="G33" t="s">
        <v>74</v>
      </c>
      <c r="H33" s="1">
        <v>45444</v>
      </c>
      <c r="I33" t="s">
        <v>85</v>
      </c>
      <c r="J33">
        <v>24</v>
      </c>
      <c r="K33" t="s">
        <v>73</v>
      </c>
      <c r="L33" s="8">
        <v>78361124</v>
      </c>
    </row>
    <row r="34" spans="1:12" x14ac:dyDescent="0.25">
      <c r="A34" t="s">
        <v>91</v>
      </c>
      <c r="B34" t="s">
        <v>2196</v>
      </c>
      <c r="C34" t="s">
        <v>28</v>
      </c>
      <c r="D34" t="s">
        <v>92</v>
      </c>
      <c r="E34" t="s">
        <v>72</v>
      </c>
      <c r="F34">
        <v>1</v>
      </c>
      <c r="G34" t="s">
        <v>74</v>
      </c>
      <c r="H34" s="1">
        <v>45444</v>
      </c>
      <c r="I34" t="s">
        <v>85</v>
      </c>
      <c r="J34">
        <v>24</v>
      </c>
      <c r="K34" t="s">
        <v>73</v>
      </c>
      <c r="L34" s="8">
        <v>78361124</v>
      </c>
    </row>
    <row r="35" spans="1:12" x14ac:dyDescent="0.25">
      <c r="A35" t="s">
        <v>665</v>
      </c>
      <c r="B35" t="s">
        <v>2199</v>
      </c>
      <c r="C35" t="s">
        <v>28</v>
      </c>
      <c r="D35" t="s">
        <v>667</v>
      </c>
      <c r="E35" t="s">
        <v>669</v>
      </c>
      <c r="F35">
        <v>1</v>
      </c>
      <c r="G35" t="s">
        <v>657</v>
      </c>
      <c r="H35" s="1">
        <v>46082</v>
      </c>
      <c r="I35" t="s">
        <v>658</v>
      </c>
      <c r="J35">
        <v>1</v>
      </c>
      <c r="K35" s="1">
        <v>46082</v>
      </c>
      <c r="L35" s="8">
        <v>1500000</v>
      </c>
    </row>
    <row r="36" spans="1:12" x14ac:dyDescent="0.25">
      <c r="A36" t="s">
        <v>103</v>
      </c>
      <c r="B36" t="s">
        <v>2196</v>
      </c>
      <c r="C36" t="s">
        <v>28</v>
      </c>
      <c r="D36" t="s">
        <v>105</v>
      </c>
      <c r="E36" t="s">
        <v>107</v>
      </c>
      <c r="F36">
        <v>1</v>
      </c>
      <c r="G36" t="s">
        <v>109</v>
      </c>
      <c r="H36" s="1">
        <v>45444</v>
      </c>
      <c r="I36" t="s">
        <v>110</v>
      </c>
      <c r="J36">
        <v>30</v>
      </c>
      <c r="K36" t="s">
        <v>108</v>
      </c>
      <c r="L36" s="8">
        <v>18060000</v>
      </c>
    </row>
    <row r="37" spans="1:12" x14ac:dyDescent="0.25">
      <c r="A37" t="s">
        <v>670</v>
      </c>
      <c r="B37" t="s">
        <v>2199</v>
      </c>
      <c r="C37" t="s">
        <v>28</v>
      </c>
      <c r="D37" t="s">
        <v>671</v>
      </c>
      <c r="E37" t="s">
        <v>673</v>
      </c>
      <c r="F37">
        <v>1</v>
      </c>
      <c r="G37" t="s">
        <v>657</v>
      </c>
      <c r="H37" s="1">
        <v>46023</v>
      </c>
      <c r="I37" t="s">
        <v>658</v>
      </c>
      <c r="J37">
        <v>1</v>
      </c>
      <c r="K37" s="1">
        <v>46023</v>
      </c>
      <c r="L37" s="8">
        <v>850000</v>
      </c>
    </row>
    <row r="38" spans="1:12" x14ac:dyDescent="0.25">
      <c r="A38" t="s">
        <v>117</v>
      </c>
      <c r="B38" t="s">
        <v>2196</v>
      </c>
      <c r="C38" t="s">
        <v>28</v>
      </c>
      <c r="D38" t="s">
        <v>119</v>
      </c>
      <c r="E38" t="s">
        <v>121</v>
      </c>
      <c r="F38">
        <v>1</v>
      </c>
      <c r="G38" t="s">
        <v>122</v>
      </c>
      <c r="H38" s="1">
        <v>45474</v>
      </c>
      <c r="I38" t="s">
        <v>123</v>
      </c>
      <c r="J38">
        <v>24</v>
      </c>
      <c r="K38" t="s">
        <v>73</v>
      </c>
      <c r="L38" s="8">
        <v>150000000</v>
      </c>
    </row>
    <row r="39" spans="1:12" x14ac:dyDescent="0.25">
      <c r="A39" t="s">
        <v>674</v>
      </c>
      <c r="B39" t="s">
        <v>2199</v>
      </c>
      <c r="C39" t="s">
        <v>28</v>
      </c>
      <c r="D39" t="s">
        <v>675</v>
      </c>
      <c r="E39" t="s">
        <v>370</v>
      </c>
      <c r="F39">
        <v>2</v>
      </c>
      <c r="G39" t="s">
        <v>657</v>
      </c>
      <c r="H39" s="1">
        <v>46143</v>
      </c>
      <c r="I39" t="s">
        <v>658</v>
      </c>
      <c r="J39">
        <v>1</v>
      </c>
      <c r="K39" s="1">
        <v>46143</v>
      </c>
      <c r="L39" s="8">
        <v>450000</v>
      </c>
    </row>
    <row r="40" spans="1:12" x14ac:dyDescent="0.25">
      <c r="A40" t="s">
        <v>674</v>
      </c>
      <c r="B40" t="s">
        <v>2199</v>
      </c>
      <c r="C40" t="s">
        <v>28</v>
      </c>
      <c r="D40" t="s">
        <v>675</v>
      </c>
      <c r="E40" t="s">
        <v>370</v>
      </c>
      <c r="F40">
        <v>2</v>
      </c>
      <c r="G40" t="s">
        <v>657</v>
      </c>
      <c r="H40" s="1">
        <v>46327</v>
      </c>
      <c r="I40" t="s">
        <v>658</v>
      </c>
      <c r="J40">
        <v>1</v>
      </c>
      <c r="K40" s="1">
        <v>46143</v>
      </c>
      <c r="L40" s="8">
        <v>450000</v>
      </c>
    </row>
    <row r="41" spans="1:12" x14ac:dyDescent="0.25">
      <c r="A41" t="s">
        <v>128</v>
      </c>
      <c r="B41" t="s">
        <v>2196</v>
      </c>
      <c r="C41" t="s">
        <v>28</v>
      </c>
      <c r="D41" t="s">
        <v>130</v>
      </c>
      <c r="E41" t="s">
        <v>132</v>
      </c>
      <c r="F41">
        <v>1</v>
      </c>
      <c r="G41" t="s">
        <v>109</v>
      </c>
      <c r="H41" s="1">
        <v>45505</v>
      </c>
      <c r="I41" t="s">
        <v>133</v>
      </c>
      <c r="J41">
        <v>24</v>
      </c>
      <c r="K41" t="s">
        <v>73</v>
      </c>
      <c r="L41" s="8">
        <v>397359215</v>
      </c>
    </row>
    <row r="42" spans="1:12" x14ac:dyDescent="0.25">
      <c r="A42" t="s">
        <v>677</v>
      </c>
      <c r="B42" t="s">
        <v>2199</v>
      </c>
      <c r="C42" t="s">
        <v>28</v>
      </c>
      <c r="D42" t="s">
        <v>678</v>
      </c>
      <c r="E42" t="s">
        <v>370</v>
      </c>
      <c r="F42">
        <v>1</v>
      </c>
      <c r="G42" t="s">
        <v>657</v>
      </c>
      <c r="H42" s="1">
        <v>46174</v>
      </c>
      <c r="I42" t="s">
        <v>658</v>
      </c>
      <c r="J42">
        <v>1</v>
      </c>
      <c r="K42" s="1">
        <v>46174</v>
      </c>
      <c r="L42" s="8">
        <v>630000</v>
      </c>
    </row>
    <row r="43" spans="1:12" x14ac:dyDescent="0.25">
      <c r="A43" t="s">
        <v>680</v>
      </c>
      <c r="B43" t="s">
        <v>2199</v>
      </c>
      <c r="C43" t="s">
        <v>28</v>
      </c>
      <c r="D43" t="s">
        <v>681</v>
      </c>
      <c r="E43" t="s">
        <v>370</v>
      </c>
      <c r="F43">
        <v>1</v>
      </c>
      <c r="G43" t="s">
        <v>657</v>
      </c>
      <c r="H43" s="1">
        <v>46235</v>
      </c>
      <c r="I43" t="s">
        <v>658</v>
      </c>
      <c r="J43">
        <v>1</v>
      </c>
      <c r="K43" s="1">
        <v>46235</v>
      </c>
      <c r="L43" s="8">
        <v>135000</v>
      </c>
    </row>
    <row r="44" spans="1:12" x14ac:dyDescent="0.25">
      <c r="A44" t="s">
        <v>686</v>
      </c>
      <c r="B44" t="s">
        <v>2199</v>
      </c>
      <c r="C44" t="s">
        <v>28</v>
      </c>
      <c r="D44" t="s">
        <v>687</v>
      </c>
      <c r="E44" t="s">
        <v>692</v>
      </c>
      <c r="F44">
        <v>3</v>
      </c>
      <c r="G44" t="s">
        <v>227</v>
      </c>
      <c r="H44" s="1">
        <v>46082</v>
      </c>
      <c r="I44" t="s">
        <v>480</v>
      </c>
      <c r="J44">
        <v>12</v>
      </c>
      <c r="K44" t="s">
        <v>690</v>
      </c>
      <c r="L44" s="8">
        <v>36406019</v>
      </c>
    </row>
    <row r="45" spans="1:12" x14ac:dyDescent="0.25">
      <c r="A45" t="s">
        <v>686</v>
      </c>
      <c r="B45" t="s">
        <v>2199</v>
      </c>
      <c r="C45" t="s">
        <v>28</v>
      </c>
      <c r="D45" t="s">
        <v>687</v>
      </c>
      <c r="E45" t="s">
        <v>689</v>
      </c>
      <c r="F45">
        <v>3</v>
      </c>
      <c r="G45" t="s">
        <v>227</v>
      </c>
      <c r="H45" s="1">
        <v>46082</v>
      </c>
      <c r="I45" t="s">
        <v>480</v>
      </c>
      <c r="J45">
        <v>12</v>
      </c>
      <c r="K45" t="s">
        <v>690</v>
      </c>
      <c r="L45" s="8">
        <v>64787500</v>
      </c>
    </row>
    <row r="46" spans="1:12" x14ac:dyDescent="0.25">
      <c r="A46" t="s">
        <v>696</v>
      </c>
      <c r="B46" t="s">
        <v>2199</v>
      </c>
      <c r="C46" t="s">
        <v>28</v>
      </c>
      <c r="D46" t="s">
        <v>697</v>
      </c>
      <c r="E46" t="s">
        <v>370</v>
      </c>
      <c r="F46">
        <v>1</v>
      </c>
      <c r="G46" t="s">
        <v>657</v>
      </c>
      <c r="H46" s="1">
        <v>46143</v>
      </c>
      <c r="I46" t="s">
        <v>658</v>
      </c>
      <c r="J46">
        <v>1</v>
      </c>
      <c r="K46" s="1">
        <v>46143</v>
      </c>
      <c r="L46" s="8">
        <v>675000</v>
      </c>
    </row>
    <row r="47" spans="1:12" x14ac:dyDescent="0.25">
      <c r="A47" t="s">
        <v>706</v>
      </c>
      <c r="B47" t="s">
        <v>2199</v>
      </c>
      <c r="C47" t="s">
        <v>28</v>
      </c>
      <c r="D47" t="s">
        <v>707</v>
      </c>
      <c r="E47" t="s">
        <v>486</v>
      </c>
      <c r="F47">
        <v>1</v>
      </c>
      <c r="G47" t="s">
        <v>590</v>
      </c>
      <c r="H47" s="1">
        <v>46082</v>
      </c>
      <c r="I47" t="s">
        <v>591</v>
      </c>
      <c r="J47">
        <v>1</v>
      </c>
      <c r="K47" s="1">
        <v>46082</v>
      </c>
      <c r="L47" s="8">
        <v>190000</v>
      </c>
    </row>
    <row r="48" spans="1:12" x14ac:dyDescent="0.25">
      <c r="A48" t="s">
        <v>713</v>
      </c>
      <c r="B48" t="s">
        <v>2199</v>
      </c>
      <c r="C48" t="s">
        <v>28</v>
      </c>
      <c r="D48" t="s">
        <v>714</v>
      </c>
      <c r="E48" t="s">
        <v>716</v>
      </c>
      <c r="F48">
        <v>1</v>
      </c>
      <c r="G48" t="s">
        <v>227</v>
      </c>
      <c r="H48" s="1">
        <v>46082</v>
      </c>
      <c r="I48" t="s">
        <v>480</v>
      </c>
      <c r="J48">
        <v>24</v>
      </c>
      <c r="K48" t="s">
        <v>717</v>
      </c>
      <c r="L48" s="8">
        <v>49483210</v>
      </c>
    </row>
    <row r="49" spans="1:12" x14ac:dyDescent="0.25">
      <c r="A49" t="s">
        <v>136</v>
      </c>
      <c r="B49" t="s">
        <v>2196</v>
      </c>
      <c r="C49" t="s">
        <v>28</v>
      </c>
      <c r="D49" t="s">
        <v>138</v>
      </c>
      <c r="E49" t="s">
        <v>140</v>
      </c>
      <c r="F49">
        <v>1</v>
      </c>
      <c r="G49" t="s">
        <v>141</v>
      </c>
      <c r="H49" s="1">
        <v>45444</v>
      </c>
      <c r="I49" t="s">
        <v>142</v>
      </c>
      <c r="J49">
        <v>30</v>
      </c>
      <c r="K49" t="s">
        <v>108</v>
      </c>
      <c r="L49" s="8">
        <v>496977708</v>
      </c>
    </row>
    <row r="50" spans="1:12" x14ac:dyDescent="0.25">
      <c r="A50" t="s">
        <v>718</v>
      </c>
      <c r="B50" t="s">
        <v>2199</v>
      </c>
      <c r="C50" t="s">
        <v>28</v>
      </c>
      <c r="D50" t="s">
        <v>719</v>
      </c>
      <c r="E50" t="s">
        <v>631</v>
      </c>
      <c r="F50">
        <v>1</v>
      </c>
      <c r="G50" t="s">
        <v>657</v>
      </c>
      <c r="H50" s="1">
        <v>46023</v>
      </c>
      <c r="I50" t="s">
        <v>658</v>
      </c>
      <c r="J50">
        <v>1</v>
      </c>
      <c r="K50" s="1">
        <v>46023</v>
      </c>
      <c r="L50" s="8">
        <v>430010</v>
      </c>
    </row>
    <row r="51" spans="1:12" x14ac:dyDescent="0.25">
      <c r="A51" t="s">
        <v>721</v>
      </c>
      <c r="B51" t="s">
        <v>2199</v>
      </c>
      <c r="C51" t="s">
        <v>28</v>
      </c>
      <c r="D51" t="s">
        <v>722</v>
      </c>
      <c r="E51" t="s">
        <v>716</v>
      </c>
      <c r="F51">
        <v>1</v>
      </c>
      <c r="G51" t="s">
        <v>227</v>
      </c>
      <c r="H51" s="1">
        <v>46082</v>
      </c>
      <c r="I51" t="s">
        <v>480</v>
      </c>
      <c r="J51">
        <v>12</v>
      </c>
      <c r="K51" t="s">
        <v>690</v>
      </c>
      <c r="L51" s="8">
        <v>247689000</v>
      </c>
    </row>
    <row r="52" spans="1:12" x14ac:dyDescent="0.25">
      <c r="A52" t="s">
        <v>724</v>
      </c>
      <c r="B52" t="s">
        <v>2199</v>
      </c>
      <c r="C52" t="s">
        <v>28</v>
      </c>
      <c r="D52" t="s">
        <v>726</v>
      </c>
      <c r="E52" t="s">
        <v>728</v>
      </c>
      <c r="F52">
        <v>1</v>
      </c>
      <c r="G52" t="s">
        <v>657</v>
      </c>
      <c r="H52" s="1">
        <v>46082</v>
      </c>
      <c r="I52" t="s">
        <v>658</v>
      </c>
      <c r="J52">
        <v>1</v>
      </c>
      <c r="K52" s="1">
        <v>46082</v>
      </c>
      <c r="L52" s="8">
        <v>990002</v>
      </c>
    </row>
    <row r="53" spans="1:12" x14ac:dyDescent="0.25">
      <c r="A53" t="s">
        <v>148</v>
      </c>
      <c r="B53" t="s">
        <v>2196</v>
      </c>
      <c r="C53" t="s">
        <v>28</v>
      </c>
      <c r="D53" t="s">
        <v>150</v>
      </c>
      <c r="E53" t="s">
        <v>152</v>
      </c>
      <c r="F53">
        <v>1</v>
      </c>
      <c r="G53" t="s">
        <v>153</v>
      </c>
      <c r="H53" s="1">
        <v>45474</v>
      </c>
      <c r="I53" t="s">
        <v>154</v>
      </c>
      <c r="J53">
        <v>24</v>
      </c>
      <c r="K53" t="s">
        <v>73</v>
      </c>
      <c r="L53" s="8">
        <v>118000004</v>
      </c>
    </row>
    <row r="54" spans="1:12" x14ac:dyDescent="0.25">
      <c r="A54" t="s">
        <v>729</v>
      </c>
      <c r="B54" t="s">
        <v>2199</v>
      </c>
      <c r="C54" t="s">
        <v>28</v>
      </c>
      <c r="D54" t="s">
        <v>731</v>
      </c>
      <c r="E54" t="s">
        <v>359</v>
      </c>
      <c r="F54">
        <v>1</v>
      </c>
      <c r="G54" t="s">
        <v>733</v>
      </c>
      <c r="H54" s="1">
        <v>46082</v>
      </c>
      <c r="I54" t="s">
        <v>734</v>
      </c>
      <c r="J54">
        <v>1</v>
      </c>
      <c r="K54" s="1">
        <v>46082</v>
      </c>
      <c r="L54" s="8">
        <v>1352694</v>
      </c>
    </row>
    <row r="55" spans="1:12" x14ac:dyDescent="0.25">
      <c r="A55" t="s">
        <v>744</v>
      </c>
      <c r="B55" t="s">
        <v>2199</v>
      </c>
      <c r="C55" t="s">
        <v>28</v>
      </c>
      <c r="D55" t="s">
        <v>746</v>
      </c>
      <c r="E55" t="s">
        <v>748</v>
      </c>
      <c r="F55">
        <v>1</v>
      </c>
      <c r="G55" t="s">
        <v>657</v>
      </c>
      <c r="H55" s="1">
        <v>46023</v>
      </c>
      <c r="I55" t="s">
        <v>658</v>
      </c>
      <c r="J55">
        <v>1</v>
      </c>
      <c r="K55" s="1">
        <v>46023</v>
      </c>
      <c r="L55" s="8">
        <v>300000</v>
      </c>
    </row>
    <row r="56" spans="1:12" x14ac:dyDescent="0.25">
      <c r="A56" t="s">
        <v>165</v>
      </c>
      <c r="B56" t="s">
        <v>2196</v>
      </c>
      <c r="C56" t="s">
        <v>28</v>
      </c>
      <c r="D56" t="s">
        <v>167</v>
      </c>
      <c r="E56" t="s">
        <v>62</v>
      </c>
      <c r="F56">
        <v>1</v>
      </c>
      <c r="G56" t="s">
        <v>169</v>
      </c>
      <c r="H56" s="1">
        <v>45444</v>
      </c>
      <c r="I56" t="s">
        <v>65</v>
      </c>
      <c r="J56">
        <v>24</v>
      </c>
      <c r="K56" t="s">
        <v>73</v>
      </c>
      <c r="L56" s="8">
        <v>10000004</v>
      </c>
    </row>
    <row r="57" spans="1:12" x14ac:dyDescent="0.25">
      <c r="A57" t="s">
        <v>756</v>
      </c>
      <c r="B57" t="s">
        <v>2199</v>
      </c>
      <c r="C57" t="s">
        <v>28</v>
      </c>
      <c r="D57" t="s">
        <v>758</v>
      </c>
      <c r="E57" t="s">
        <v>760</v>
      </c>
      <c r="F57">
        <v>1</v>
      </c>
      <c r="G57" t="s">
        <v>761</v>
      </c>
      <c r="H57" s="1">
        <v>46296</v>
      </c>
      <c r="I57" t="s">
        <v>762</v>
      </c>
      <c r="J57">
        <v>1</v>
      </c>
      <c r="K57" s="1">
        <v>46296</v>
      </c>
      <c r="L57" s="8">
        <v>800000</v>
      </c>
    </row>
    <row r="58" spans="1:12" x14ac:dyDescent="0.25">
      <c r="A58" t="s">
        <v>773</v>
      </c>
      <c r="B58" t="s">
        <v>2199</v>
      </c>
      <c r="C58" t="s">
        <v>28</v>
      </c>
      <c r="D58" t="s">
        <v>774</v>
      </c>
      <c r="E58" t="s">
        <v>778</v>
      </c>
      <c r="F58">
        <v>6</v>
      </c>
      <c r="G58" t="s">
        <v>768</v>
      </c>
      <c r="H58" s="1">
        <v>46054</v>
      </c>
      <c r="I58" t="s">
        <v>386</v>
      </c>
      <c r="J58">
        <v>1</v>
      </c>
      <c r="K58" s="1">
        <v>46054</v>
      </c>
      <c r="L58" s="8">
        <v>124000</v>
      </c>
    </row>
    <row r="59" spans="1:12" x14ac:dyDescent="0.25">
      <c r="A59" t="s">
        <v>773</v>
      </c>
      <c r="B59" t="s">
        <v>2199</v>
      </c>
      <c r="C59" t="s">
        <v>28</v>
      </c>
      <c r="D59" t="s">
        <v>774</v>
      </c>
      <c r="E59" t="s">
        <v>781</v>
      </c>
      <c r="F59">
        <v>6</v>
      </c>
      <c r="G59" t="s">
        <v>768</v>
      </c>
      <c r="H59" s="1">
        <v>46054</v>
      </c>
      <c r="I59" t="s">
        <v>386</v>
      </c>
      <c r="J59">
        <v>1</v>
      </c>
      <c r="K59" s="1">
        <v>46054</v>
      </c>
      <c r="L59" s="8">
        <v>8000</v>
      </c>
    </row>
    <row r="60" spans="1:12" x14ac:dyDescent="0.25">
      <c r="A60" t="s">
        <v>773</v>
      </c>
      <c r="B60" t="s">
        <v>2199</v>
      </c>
      <c r="C60" t="s">
        <v>28</v>
      </c>
      <c r="D60" t="s">
        <v>774</v>
      </c>
      <c r="E60" t="s">
        <v>780</v>
      </c>
      <c r="F60">
        <v>6</v>
      </c>
      <c r="G60" t="s">
        <v>768</v>
      </c>
      <c r="H60" s="1">
        <v>46054</v>
      </c>
      <c r="I60" t="s">
        <v>386</v>
      </c>
      <c r="J60">
        <v>1</v>
      </c>
      <c r="K60" s="1">
        <v>46054</v>
      </c>
      <c r="L60" s="8">
        <v>25000</v>
      </c>
    </row>
    <row r="61" spans="1:12" x14ac:dyDescent="0.25">
      <c r="A61" t="s">
        <v>773</v>
      </c>
      <c r="B61" t="s">
        <v>2199</v>
      </c>
      <c r="C61" t="s">
        <v>28</v>
      </c>
      <c r="D61" t="s">
        <v>774</v>
      </c>
      <c r="E61" t="s">
        <v>779</v>
      </c>
      <c r="F61">
        <v>6</v>
      </c>
      <c r="G61" t="s">
        <v>768</v>
      </c>
      <c r="H61" s="1">
        <v>46054</v>
      </c>
      <c r="I61" t="s">
        <v>386</v>
      </c>
      <c r="J61">
        <v>1</v>
      </c>
      <c r="K61" s="1">
        <v>46054</v>
      </c>
      <c r="L61" s="8">
        <v>70000</v>
      </c>
    </row>
    <row r="62" spans="1:12" x14ac:dyDescent="0.25">
      <c r="A62" t="s">
        <v>773</v>
      </c>
      <c r="B62" t="s">
        <v>2199</v>
      </c>
      <c r="C62" t="s">
        <v>28</v>
      </c>
      <c r="D62" t="s">
        <v>774</v>
      </c>
      <c r="E62" t="s">
        <v>777</v>
      </c>
      <c r="F62">
        <v>6</v>
      </c>
      <c r="G62" t="s">
        <v>768</v>
      </c>
      <c r="H62" s="1">
        <v>46054</v>
      </c>
      <c r="I62" t="s">
        <v>386</v>
      </c>
      <c r="J62">
        <v>1</v>
      </c>
      <c r="K62" s="1">
        <v>46054</v>
      </c>
      <c r="L62" s="8">
        <v>699036</v>
      </c>
    </row>
    <row r="63" spans="1:12" x14ac:dyDescent="0.25">
      <c r="A63" t="s">
        <v>773</v>
      </c>
      <c r="B63" t="s">
        <v>2199</v>
      </c>
      <c r="C63" t="s">
        <v>28</v>
      </c>
      <c r="D63" t="s">
        <v>774</v>
      </c>
      <c r="E63" t="s">
        <v>776</v>
      </c>
      <c r="F63">
        <v>6</v>
      </c>
      <c r="G63" t="s">
        <v>768</v>
      </c>
      <c r="H63" s="1">
        <v>46054</v>
      </c>
      <c r="I63" t="s">
        <v>386</v>
      </c>
      <c r="J63">
        <v>1</v>
      </c>
      <c r="K63" s="1">
        <v>46054</v>
      </c>
      <c r="L63" s="8">
        <v>240012</v>
      </c>
    </row>
    <row r="64" spans="1:12" x14ac:dyDescent="0.25">
      <c r="A64" t="s">
        <v>787</v>
      </c>
      <c r="B64" t="s">
        <v>2199</v>
      </c>
      <c r="C64" t="s">
        <v>28</v>
      </c>
      <c r="D64" t="s">
        <v>788</v>
      </c>
      <c r="E64" t="s">
        <v>359</v>
      </c>
      <c r="F64">
        <v>2</v>
      </c>
      <c r="G64" t="s">
        <v>790</v>
      </c>
      <c r="H64" s="1">
        <v>46082</v>
      </c>
      <c r="I64" t="s">
        <v>791</v>
      </c>
      <c r="J64">
        <v>1</v>
      </c>
      <c r="K64" s="1">
        <v>46082</v>
      </c>
      <c r="L64" s="8">
        <v>921162</v>
      </c>
    </row>
    <row r="65" spans="1:12" x14ac:dyDescent="0.25">
      <c r="A65" t="s">
        <v>787</v>
      </c>
      <c r="B65" t="s">
        <v>2199</v>
      </c>
      <c r="C65" t="s">
        <v>28</v>
      </c>
      <c r="D65" t="s">
        <v>788</v>
      </c>
      <c r="E65" t="s">
        <v>195</v>
      </c>
      <c r="F65">
        <v>2</v>
      </c>
      <c r="G65" t="s">
        <v>790</v>
      </c>
      <c r="H65" s="1">
        <v>46082</v>
      </c>
      <c r="I65" t="s">
        <v>791</v>
      </c>
      <c r="J65">
        <v>1</v>
      </c>
      <c r="K65" s="1">
        <v>46082</v>
      </c>
      <c r="L65" s="8">
        <v>86299</v>
      </c>
    </row>
    <row r="66" spans="1:12" x14ac:dyDescent="0.25">
      <c r="A66" t="s">
        <v>811</v>
      </c>
      <c r="B66" t="s">
        <v>2199</v>
      </c>
      <c r="C66" t="s">
        <v>28</v>
      </c>
      <c r="D66" t="s">
        <v>813</v>
      </c>
      <c r="E66" t="s">
        <v>815</v>
      </c>
      <c r="F66">
        <v>1</v>
      </c>
      <c r="G66" t="s">
        <v>790</v>
      </c>
      <c r="H66" s="1">
        <v>46082</v>
      </c>
      <c r="I66" t="s">
        <v>791</v>
      </c>
      <c r="J66">
        <v>1</v>
      </c>
      <c r="K66" s="1">
        <v>46082</v>
      </c>
      <c r="L66" s="8">
        <v>400000</v>
      </c>
    </row>
    <row r="67" spans="1:12" x14ac:dyDescent="0.25">
      <c r="A67" t="s">
        <v>816</v>
      </c>
      <c r="B67" t="s">
        <v>2199</v>
      </c>
      <c r="C67" t="s">
        <v>28</v>
      </c>
      <c r="D67" t="s">
        <v>817</v>
      </c>
      <c r="E67" t="s">
        <v>821</v>
      </c>
      <c r="F67">
        <v>5</v>
      </c>
      <c r="G67" t="s">
        <v>768</v>
      </c>
      <c r="H67" s="1">
        <v>46023</v>
      </c>
      <c r="I67" t="s">
        <v>386</v>
      </c>
      <c r="J67">
        <v>1</v>
      </c>
      <c r="K67" s="1">
        <v>46023</v>
      </c>
      <c r="L67" s="8">
        <v>104004</v>
      </c>
    </row>
    <row r="68" spans="1:12" x14ac:dyDescent="0.25">
      <c r="A68" t="s">
        <v>816</v>
      </c>
      <c r="B68" t="s">
        <v>2199</v>
      </c>
      <c r="C68" t="s">
        <v>28</v>
      </c>
      <c r="D68" t="s">
        <v>817</v>
      </c>
      <c r="E68" t="s">
        <v>821</v>
      </c>
      <c r="F68">
        <v>5</v>
      </c>
      <c r="G68" t="s">
        <v>768</v>
      </c>
      <c r="H68" s="1">
        <v>46082</v>
      </c>
      <c r="I68" t="s">
        <v>386</v>
      </c>
      <c r="J68">
        <v>1</v>
      </c>
      <c r="K68" s="1">
        <v>46082</v>
      </c>
      <c r="L68" s="8">
        <v>1900044</v>
      </c>
    </row>
    <row r="69" spans="1:12" x14ac:dyDescent="0.25">
      <c r="A69" t="s">
        <v>816</v>
      </c>
      <c r="B69" t="s">
        <v>2199</v>
      </c>
      <c r="C69" t="s">
        <v>28</v>
      </c>
      <c r="D69" t="s">
        <v>817</v>
      </c>
      <c r="E69" t="s">
        <v>486</v>
      </c>
      <c r="F69">
        <v>5</v>
      </c>
      <c r="G69" t="s">
        <v>768</v>
      </c>
      <c r="H69" s="1">
        <v>46023</v>
      </c>
      <c r="I69" t="s">
        <v>386</v>
      </c>
      <c r="J69">
        <v>1</v>
      </c>
      <c r="K69" s="1">
        <v>46023</v>
      </c>
      <c r="L69" s="8">
        <v>250000</v>
      </c>
    </row>
    <row r="70" spans="1:12" x14ac:dyDescent="0.25">
      <c r="A70" t="s">
        <v>816</v>
      </c>
      <c r="B70" t="s">
        <v>2199</v>
      </c>
      <c r="C70" t="s">
        <v>28</v>
      </c>
      <c r="D70" t="s">
        <v>817</v>
      </c>
      <c r="E70" t="s">
        <v>819</v>
      </c>
      <c r="F70">
        <v>5</v>
      </c>
      <c r="G70" t="s">
        <v>768</v>
      </c>
      <c r="H70" s="1">
        <v>46113</v>
      </c>
      <c r="I70" t="s">
        <v>386</v>
      </c>
      <c r="J70">
        <v>1</v>
      </c>
      <c r="K70" s="1">
        <v>46113</v>
      </c>
      <c r="L70" s="8">
        <v>1450010</v>
      </c>
    </row>
    <row r="71" spans="1:12" x14ac:dyDescent="0.25">
      <c r="A71" t="s">
        <v>816</v>
      </c>
      <c r="B71" t="s">
        <v>2199</v>
      </c>
      <c r="C71" t="s">
        <v>28</v>
      </c>
      <c r="D71" t="s">
        <v>817</v>
      </c>
      <c r="E71" t="s">
        <v>820</v>
      </c>
      <c r="F71">
        <v>5</v>
      </c>
      <c r="G71" t="s">
        <v>768</v>
      </c>
      <c r="H71" s="1">
        <v>46023</v>
      </c>
      <c r="I71" t="s">
        <v>386</v>
      </c>
      <c r="J71">
        <v>1</v>
      </c>
      <c r="K71" s="1">
        <v>46023</v>
      </c>
      <c r="L71" s="8">
        <v>1500000</v>
      </c>
    </row>
    <row r="72" spans="1:12" x14ac:dyDescent="0.25">
      <c r="A72" t="s">
        <v>827</v>
      </c>
      <c r="B72" t="s">
        <v>2199</v>
      </c>
      <c r="C72" t="s">
        <v>28</v>
      </c>
      <c r="D72" t="s">
        <v>828</v>
      </c>
      <c r="E72" t="s">
        <v>831</v>
      </c>
      <c r="F72">
        <v>4</v>
      </c>
      <c r="G72" t="s">
        <v>761</v>
      </c>
      <c r="H72" s="1">
        <v>46082</v>
      </c>
      <c r="I72" t="s">
        <v>762</v>
      </c>
      <c r="J72">
        <v>1</v>
      </c>
      <c r="K72" s="1">
        <v>46082</v>
      </c>
      <c r="L72" s="8">
        <v>300000</v>
      </c>
    </row>
    <row r="73" spans="1:12" x14ac:dyDescent="0.25">
      <c r="A73" t="s">
        <v>827</v>
      </c>
      <c r="B73" t="s">
        <v>2199</v>
      </c>
      <c r="C73" t="s">
        <v>28</v>
      </c>
      <c r="D73" t="s">
        <v>828</v>
      </c>
      <c r="E73" t="s">
        <v>830</v>
      </c>
      <c r="F73">
        <v>4</v>
      </c>
      <c r="G73" t="s">
        <v>761</v>
      </c>
      <c r="H73" s="1">
        <v>46082</v>
      </c>
      <c r="I73" t="s">
        <v>762</v>
      </c>
      <c r="J73">
        <v>1</v>
      </c>
      <c r="K73" s="1">
        <v>46082</v>
      </c>
      <c r="L73" s="8">
        <v>176016</v>
      </c>
    </row>
    <row r="74" spans="1:12" x14ac:dyDescent="0.25">
      <c r="A74" t="s">
        <v>827</v>
      </c>
      <c r="B74" t="s">
        <v>2199</v>
      </c>
      <c r="C74" t="s">
        <v>28</v>
      </c>
      <c r="D74" t="s">
        <v>828</v>
      </c>
      <c r="E74" t="s">
        <v>833</v>
      </c>
      <c r="F74">
        <v>4</v>
      </c>
      <c r="G74" t="s">
        <v>761</v>
      </c>
      <c r="H74" s="1">
        <v>46082</v>
      </c>
      <c r="I74" t="s">
        <v>762</v>
      </c>
      <c r="J74">
        <v>1</v>
      </c>
      <c r="K74" s="1">
        <v>46082</v>
      </c>
      <c r="L74" s="8">
        <v>1071050</v>
      </c>
    </row>
    <row r="75" spans="1:12" x14ac:dyDescent="0.25">
      <c r="A75" t="s">
        <v>827</v>
      </c>
      <c r="B75" t="s">
        <v>2199</v>
      </c>
      <c r="C75" t="s">
        <v>28</v>
      </c>
      <c r="D75" t="s">
        <v>828</v>
      </c>
      <c r="E75" t="s">
        <v>832</v>
      </c>
      <c r="F75">
        <v>4</v>
      </c>
      <c r="G75" t="s">
        <v>761</v>
      </c>
      <c r="H75" s="1">
        <v>46023</v>
      </c>
      <c r="I75" t="s">
        <v>762</v>
      </c>
      <c r="J75">
        <v>1</v>
      </c>
      <c r="K75" s="1">
        <v>46023</v>
      </c>
      <c r="L75" s="8">
        <v>150000</v>
      </c>
    </row>
    <row r="76" spans="1:12" x14ac:dyDescent="0.25">
      <c r="A76" t="s">
        <v>834</v>
      </c>
      <c r="B76" t="s">
        <v>2199</v>
      </c>
      <c r="C76" t="s">
        <v>28</v>
      </c>
      <c r="D76" t="s">
        <v>835</v>
      </c>
      <c r="E76" t="s">
        <v>370</v>
      </c>
      <c r="F76">
        <v>1</v>
      </c>
      <c r="G76" t="s">
        <v>790</v>
      </c>
      <c r="H76" s="1">
        <v>46204</v>
      </c>
      <c r="I76" t="s">
        <v>791</v>
      </c>
      <c r="J76">
        <v>1</v>
      </c>
      <c r="K76" s="1">
        <v>46204</v>
      </c>
      <c r="L76" s="8">
        <v>400000</v>
      </c>
    </row>
    <row r="77" spans="1:12" x14ac:dyDescent="0.25">
      <c r="A77" t="s">
        <v>837</v>
      </c>
      <c r="B77" t="s">
        <v>2199</v>
      </c>
      <c r="C77" t="s">
        <v>28</v>
      </c>
      <c r="D77" t="s">
        <v>838</v>
      </c>
      <c r="E77" t="s">
        <v>840</v>
      </c>
      <c r="F77">
        <v>1</v>
      </c>
      <c r="G77" t="s">
        <v>768</v>
      </c>
      <c r="H77" s="1">
        <v>46023</v>
      </c>
      <c r="I77" t="s">
        <v>386</v>
      </c>
      <c r="J77">
        <v>1</v>
      </c>
      <c r="K77" s="1">
        <v>46023</v>
      </c>
      <c r="L77" s="8">
        <v>130000</v>
      </c>
    </row>
    <row r="78" spans="1:12" x14ac:dyDescent="0.25">
      <c r="A78" t="s">
        <v>860</v>
      </c>
      <c r="B78" t="s">
        <v>2199</v>
      </c>
      <c r="C78" t="s">
        <v>28</v>
      </c>
      <c r="D78" t="s">
        <v>861</v>
      </c>
      <c r="E78" t="s">
        <v>863</v>
      </c>
      <c r="F78">
        <v>1</v>
      </c>
      <c r="G78" t="s">
        <v>864</v>
      </c>
      <c r="H78" s="1">
        <v>46023</v>
      </c>
      <c r="I78" t="s">
        <v>865</v>
      </c>
      <c r="J78">
        <v>1</v>
      </c>
      <c r="K78" s="1">
        <v>46023</v>
      </c>
      <c r="L78" s="8">
        <v>370107</v>
      </c>
    </row>
    <row r="79" spans="1:12" x14ac:dyDescent="0.25">
      <c r="A79" t="s">
        <v>868</v>
      </c>
      <c r="B79" t="s">
        <v>2199</v>
      </c>
      <c r="C79" t="s">
        <v>28</v>
      </c>
      <c r="D79" t="s">
        <v>869</v>
      </c>
      <c r="E79" t="s">
        <v>807</v>
      </c>
      <c r="F79">
        <v>1</v>
      </c>
      <c r="G79" t="s">
        <v>624</v>
      </c>
      <c r="H79" s="1">
        <v>46143</v>
      </c>
      <c r="I79" t="s">
        <v>625</v>
      </c>
      <c r="J79">
        <v>1</v>
      </c>
      <c r="K79" s="1">
        <v>46143</v>
      </c>
      <c r="L79" s="8">
        <v>3000000</v>
      </c>
    </row>
    <row r="80" spans="1:12" x14ac:dyDescent="0.25">
      <c r="A80" t="s">
        <v>871</v>
      </c>
      <c r="B80" t="s">
        <v>2199</v>
      </c>
      <c r="C80" t="s">
        <v>28</v>
      </c>
      <c r="D80" t="s">
        <v>872</v>
      </c>
      <c r="E80" t="s">
        <v>874</v>
      </c>
      <c r="F80">
        <v>1</v>
      </c>
      <c r="G80" t="s">
        <v>761</v>
      </c>
      <c r="H80" s="1">
        <v>46204</v>
      </c>
      <c r="I80" t="s">
        <v>762</v>
      </c>
      <c r="J80">
        <v>1</v>
      </c>
      <c r="K80" s="1">
        <v>46204</v>
      </c>
      <c r="L80" s="8">
        <v>472004</v>
      </c>
    </row>
    <row r="81" spans="1:12" x14ac:dyDescent="0.25">
      <c r="A81" t="s">
        <v>875</v>
      </c>
      <c r="B81" t="s">
        <v>2199</v>
      </c>
      <c r="C81" t="s">
        <v>28</v>
      </c>
      <c r="D81" t="s">
        <v>876</v>
      </c>
      <c r="E81" t="s">
        <v>878</v>
      </c>
      <c r="F81">
        <v>1</v>
      </c>
      <c r="G81" t="s">
        <v>761</v>
      </c>
      <c r="H81" s="1">
        <v>46082</v>
      </c>
      <c r="I81" t="s">
        <v>762</v>
      </c>
      <c r="J81">
        <v>1</v>
      </c>
      <c r="K81" s="1">
        <v>46082</v>
      </c>
      <c r="L81" s="8">
        <v>600000</v>
      </c>
    </row>
    <row r="82" spans="1:12" x14ac:dyDescent="0.25">
      <c r="A82" t="s">
        <v>879</v>
      </c>
      <c r="B82" t="s">
        <v>2199</v>
      </c>
      <c r="C82" t="s">
        <v>28</v>
      </c>
      <c r="D82" t="s">
        <v>880</v>
      </c>
      <c r="E82" t="s">
        <v>882</v>
      </c>
      <c r="F82">
        <v>3</v>
      </c>
      <c r="G82" t="s">
        <v>761</v>
      </c>
      <c r="H82" s="1">
        <v>46143</v>
      </c>
      <c r="I82" t="s">
        <v>762</v>
      </c>
      <c r="J82">
        <v>1</v>
      </c>
      <c r="K82" s="1">
        <v>46143</v>
      </c>
      <c r="L82" s="8">
        <v>3700004</v>
      </c>
    </row>
    <row r="83" spans="1:12" x14ac:dyDescent="0.25">
      <c r="A83" t="s">
        <v>879</v>
      </c>
      <c r="B83" t="s">
        <v>2199</v>
      </c>
      <c r="C83" t="s">
        <v>28</v>
      </c>
      <c r="D83" t="s">
        <v>880</v>
      </c>
      <c r="E83" t="s">
        <v>883</v>
      </c>
      <c r="F83">
        <v>3</v>
      </c>
      <c r="G83" t="s">
        <v>761</v>
      </c>
      <c r="H83" s="1">
        <v>46143</v>
      </c>
      <c r="I83" t="s">
        <v>762</v>
      </c>
      <c r="J83">
        <v>1</v>
      </c>
      <c r="K83" s="1">
        <v>46143</v>
      </c>
      <c r="L83" s="8">
        <v>2200020</v>
      </c>
    </row>
    <row r="84" spans="1:12" x14ac:dyDescent="0.25">
      <c r="A84" t="s">
        <v>879</v>
      </c>
      <c r="B84" t="s">
        <v>2199</v>
      </c>
      <c r="C84" t="s">
        <v>28</v>
      </c>
      <c r="D84" t="s">
        <v>880</v>
      </c>
      <c r="E84" t="s">
        <v>62</v>
      </c>
      <c r="F84">
        <v>3</v>
      </c>
      <c r="G84" t="s">
        <v>761</v>
      </c>
      <c r="H84" s="1">
        <v>46143</v>
      </c>
      <c r="I84" t="s">
        <v>762</v>
      </c>
      <c r="J84">
        <v>1</v>
      </c>
      <c r="K84" s="1">
        <v>46143</v>
      </c>
      <c r="L84" s="8">
        <v>200000</v>
      </c>
    </row>
    <row r="85" spans="1:12" x14ac:dyDescent="0.25">
      <c r="A85" t="s">
        <v>884</v>
      </c>
      <c r="B85" t="s">
        <v>2199</v>
      </c>
      <c r="C85" t="s">
        <v>28</v>
      </c>
      <c r="D85" t="s">
        <v>885</v>
      </c>
      <c r="E85" t="s">
        <v>821</v>
      </c>
      <c r="F85">
        <v>3</v>
      </c>
      <c r="G85" t="s">
        <v>761</v>
      </c>
      <c r="H85" s="1">
        <v>46113</v>
      </c>
      <c r="I85" t="s">
        <v>762</v>
      </c>
      <c r="J85">
        <v>1</v>
      </c>
      <c r="K85" s="1">
        <v>46113</v>
      </c>
      <c r="L85" s="8">
        <v>1030006</v>
      </c>
    </row>
    <row r="86" spans="1:12" x14ac:dyDescent="0.25">
      <c r="A86" t="s">
        <v>884</v>
      </c>
      <c r="B86" t="s">
        <v>2199</v>
      </c>
      <c r="C86" t="s">
        <v>28</v>
      </c>
      <c r="D86" t="s">
        <v>885</v>
      </c>
      <c r="E86" t="s">
        <v>883</v>
      </c>
      <c r="F86">
        <v>3</v>
      </c>
      <c r="G86" t="s">
        <v>761</v>
      </c>
      <c r="H86" s="1">
        <v>46174</v>
      </c>
      <c r="I86" t="s">
        <v>762</v>
      </c>
      <c r="J86">
        <v>1</v>
      </c>
      <c r="K86" s="1">
        <v>46174</v>
      </c>
      <c r="L86" s="8">
        <v>800000</v>
      </c>
    </row>
    <row r="87" spans="1:12" x14ac:dyDescent="0.25">
      <c r="A87" t="s">
        <v>884</v>
      </c>
      <c r="B87" t="s">
        <v>2199</v>
      </c>
      <c r="C87" t="s">
        <v>28</v>
      </c>
      <c r="D87" t="s">
        <v>885</v>
      </c>
      <c r="E87" t="s">
        <v>887</v>
      </c>
      <c r="F87">
        <v>3</v>
      </c>
      <c r="G87" t="s">
        <v>761</v>
      </c>
      <c r="H87" s="1">
        <v>46023</v>
      </c>
      <c r="I87" t="s">
        <v>762</v>
      </c>
      <c r="J87">
        <v>1</v>
      </c>
      <c r="K87" s="1">
        <v>46023</v>
      </c>
      <c r="L87" s="8">
        <v>900000</v>
      </c>
    </row>
    <row r="88" spans="1:12" x14ac:dyDescent="0.25">
      <c r="A88" t="s">
        <v>888</v>
      </c>
      <c r="B88" t="s">
        <v>2199</v>
      </c>
      <c r="C88" t="s">
        <v>28</v>
      </c>
      <c r="D88" t="s">
        <v>889</v>
      </c>
      <c r="E88" t="s">
        <v>891</v>
      </c>
      <c r="F88">
        <v>1</v>
      </c>
      <c r="G88" t="s">
        <v>309</v>
      </c>
      <c r="H88" s="1">
        <v>46204</v>
      </c>
      <c r="I88" t="s">
        <v>893</v>
      </c>
      <c r="J88">
        <v>12</v>
      </c>
      <c r="K88" t="s">
        <v>892</v>
      </c>
      <c r="L88" s="8">
        <v>31250000</v>
      </c>
    </row>
    <row r="89" spans="1:12" x14ac:dyDescent="0.25">
      <c r="A89" t="s">
        <v>895</v>
      </c>
      <c r="B89" t="s">
        <v>2199</v>
      </c>
      <c r="C89" t="s">
        <v>28</v>
      </c>
      <c r="D89" t="s">
        <v>896</v>
      </c>
      <c r="E89" t="s">
        <v>898</v>
      </c>
      <c r="F89">
        <v>1</v>
      </c>
      <c r="G89" t="s">
        <v>899</v>
      </c>
      <c r="H89" s="1">
        <v>46082</v>
      </c>
      <c r="I89" t="s">
        <v>900</v>
      </c>
      <c r="J89">
        <v>1</v>
      </c>
      <c r="K89" s="1">
        <v>46082</v>
      </c>
      <c r="L89" s="8">
        <v>200000</v>
      </c>
    </row>
    <row r="90" spans="1:12" x14ac:dyDescent="0.25">
      <c r="A90" t="s">
        <v>903</v>
      </c>
      <c r="B90" t="s">
        <v>2199</v>
      </c>
      <c r="C90" t="s">
        <v>28</v>
      </c>
      <c r="D90" t="s">
        <v>904</v>
      </c>
      <c r="E90" t="s">
        <v>359</v>
      </c>
      <c r="F90">
        <v>7</v>
      </c>
      <c r="G90" t="s">
        <v>906</v>
      </c>
      <c r="H90" s="1">
        <v>46054</v>
      </c>
      <c r="I90" t="s">
        <v>907</v>
      </c>
      <c r="J90">
        <v>1</v>
      </c>
      <c r="K90" s="1">
        <v>46054</v>
      </c>
      <c r="L90" s="8">
        <v>107000</v>
      </c>
    </row>
    <row r="91" spans="1:12" x14ac:dyDescent="0.25">
      <c r="A91" t="s">
        <v>903</v>
      </c>
      <c r="B91" t="s">
        <v>2199</v>
      </c>
      <c r="C91" t="s">
        <v>28</v>
      </c>
      <c r="D91" t="s">
        <v>904</v>
      </c>
      <c r="E91" t="s">
        <v>912</v>
      </c>
      <c r="F91">
        <v>7</v>
      </c>
      <c r="G91" t="s">
        <v>906</v>
      </c>
      <c r="H91" s="1">
        <v>46054</v>
      </c>
      <c r="I91" t="s">
        <v>907</v>
      </c>
      <c r="J91">
        <v>1</v>
      </c>
      <c r="K91" s="1">
        <v>46054</v>
      </c>
      <c r="L91" s="8">
        <v>15000</v>
      </c>
    </row>
    <row r="92" spans="1:12" x14ac:dyDescent="0.25">
      <c r="A92" t="s">
        <v>903</v>
      </c>
      <c r="B92" t="s">
        <v>2199</v>
      </c>
      <c r="C92" t="s">
        <v>28</v>
      </c>
      <c r="D92" t="s">
        <v>904</v>
      </c>
      <c r="E92" t="s">
        <v>914</v>
      </c>
      <c r="F92">
        <v>7</v>
      </c>
      <c r="G92" t="s">
        <v>906</v>
      </c>
      <c r="H92" s="1">
        <v>46054</v>
      </c>
      <c r="I92" t="s">
        <v>907</v>
      </c>
      <c r="J92">
        <v>1</v>
      </c>
      <c r="K92" s="1">
        <v>46054</v>
      </c>
      <c r="L92" s="8">
        <v>10000</v>
      </c>
    </row>
    <row r="93" spans="1:12" x14ac:dyDescent="0.25">
      <c r="A93" t="s">
        <v>903</v>
      </c>
      <c r="B93" t="s">
        <v>2199</v>
      </c>
      <c r="C93" t="s">
        <v>28</v>
      </c>
      <c r="D93" t="s">
        <v>904</v>
      </c>
      <c r="E93" t="s">
        <v>911</v>
      </c>
      <c r="F93">
        <v>7</v>
      </c>
      <c r="G93" t="s">
        <v>906</v>
      </c>
      <c r="H93" s="1">
        <v>46143</v>
      </c>
      <c r="I93" t="s">
        <v>907</v>
      </c>
      <c r="J93">
        <v>1</v>
      </c>
      <c r="K93" s="1">
        <v>46143</v>
      </c>
      <c r="L93" s="8">
        <v>25000</v>
      </c>
    </row>
    <row r="94" spans="1:12" x14ac:dyDescent="0.25">
      <c r="A94" t="s">
        <v>903</v>
      </c>
      <c r="B94" t="s">
        <v>2199</v>
      </c>
      <c r="C94" t="s">
        <v>28</v>
      </c>
      <c r="D94" t="s">
        <v>904</v>
      </c>
      <c r="E94" t="s">
        <v>913</v>
      </c>
      <c r="F94">
        <v>7</v>
      </c>
      <c r="G94" t="s">
        <v>906</v>
      </c>
      <c r="H94" s="1">
        <v>46327</v>
      </c>
      <c r="I94" t="s">
        <v>907</v>
      </c>
      <c r="J94">
        <v>1</v>
      </c>
      <c r="K94" s="1">
        <v>46327</v>
      </c>
      <c r="L94" s="8">
        <v>120000</v>
      </c>
    </row>
    <row r="95" spans="1:12" x14ac:dyDescent="0.25">
      <c r="A95" t="s">
        <v>903</v>
      </c>
      <c r="B95" t="s">
        <v>2199</v>
      </c>
      <c r="C95" t="s">
        <v>28</v>
      </c>
      <c r="D95" t="s">
        <v>904</v>
      </c>
      <c r="E95" t="s">
        <v>602</v>
      </c>
      <c r="F95">
        <v>7</v>
      </c>
      <c r="G95" t="s">
        <v>906</v>
      </c>
      <c r="H95" s="1">
        <v>46143</v>
      </c>
      <c r="I95" t="s">
        <v>907</v>
      </c>
      <c r="J95">
        <v>1</v>
      </c>
      <c r="K95" s="1">
        <v>46143</v>
      </c>
      <c r="L95" s="8">
        <v>1400001</v>
      </c>
    </row>
    <row r="96" spans="1:12" x14ac:dyDescent="0.25">
      <c r="A96" t="s">
        <v>903</v>
      </c>
      <c r="B96" t="s">
        <v>2199</v>
      </c>
      <c r="C96" t="s">
        <v>28</v>
      </c>
      <c r="D96" t="s">
        <v>904</v>
      </c>
      <c r="E96" t="s">
        <v>910</v>
      </c>
      <c r="F96">
        <v>7</v>
      </c>
      <c r="G96" t="s">
        <v>906</v>
      </c>
      <c r="H96" s="1">
        <v>46143</v>
      </c>
      <c r="I96" t="s">
        <v>907</v>
      </c>
      <c r="J96">
        <v>1</v>
      </c>
      <c r="K96" s="1">
        <v>46143</v>
      </c>
      <c r="L96" s="8">
        <v>45000000</v>
      </c>
    </row>
    <row r="97" spans="1:12" x14ac:dyDescent="0.25">
      <c r="A97" t="s">
        <v>922</v>
      </c>
      <c r="B97" t="s">
        <v>2199</v>
      </c>
      <c r="C97" t="s">
        <v>28</v>
      </c>
      <c r="D97" t="s">
        <v>923</v>
      </c>
      <c r="E97" t="s">
        <v>891</v>
      </c>
      <c r="F97">
        <v>1</v>
      </c>
      <c r="G97" t="s">
        <v>926</v>
      </c>
      <c r="H97" s="1">
        <v>46143</v>
      </c>
      <c r="I97" t="s">
        <v>893</v>
      </c>
      <c r="J97">
        <v>12</v>
      </c>
      <c r="K97" t="s">
        <v>925</v>
      </c>
      <c r="L97" s="8">
        <v>23333328</v>
      </c>
    </row>
    <row r="98" spans="1:12" x14ac:dyDescent="0.25">
      <c r="A98" t="s">
        <v>930</v>
      </c>
      <c r="B98" t="s">
        <v>2199</v>
      </c>
      <c r="C98" t="s">
        <v>28</v>
      </c>
      <c r="D98" t="s">
        <v>931</v>
      </c>
      <c r="E98" t="s">
        <v>933</v>
      </c>
      <c r="F98">
        <v>1</v>
      </c>
      <c r="G98" t="s">
        <v>934</v>
      </c>
      <c r="H98" s="1">
        <v>46023</v>
      </c>
      <c r="I98" t="s">
        <v>935</v>
      </c>
      <c r="J98">
        <v>1</v>
      </c>
      <c r="K98" s="1">
        <v>46023</v>
      </c>
      <c r="L98" s="8">
        <v>681264</v>
      </c>
    </row>
    <row r="99" spans="1:12" x14ac:dyDescent="0.25">
      <c r="A99" t="s">
        <v>177</v>
      </c>
      <c r="B99" t="s">
        <v>2196</v>
      </c>
      <c r="C99" t="s">
        <v>28</v>
      </c>
      <c r="D99" t="s">
        <v>179</v>
      </c>
      <c r="E99" t="s">
        <v>181</v>
      </c>
      <c r="F99">
        <v>1</v>
      </c>
      <c r="G99" t="s">
        <v>182</v>
      </c>
      <c r="H99" s="1">
        <v>45444</v>
      </c>
      <c r="I99" t="s">
        <v>183</v>
      </c>
      <c r="J99">
        <v>24</v>
      </c>
      <c r="K99" t="s">
        <v>73</v>
      </c>
      <c r="L99" s="8">
        <v>905196910</v>
      </c>
    </row>
    <row r="100" spans="1:12" x14ac:dyDescent="0.25">
      <c r="A100" t="s">
        <v>938</v>
      </c>
      <c r="B100" t="s">
        <v>2199</v>
      </c>
      <c r="C100" t="s">
        <v>28</v>
      </c>
      <c r="D100" t="s">
        <v>939</v>
      </c>
      <c r="E100" t="s">
        <v>946</v>
      </c>
      <c r="F100">
        <v>3</v>
      </c>
      <c r="G100" t="s">
        <v>942</v>
      </c>
      <c r="H100" s="1">
        <v>46113</v>
      </c>
      <c r="I100" t="s">
        <v>943</v>
      </c>
      <c r="J100">
        <v>1</v>
      </c>
      <c r="K100" s="1">
        <v>46113</v>
      </c>
      <c r="L100" s="8">
        <v>2175000</v>
      </c>
    </row>
    <row r="101" spans="1:12" x14ac:dyDescent="0.25">
      <c r="A101" t="s">
        <v>938</v>
      </c>
      <c r="B101" t="s">
        <v>2199</v>
      </c>
      <c r="C101" t="s">
        <v>28</v>
      </c>
      <c r="D101" t="s">
        <v>939</v>
      </c>
      <c r="E101" t="s">
        <v>945</v>
      </c>
      <c r="F101">
        <v>3</v>
      </c>
      <c r="G101" t="s">
        <v>942</v>
      </c>
      <c r="H101" s="1">
        <v>46113</v>
      </c>
      <c r="I101" t="s">
        <v>943</v>
      </c>
      <c r="J101">
        <v>1</v>
      </c>
      <c r="K101" s="1">
        <v>46113</v>
      </c>
      <c r="L101" s="8">
        <v>8155836</v>
      </c>
    </row>
    <row r="102" spans="1:12" x14ac:dyDescent="0.25">
      <c r="A102" t="s">
        <v>938</v>
      </c>
      <c r="B102" t="s">
        <v>2199</v>
      </c>
      <c r="C102" t="s">
        <v>28</v>
      </c>
      <c r="D102" t="s">
        <v>939</v>
      </c>
      <c r="E102" t="s">
        <v>941</v>
      </c>
      <c r="F102">
        <v>3</v>
      </c>
      <c r="G102" t="s">
        <v>942</v>
      </c>
      <c r="H102" s="1">
        <v>46113</v>
      </c>
      <c r="I102" t="s">
        <v>943</v>
      </c>
      <c r="J102">
        <v>1</v>
      </c>
      <c r="K102" s="1">
        <v>46113</v>
      </c>
      <c r="L102" s="8">
        <v>1672500</v>
      </c>
    </row>
    <row r="103" spans="1:12" x14ac:dyDescent="0.25">
      <c r="A103" t="s">
        <v>947</v>
      </c>
      <c r="B103" t="s">
        <v>2199</v>
      </c>
      <c r="C103" t="s">
        <v>28</v>
      </c>
      <c r="D103" t="s">
        <v>948</v>
      </c>
      <c r="E103" t="s">
        <v>486</v>
      </c>
      <c r="F103">
        <v>2</v>
      </c>
      <c r="G103" t="s">
        <v>950</v>
      </c>
      <c r="H103" s="1">
        <v>46082</v>
      </c>
      <c r="I103" t="s">
        <v>951</v>
      </c>
      <c r="J103">
        <v>1</v>
      </c>
      <c r="K103" s="1">
        <v>46082</v>
      </c>
      <c r="L103" s="8">
        <v>509936</v>
      </c>
    </row>
    <row r="104" spans="1:12" x14ac:dyDescent="0.25">
      <c r="A104" t="s">
        <v>947</v>
      </c>
      <c r="B104" t="s">
        <v>2199</v>
      </c>
      <c r="C104" t="s">
        <v>28</v>
      </c>
      <c r="D104" t="s">
        <v>948</v>
      </c>
      <c r="E104" t="s">
        <v>953</v>
      </c>
      <c r="F104">
        <v>2</v>
      </c>
      <c r="G104" t="s">
        <v>950</v>
      </c>
      <c r="H104" s="1">
        <v>46082</v>
      </c>
      <c r="I104" t="s">
        <v>951</v>
      </c>
      <c r="J104">
        <v>1</v>
      </c>
      <c r="K104" s="1">
        <v>46082</v>
      </c>
      <c r="L104" s="8">
        <v>48000</v>
      </c>
    </row>
    <row r="105" spans="1:12" x14ac:dyDescent="0.25">
      <c r="A105" t="s">
        <v>954</v>
      </c>
      <c r="B105" t="s">
        <v>2199</v>
      </c>
      <c r="C105" t="s">
        <v>28</v>
      </c>
      <c r="D105" t="s">
        <v>955</v>
      </c>
      <c r="E105" t="s">
        <v>359</v>
      </c>
      <c r="F105">
        <v>3</v>
      </c>
      <c r="G105" t="s">
        <v>958</v>
      </c>
      <c r="H105" s="1">
        <v>46235</v>
      </c>
      <c r="I105" t="s">
        <v>959</v>
      </c>
      <c r="J105">
        <v>1</v>
      </c>
      <c r="K105" s="1">
        <v>46235</v>
      </c>
      <c r="L105" s="8">
        <v>185040</v>
      </c>
    </row>
    <row r="106" spans="1:12" x14ac:dyDescent="0.25">
      <c r="A106" t="s">
        <v>954</v>
      </c>
      <c r="B106" t="s">
        <v>2199</v>
      </c>
      <c r="C106" t="s">
        <v>28</v>
      </c>
      <c r="D106" t="s">
        <v>955</v>
      </c>
      <c r="E106" t="s">
        <v>962</v>
      </c>
      <c r="F106">
        <v>3</v>
      </c>
      <c r="G106" t="s">
        <v>958</v>
      </c>
      <c r="H106" s="1">
        <v>46235</v>
      </c>
      <c r="I106" t="s">
        <v>959</v>
      </c>
      <c r="J106">
        <v>1</v>
      </c>
      <c r="K106" s="1">
        <v>46235</v>
      </c>
      <c r="L106" s="8">
        <v>270160</v>
      </c>
    </row>
    <row r="107" spans="1:12" x14ac:dyDescent="0.25">
      <c r="A107" t="s">
        <v>954</v>
      </c>
      <c r="B107" t="s">
        <v>2199</v>
      </c>
      <c r="C107" t="s">
        <v>28</v>
      </c>
      <c r="D107" t="s">
        <v>955</v>
      </c>
      <c r="E107" t="s">
        <v>957</v>
      </c>
      <c r="F107">
        <v>3</v>
      </c>
      <c r="G107" t="s">
        <v>958</v>
      </c>
      <c r="H107" s="1">
        <v>46235</v>
      </c>
      <c r="I107" t="s">
        <v>959</v>
      </c>
      <c r="J107">
        <v>1</v>
      </c>
      <c r="K107" s="1">
        <v>46235</v>
      </c>
      <c r="L107" s="8">
        <v>220000</v>
      </c>
    </row>
    <row r="108" spans="1:12" x14ac:dyDescent="0.25">
      <c r="A108" t="s">
        <v>963</v>
      </c>
      <c r="B108" t="s">
        <v>2199</v>
      </c>
      <c r="C108" t="s">
        <v>28</v>
      </c>
      <c r="D108" t="s">
        <v>964</v>
      </c>
      <c r="E108" t="s">
        <v>623</v>
      </c>
      <c r="F108">
        <v>1</v>
      </c>
      <c r="G108" t="s">
        <v>768</v>
      </c>
      <c r="H108" s="1">
        <v>46054</v>
      </c>
      <c r="I108" t="s">
        <v>966</v>
      </c>
      <c r="J108">
        <v>1</v>
      </c>
      <c r="K108" s="1">
        <v>46054</v>
      </c>
      <c r="L108" s="8">
        <v>700002</v>
      </c>
    </row>
    <row r="109" spans="1:12" x14ac:dyDescent="0.25">
      <c r="A109" t="s">
        <v>969</v>
      </c>
      <c r="B109" t="s">
        <v>2199</v>
      </c>
      <c r="C109" t="s">
        <v>28</v>
      </c>
      <c r="D109" t="s">
        <v>970</v>
      </c>
      <c r="E109" t="s">
        <v>623</v>
      </c>
      <c r="F109">
        <v>1</v>
      </c>
      <c r="G109" t="s">
        <v>768</v>
      </c>
      <c r="H109" s="1">
        <v>46054</v>
      </c>
      <c r="I109" t="s">
        <v>966</v>
      </c>
      <c r="J109">
        <v>1</v>
      </c>
      <c r="K109" s="1">
        <v>46054</v>
      </c>
      <c r="L109" s="8">
        <v>7000008</v>
      </c>
    </row>
    <row r="110" spans="1:12" x14ac:dyDescent="0.25">
      <c r="A110" t="s">
        <v>972</v>
      </c>
      <c r="B110" t="s">
        <v>2199</v>
      </c>
      <c r="C110" t="s">
        <v>28</v>
      </c>
      <c r="D110" t="s">
        <v>973</v>
      </c>
      <c r="E110" t="s">
        <v>623</v>
      </c>
      <c r="F110">
        <v>1</v>
      </c>
      <c r="G110" t="s">
        <v>768</v>
      </c>
      <c r="H110" s="1">
        <v>46082</v>
      </c>
      <c r="I110" t="s">
        <v>966</v>
      </c>
      <c r="J110">
        <v>1</v>
      </c>
      <c r="K110" s="1">
        <v>46082</v>
      </c>
      <c r="L110" s="8">
        <v>800000</v>
      </c>
    </row>
    <row r="111" spans="1:12" x14ac:dyDescent="0.25">
      <c r="A111" t="s">
        <v>975</v>
      </c>
      <c r="B111" t="s">
        <v>2199</v>
      </c>
      <c r="C111" t="s">
        <v>28</v>
      </c>
      <c r="D111" t="s">
        <v>976</v>
      </c>
      <c r="E111" t="s">
        <v>623</v>
      </c>
      <c r="F111">
        <v>1</v>
      </c>
      <c r="G111" t="s">
        <v>768</v>
      </c>
      <c r="H111" s="1">
        <v>46054</v>
      </c>
      <c r="I111" t="s">
        <v>966</v>
      </c>
      <c r="J111">
        <v>1</v>
      </c>
      <c r="K111" s="1">
        <v>46054</v>
      </c>
      <c r="L111" s="8">
        <v>3500000</v>
      </c>
    </row>
    <row r="112" spans="1:12" x14ac:dyDescent="0.25">
      <c r="A112" t="s">
        <v>978</v>
      </c>
      <c r="B112" t="s">
        <v>2199</v>
      </c>
      <c r="C112" t="s">
        <v>28</v>
      </c>
      <c r="D112" t="s">
        <v>979</v>
      </c>
      <c r="E112" t="s">
        <v>623</v>
      </c>
      <c r="F112">
        <v>1</v>
      </c>
      <c r="G112" t="s">
        <v>768</v>
      </c>
      <c r="H112" s="1">
        <v>46082</v>
      </c>
      <c r="I112" t="s">
        <v>966</v>
      </c>
      <c r="J112">
        <v>1</v>
      </c>
      <c r="K112" s="1">
        <v>46082</v>
      </c>
      <c r="L112" s="8">
        <v>2000000</v>
      </c>
    </row>
    <row r="113" spans="1:12" x14ac:dyDescent="0.25">
      <c r="A113" t="s">
        <v>981</v>
      </c>
      <c r="B113" t="s">
        <v>2199</v>
      </c>
      <c r="C113" t="s">
        <v>28</v>
      </c>
      <c r="D113" t="s">
        <v>982</v>
      </c>
      <c r="E113" t="s">
        <v>623</v>
      </c>
      <c r="F113">
        <v>1</v>
      </c>
      <c r="G113" t="s">
        <v>768</v>
      </c>
      <c r="H113" s="1">
        <v>46113</v>
      </c>
      <c r="I113" t="s">
        <v>966</v>
      </c>
      <c r="J113">
        <v>1</v>
      </c>
      <c r="K113" s="1">
        <v>46113</v>
      </c>
      <c r="L113" s="8">
        <v>800004</v>
      </c>
    </row>
    <row r="114" spans="1:12" x14ac:dyDescent="0.25">
      <c r="A114" t="s">
        <v>984</v>
      </c>
      <c r="B114" t="s">
        <v>2199</v>
      </c>
      <c r="C114" t="s">
        <v>28</v>
      </c>
      <c r="D114" t="s">
        <v>985</v>
      </c>
      <c r="E114" t="s">
        <v>623</v>
      </c>
      <c r="F114">
        <v>1</v>
      </c>
      <c r="G114" t="s">
        <v>768</v>
      </c>
      <c r="H114" s="1">
        <v>46023</v>
      </c>
      <c r="I114" t="s">
        <v>966</v>
      </c>
      <c r="J114">
        <v>1</v>
      </c>
      <c r="K114" s="1">
        <v>46023</v>
      </c>
      <c r="L114" s="8">
        <v>600000</v>
      </c>
    </row>
    <row r="115" spans="1:12" x14ac:dyDescent="0.25">
      <c r="A115" t="s">
        <v>987</v>
      </c>
      <c r="B115" t="s">
        <v>2199</v>
      </c>
      <c r="C115" t="s">
        <v>28</v>
      </c>
      <c r="D115" t="s">
        <v>988</v>
      </c>
      <c r="E115" t="s">
        <v>623</v>
      </c>
      <c r="F115">
        <v>1</v>
      </c>
      <c r="G115" t="s">
        <v>768</v>
      </c>
      <c r="H115" s="1">
        <v>46204</v>
      </c>
      <c r="I115" t="s">
        <v>966</v>
      </c>
      <c r="J115">
        <v>1</v>
      </c>
      <c r="K115" s="1">
        <v>46204</v>
      </c>
      <c r="L115" s="8">
        <v>4000000</v>
      </c>
    </row>
    <row r="116" spans="1:12" x14ac:dyDescent="0.25">
      <c r="A116" t="s">
        <v>990</v>
      </c>
      <c r="B116" t="s">
        <v>2199</v>
      </c>
      <c r="C116" t="s">
        <v>28</v>
      </c>
      <c r="D116" t="s">
        <v>991</v>
      </c>
      <c r="E116" t="s">
        <v>623</v>
      </c>
      <c r="F116">
        <v>1</v>
      </c>
      <c r="G116" t="s">
        <v>768</v>
      </c>
      <c r="H116" s="1">
        <v>46082</v>
      </c>
      <c r="I116" t="s">
        <v>966</v>
      </c>
      <c r="J116">
        <v>1</v>
      </c>
      <c r="K116" s="1">
        <v>46082</v>
      </c>
      <c r="L116" s="8">
        <v>5500000</v>
      </c>
    </row>
    <row r="117" spans="1:12" x14ac:dyDescent="0.25">
      <c r="A117" t="s">
        <v>993</v>
      </c>
      <c r="B117" t="s">
        <v>2199</v>
      </c>
      <c r="C117" t="s">
        <v>28</v>
      </c>
      <c r="D117" t="s">
        <v>994</v>
      </c>
      <c r="E117" t="s">
        <v>623</v>
      </c>
      <c r="F117">
        <v>1</v>
      </c>
      <c r="G117" t="s">
        <v>768</v>
      </c>
      <c r="H117" s="1">
        <v>46113</v>
      </c>
      <c r="I117" t="s">
        <v>966</v>
      </c>
      <c r="J117">
        <v>1</v>
      </c>
      <c r="K117" s="1">
        <v>46113</v>
      </c>
      <c r="L117" s="8">
        <v>3000000</v>
      </c>
    </row>
    <row r="118" spans="1:12" x14ac:dyDescent="0.25">
      <c r="A118" t="s">
        <v>996</v>
      </c>
      <c r="B118" t="s">
        <v>2199</v>
      </c>
      <c r="C118" t="s">
        <v>28</v>
      </c>
      <c r="D118" t="s">
        <v>997</v>
      </c>
      <c r="E118" t="s">
        <v>486</v>
      </c>
      <c r="F118">
        <v>1</v>
      </c>
      <c r="G118" t="s">
        <v>934</v>
      </c>
      <c r="H118" s="1">
        <v>46023</v>
      </c>
      <c r="I118" t="s">
        <v>935</v>
      </c>
      <c r="J118">
        <v>1</v>
      </c>
      <c r="K118" s="1">
        <v>46023</v>
      </c>
      <c r="L118" s="8">
        <v>60000</v>
      </c>
    </row>
    <row r="119" spans="1:12" x14ac:dyDescent="0.25">
      <c r="A119" t="s">
        <v>1000</v>
      </c>
      <c r="B119" t="s">
        <v>2199</v>
      </c>
      <c r="C119" t="s">
        <v>28</v>
      </c>
      <c r="D119" t="s">
        <v>1001</v>
      </c>
      <c r="E119" t="s">
        <v>623</v>
      </c>
      <c r="F119">
        <v>1</v>
      </c>
      <c r="G119" t="s">
        <v>768</v>
      </c>
      <c r="H119" s="1">
        <v>46204</v>
      </c>
      <c r="I119" t="s">
        <v>966</v>
      </c>
      <c r="J119">
        <v>1</v>
      </c>
      <c r="K119" s="1">
        <v>46174</v>
      </c>
      <c r="L119" s="8">
        <v>1500000</v>
      </c>
    </row>
    <row r="120" spans="1:12" x14ac:dyDescent="0.25">
      <c r="A120" t="s">
        <v>1003</v>
      </c>
      <c r="B120" t="s">
        <v>2199</v>
      </c>
      <c r="C120" t="s">
        <v>28</v>
      </c>
      <c r="D120" t="s">
        <v>1004</v>
      </c>
      <c r="E120" t="s">
        <v>1006</v>
      </c>
      <c r="F120">
        <v>1</v>
      </c>
      <c r="G120" t="s">
        <v>768</v>
      </c>
      <c r="H120" s="1">
        <v>46082</v>
      </c>
      <c r="I120" t="s">
        <v>966</v>
      </c>
      <c r="J120">
        <v>4</v>
      </c>
      <c r="K120" t="s">
        <v>1007</v>
      </c>
      <c r="L120" s="8">
        <v>17500000</v>
      </c>
    </row>
    <row r="121" spans="1:12" x14ac:dyDescent="0.25">
      <c r="A121" t="s">
        <v>313</v>
      </c>
      <c r="B121" t="s">
        <v>2196</v>
      </c>
      <c r="C121" t="s">
        <v>28</v>
      </c>
      <c r="D121" t="s">
        <v>315</v>
      </c>
      <c r="E121" t="s">
        <v>317</v>
      </c>
      <c r="F121">
        <v>1</v>
      </c>
      <c r="G121" t="s">
        <v>319</v>
      </c>
      <c r="H121" s="1">
        <v>45839</v>
      </c>
      <c r="I121" t="s">
        <v>320</v>
      </c>
      <c r="J121">
        <v>12</v>
      </c>
      <c r="K121" t="s">
        <v>318</v>
      </c>
      <c r="L121" s="8">
        <v>36208337</v>
      </c>
    </row>
    <row r="122" spans="1:12" x14ac:dyDescent="0.25">
      <c r="A122" t="s">
        <v>1008</v>
      </c>
      <c r="B122" t="s">
        <v>2199</v>
      </c>
      <c r="C122" t="s">
        <v>28</v>
      </c>
      <c r="D122" t="s">
        <v>1010</v>
      </c>
      <c r="E122" t="s">
        <v>1012</v>
      </c>
      <c r="F122">
        <v>1</v>
      </c>
      <c r="G122" t="s">
        <v>768</v>
      </c>
      <c r="H122" s="1">
        <v>46143</v>
      </c>
      <c r="I122" t="s">
        <v>966</v>
      </c>
      <c r="J122">
        <v>1</v>
      </c>
      <c r="K122" s="1">
        <v>46143</v>
      </c>
      <c r="L122" s="8">
        <v>1820000</v>
      </c>
    </row>
    <row r="123" spans="1:12" x14ac:dyDescent="0.25">
      <c r="A123" t="s">
        <v>323</v>
      </c>
      <c r="B123" t="s">
        <v>2196</v>
      </c>
      <c r="C123" t="s">
        <v>28</v>
      </c>
      <c r="D123" t="s">
        <v>324</v>
      </c>
      <c r="E123" t="s">
        <v>326</v>
      </c>
      <c r="F123">
        <v>1</v>
      </c>
      <c r="G123" t="s">
        <v>319</v>
      </c>
      <c r="H123" s="1">
        <v>45870</v>
      </c>
      <c r="I123" t="s">
        <v>320</v>
      </c>
      <c r="J123">
        <v>12</v>
      </c>
      <c r="K123" t="s">
        <v>318</v>
      </c>
      <c r="L123" s="8">
        <v>28875000</v>
      </c>
    </row>
    <row r="124" spans="1:12" x14ac:dyDescent="0.25">
      <c r="A124" t="s">
        <v>1013</v>
      </c>
      <c r="B124" t="s">
        <v>2199</v>
      </c>
      <c r="C124" t="s">
        <v>28</v>
      </c>
      <c r="D124" t="s">
        <v>1014</v>
      </c>
      <c r="E124" t="s">
        <v>623</v>
      </c>
      <c r="F124">
        <v>1</v>
      </c>
      <c r="G124" t="s">
        <v>768</v>
      </c>
      <c r="H124" s="1">
        <v>46082</v>
      </c>
      <c r="I124" t="s">
        <v>966</v>
      </c>
      <c r="J124">
        <v>1</v>
      </c>
      <c r="K124" s="1">
        <v>46082</v>
      </c>
      <c r="L124" s="8">
        <v>1200000</v>
      </c>
    </row>
    <row r="125" spans="1:12" x14ac:dyDescent="0.25">
      <c r="A125" t="s">
        <v>328</v>
      </c>
      <c r="B125" t="s">
        <v>2196</v>
      </c>
      <c r="C125" t="s">
        <v>28</v>
      </c>
      <c r="D125" t="s">
        <v>329</v>
      </c>
      <c r="E125" t="s">
        <v>331</v>
      </c>
      <c r="F125">
        <v>1</v>
      </c>
      <c r="G125" t="s">
        <v>332</v>
      </c>
      <c r="H125" s="1">
        <v>45839</v>
      </c>
      <c r="I125" t="s">
        <v>333</v>
      </c>
      <c r="J125">
        <v>12</v>
      </c>
      <c r="K125" t="s">
        <v>308</v>
      </c>
      <c r="L125" s="8">
        <v>52500000</v>
      </c>
    </row>
    <row r="126" spans="1:12" x14ac:dyDescent="0.25">
      <c r="A126" t="s">
        <v>1016</v>
      </c>
      <c r="B126" t="s">
        <v>2199</v>
      </c>
      <c r="C126" t="s">
        <v>28</v>
      </c>
      <c r="D126" t="s">
        <v>1017</v>
      </c>
      <c r="E126" t="s">
        <v>623</v>
      </c>
      <c r="F126">
        <v>1</v>
      </c>
      <c r="G126" t="s">
        <v>768</v>
      </c>
      <c r="H126" s="1">
        <v>46174</v>
      </c>
      <c r="I126" t="s">
        <v>966</v>
      </c>
      <c r="J126">
        <v>1</v>
      </c>
      <c r="K126" s="1">
        <v>46174</v>
      </c>
      <c r="L126" s="8">
        <v>2500020</v>
      </c>
    </row>
    <row r="127" spans="1:12" x14ac:dyDescent="0.25">
      <c r="A127" t="s">
        <v>337</v>
      </c>
      <c r="B127" t="s">
        <v>2196</v>
      </c>
      <c r="C127" t="s">
        <v>28</v>
      </c>
      <c r="D127" t="s">
        <v>338</v>
      </c>
      <c r="E127" t="s">
        <v>340</v>
      </c>
      <c r="F127">
        <v>1</v>
      </c>
      <c r="G127" t="s">
        <v>341</v>
      </c>
      <c r="H127" s="1">
        <v>45809</v>
      </c>
      <c r="I127" t="s">
        <v>342</v>
      </c>
      <c r="J127">
        <v>18</v>
      </c>
      <c r="K127" t="s">
        <v>206</v>
      </c>
      <c r="L127" s="8">
        <v>11000004</v>
      </c>
    </row>
    <row r="128" spans="1:12" x14ac:dyDescent="0.25">
      <c r="A128" t="s">
        <v>1019</v>
      </c>
      <c r="B128" t="s">
        <v>2199</v>
      </c>
      <c r="C128" t="s">
        <v>28</v>
      </c>
      <c r="D128" t="s">
        <v>1020</v>
      </c>
      <c r="E128" t="s">
        <v>121</v>
      </c>
      <c r="F128">
        <v>1</v>
      </c>
      <c r="G128" t="s">
        <v>768</v>
      </c>
      <c r="H128" s="1">
        <v>46235</v>
      </c>
      <c r="I128" t="s">
        <v>966</v>
      </c>
      <c r="J128">
        <v>1</v>
      </c>
      <c r="K128" s="1">
        <v>46235</v>
      </c>
      <c r="L128" s="8">
        <v>2500000</v>
      </c>
    </row>
    <row r="129" spans="1:12" x14ac:dyDescent="0.25">
      <c r="A129" t="s">
        <v>355</v>
      </c>
      <c r="B129" t="s">
        <v>2196</v>
      </c>
      <c r="C129" t="s">
        <v>28</v>
      </c>
      <c r="D129" t="s">
        <v>357</v>
      </c>
      <c r="E129" t="s">
        <v>359</v>
      </c>
      <c r="F129">
        <v>1</v>
      </c>
      <c r="G129" t="s">
        <v>360</v>
      </c>
      <c r="H129" s="1">
        <v>45870</v>
      </c>
      <c r="I129" t="s">
        <v>361</v>
      </c>
      <c r="J129">
        <v>12</v>
      </c>
      <c r="K129" t="s">
        <v>318</v>
      </c>
      <c r="L129" s="8">
        <v>30250000</v>
      </c>
    </row>
    <row r="130" spans="1:12" x14ac:dyDescent="0.25">
      <c r="A130" t="s">
        <v>1022</v>
      </c>
      <c r="B130" t="s">
        <v>2199</v>
      </c>
      <c r="C130" t="s">
        <v>28</v>
      </c>
      <c r="D130" t="s">
        <v>1023</v>
      </c>
      <c r="E130" t="s">
        <v>623</v>
      </c>
      <c r="F130">
        <v>1</v>
      </c>
      <c r="G130" t="s">
        <v>768</v>
      </c>
      <c r="H130" s="1">
        <v>46235</v>
      </c>
      <c r="I130" t="s">
        <v>966</v>
      </c>
      <c r="J130">
        <v>1</v>
      </c>
      <c r="K130" s="1">
        <v>46235</v>
      </c>
      <c r="L130" s="8">
        <v>2500000</v>
      </c>
    </row>
    <row r="131" spans="1:12" x14ac:dyDescent="0.25">
      <c r="A131" t="s">
        <v>366</v>
      </c>
      <c r="B131" t="s">
        <v>2196</v>
      </c>
      <c r="C131" t="s">
        <v>28</v>
      </c>
      <c r="D131" t="s">
        <v>368</v>
      </c>
      <c r="E131" t="s">
        <v>370</v>
      </c>
      <c r="F131">
        <v>1</v>
      </c>
      <c r="G131" t="s">
        <v>341</v>
      </c>
      <c r="H131" s="1">
        <v>45870</v>
      </c>
      <c r="I131" t="s">
        <v>372</v>
      </c>
      <c r="J131">
        <v>12</v>
      </c>
      <c r="K131" t="s">
        <v>371</v>
      </c>
      <c r="L131" s="8">
        <v>80000000</v>
      </c>
    </row>
    <row r="132" spans="1:12" x14ac:dyDescent="0.25">
      <c r="A132" t="s">
        <v>1025</v>
      </c>
      <c r="B132" t="s">
        <v>2199</v>
      </c>
      <c r="C132" t="s">
        <v>28</v>
      </c>
      <c r="D132" t="s">
        <v>1026</v>
      </c>
      <c r="E132" t="s">
        <v>1028</v>
      </c>
      <c r="F132">
        <v>1</v>
      </c>
      <c r="G132" t="s">
        <v>768</v>
      </c>
      <c r="H132" s="1">
        <v>46327</v>
      </c>
      <c r="I132" t="s">
        <v>386</v>
      </c>
      <c r="J132">
        <v>12</v>
      </c>
      <c r="K132" t="s">
        <v>1029</v>
      </c>
      <c r="L132" s="8">
        <v>0</v>
      </c>
    </row>
    <row r="133" spans="1:12" x14ac:dyDescent="0.25">
      <c r="A133" t="s">
        <v>382</v>
      </c>
      <c r="B133" t="s">
        <v>2196</v>
      </c>
      <c r="C133" t="s">
        <v>28</v>
      </c>
      <c r="D133" t="s">
        <v>383</v>
      </c>
      <c r="E133" t="s">
        <v>326</v>
      </c>
      <c r="F133">
        <v>1</v>
      </c>
      <c r="G133" t="s">
        <v>385</v>
      </c>
      <c r="H133" s="1">
        <v>45870</v>
      </c>
      <c r="I133" t="s">
        <v>386</v>
      </c>
      <c r="J133">
        <v>12</v>
      </c>
      <c r="K133" t="s">
        <v>318</v>
      </c>
      <c r="L133" s="8">
        <v>16041663</v>
      </c>
    </row>
    <row r="134" spans="1:12" x14ac:dyDescent="0.25">
      <c r="A134" t="s">
        <v>1039</v>
      </c>
      <c r="B134" t="s">
        <v>2199</v>
      </c>
      <c r="C134" t="s">
        <v>28</v>
      </c>
      <c r="D134" t="s">
        <v>1040</v>
      </c>
      <c r="E134" t="s">
        <v>486</v>
      </c>
      <c r="F134">
        <v>1</v>
      </c>
      <c r="G134" t="s">
        <v>768</v>
      </c>
      <c r="H134" s="1">
        <v>46082</v>
      </c>
      <c r="I134" t="s">
        <v>386</v>
      </c>
      <c r="J134">
        <v>1</v>
      </c>
      <c r="K134" s="1">
        <v>46082</v>
      </c>
      <c r="L134" s="8">
        <v>816730</v>
      </c>
    </row>
    <row r="135" spans="1:12" x14ac:dyDescent="0.25">
      <c r="A135" t="s">
        <v>389</v>
      </c>
      <c r="B135" t="s">
        <v>2196</v>
      </c>
      <c r="C135" t="s">
        <v>28</v>
      </c>
      <c r="D135" t="s">
        <v>390</v>
      </c>
      <c r="E135" t="s">
        <v>326</v>
      </c>
      <c r="F135">
        <v>1</v>
      </c>
      <c r="G135" t="s">
        <v>378</v>
      </c>
      <c r="H135" s="1">
        <v>45870</v>
      </c>
      <c r="I135" t="s">
        <v>361</v>
      </c>
      <c r="J135">
        <v>12</v>
      </c>
      <c r="K135" t="s">
        <v>318</v>
      </c>
      <c r="L135" s="8">
        <v>16500000</v>
      </c>
    </row>
    <row r="136" spans="1:12" x14ac:dyDescent="0.25">
      <c r="A136" t="s">
        <v>1042</v>
      </c>
      <c r="B136" t="s">
        <v>2199</v>
      </c>
      <c r="C136" t="s">
        <v>28</v>
      </c>
      <c r="D136" t="s">
        <v>1044</v>
      </c>
      <c r="E136" t="s">
        <v>1012</v>
      </c>
      <c r="F136">
        <v>1</v>
      </c>
      <c r="G136" t="s">
        <v>531</v>
      </c>
      <c r="H136" s="1">
        <v>46023</v>
      </c>
      <c r="I136" t="s">
        <v>532</v>
      </c>
      <c r="J136">
        <v>12</v>
      </c>
      <c r="K136" t="s">
        <v>413</v>
      </c>
      <c r="L136" s="8">
        <v>60000000</v>
      </c>
    </row>
    <row r="137" spans="1:12" x14ac:dyDescent="0.25">
      <c r="A137" t="s">
        <v>392</v>
      </c>
      <c r="B137" t="s">
        <v>2196</v>
      </c>
      <c r="C137" t="s">
        <v>28</v>
      </c>
      <c r="D137" t="s">
        <v>393</v>
      </c>
      <c r="E137" t="s">
        <v>326</v>
      </c>
      <c r="F137">
        <v>1</v>
      </c>
      <c r="G137" t="s">
        <v>395</v>
      </c>
      <c r="H137" s="1">
        <v>45870</v>
      </c>
      <c r="I137" t="s">
        <v>396</v>
      </c>
      <c r="J137">
        <v>12</v>
      </c>
      <c r="K137" t="s">
        <v>318</v>
      </c>
      <c r="L137" s="8">
        <v>17416663</v>
      </c>
    </row>
    <row r="138" spans="1:12" x14ac:dyDescent="0.25">
      <c r="A138" t="s">
        <v>1047</v>
      </c>
      <c r="B138" t="s">
        <v>2199</v>
      </c>
      <c r="C138" t="s">
        <v>28</v>
      </c>
      <c r="D138" t="s">
        <v>1049</v>
      </c>
      <c r="E138" t="s">
        <v>1012</v>
      </c>
      <c r="F138">
        <v>1</v>
      </c>
      <c r="G138" t="s">
        <v>531</v>
      </c>
      <c r="H138" s="1">
        <v>46023</v>
      </c>
      <c r="I138" t="s">
        <v>1051</v>
      </c>
      <c r="J138">
        <v>12</v>
      </c>
      <c r="K138" t="s">
        <v>413</v>
      </c>
      <c r="L138" s="8">
        <v>11000000</v>
      </c>
    </row>
    <row r="139" spans="1:12" x14ac:dyDescent="0.25">
      <c r="A139" t="s">
        <v>399</v>
      </c>
      <c r="B139" t="s">
        <v>2196</v>
      </c>
      <c r="C139" t="s">
        <v>28</v>
      </c>
      <c r="D139" t="s">
        <v>400</v>
      </c>
      <c r="E139" t="s">
        <v>326</v>
      </c>
      <c r="F139">
        <v>1</v>
      </c>
      <c r="G139" t="s">
        <v>402</v>
      </c>
      <c r="H139" s="1">
        <v>45870</v>
      </c>
      <c r="I139" t="s">
        <v>320</v>
      </c>
      <c r="J139">
        <v>12</v>
      </c>
      <c r="K139" t="s">
        <v>318</v>
      </c>
      <c r="L139" s="8">
        <v>28875000</v>
      </c>
    </row>
    <row r="140" spans="1:12" x14ac:dyDescent="0.25">
      <c r="A140" t="s">
        <v>405</v>
      </c>
      <c r="B140" t="s">
        <v>2196</v>
      </c>
      <c r="C140" t="s">
        <v>28</v>
      </c>
      <c r="D140" t="s">
        <v>406</v>
      </c>
      <c r="E140" t="s">
        <v>326</v>
      </c>
      <c r="F140">
        <v>1</v>
      </c>
      <c r="G140" t="s">
        <v>360</v>
      </c>
      <c r="H140" s="1">
        <v>45870</v>
      </c>
      <c r="I140" t="s">
        <v>361</v>
      </c>
      <c r="J140">
        <v>12</v>
      </c>
      <c r="K140" t="s">
        <v>318</v>
      </c>
      <c r="L140" s="8">
        <v>23833337</v>
      </c>
    </row>
    <row r="141" spans="1:12" x14ac:dyDescent="0.25">
      <c r="A141" t="s">
        <v>1059</v>
      </c>
      <c r="B141" t="s">
        <v>2199</v>
      </c>
      <c r="C141" t="s">
        <v>28</v>
      </c>
      <c r="D141" t="s">
        <v>1060</v>
      </c>
      <c r="E141" t="s">
        <v>1062</v>
      </c>
      <c r="F141">
        <v>2</v>
      </c>
      <c r="G141" t="s">
        <v>790</v>
      </c>
      <c r="H141" s="1">
        <v>46296</v>
      </c>
      <c r="I141" t="s">
        <v>791</v>
      </c>
      <c r="J141">
        <v>1</v>
      </c>
      <c r="K141" s="1">
        <v>46296</v>
      </c>
      <c r="L141" s="8">
        <v>400000</v>
      </c>
    </row>
    <row r="142" spans="1:12" x14ac:dyDescent="0.25">
      <c r="A142" t="s">
        <v>1059</v>
      </c>
      <c r="B142" t="s">
        <v>2199</v>
      </c>
      <c r="C142" t="s">
        <v>28</v>
      </c>
      <c r="D142" t="s">
        <v>1060</v>
      </c>
      <c r="E142" t="s">
        <v>486</v>
      </c>
      <c r="F142">
        <v>2</v>
      </c>
      <c r="G142" t="s">
        <v>790</v>
      </c>
      <c r="H142" s="1">
        <v>46296</v>
      </c>
      <c r="I142" t="s">
        <v>791</v>
      </c>
      <c r="J142">
        <v>1</v>
      </c>
      <c r="K142" s="1">
        <v>46296</v>
      </c>
      <c r="L142" s="8">
        <v>110006</v>
      </c>
    </row>
    <row r="143" spans="1:12" x14ac:dyDescent="0.25">
      <c r="A143" t="s">
        <v>408</v>
      </c>
      <c r="B143" t="s">
        <v>2196</v>
      </c>
      <c r="C143" t="s">
        <v>28</v>
      </c>
      <c r="D143" t="s">
        <v>410</v>
      </c>
      <c r="E143" t="s">
        <v>412</v>
      </c>
      <c r="F143">
        <v>1</v>
      </c>
      <c r="G143" t="s">
        <v>414</v>
      </c>
      <c r="H143" s="1">
        <v>45870</v>
      </c>
      <c r="I143" t="s">
        <v>415</v>
      </c>
      <c r="J143">
        <v>12</v>
      </c>
      <c r="K143" t="s">
        <v>413</v>
      </c>
      <c r="L143" s="8">
        <v>500000000</v>
      </c>
    </row>
    <row r="144" spans="1:12" x14ac:dyDescent="0.25">
      <c r="A144" t="s">
        <v>1063</v>
      </c>
      <c r="B144" t="s">
        <v>2199</v>
      </c>
      <c r="C144" t="s">
        <v>28</v>
      </c>
      <c r="D144" t="s">
        <v>1064</v>
      </c>
      <c r="E144" t="s">
        <v>486</v>
      </c>
      <c r="F144">
        <v>2</v>
      </c>
      <c r="G144" t="s">
        <v>790</v>
      </c>
      <c r="H144" s="1">
        <v>46296</v>
      </c>
      <c r="I144" t="s">
        <v>791</v>
      </c>
      <c r="J144">
        <v>1</v>
      </c>
      <c r="K144" s="1">
        <v>46296</v>
      </c>
      <c r="L144" s="8">
        <v>50000</v>
      </c>
    </row>
    <row r="145" spans="1:12" x14ac:dyDescent="0.25">
      <c r="A145" t="s">
        <v>1063</v>
      </c>
      <c r="B145" t="s">
        <v>2199</v>
      </c>
      <c r="C145" t="s">
        <v>28</v>
      </c>
      <c r="D145" t="s">
        <v>1064</v>
      </c>
      <c r="E145" t="s">
        <v>602</v>
      </c>
      <c r="F145">
        <v>2</v>
      </c>
      <c r="G145" t="s">
        <v>790</v>
      </c>
      <c r="H145" s="1">
        <v>46296</v>
      </c>
      <c r="I145" t="s">
        <v>791</v>
      </c>
      <c r="J145">
        <v>1</v>
      </c>
      <c r="K145" s="1">
        <v>46296</v>
      </c>
      <c r="L145" s="8">
        <v>400000</v>
      </c>
    </row>
    <row r="146" spans="1:12" x14ac:dyDescent="0.25">
      <c r="A146" t="s">
        <v>418</v>
      </c>
      <c r="B146" t="s">
        <v>2196</v>
      </c>
      <c r="C146" t="s">
        <v>28</v>
      </c>
      <c r="D146" t="s">
        <v>419</v>
      </c>
      <c r="E146" t="s">
        <v>421</v>
      </c>
      <c r="F146">
        <v>1</v>
      </c>
      <c r="G146" t="s">
        <v>422</v>
      </c>
      <c r="H146" s="1">
        <v>45870</v>
      </c>
      <c r="I146" t="s">
        <v>423</v>
      </c>
      <c r="J146">
        <v>12</v>
      </c>
      <c r="K146" t="s">
        <v>318</v>
      </c>
      <c r="L146" s="8">
        <v>87524976</v>
      </c>
    </row>
    <row r="147" spans="1:12" x14ac:dyDescent="0.25">
      <c r="A147" t="s">
        <v>1069</v>
      </c>
      <c r="B147" t="s">
        <v>2199</v>
      </c>
      <c r="C147" t="s">
        <v>28</v>
      </c>
      <c r="D147" t="s">
        <v>1070</v>
      </c>
      <c r="E147" t="s">
        <v>819</v>
      </c>
      <c r="F147">
        <v>1</v>
      </c>
      <c r="G147" t="s">
        <v>934</v>
      </c>
      <c r="H147" s="1">
        <v>46023</v>
      </c>
      <c r="I147" t="s">
        <v>935</v>
      </c>
      <c r="J147">
        <v>1</v>
      </c>
      <c r="K147" s="1">
        <v>46023</v>
      </c>
      <c r="L147" s="8">
        <v>450000</v>
      </c>
    </row>
    <row r="148" spans="1:12" x14ac:dyDescent="0.25">
      <c r="A148" t="s">
        <v>426</v>
      </c>
      <c r="B148" t="s">
        <v>2196</v>
      </c>
      <c r="C148" t="s">
        <v>28</v>
      </c>
      <c r="D148" t="s">
        <v>428</v>
      </c>
      <c r="E148" t="s">
        <v>412</v>
      </c>
      <c r="F148">
        <v>1</v>
      </c>
      <c r="G148" t="s">
        <v>430</v>
      </c>
      <c r="H148" s="1">
        <v>45870</v>
      </c>
      <c r="I148" t="s">
        <v>431</v>
      </c>
      <c r="J148">
        <v>12</v>
      </c>
      <c r="K148" t="s">
        <v>318</v>
      </c>
      <c r="L148" s="8">
        <v>48583326</v>
      </c>
    </row>
    <row r="149" spans="1:12" x14ac:dyDescent="0.25">
      <c r="A149" t="s">
        <v>1072</v>
      </c>
      <c r="B149" t="s">
        <v>2199</v>
      </c>
      <c r="C149" t="s">
        <v>28</v>
      </c>
      <c r="D149" t="s">
        <v>1073</v>
      </c>
      <c r="E149" t="s">
        <v>486</v>
      </c>
      <c r="F149">
        <v>1</v>
      </c>
      <c r="G149" t="s">
        <v>1075</v>
      </c>
      <c r="H149" s="1">
        <v>46054</v>
      </c>
      <c r="I149" t="s">
        <v>1076</v>
      </c>
      <c r="J149">
        <v>1</v>
      </c>
      <c r="K149" s="1">
        <v>46054</v>
      </c>
      <c r="L149" s="8">
        <v>169000</v>
      </c>
    </row>
    <row r="150" spans="1:12" x14ac:dyDescent="0.25">
      <c r="A150" t="s">
        <v>1079</v>
      </c>
      <c r="B150" t="s">
        <v>2199</v>
      </c>
      <c r="C150" t="s">
        <v>28</v>
      </c>
      <c r="D150" t="s">
        <v>1081</v>
      </c>
      <c r="E150" t="s">
        <v>1083</v>
      </c>
      <c r="F150">
        <v>1</v>
      </c>
      <c r="G150" t="s">
        <v>1075</v>
      </c>
      <c r="H150" s="1">
        <v>46082</v>
      </c>
      <c r="I150" t="s">
        <v>1076</v>
      </c>
      <c r="J150">
        <v>1</v>
      </c>
      <c r="K150" s="1">
        <v>46082</v>
      </c>
      <c r="L150" s="8">
        <v>100000</v>
      </c>
    </row>
    <row r="151" spans="1:12" x14ac:dyDescent="0.25">
      <c r="A151" t="s">
        <v>1085</v>
      </c>
      <c r="B151" t="s">
        <v>2199</v>
      </c>
      <c r="C151" t="s">
        <v>28</v>
      </c>
      <c r="D151" t="s">
        <v>1086</v>
      </c>
      <c r="E151" t="s">
        <v>1088</v>
      </c>
      <c r="F151">
        <v>1</v>
      </c>
      <c r="G151" t="s">
        <v>934</v>
      </c>
      <c r="H151" s="1">
        <v>46023</v>
      </c>
      <c r="I151" t="s">
        <v>935</v>
      </c>
      <c r="J151">
        <v>1</v>
      </c>
      <c r="K151" s="1">
        <v>46023</v>
      </c>
      <c r="L151" s="8">
        <v>352600</v>
      </c>
    </row>
    <row r="152" spans="1:12" x14ac:dyDescent="0.25">
      <c r="A152" t="s">
        <v>434</v>
      </c>
      <c r="B152" t="s">
        <v>2196</v>
      </c>
      <c r="C152" t="s">
        <v>28</v>
      </c>
      <c r="D152" t="s">
        <v>435</v>
      </c>
      <c r="E152" t="s">
        <v>359</v>
      </c>
      <c r="F152">
        <v>1</v>
      </c>
      <c r="G152" t="s">
        <v>319</v>
      </c>
      <c r="H152" s="1">
        <v>45870</v>
      </c>
      <c r="I152" t="s">
        <v>320</v>
      </c>
      <c r="J152">
        <v>12</v>
      </c>
      <c r="K152" t="s">
        <v>318</v>
      </c>
      <c r="L152" s="8">
        <v>73333326</v>
      </c>
    </row>
    <row r="153" spans="1:12" x14ac:dyDescent="0.25">
      <c r="A153" t="s">
        <v>1089</v>
      </c>
      <c r="B153" t="s">
        <v>2199</v>
      </c>
      <c r="C153" t="s">
        <v>28</v>
      </c>
      <c r="D153" t="s">
        <v>1090</v>
      </c>
      <c r="E153" t="s">
        <v>781</v>
      </c>
      <c r="F153">
        <v>1</v>
      </c>
      <c r="G153" t="s">
        <v>934</v>
      </c>
      <c r="H153" s="1">
        <v>46054</v>
      </c>
      <c r="I153" t="s">
        <v>935</v>
      </c>
      <c r="J153">
        <v>1</v>
      </c>
      <c r="K153" s="1">
        <v>46054</v>
      </c>
      <c r="L153" s="8">
        <v>50004</v>
      </c>
    </row>
    <row r="154" spans="1:12" x14ac:dyDescent="0.25">
      <c r="A154" t="s">
        <v>438</v>
      </c>
      <c r="B154" t="s">
        <v>2196</v>
      </c>
      <c r="C154" t="s">
        <v>28</v>
      </c>
      <c r="D154" t="s">
        <v>440</v>
      </c>
      <c r="E154" t="s">
        <v>442</v>
      </c>
      <c r="F154">
        <v>2</v>
      </c>
      <c r="G154" t="s">
        <v>360</v>
      </c>
      <c r="H154" s="1">
        <v>45870</v>
      </c>
      <c r="I154" t="s">
        <v>361</v>
      </c>
      <c r="J154">
        <v>12</v>
      </c>
      <c r="K154" t="s">
        <v>413</v>
      </c>
      <c r="L154" s="8">
        <v>3503500</v>
      </c>
    </row>
    <row r="155" spans="1:12" x14ac:dyDescent="0.25">
      <c r="A155" t="s">
        <v>438</v>
      </c>
      <c r="B155" t="s">
        <v>2196</v>
      </c>
      <c r="C155" t="s">
        <v>28</v>
      </c>
      <c r="D155" t="s">
        <v>440</v>
      </c>
      <c r="E155" t="s">
        <v>443</v>
      </c>
      <c r="F155">
        <v>2</v>
      </c>
      <c r="G155" t="s">
        <v>360</v>
      </c>
      <c r="H155" s="1">
        <v>45870</v>
      </c>
      <c r="I155" t="s">
        <v>361</v>
      </c>
      <c r="J155">
        <v>12</v>
      </c>
      <c r="K155" t="s">
        <v>413</v>
      </c>
      <c r="L155" s="8">
        <v>2914000</v>
      </c>
    </row>
    <row r="156" spans="1:12" x14ac:dyDescent="0.25">
      <c r="A156" t="s">
        <v>1092</v>
      </c>
      <c r="B156" t="s">
        <v>2199</v>
      </c>
      <c r="C156" t="s">
        <v>28</v>
      </c>
      <c r="D156" t="s">
        <v>1093</v>
      </c>
      <c r="E156" t="s">
        <v>486</v>
      </c>
      <c r="F156">
        <v>1</v>
      </c>
      <c r="G156" t="s">
        <v>1095</v>
      </c>
      <c r="H156" s="1">
        <v>46296</v>
      </c>
      <c r="I156" t="s">
        <v>1096</v>
      </c>
      <c r="J156">
        <v>1</v>
      </c>
      <c r="K156" s="1">
        <v>46296</v>
      </c>
      <c r="L156" s="8">
        <v>624234</v>
      </c>
    </row>
    <row r="157" spans="1:12" x14ac:dyDescent="0.25">
      <c r="A157" t="s">
        <v>444</v>
      </c>
      <c r="B157" t="s">
        <v>2196</v>
      </c>
      <c r="C157" t="s">
        <v>28</v>
      </c>
      <c r="D157" t="s">
        <v>445</v>
      </c>
      <c r="E157" t="s">
        <v>447</v>
      </c>
      <c r="F157">
        <v>1</v>
      </c>
      <c r="G157" t="s">
        <v>37</v>
      </c>
      <c r="H157" s="1">
        <v>45870</v>
      </c>
      <c r="I157" t="s">
        <v>449</v>
      </c>
      <c r="J157">
        <v>32</v>
      </c>
      <c r="K157" t="s">
        <v>448</v>
      </c>
      <c r="L157" s="8">
        <v>89478000</v>
      </c>
    </row>
    <row r="158" spans="1:12" x14ac:dyDescent="0.25">
      <c r="A158" t="s">
        <v>1099</v>
      </c>
      <c r="B158" t="s">
        <v>2199</v>
      </c>
      <c r="C158" t="s">
        <v>28</v>
      </c>
      <c r="D158" t="s">
        <v>1100</v>
      </c>
      <c r="E158" t="s">
        <v>359</v>
      </c>
      <c r="F158">
        <v>2</v>
      </c>
      <c r="G158" t="s">
        <v>457</v>
      </c>
      <c r="H158" s="1">
        <v>46174</v>
      </c>
      <c r="I158" t="s">
        <v>458</v>
      </c>
      <c r="J158">
        <v>1</v>
      </c>
      <c r="K158" s="1">
        <v>46174</v>
      </c>
      <c r="L158" s="8">
        <v>123178</v>
      </c>
    </row>
    <row r="159" spans="1:12" x14ac:dyDescent="0.25">
      <c r="A159" t="s">
        <v>1099</v>
      </c>
      <c r="B159" t="s">
        <v>2199</v>
      </c>
      <c r="C159" t="s">
        <v>28</v>
      </c>
      <c r="D159" t="s">
        <v>1100</v>
      </c>
      <c r="E159" t="s">
        <v>855</v>
      </c>
      <c r="F159">
        <v>2</v>
      </c>
      <c r="G159" t="s">
        <v>457</v>
      </c>
      <c r="H159" s="1">
        <v>46174</v>
      </c>
      <c r="I159" t="s">
        <v>458</v>
      </c>
      <c r="J159">
        <v>1</v>
      </c>
      <c r="K159" s="1">
        <v>46174</v>
      </c>
      <c r="L159" s="8">
        <v>60060</v>
      </c>
    </row>
    <row r="160" spans="1:12" x14ac:dyDescent="0.25">
      <c r="A160" t="s">
        <v>452</v>
      </c>
      <c r="B160" t="s">
        <v>2196</v>
      </c>
      <c r="C160" t="s">
        <v>28</v>
      </c>
      <c r="D160" t="s">
        <v>454</v>
      </c>
      <c r="E160" t="s">
        <v>456</v>
      </c>
      <c r="F160">
        <v>1</v>
      </c>
      <c r="G160" t="s">
        <v>457</v>
      </c>
      <c r="H160" s="1">
        <v>45870</v>
      </c>
      <c r="I160" t="s">
        <v>458</v>
      </c>
      <c r="J160">
        <v>12</v>
      </c>
      <c r="K160" t="s">
        <v>318</v>
      </c>
      <c r="L160" s="8">
        <v>189933326</v>
      </c>
    </row>
    <row r="161" spans="1:12" x14ac:dyDescent="0.25">
      <c r="A161" t="s">
        <v>1103</v>
      </c>
      <c r="B161" t="s">
        <v>2199</v>
      </c>
      <c r="C161" t="s">
        <v>28</v>
      </c>
      <c r="D161" t="s">
        <v>1104</v>
      </c>
      <c r="E161" t="s">
        <v>807</v>
      </c>
      <c r="F161">
        <v>1</v>
      </c>
      <c r="G161" t="s">
        <v>1106</v>
      </c>
      <c r="H161" s="1">
        <v>46296</v>
      </c>
      <c r="I161" t="s">
        <v>1107</v>
      </c>
      <c r="J161">
        <v>1</v>
      </c>
      <c r="K161" s="1">
        <v>46296</v>
      </c>
      <c r="L161" s="8">
        <v>5696005</v>
      </c>
    </row>
    <row r="162" spans="1:12" x14ac:dyDescent="0.25">
      <c r="A162" t="s">
        <v>461</v>
      </c>
      <c r="B162" t="s">
        <v>2196</v>
      </c>
      <c r="C162" t="s">
        <v>28</v>
      </c>
      <c r="D162" t="s">
        <v>462</v>
      </c>
      <c r="E162" t="s">
        <v>464</v>
      </c>
      <c r="F162">
        <v>1</v>
      </c>
      <c r="G162" t="s">
        <v>465</v>
      </c>
      <c r="H162" s="1">
        <v>45992</v>
      </c>
      <c r="I162" t="s">
        <v>466</v>
      </c>
      <c r="J162">
        <v>12</v>
      </c>
      <c r="K162" t="s">
        <v>413</v>
      </c>
      <c r="L162" s="8">
        <v>246357600</v>
      </c>
    </row>
    <row r="163" spans="1:12" x14ac:dyDescent="0.25">
      <c r="A163" t="s">
        <v>1110</v>
      </c>
      <c r="B163" t="s">
        <v>2199</v>
      </c>
      <c r="C163" t="s">
        <v>28</v>
      </c>
      <c r="D163" t="s">
        <v>1111</v>
      </c>
      <c r="E163" t="s">
        <v>359</v>
      </c>
      <c r="F163">
        <v>2</v>
      </c>
      <c r="G163" t="s">
        <v>457</v>
      </c>
      <c r="H163" s="1">
        <v>46204</v>
      </c>
      <c r="I163" t="s">
        <v>458</v>
      </c>
      <c r="J163">
        <v>1</v>
      </c>
      <c r="K163" s="1">
        <v>46204</v>
      </c>
      <c r="L163" s="8">
        <v>150006</v>
      </c>
    </row>
    <row r="164" spans="1:12" x14ac:dyDescent="0.25">
      <c r="A164" t="s">
        <v>1110</v>
      </c>
      <c r="B164" t="s">
        <v>2199</v>
      </c>
      <c r="C164" t="s">
        <v>28</v>
      </c>
      <c r="D164" t="s">
        <v>1111</v>
      </c>
      <c r="E164" t="s">
        <v>962</v>
      </c>
      <c r="F164">
        <v>2</v>
      </c>
      <c r="G164" t="s">
        <v>457</v>
      </c>
      <c r="H164" s="1">
        <v>46204</v>
      </c>
      <c r="I164" t="s">
        <v>458</v>
      </c>
      <c r="J164">
        <v>1</v>
      </c>
      <c r="K164" s="1">
        <v>46204</v>
      </c>
      <c r="L164" s="8">
        <v>75040</v>
      </c>
    </row>
    <row r="165" spans="1:12" x14ac:dyDescent="0.25">
      <c r="A165" t="s">
        <v>476</v>
      </c>
      <c r="B165" t="s">
        <v>2196</v>
      </c>
      <c r="C165" t="s">
        <v>28</v>
      </c>
      <c r="D165" t="s">
        <v>477</v>
      </c>
      <c r="E165" t="s">
        <v>481</v>
      </c>
      <c r="F165">
        <v>2</v>
      </c>
      <c r="G165" t="s">
        <v>227</v>
      </c>
      <c r="H165" s="1">
        <v>45870</v>
      </c>
      <c r="I165" t="s">
        <v>480</v>
      </c>
      <c r="J165">
        <v>12</v>
      </c>
      <c r="K165" t="s">
        <v>413</v>
      </c>
      <c r="L165" s="8">
        <v>23924290</v>
      </c>
    </row>
    <row r="166" spans="1:12" x14ac:dyDescent="0.25">
      <c r="A166" t="s">
        <v>476</v>
      </c>
      <c r="B166" t="s">
        <v>2196</v>
      </c>
      <c r="C166" t="s">
        <v>28</v>
      </c>
      <c r="D166" t="s">
        <v>477</v>
      </c>
      <c r="E166" t="s">
        <v>479</v>
      </c>
      <c r="F166">
        <v>2</v>
      </c>
      <c r="G166" t="s">
        <v>227</v>
      </c>
      <c r="H166" s="1">
        <v>46023</v>
      </c>
      <c r="I166" t="s">
        <v>480</v>
      </c>
      <c r="J166">
        <v>12</v>
      </c>
      <c r="K166" t="s">
        <v>413</v>
      </c>
      <c r="L166" s="8">
        <v>90702500</v>
      </c>
    </row>
    <row r="167" spans="1:12" x14ac:dyDescent="0.25">
      <c r="A167" t="s">
        <v>1113</v>
      </c>
      <c r="B167" t="s">
        <v>2199</v>
      </c>
      <c r="C167" t="s">
        <v>28</v>
      </c>
      <c r="D167" t="s">
        <v>1115</v>
      </c>
      <c r="E167" t="s">
        <v>1117</v>
      </c>
      <c r="F167">
        <v>1</v>
      </c>
      <c r="G167" t="s">
        <v>309</v>
      </c>
      <c r="H167" s="1">
        <v>46113</v>
      </c>
      <c r="I167" t="s">
        <v>893</v>
      </c>
      <c r="J167">
        <v>32</v>
      </c>
      <c r="K167" t="s">
        <v>1118</v>
      </c>
      <c r="L167" s="8">
        <v>371161848</v>
      </c>
    </row>
    <row r="168" spans="1:12" x14ac:dyDescent="0.25">
      <c r="A168" t="s">
        <v>482</v>
      </c>
      <c r="B168" t="s">
        <v>2196</v>
      </c>
      <c r="C168" t="s">
        <v>28</v>
      </c>
      <c r="D168" t="s">
        <v>484</v>
      </c>
      <c r="E168" t="s">
        <v>486</v>
      </c>
      <c r="F168">
        <v>1</v>
      </c>
      <c r="G168" t="s">
        <v>487</v>
      </c>
      <c r="H168" s="1">
        <v>45870</v>
      </c>
      <c r="I168" t="s">
        <v>488</v>
      </c>
      <c r="J168">
        <v>12</v>
      </c>
      <c r="K168" t="s">
        <v>308</v>
      </c>
      <c r="L168" s="8">
        <v>16817500</v>
      </c>
    </row>
    <row r="169" spans="1:12" x14ac:dyDescent="0.25">
      <c r="A169" t="s">
        <v>1119</v>
      </c>
      <c r="B169" t="s">
        <v>2199</v>
      </c>
      <c r="C169" t="s">
        <v>28</v>
      </c>
      <c r="D169" t="s">
        <v>1120</v>
      </c>
      <c r="E169" t="s">
        <v>1121</v>
      </c>
      <c r="F169">
        <v>1</v>
      </c>
      <c r="G169" t="s">
        <v>1122</v>
      </c>
      <c r="H169" s="1">
        <v>46082</v>
      </c>
      <c r="I169" t="s">
        <v>1123</v>
      </c>
      <c r="J169">
        <v>1</v>
      </c>
      <c r="K169" s="1">
        <v>46082</v>
      </c>
      <c r="L169" s="8">
        <v>600000</v>
      </c>
    </row>
    <row r="170" spans="1:12" x14ac:dyDescent="0.25">
      <c r="A170" t="s">
        <v>493</v>
      </c>
      <c r="B170" t="s">
        <v>2196</v>
      </c>
      <c r="C170" t="s">
        <v>28</v>
      </c>
      <c r="D170" t="s">
        <v>494</v>
      </c>
      <c r="E170" t="s">
        <v>496</v>
      </c>
      <c r="F170">
        <v>1</v>
      </c>
      <c r="G170" t="s">
        <v>497</v>
      </c>
      <c r="H170" s="1">
        <v>45870</v>
      </c>
      <c r="I170" t="s">
        <v>302</v>
      </c>
      <c r="J170">
        <v>24</v>
      </c>
      <c r="K170" t="s">
        <v>278</v>
      </c>
      <c r="L170" s="8">
        <v>72999996</v>
      </c>
    </row>
    <row r="171" spans="1:12" x14ac:dyDescent="0.25">
      <c r="A171" t="s">
        <v>1126</v>
      </c>
      <c r="B171" t="s">
        <v>2199</v>
      </c>
      <c r="C171" t="s">
        <v>28</v>
      </c>
      <c r="D171" t="s">
        <v>1127</v>
      </c>
      <c r="E171" t="s">
        <v>1129</v>
      </c>
      <c r="F171">
        <v>1</v>
      </c>
      <c r="G171" t="s">
        <v>1122</v>
      </c>
      <c r="H171" s="1">
        <v>46082</v>
      </c>
      <c r="I171" t="s">
        <v>1123</v>
      </c>
      <c r="J171">
        <v>1</v>
      </c>
      <c r="K171" s="1">
        <v>46082</v>
      </c>
      <c r="L171" s="8">
        <v>1700000</v>
      </c>
    </row>
    <row r="172" spans="1:12" x14ac:dyDescent="0.25">
      <c r="A172" t="s">
        <v>499</v>
      </c>
      <c r="B172" t="s">
        <v>2196</v>
      </c>
      <c r="C172" t="s">
        <v>28</v>
      </c>
      <c r="D172" t="s">
        <v>501</v>
      </c>
      <c r="E172" t="s">
        <v>503</v>
      </c>
      <c r="F172">
        <v>1</v>
      </c>
      <c r="G172" t="s">
        <v>505</v>
      </c>
      <c r="H172" s="1">
        <v>45870</v>
      </c>
      <c r="I172" t="s">
        <v>506</v>
      </c>
      <c r="J172">
        <v>16</v>
      </c>
      <c r="K172" t="s">
        <v>504</v>
      </c>
      <c r="L172" s="8">
        <v>56250000</v>
      </c>
    </row>
    <row r="173" spans="1:12" x14ac:dyDescent="0.25">
      <c r="A173" t="s">
        <v>1130</v>
      </c>
      <c r="B173" t="s">
        <v>2199</v>
      </c>
      <c r="C173" t="s">
        <v>28</v>
      </c>
      <c r="D173" t="s">
        <v>1131</v>
      </c>
      <c r="E173" t="s">
        <v>1133</v>
      </c>
      <c r="F173">
        <v>1</v>
      </c>
      <c r="G173" t="s">
        <v>1122</v>
      </c>
      <c r="H173" s="1">
        <v>46082</v>
      </c>
      <c r="I173" t="s">
        <v>1123</v>
      </c>
      <c r="J173">
        <v>1</v>
      </c>
      <c r="K173" s="1">
        <v>46082</v>
      </c>
      <c r="L173" s="8">
        <v>1670016</v>
      </c>
    </row>
    <row r="174" spans="1:12" x14ac:dyDescent="0.25">
      <c r="A174" t="s">
        <v>509</v>
      </c>
      <c r="B174" t="s">
        <v>2196</v>
      </c>
      <c r="C174" t="s">
        <v>28</v>
      </c>
      <c r="D174" t="s">
        <v>510</v>
      </c>
      <c r="E174" t="s">
        <v>512</v>
      </c>
      <c r="F174">
        <v>1</v>
      </c>
      <c r="G174" t="s">
        <v>513</v>
      </c>
      <c r="H174" s="1">
        <v>45870</v>
      </c>
      <c r="I174" t="s">
        <v>514</v>
      </c>
      <c r="J174">
        <v>12</v>
      </c>
      <c r="K174" t="s">
        <v>413</v>
      </c>
      <c r="L174" s="8">
        <v>83594337</v>
      </c>
    </row>
    <row r="175" spans="1:12" x14ac:dyDescent="0.25">
      <c r="A175" t="s">
        <v>1134</v>
      </c>
      <c r="B175" t="s">
        <v>2199</v>
      </c>
      <c r="C175" t="s">
        <v>28</v>
      </c>
      <c r="D175" t="s">
        <v>1135</v>
      </c>
      <c r="E175" t="s">
        <v>1137</v>
      </c>
      <c r="F175">
        <v>1</v>
      </c>
      <c r="G175" t="s">
        <v>1122</v>
      </c>
      <c r="H175" s="1">
        <v>46082</v>
      </c>
      <c r="I175" t="s">
        <v>1123</v>
      </c>
      <c r="J175">
        <v>1</v>
      </c>
      <c r="K175" s="1">
        <v>46082</v>
      </c>
      <c r="L175" s="8">
        <v>900000</v>
      </c>
    </row>
    <row r="176" spans="1:12" x14ac:dyDescent="0.25">
      <c r="A176" t="s">
        <v>517</v>
      </c>
      <c r="B176" t="s">
        <v>2196</v>
      </c>
      <c r="C176" t="s">
        <v>28</v>
      </c>
      <c r="D176" t="s">
        <v>518</v>
      </c>
      <c r="E176" t="s">
        <v>520</v>
      </c>
      <c r="F176">
        <v>1</v>
      </c>
      <c r="G176" t="s">
        <v>522</v>
      </c>
      <c r="H176" s="1">
        <v>45870</v>
      </c>
      <c r="I176" t="s">
        <v>523</v>
      </c>
      <c r="J176">
        <v>15</v>
      </c>
      <c r="K176" t="s">
        <v>521</v>
      </c>
      <c r="L176" s="8">
        <v>10192001</v>
      </c>
    </row>
    <row r="177" spans="1:12" x14ac:dyDescent="0.25">
      <c r="A177" t="s">
        <v>1138</v>
      </c>
      <c r="B177" t="s">
        <v>2199</v>
      </c>
      <c r="C177" t="s">
        <v>28</v>
      </c>
      <c r="D177" t="s">
        <v>1140</v>
      </c>
      <c r="E177" t="s">
        <v>1142</v>
      </c>
      <c r="F177">
        <v>1</v>
      </c>
      <c r="G177" t="s">
        <v>1122</v>
      </c>
      <c r="H177" s="1">
        <v>46082</v>
      </c>
      <c r="I177" t="s">
        <v>1123</v>
      </c>
      <c r="J177">
        <v>1</v>
      </c>
      <c r="K177" s="1">
        <v>46082</v>
      </c>
      <c r="L177" s="8">
        <v>3500010</v>
      </c>
    </row>
    <row r="178" spans="1:12" x14ac:dyDescent="0.25">
      <c r="A178" t="s">
        <v>527</v>
      </c>
      <c r="B178" t="s">
        <v>2196</v>
      </c>
      <c r="C178" t="s">
        <v>28</v>
      </c>
      <c r="D178" t="s">
        <v>528</v>
      </c>
      <c r="E178" t="s">
        <v>530</v>
      </c>
      <c r="F178">
        <v>1</v>
      </c>
      <c r="G178" t="s">
        <v>531</v>
      </c>
      <c r="H178" s="1">
        <v>45870</v>
      </c>
      <c r="I178" t="s">
        <v>532</v>
      </c>
      <c r="J178">
        <v>12</v>
      </c>
      <c r="K178" t="s">
        <v>413</v>
      </c>
      <c r="L178" s="8">
        <v>40000000</v>
      </c>
    </row>
    <row r="179" spans="1:12" x14ac:dyDescent="0.25">
      <c r="A179" t="s">
        <v>1156</v>
      </c>
      <c r="B179" t="s">
        <v>2199</v>
      </c>
      <c r="C179" t="s">
        <v>28</v>
      </c>
      <c r="D179" t="s">
        <v>1158</v>
      </c>
      <c r="E179" t="s">
        <v>1167</v>
      </c>
      <c r="F179">
        <v>5</v>
      </c>
      <c r="G179" t="s">
        <v>1162</v>
      </c>
      <c r="H179" s="1">
        <v>46174</v>
      </c>
      <c r="I179" t="s">
        <v>258</v>
      </c>
      <c r="J179">
        <v>1</v>
      </c>
      <c r="K179" s="1">
        <v>46174</v>
      </c>
      <c r="L179" s="8">
        <v>6000000</v>
      </c>
    </row>
    <row r="180" spans="1:12" x14ac:dyDescent="0.25">
      <c r="A180" t="s">
        <v>1156</v>
      </c>
      <c r="B180" t="s">
        <v>2199</v>
      </c>
      <c r="C180" t="s">
        <v>28</v>
      </c>
      <c r="D180" t="s">
        <v>1158</v>
      </c>
      <c r="E180" t="s">
        <v>1164</v>
      </c>
      <c r="F180">
        <v>5</v>
      </c>
      <c r="G180" t="s">
        <v>1162</v>
      </c>
      <c r="H180" s="1">
        <v>46174</v>
      </c>
      <c r="I180" t="s">
        <v>258</v>
      </c>
      <c r="J180">
        <v>1</v>
      </c>
      <c r="K180" s="1">
        <v>46174</v>
      </c>
      <c r="L180" s="8">
        <v>3700002</v>
      </c>
    </row>
    <row r="181" spans="1:12" x14ac:dyDescent="0.25">
      <c r="A181" t="s">
        <v>1156</v>
      </c>
      <c r="B181" t="s">
        <v>2199</v>
      </c>
      <c r="C181" t="s">
        <v>28</v>
      </c>
      <c r="D181" t="s">
        <v>1158</v>
      </c>
      <c r="E181" t="s">
        <v>1165</v>
      </c>
      <c r="F181">
        <v>5</v>
      </c>
      <c r="G181" t="s">
        <v>1162</v>
      </c>
      <c r="H181" s="1">
        <v>46174</v>
      </c>
      <c r="I181" t="s">
        <v>258</v>
      </c>
      <c r="J181">
        <v>1</v>
      </c>
      <c r="K181" s="1">
        <v>46174</v>
      </c>
      <c r="L181" s="8">
        <v>3000000</v>
      </c>
    </row>
    <row r="182" spans="1:12" x14ac:dyDescent="0.25">
      <c r="A182" t="s">
        <v>1156</v>
      </c>
      <c r="B182" t="s">
        <v>2199</v>
      </c>
      <c r="C182" t="s">
        <v>28</v>
      </c>
      <c r="D182" t="s">
        <v>1158</v>
      </c>
      <c r="E182" t="s">
        <v>1166</v>
      </c>
      <c r="F182">
        <v>5</v>
      </c>
      <c r="G182" t="s">
        <v>1162</v>
      </c>
      <c r="H182" s="1">
        <v>46174</v>
      </c>
      <c r="I182" t="s">
        <v>258</v>
      </c>
      <c r="J182">
        <v>1</v>
      </c>
      <c r="K182" s="1">
        <v>46174</v>
      </c>
      <c r="L182" s="8">
        <v>600000</v>
      </c>
    </row>
    <row r="183" spans="1:12" x14ac:dyDescent="0.25">
      <c r="A183" t="s">
        <v>1156</v>
      </c>
      <c r="B183" t="s">
        <v>2199</v>
      </c>
      <c r="C183" t="s">
        <v>28</v>
      </c>
      <c r="D183" t="s">
        <v>1158</v>
      </c>
      <c r="E183" t="s">
        <v>1160</v>
      </c>
      <c r="F183">
        <v>5</v>
      </c>
      <c r="G183" t="s">
        <v>1162</v>
      </c>
      <c r="H183" s="1">
        <v>46082</v>
      </c>
      <c r="I183" t="s">
        <v>258</v>
      </c>
      <c r="J183">
        <v>3</v>
      </c>
      <c r="K183" t="s">
        <v>1161</v>
      </c>
      <c r="L183" s="8">
        <v>4450000</v>
      </c>
    </row>
    <row r="184" spans="1:12" x14ac:dyDescent="0.25">
      <c r="A184" t="s">
        <v>535</v>
      </c>
      <c r="B184" t="s">
        <v>2196</v>
      </c>
      <c r="C184" t="s">
        <v>28</v>
      </c>
      <c r="D184" t="s">
        <v>537</v>
      </c>
      <c r="E184" t="s">
        <v>496</v>
      </c>
      <c r="F184">
        <v>1</v>
      </c>
      <c r="G184" t="s">
        <v>531</v>
      </c>
      <c r="H184" s="1">
        <v>45870</v>
      </c>
      <c r="I184" t="s">
        <v>532</v>
      </c>
      <c r="J184">
        <v>12</v>
      </c>
      <c r="K184" t="s">
        <v>413</v>
      </c>
      <c r="L184" s="8">
        <v>80000000</v>
      </c>
    </row>
    <row r="185" spans="1:12" x14ac:dyDescent="0.25">
      <c r="A185" t="s">
        <v>539</v>
      </c>
      <c r="B185" t="s">
        <v>2196</v>
      </c>
      <c r="C185" t="s">
        <v>28</v>
      </c>
      <c r="D185" t="s">
        <v>541</v>
      </c>
      <c r="E185" t="s">
        <v>543</v>
      </c>
      <c r="F185">
        <v>1</v>
      </c>
      <c r="G185" t="s">
        <v>55</v>
      </c>
      <c r="H185" s="1">
        <v>45870</v>
      </c>
      <c r="I185" t="s">
        <v>544</v>
      </c>
      <c r="J185">
        <v>24</v>
      </c>
      <c r="K185" t="s">
        <v>278</v>
      </c>
      <c r="L185" s="8">
        <v>39999996</v>
      </c>
    </row>
    <row r="186" spans="1:12" x14ac:dyDescent="0.25">
      <c r="A186" t="s">
        <v>1168</v>
      </c>
      <c r="B186" t="s">
        <v>2199</v>
      </c>
      <c r="C186" t="s">
        <v>28</v>
      </c>
      <c r="D186" t="s">
        <v>1169</v>
      </c>
      <c r="E186" t="s">
        <v>496</v>
      </c>
      <c r="F186">
        <v>1</v>
      </c>
      <c r="G186" t="s">
        <v>1162</v>
      </c>
      <c r="H186" s="1">
        <v>46266</v>
      </c>
      <c r="I186" t="s">
        <v>258</v>
      </c>
      <c r="J186">
        <v>12</v>
      </c>
      <c r="K186" t="s">
        <v>1029</v>
      </c>
      <c r="L186" s="8">
        <v>0</v>
      </c>
    </row>
    <row r="187" spans="1:12" x14ac:dyDescent="0.25">
      <c r="A187" t="s">
        <v>548</v>
      </c>
      <c r="B187" t="s">
        <v>2196</v>
      </c>
      <c r="C187" t="s">
        <v>28</v>
      </c>
      <c r="D187" t="s">
        <v>550</v>
      </c>
      <c r="E187" t="s">
        <v>496</v>
      </c>
      <c r="F187">
        <v>1</v>
      </c>
      <c r="G187" t="s">
        <v>55</v>
      </c>
      <c r="H187" s="1">
        <v>45870</v>
      </c>
      <c r="I187" t="s">
        <v>544</v>
      </c>
      <c r="J187">
        <v>12</v>
      </c>
      <c r="K187" t="s">
        <v>413</v>
      </c>
      <c r="L187" s="8">
        <v>96100000</v>
      </c>
    </row>
    <row r="188" spans="1:12" x14ac:dyDescent="0.25">
      <c r="A188" t="s">
        <v>1176</v>
      </c>
      <c r="B188" t="s">
        <v>2199</v>
      </c>
      <c r="C188" t="s">
        <v>28</v>
      </c>
      <c r="D188" t="s">
        <v>1177</v>
      </c>
      <c r="E188" t="s">
        <v>1179</v>
      </c>
      <c r="F188">
        <v>1</v>
      </c>
      <c r="G188" t="s">
        <v>1180</v>
      </c>
      <c r="H188" s="1">
        <v>46082</v>
      </c>
      <c r="I188" t="s">
        <v>1181</v>
      </c>
      <c r="J188">
        <v>1</v>
      </c>
      <c r="K188" s="1">
        <v>46082</v>
      </c>
      <c r="L188" s="8">
        <v>696000</v>
      </c>
    </row>
    <row r="189" spans="1:12" x14ac:dyDescent="0.25">
      <c r="A189" t="s">
        <v>552</v>
      </c>
      <c r="B189" t="s">
        <v>2196</v>
      </c>
      <c r="C189" t="s">
        <v>28</v>
      </c>
      <c r="D189" t="s">
        <v>553</v>
      </c>
      <c r="E189" t="s">
        <v>512</v>
      </c>
      <c r="F189">
        <v>1</v>
      </c>
      <c r="G189" t="s">
        <v>122</v>
      </c>
      <c r="H189" s="1">
        <v>45870</v>
      </c>
      <c r="I189" t="s">
        <v>555</v>
      </c>
      <c r="J189">
        <v>24</v>
      </c>
      <c r="K189" t="s">
        <v>278</v>
      </c>
      <c r="L189" s="8">
        <v>100200000</v>
      </c>
    </row>
    <row r="190" spans="1:12" x14ac:dyDescent="0.25">
      <c r="A190" t="s">
        <v>1183</v>
      </c>
      <c r="B190" t="s">
        <v>2199</v>
      </c>
      <c r="C190" t="s">
        <v>28</v>
      </c>
      <c r="D190" t="s">
        <v>1185</v>
      </c>
      <c r="E190" t="s">
        <v>1187</v>
      </c>
      <c r="F190">
        <v>1</v>
      </c>
      <c r="G190" t="s">
        <v>790</v>
      </c>
      <c r="H190" s="1">
        <v>46143</v>
      </c>
      <c r="I190" t="s">
        <v>791</v>
      </c>
      <c r="J190">
        <v>1</v>
      </c>
      <c r="K190" s="1">
        <v>46143</v>
      </c>
      <c r="L190" s="8">
        <v>2885085</v>
      </c>
    </row>
    <row r="191" spans="1:12" x14ac:dyDescent="0.25">
      <c r="A191" t="s">
        <v>557</v>
      </c>
      <c r="B191" t="s">
        <v>2196</v>
      </c>
      <c r="C191" t="s">
        <v>28</v>
      </c>
      <c r="D191" t="s">
        <v>558</v>
      </c>
      <c r="E191" t="s">
        <v>496</v>
      </c>
      <c r="F191">
        <v>1</v>
      </c>
      <c r="G191" t="s">
        <v>122</v>
      </c>
      <c r="H191" s="1">
        <v>45870</v>
      </c>
      <c r="I191" t="s">
        <v>555</v>
      </c>
      <c r="J191">
        <v>12</v>
      </c>
      <c r="K191" t="s">
        <v>413</v>
      </c>
      <c r="L191" s="8">
        <v>30000000</v>
      </c>
    </row>
    <row r="192" spans="1:12" x14ac:dyDescent="0.25">
      <c r="A192" t="s">
        <v>1188</v>
      </c>
      <c r="B192" t="s">
        <v>2199</v>
      </c>
      <c r="C192" t="s">
        <v>28</v>
      </c>
      <c r="D192" t="s">
        <v>1189</v>
      </c>
      <c r="E192" t="s">
        <v>1191</v>
      </c>
      <c r="F192">
        <v>5</v>
      </c>
      <c r="G192" t="s">
        <v>790</v>
      </c>
      <c r="H192" s="1">
        <v>46296</v>
      </c>
      <c r="I192" t="s">
        <v>791</v>
      </c>
      <c r="J192">
        <v>1</v>
      </c>
      <c r="K192" s="1">
        <v>46296</v>
      </c>
      <c r="L192" s="8">
        <v>1000000</v>
      </c>
    </row>
    <row r="193" spans="1:12" x14ac:dyDescent="0.25">
      <c r="A193" t="s">
        <v>1188</v>
      </c>
      <c r="B193" t="s">
        <v>2199</v>
      </c>
      <c r="C193" t="s">
        <v>28</v>
      </c>
      <c r="D193" t="s">
        <v>1189</v>
      </c>
      <c r="E193" t="s">
        <v>486</v>
      </c>
      <c r="F193">
        <v>5</v>
      </c>
      <c r="G193" t="s">
        <v>790</v>
      </c>
      <c r="H193" s="1">
        <v>46296</v>
      </c>
      <c r="I193" t="s">
        <v>791</v>
      </c>
      <c r="J193">
        <v>1</v>
      </c>
      <c r="K193" s="1">
        <v>46296</v>
      </c>
      <c r="L193" s="8">
        <v>300000</v>
      </c>
    </row>
    <row r="194" spans="1:12" x14ac:dyDescent="0.25">
      <c r="A194" t="s">
        <v>1188</v>
      </c>
      <c r="B194" t="s">
        <v>2199</v>
      </c>
      <c r="C194" t="s">
        <v>28</v>
      </c>
      <c r="D194" t="s">
        <v>1189</v>
      </c>
      <c r="E194" t="s">
        <v>855</v>
      </c>
      <c r="F194">
        <v>5</v>
      </c>
      <c r="G194" t="s">
        <v>790</v>
      </c>
      <c r="H194" s="1">
        <v>46296</v>
      </c>
      <c r="I194" t="s">
        <v>791</v>
      </c>
      <c r="J194">
        <v>1</v>
      </c>
      <c r="K194" s="1">
        <v>46296</v>
      </c>
      <c r="L194" s="8">
        <v>47268</v>
      </c>
    </row>
    <row r="195" spans="1:12" x14ac:dyDescent="0.25">
      <c r="A195" t="s">
        <v>1188</v>
      </c>
      <c r="B195" t="s">
        <v>2199</v>
      </c>
      <c r="C195" t="s">
        <v>28</v>
      </c>
      <c r="D195" t="s">
        <v>1189</v>
      </c>
      <c r="E195" t="s">
        <v>602</v>
      </c>
      <c r="F195">
        <v>5</v>
      </c>
      <c r="G195" t="s">
        <v>790</v>
      </c>
      <c r="H195" s="1">
        <v>46296</v>
      </c>
      <c r="I195" t="s">
        <v>791</v>
      </c>
      <c r="J195">
        <v>1</v>
      </c>
      <c r="K195" s="1">
        <v>46296</v>
      </c>
      <c r="L195" s="8">
        <v>1500000</v>
      </c>
    </row>
    <row r="196" spans="1:12" x14ac:dyDescent="0.25">
      <c r="A196" t="s">
        <v>1188</v>
      </c>
      <c r="B196" t="s">
        <v>2199</v>
      </c>
      <c r="C196" t="s">
        <v>28</v>
      </c>
      <c r="D196" t="s">
        <v>1189</v>
      </c>
      <c r="E196" t="s">
        <v>1192</v>
      </c>
      <c r="F196">
        <v>5</v>
      </c>
      <c r="G196" t="s">
        <v>790</v>
      </c>
      <c r="H196" s="1">
        <v>46296</v>
      </c>
      <c r="I196" t="s">
        <v>791</v>
      </c>
      <c r="J196">
        <v>1</v>
      </c>
      <c r="K196" s="1">
        <v>46296</v>
      </c>
      <c r="L196" s="8">
        <v>150000</v>
      </c>
    </row>
    <row r="197" spans="1:12" x14ac:dyDescent="0.25">
      <c r="A197" t="s">
        <v>1207</v>
      </c>
      <c r="B197" t="s">
        <v>2199</v>
      </c>
      <c r="C197" t="s">
        <v>28</v>
      </c>
      <c r="D197" t="s">
        <v>1208</v>
      </c>
      <c r="E197" t="s">
        <v>1210</v>
      </c>
      <c r="F197">
        <v>1</v>
      </c>
      <c r="G197" t="s">
        <v>1211</v>
      </c>
      <c r="H197" s="1">
        <v>46082</v>
      </c>
      <c r="I197" t="s">
        <v>320</v>
      </c>
      <c r="J197">
        <v>1</v>
      </c>
      <c r="K197" s="1">
        <v>46113</v>
      </c>
      <c r="L197" s="8">
        <v>198030</v>
      </c>
    </row>
    <row r="198" spans="1:12" x14ac:dyDescent="0.25">
      <c r="A198" t="s">
        <v>1213</v>
      </c>
      <c r="B198" t="s">
        <v>2199</v>
      </c>
      <c r="C198" t="s">
        <v>28</v>
      </c>
      <c r="D198" t="s">
        <v>1214</v>
      </c>
      <c r="E198" t="s">
        <v>1216</v>
      </c>
      <c r="F198">
        <v>1</v>
      </c>
      <c r="G198" t="s">
        <v>395</v>
      </c>
      <c r="H198" s="1">
        <v>46023</v>
      </c>
      <c r="I198" t="s">
        <v>1217</v>
      </c>
      <c r="J198">
        <v>1</v>
      </c>
      <c r="K198" s="1">
        <v>46023</v>
      </c>
      <c r="L198" s="8">
        <v>126581</v>
      </c>
    </row>
    <row r="199" spans="1:12" x14ac:dyDescent="0.25">
      <c r="A199" t="s">
        <v>1219</v>
      </c>
      <c r="B199" t="s">
        <v>2199</v>
      </c>
      <c r="C199" t="s">
        <v>28</v>
      </c>
      <c r="D199" t="s">
        <v>1220</v>
      </c>
      <c r="E199" t="s">
        <v>1223</v>
      </c>
      <c r="F199">
        <v>2</v>
      </c>
      <c r="G199" t="s">
        <v>395</v>
      </c>
      <c r="H199" s="1">
        <v>46023</v>
      </c>
      <c r="I199" t="s">
        <v>1217</v>
      </c>
      <c r="J199">
        <v>1</v>
      </c>
      <c r="K199" s="1">
        <v>46023</v>
      </c>
      <c r="L199" s="8">
        <v>45000</v>
      </c>
    </row>
    <row r="200" spans="1:12" x14ac:dyDescent="0.25">
      <c r="A200" t="s">
        <v>1219</v>
      </c>
      <c r="B200" t="s">
        <v>2199</v>
      </c>
      <c r="C200" t="s">
        <v>28</v>
      </c>
      <c r="D200" t="s">
        <v>1220</v>
      </c>
      <c r="E200" t="s">
        <v>1222</v>
      </c>
      <c r="F200">
        <v>2</v>
      </c>
      <c r="G200" t="s">
        <v>395</v>
      </c>
      <c r="H200" s="1">
        <v>46023</v>
      </c>
      <c r="I200" t="s">
        <v>1217</v>
      </c>
      <c r="J200">
        <v>1</v>
      </c>
      <c r="K200" s="1">
        <v>46023</v>
      </c>
      <c r="L200" s="8">
        <v>127000</v>
      </c>
    </row>
    <row r="201" spans="1:12" x14ac:dyDescent="0.25">
      <c r="A201" t="s">
        <v>1224</v>
      </c>
      <c r="B201" t="s">
        <v>2199</v>
      </c>
      <c r="C201" t="s">
        <v>28</v>
      </c>
      <c r="D201" t="s">
        <v>1225</v>
      </c>
      <c r="E201" t="s">
        <v>486</v>
      </c>
      <c r="F201">
        <v>2</v>
      </c>
      <c r="G201" t="s">
        <v>1211</v>
      </c>
      <c r="H201" s="1">
        <v>46113</v>
      </c>
      <c r="I201" t="s">
        <v>320</v>
      </c>
      <c r="J201">
        <v>1</v>
      </c>
      <c r="K201" s="1">
        <v>46113</v>
      </c>
      <c r="L201" s="8">
        <v>695014</v>
      </c>
    </row>
    <row r="202" spans="1:12" x14ac:dyDescent="0.25">
      <c r="A202" t="s">
        <v>1224</v>
      </c>
      <c r="B202" t="s">
        <v>2199</v>
      </c>
      <c r="C202" t="s">
        <v>28</v>
      </c>
      <c r="D202" t="s">
        <v>1225</v>
      </c>
      <c r="E202" t="s">
        <v>1227</v>
      </c>
      <c r="F202">
        <v>2</v>
      </c>
      <c r="G202" t="s">
        <v>1211</v>
      </c>
      <c r="H202" s="1">
        <v>46113</v>
      </c>
      <c r="I202" t="s">
        <v>320</v>
      </c>
      <c r="J202">
        <v>1</v>
      </c>
      <c r="K202" s="1">
        <v>46113</v>
      </c>
      <c r="L202" s="8">
        <v>20000</v>
      </c>
    </row>
    <row r="203" spans="1:12" x14ac:dyDescent="0.25">
      <c r="A203" t="s">
        <v>1228</v>
      </c>
      <c r="B203" t="s">
        <v>2199</v>
      </c>
      <c r="C203" t="s">
        <v>28</v>
      </c>
      <c r="D203" t="s">
        <v>1229</v>
      </c>
      <c r="E203" t="s">
        <v>781</v>
      </c>
      <c r="F203">
        <v>2</v>
      </c>
      <c r="G203" t="s">
        <v>64</v>
      </c>
      <c r="H203" s="1">
        <v>46023</v>
      </c>
      <c r="I203" t="s">
        <v>65</v>
      </c>
      <c r="J203">
        <v>1</v>
      </c>
      <c r="K203" s="1">
        <v>46023</v>
      </c>
      <c r="L203" s="8">
        <v>30000</v>
      </c>
    </row>
    <row r="204" spans="1:12" x14ac:dyDescent="0.25">
      <c r="A204" t="s">
        <v>1228</v>
      </c>
      <c r="B204" t="s">
        <v>2199</v>
      </c>
      <c r="C204" t="s">
        <v>28</v>
      </c>
      <c r="D204" t="s">
        <v>1229</v>
      </c>
      <c r="E204" t="s">
        <v>1233</v>
      </c>
      <c r="F204">
        <v>2</v>
      </c>
      <c r="G204" t="s">
        <v>64</v>
      </c>
      <c r="H204" s="1">
        <v>46023</v>
      </c>
      <c r="I204" t="s">
        <v>65</v>
      </c>
      <c r="J204">
        <v>1</v>
      </c>
      <c r="K204" s="1">
        <v>46023</v>
      </c>
      <c r="L204" s="8">
        <v>900000</v>
      </c>
    </row>
    <row r="205" spans="1:12" x14ac:dyDescent="0.25">
      <c r="A205" t="s">
        <v>560</v>
      </c>
      <c r="B205" t="s">
        <v>2196</v>
      </c>
      <c r="C205" t="s">
        <v>28</v>
      </c>
      <c r="D205" t="s">
        <v>562</v>
      </c>
      <c r="E205" t="s">
        <v>564</v>
      </c>
      <c r="F205">
        <v>1</v>
      </c>
      <c r="G205" t="s">
        <v>169</v>
      </c>
      <c r="H205" s="1">
        <v>45992</v>
      </c>
      <c r="I205" t="s">
        <v>65</v>
      </c>
      <c r="J205">
        <v>32</v>
      </c>
      <c r="K205" t="s">
        <v>196</v>
      </c>
      <c r="L205" s="8">
        <v>69333336</v>
      </c>
    </row>
    <row r="206" spans="1:12" x14ac:dyDescent="0.25">
      <c r="A206" t="s">
        <v>1234</v>
      </c>
      <c r="B206" t="s">
        <v>2199</v>
      </c>
      <c r="C206" t="s">
        <v>28</v>
      </c>
      <c r="D206" t="s">
        <v>1235</v>
      </c>
      <c r="E206" t="s">
        <v>1237</v>
      </c>
      <c r="F206">
        <v>1</v>
      </c>
      <c r="G206" t="s">
        <v>64</v>
      </c>
      <c r="H206" s="1">
        <v>46023</v>
      </c>
      <c r="I206" t="s">
        <v>65</v>
      </c>
      <c r="J206">
        <v>1</v>
      </c>
      <c r="K206" s="1">
        <v>46054</v>
      </c>
      <c r="L206" s="8">
        <v>1400000</v>
      </c>
    </row>
    <row r="207" spans="1:12" x14ac:dyDescent="0.25">
      <c r="A207" t="s">
        <v>1245</v>
      </c>
      <c r="B207" t="s">
        <v>2199</v>
      </c>
      <c r="C207" t="s">
        <v>28</v>
      </c>
      <c r="D207" t="s">
        <v>1247</v>
      </c>
      <c r="E207" t="s">
        <v>1251</v>
      </c>
      <c r="F207">
        <v>3</v>
      </c>
      <c r="G207" t="s">
        <v>122</v>
      </c>
      <c r="H207" s="1">
        <v>46054</v>
      </c>
      <c r="I207" t="s">
        <v>544</v>
      </c>
      <c r="J207">
        <v>1</v>
      </c>
      <c r="K207" s="1">
        <v>46054</v>
      </c>
      <c r="L207" s="8">
        <v>60000</v>
      </c>
    </row>
    <row r="208" spans="1:12" x14ac:dyDescent="0.25">
      <c r="A208" t="s">
        <v>1245</v>
      </c>
      <c r="B208" t="s">
        <v>2199</v>
      </c>
      <c r="C208" t="s">
        <v>28</v>
      </c>
      <c r="D208" t="s">
        <v>1247</v>
      </c>
      <c r="E208" t="s">
        <v>1249</v>
      </c>
      <c r="F208">
        <v>3</v>
      </c>
      <c r="G208" t="s">
        <v>122</v>
      </c>
      <c r="H208" s="1">
        <v>46054</v>
      </c>
      <c r="I208" t="s">
        <v>544</v>
      </c>
      <c r="J208">
        <v>1</v>
      </c>
      <c r="K208" s="1">
        <v>46054</v>
      </c>
      <c r="L208" s="8">
        <v>160000</v>
      </c>
    </row>
    <row r="209" spans="1:12" x14ac:dyDescent="0.25">
      <c r="A209" t="s">
        <v>1245</v>
      </c>
      <c r="B209" t="s">
        <v>2199</v>
      </c>
      <c r="C209" t="s">
        <v>28</v>
      </c>
      <c r="D209" t="s">
        <v>1247</v>
      </c>
      <c r="E209" t="s">
        <v>1250</v>
      </c>
      <c r="F209">
        <v>3</v>
      </c>
      <c r="G209" t="s">
        <v>122</v>
      </c>
      <c r="H209" s="1">
        <v>46054</v>
      </c>
      <c r="I209" t="s">
        <v>544</v>
      </c>
      <c r="J209">
        <v>1</v>
      </c>
      <c r="K209" s="1">
        <v>46054</v>
      </c>
      <c r="L209" s="8">
        <v>390000</v>
      </c>
    </row>
    <row r="210" spans="1:12" x14ac:dyDescent="0.25">
      <c r="A210" t="s">
        <v>1252</v>
      </c>
      <c r="B210" t="s">
        <v>2199</v>
      </c>
      <c r="C210" t="s">
        <v>28</v>
      </c>
      <c r="D210" t="s">
        <v>1253</v>
      </c>
      <c r="E210" t="s">
        <v>140</v>
      </c>
      <c r="F210">
        <v>1</v>
      </c>
      <c r="G210" t="s">
        <v>1255</v>
      </c>
      <c r="H210" s="1">
        <v>46054</v>
      </c>
      <c r="I210" t="s">
        <v>1256</v>
      </c>
      <c r="J210">
        <v>1</v>
      </c>
      <c r="K210" s="1">
        <v>46054</v>
      </c>
      <c r="L210" s="8">
        <v>52000</v>
      </c>
    </row>
    <row r="211" spans="1:12" x14ac:dyDescent="0.25">
      <c r="A211" t="s">
        <v>1259</v>
      </c>
      <c r="B211" t="s">
        <v>2199</v>
      </c>
      <c r="C211" t="s">
        <v>28</v>
      </c>
      <c r="D211" t="s">
        <v>1260</v>
      </c>
      <c r="E211" t="s">
        <v>777</v>
      </c>
      <c r="F211">
        <v>2</v>
      </c>
      <c r="G211" t="s">
        <v>395</v>
      </c>
      <c r="H211" s="1">
        <v>46023</v>
      </c>
      <c r="I211" t="s">
        <v>1217</v>
      </c>
      <c r="J211">
        <v>1</v>
      </c>
      <c r="K211" s="1">
        <v>46023</v>
      </c>
      <c r="L211" s="8">
        <v>90100</v>
      </c>
    </row>
    <row r="212" spans="1:12" x14ac:dyDescent="0.25">
      <c r="A212" t="s">
        <v>1259</v>
      </c>
      <c r="B212" t="s">
        <v>2199</v>
      </c>
      <c r="C212" t="s">
        <v>28</v>
      </c>
      <c r="D212" t="s">
        <v>1260</v>
      </c>
      <c r="E212" t="s">
        <v>1263</v>
      </c>
      <c r="F212">
        <v>2</v>
      </c>
      <c r="G212" t="s">
        <v>395</v>
      </c>
      <c r="H212" s="1">
        <v>46023</v>
      </c>
      <c r="I212" t="s">
        <v>1217</v>
      </c>
      <c r="J212">
        <v>1</v>
      </c>
      <c r="K212" s="1">
        <v>46023</v>
      </c>
      <c r="L212" s="8">
        <v>280000</v>
      </c>
    </row>
    <row r="213" spans="1:12" x14ac:dyDescent="0.25">
      <c r="A213" t="s">
        <v>1269</v>
      </c>
      <c r="B213" t="s">
        <v>2199</v>
      </c>
      <c r="C213" t="s">
        <v>28</v>
      </c>
      <c r="D213" t="s">
        <v>1270</v>
      </c>
      <c r="E213" t="s">
        <v>1277</v>
      </c>
      <c r="F213">
        <v>5</v>
      </c>
      <c r="G213" t="s">
        <v>1273</v>
      </c>
      <c r="H213" s="1">
        <v>46082</v>
      </c>
      <c r="I213" t="s">
        <v>514</v>
      </c>
      <c r="J213">
        <v>1</v>
      </c>
      <c r="K213" s="1">
        <v>46082</v>
      </c>
      <c r="L213" s="8">
        <v>164000</v>
      </c>
    </row>
    <row r="214" spans="1:12" x14ac:dyDescent="0.25">
      <c r="A214" t="s">
        <v>1269</v>
      </c>
      <c r="B214" t="s">
        <v>2199</v>
      </c>
      <c r="C214" t="s">
        <v>28</v>
      </c>
      <c r="D214" t="s">
        <v>1270</v>
      </c>
      <c r="E214" t="s">
        <v>1272</v>
      </c>
      <c r="F214">
        <v>5</v>
      </c>
      <c r="G214" t="s">
        <v>1273</v>
      </c>
      <c r="H214" s="1">
        <v>46023</v>
      </c>
      <c r="I214" t="s">
        <v>514</v>
      </c>
      <c r="J214">
        <v>1</v>
      </c>
      <c r="K214" s="1">
        <v>46023</v>
      </c>
      <c r="L214" s="8">
        <v>198000</v>
      </c>
    </row>
    <row r="215" spans="1:12" x14ac:dyDescent="0.25">
      <c r="A215" t="s">
        <v>1269</v>
      </c>
      <c r="B215" t="s">
        <v>2199</v>
      </c>
      <c r="C215" t="s">
        <v>28</v>
      </c>
      <c r="D215" t="s">
        <v>1270</v>
      </c>
      <c r="E215" t="s">
        <v>1279</v>
      </c>
      <c r="F215">
        <v>5</v>
      </c>
      <c r="G215" t="s">
        <v>1273</v>
      </c>
      <c r="H215" s="1">
        <v>46082</v>
      </c>
      <c r="I215" t="s">
        <v>514</v>
      </c>
      <c r="J215">
        <v>1</v>
      </c>
      <c r="K215" s="1">
        <v>46082</v>
      </c>
      <c r="L215" s="8">
        <v>75000</v>
      </c>
    </row>
    <row r="216" spans="1:12" x14ac:dyDescent="0.25">
      <c r="A216" t="s">
        <v>1269</v>
      </c>
      <c r="B216" t="s">
        <v>2199</v>
      </c>
      <c r="C216" t="s">
        <v>28</v>
      </c>
      <c r="D216" t="s">
        <v>1270</v>
      </c>
      <c r="E216" t="s">
        <v>1276</v>
      </c>
      <c r="F216">
        <v>5</v>
      </c>
      <c r="G216" t="s">
        <v>1273</v>
      </c>
      <c r="H216" s="1">
        <v>46023</v>
      </c>
      <c r="I216" t="s">
        <v>514</v>
      </c>
      <c r="J216">
        <v>1</v>
      </c>
      <c r="K216" s="1">
        <v>46023</v>
      </c>
      <c r="L216" s="8">
        <v>106000</v>
      </c>
    </row>
    <row r="217" spans="1:12" x14ac:dyDescent="0.25">
      <c r="A217" t="s">
        <v>1269</v>
      </c>
      <c r="B217" t="s">
        <v>2199</v>
      </c>
      <c r="C217" t="s">
        <v>28</v>
      </c>
      <c r="D217" t="s">
        <v>1270</v>
      </c>
      <c r="E217" t="s">
        <v>1278</v>
      </c>
      <c r="F217">
        <v>5</v>
      </c>
      <c r="G217" t="s">
        <v>1273</v>
      </c>
      <c r="H217" s="1">
        <v>46082</v>
      </c>
      <c r="I217" t="s">
        <v>514</v>
      </c>
      <c r="J217">
        <v>1</v>
      </c>
      <c r="K217" s="1">
        <v>46082</v>
      </c>
      <c r="L217" s="8">
        <v>60000</v>
      </c>
    </row>
    <row r="218" spans="1:12" x14ac:dyDescent="0.25">
      <c r="A218" t="s">
        <v>1345</v>
      </c>
      <c r="B218" t="s">
        <v>2199</v>
      </c>
      <c r="C218" t="s">
        <v>28</v>
      </c>
      <c r="D218" t="s">
        <v>1347</v>
      </c>
      <c r="E218" t="s">
        <v>1133</v>
      </c>
      <c r="F218">
        <v>1</v>
      </c>
      <c r="G218" t="s">
        <v>1299</v>
      </c>
      <c r="H218" s="1">
        <v>46113</v>
      </c>
      <c r="I218" t="s">
        <v>1300</v>
      </c>
      <c r="J218">
        <v>1</v>
      </c>
      <c r="K218" s="1">
        <v>46113</v>
      </c>
      <c r="L218" s="8">
        <v>150000</v>
      </c>
    </row>
    <row r="219" spans="1:12" x14ac:dyDescent="0.25">
      <c r="A219" t="s">
        <v>1395</v>
      </c>
      <c r="B219" t="s">
        <v>2199</v>
      </c>
      <c r="C219" t="s">
        <v>28</v>
      </c>
      <c r="D219" t="s">
        <v>1396</v>
      </c>
      <c r="E219" t="s">
        <v>1133</v>
      </c>
      <c r="F219">
        <v>1</v>
      </c>
      <c r="G219" t="s">
        <v>64</v>
      </c>
      <c r="H219" s="1">
        <v>46054</v>
      </c>
      <c r="I219" t="s">
        <v>65</v>
      </c>
      <c r="J219">
        <v>1</v>
      </c>
      <c r="K219" s="1">
        <v>46054</v>
      </c>
      <c r="L219" s="8">
        <v>500004</v>
      </c>
    </row>
    <row r="220" spans="1:12" x14ac:dyDescent="0.25">
      <c r="A220" t="s">
        <v>1403</v>
      </c>
      <c r="B220" t="s">
        <v>2199</v>
      </c>
      <c r="C220" t="s">
        <v>28</v>
      </c>
      <c r="D220" t="s">
        <v>1404</v>
      </c>
      <c r="E220" t="s">
        <v>359</v>
      </c>
      <c r="F220">
        <v>3</v>
      </c>
      <c r="G220" t="s">
        <v>1035</v>
      </c>
      <c r="H220" s="1">
        <v>46327</v>
      </c>
      <c r="I220" t="s">
        <v>1036</v>
      </c>
      <c r="J220">
        <v>1</v>
      </c>
      <c r="K220" s="1">
        <v>46327</v>
      </c>
      <c r="L220" s="8">
        <v>153624</v>
      </c>
    </row>
    <row r="221" spans="1:12" x14ac:dyDescent="0.25">
      <c r="A221" t="s">
        <v>1403</v>
      </c>
      <c r="B221" t="s">
        <v>2199</v>
      </c>
      <c r="C221" t="s">
        <v>28</v>
      </c>
      <c r="D221" t="s">
        <v>1404</v>
      </c>
      <c r="E221" t="s">
        <v>855</v>
      </c>
      <c r="F221">
        <v>3</v>
      </c>
      <c r="G221" t="s">
        <v>1035</v>
      </c>
      <c r="H221" s="1">
        <v>46327</v>
      </c>
      <c r="I221" t="s">
        <v>1036</v>
      </c>
      <c r="J221">
        <v>1</v>
      </c>
      <c r="K221" s="1">
        <v>46327</v>
      </c>
      <c r="L221" s="8">
        <v>17000</v>
      </c>
    </row>
    <row r="222" spans="1:12" x14ac:dyDescent="0.25">
      <c r="A222" t="s">
        <v>1403</v>
      </c>
      <c r="B222" t="s">
        <v>2199</v>
      </c>
      <c r="C222" t="s">
        <v>28</v>
      </c>
      <c r="D222" t="s">
        <v>1404</v>
      </c>
      <c r="E222" t="s">
        <v>1406</v>
      </c>
      <c r="F222">
        <v>3</v>
      </c>
      <c r="G222" t="s">
        <v>1035</v>
      </c>
      <c r="H222" s="1">
        <v>46327</v>
      </c>
      <c r="I222" t="s">
        <v>1036</v>
      </c>
      <c r="J222">
        <v>1</v>
      </c>
      <c r="K222" s="1">
        <v>46327</v>
      </c>
      <c r="L222" s="8">
        <v>3000</v>
      </c>
    </row>
    <row r="223" spans="1:12" x14ac:dyDescent="0.25">
      <c r="A223" t="s">
        <v>1407</v>
      </c>
      <c r="B223" t="s">
        <v>2199</v>
      </c>
      <c r="C223" t="s">
        <v>28</v>
      </c>
      <c r="D223" t="s">
        <v>1408</v>
      </c>
      <c r="E223" t="s">
        <v>1410</v>
      </c>
      <c r="F223">
        <v>1</v>
      </c>
      <c r="G223" t="s">
        <v>590</v>
      </c>
      <c r="H223" s="1">
        <v>46082</v>
      </c>
      <c r="I223" t="s">
        <v>591</v>
      </c>
      <c r="J223">
        <v>1</v>
      </c>
      <c r="K223" s="1">
        <v>46082</v>
      </c>
      <c r="L223" s="8">
        <v>80000</v>
      </c>
    </row>
    <row r="224" spans="1:12" x14ac:dyDescent="0.25">
      <c r="A224" t="s">
        <v>1411</v>
      </c>
      <c r="B224" t="s">
        <v>2199</v>
      </c>
      <c r="C224" t="s">
        <v>28</v>
      </c>
      <c r="D224" t="s">
        <v>1413</v>
      </c>
      <c r="E224" t="s">
        <v>882</v>
      </c>
      <c r="F224">
        <v>1</v>
      </c>
      <c r="G224" t="s">
        <v>1415</v>
      </c>
      <c r="H224" s="1">
        <v>46174</v>
      </c>
      <c r="I224" t="s">
        <v>514</v>
      </c>
      <c r="J224">
        <v>1</v>
      </c>
      <c r="K224" s="1">
        <v>46174</v>
      </c>
      <c r="L224" s="8">
        <v>2000000</v>
      </c>
    </row>
    <row r="225" spans="1:12" x14ac:dyDescent="0.25">
      <c r="A225" t="s">
        <v>1416</v>
      </c>
      <c r="B225" t="s">
        <v>2199</v>
      </c>
      <c r="C225" t="s">
        <v>28</v>
      </c>
      <c r="D225" t="s">
        <v>1417</v>
      </c>
      <c r="E225" t="s">
        <v>623</v>
      </c>
      <c r="F225">
        <v>1</v>
      </c>
      <c r="G225" t="s">
        <v>1415</v>
      </c>
      <c r="H225" s="1">
        <v>46357</v>
      </c>
      <c r="I225" t="s">
        <v>514</v>
      </c>
      <c r="J225">
        <v>1</v>
      </c>
      <c r="K225" s="1">
        <v>46357</v>
      </c>
      <c r="L225" s="8">
        <v>6000000</v>
      </c>
    </row>
    <row r="226" spans="1:12" x14ac:dyDescent="0.25">
      <c r="A226" t="s">
        <v>1419</v>
      </c>
      <c r="B226" t="s">
        <v>2199</v>
      </c>
      <c r="C226" t="s">
        <v>28</v>
      </c>
      <c r="D226" t="s">
        <v>1420</v>
      </c>
      <c r="E226" t="s">
        <v>882</v>
      </c>
      <c r="F226">
        <v>1</v>
      </c>
      <c r="G226" t="s">
        <v>1415</v>
      </c>
      <c r="H226" s="1">
        <v>46357</v>
      </c>
      <c r="I226" t="s">
        <v>514</v>
      </c>
      <c r="J226">
        <v>12</v>
      </c>
      <c r="K226" t="s">
        <v>1029</v>
      </c>
      <c r="L226" s="8">
        <v>0</v>
      </c>
    </row>
    <row r="227" spans="1:12" x14ac:dyDescent="0.25">
      <c r="A227" t="s">
        <v>1422</v>
      </c>
      <c r="B227" t="s">
        <v>2199</v>
      </c>
      <c r="C227" t="s">
        <v>28</v>
      </c>
      <c r="D227" t="s">
        <v>1423</v>
      </c>
      <c r="E227" t="s">
        <v>1425</v>
      </c>
      <c r="F227">
        <v>1</v>
      </c>
      <c r="G227" t="s">
        <v>1415</v>
      </c>
      <c r="H227" s="1">
        <v>46327</v>
      </c>
      <c r="I227" t="s">
        <v>514</v>
      </c>
      <c r="J227">
        <v>1</v>
      </c>
      <c r="K227" s="1">
        <v>46327</v>
      </c>
      <c r="L227" s="8">
        <v>25000000</v>
      </c>
    </row>
    <row r="228" spans="1:12" x14ac:dyDescent="0.25">
      <c r="A228" t="s">
        <v>1426</v>
      </c>
      <c r="B228" t="s">
        <v>2199</v>
      </c>
      <c r="C228" t="s">
        <v>28</v>
      </c>
      <c r="D228" t="s">
        <v>1427</v>
      </c>
      <c r="E228" t="s">
        <v>623</v>
      </c>
      <c r="F228">
        <v>1</v>
      </c>
      <c r="G228" t="s">
        <v>1415</v>
      </c>
      <c r="H228" s="1">
        <v>46327</v>
      </c>
      <c r="I228" t="s">
        <v>514</v>
      </c>
      <c r="J228">
        <v>1</v>
      </c>
      <c r="K228" s="1">
        <v>46327</v>
      </c>
      <c r="L228" s="8">
        <v>10000000</v>
      </c>
    </row>
    <row r="229" spans="1:12" x14ac:dyDescent="0.25">
      <c r="A229" t="s">
        <v>1429</v>
      </c>
      <c r="B229" t="s">
        <v>2199</v>
      </c>
      <c r="C229" t="s">
        <v>28</v>
      </c>
      <c r="D229" t="s">
        <v>1430</v>
      </c>
      <c r="E229" t="s">
        <v>623</v>
      </c>
      <c r="F229">
        <v>1</v>
      </c>
      <c r="G229" t="s">
        <v>1432</v>
      </c>
      <c r="H229" s="1">
        <v>46296</v>
      </c>
      <c r="I229" t="s">
        <v>1433</v>
      </c>
      <c r="J229">
        <v>1</v>
      </c>
      <c r="K229" s="1">
        <v>46296</v>
      </c>
      <c r="L229" s="8">
        <v>35304528</v>
      </c>
    </row>
    <row r="230" spans="1:12" x14ac:dyDescent="0.25">
      <c r="A230" t="s">
        <v>1436</v>
      </c>
      <c r="B230" t="s">
        <v>2199</v>
      </c>
      <c r="C230" t="s">
        <v>28</v>
      </c>
      <c r="D230" t="s">
        <v>1438</v>
      </c>
      <c r="E230" t="s">
        <v>1440</v>
      </c>
      <c r="F230">
        <v>3</v>
      </c>
      <c r="G230" t="s">
        <v>64</v>
      </c>
      <c r="H230" s="1">
        <v>46235</v>
      </c>
      <c r="I230" t="s">
        <v>65</v>
      </c>
      <c r="J230">
        <v>1</v>
      </c>
      <c r="K230" s="1">
        <v>46235</v>
      </c>
      <c r="L230" s="8">
        <v>50000</v>
      </c>
    </row>
    <row r="231" spans="1:12" x14ac:dyDescent="0.25">
      <c r="A231" t="s">
        <v>1436</v>
      </c>
      <c r="B231" t="s">
        <v>2199</v>
      </c>
      <c r="C231" t="s">
        <v>28</v>
      </c>
      <c r="D231" t="s">
        <v>1438</v>
      </c>
      <c r="E231" t="s">
        <v>1441</v>
      </c>
      <c r="F231">
        <v>3</v>
      </c>
      <c r="G231" t="s">
        <v>64</v>
      </c>
      <c r="H231" s="1">
        <v>46235</v>
      </c>
      <c r="I231" t="s">
        <v>65</v>
      </c>
      <c r="J231">
        <v>1</v>
      </c>
      <c r="K231" s="1">
        <v>46235</v>
      </c>
      <c r="L231" s="8">
        <v>420000</v>
      </c>
    </row>
    <row r="232" spans="1:12" x14ac:dyDescent="0.25">
      <c r="A232" t="s">
        <v>1436</v>
      </c>
      <c r="B232" t="s">
        <v>2199</v>
      </c>
      <c r="C232" t="s">
        <v>28</v>
      </c>
      <c r="D232" t="s">
        <v>1438</v>
      </c>
      <c r="E232" t="s">
        <v>1276</v>
      </c>
      <c r="F232">
        <v>3</v>
      </c>
      <c r="G232" t="s">
        <v>64</v>
      </c>
      <c r="H232" s="1">
        <v>46235</v>
      </c>
      <c r="I232" t="s">
        <v>65</v>
      </c>
      <c r="J232">
        <v>1</v>
      </c>
      <c r="K232" s="1">
        <v>46235</v>
      </c>
      <c r="L232" s="8">
        <v>30000</v>
      </c>
    </row>
    <row r="233" spans="1:12" x14ac:dyDescent="0.25">
      <c r="A233" t="s">
        <v>1442</v>
      </c>
      <c r="B233" t="s">
        <v>2199</v>
      </c>
      <c r="C233" t="s">
        <v>28</v>
      </c>
      <c r="D233" t="s">
        <v>1443</v>
      </c>
      <c r="E233" t="s">
        <v>786</v>
      </c>
      <c r="F233">
        <v>1</v>
      </c>
      <c r="G233" t="s">
        <v>1445</v>
      </c>
      <c r="H233" s="1">
        <v>46054</v>
      </c>
      <c r="I233" t="s">
        <v>1446</v>
      </c>
      <c r="J233">
        <v>1</v>
      </c>
      <c r="K233" s="1">
        <v>46054</v>
      </c>
      <c r="L233" s="8">
        <v>299940</v>
      </c>
    </row>
    <row r="234" spans="1:12" x14ac:dyDescent="0.25">
      <c r="A234" t="s">
        <v>1449</v>
      </c>
      <c r="B234" t="s">
        <v>2199</v>
      </c>
      <c r="C234" t="s">
        <v>28</v>
      </c>
      <c r="D234" t="s">
        <v>1450</v>
      </c>
      <c r="E234" t="s">
        <v>1133</v>
      </c>
      <c r="F234">
        <v>2</v>
      </c>
      <c r="G234" t="s">
        <v>1075</v>
      </c>
      <c r="H234" s="1">
        <v>46082</v>
      </c>
      <c r="I234" t="s">
        <v>1076</v>
      </c>
      <c r="J234">
        <v>1</v>
      </c>
      <c r="K234" s="1">
        <v>46082</v>
      </c>
      <c r="L234" s="8">
        <v>230000</v>
      </c>
    </row>
    <row r="235" spans="1:12" x14ac:dyDescent="0.25">
      <c r="A235" t="s">
        <v>1449</v>
      </c>
      <c r="B235" t="s">
        <v>2199</v>
      </c>
      <c r="C235" t="s">
        <v>28</v>
      </c>
      <c r="D235" t="s">
        <v>1450</v>
      </c>
      <c r="E235" t="s">
        <v>1452</v>
      </c>
      <c r="F235">
        <v>2</v>
      </c>
      <c r="G235" t="s">
        <v>1075</v>
      </c>
      <c r="H235" s="1">
        <v>46023</v>
      </c>
      <c r="I235" t="s">
        <v>1076</v>
      </c>
      <c r="J235">
        <v>1</v>
      </c>
      <c r="K235" s="1">
        <v>46023</v>
      </c>
      <c r="L235" s="8">
        <v>160000</v>
      </c>
    </row>
    <row r="236" spans="1:12" x14ac:dyDescent="0.25">
      <c r="A236" t="s">
        <v>1453</v>
      </c>
      <c r="B236" t="s">
        <v>2199</v>
      </c>
      <c r="C236" t="s">
        <v>28</v>
      </c>
      <c r="D236" t="s">
        <v>1454</v>
      </c>
      <c r="E236" t="s">
        <v>602</v>
      </c>
      <c r="F236">
        <v>1</v>
      </c>
      <c r="G236" t="s">
        <v>1445</v>
      </c>
      <c r="H236" s="1">
        <v>46113</v>
      </c>
      <c r="I236" t="s">
        <v>1446</v>
      </c>
      <c r="J236">
        <v>1</v>
      </c>
      <c r="K236" s="1">
        <v>46113</v>
      </c>
      <c r="L236" s="8">
        <v>720000</v>
      </c>
    </row>
    <row r="237" spans="1:12" x14ac:dyDescent="0.25">
      <c r="A237" t="s">
        <v>1456</v>
      </c>
      <c r="B237" t="s">
        <v>2199</v>
      </c>
      <c r="C237" t="s">
        <v>28</v>
      </c>
      <c r="D237" t="s">
        <v>1457</v>
      </c>
      <c r="E237" t="s">
        <v>1459</v>
      </c>
      <c r="F237">
        <v>1</v>
      </c>
      <c r="G237" t="s">
        <v>1211</v>
      </c>
      <c r="H237" s="1">
        <v>46054</v>
      </c>
      <c r="I237" t="s">
        <v>320</v>
      </c>
      <c r="J237">
        <v>1</v>
      </c>
      <c r="K237" s="1">
        <v>46054</v>
      </c>
      <c r="L237" s="8">
        <v>170001</v>
      </c>
    </row>
    <row r="238" spans="1:12" x14ac:dyDescent="0.25">
      <c r="A238" t="s">
        <v>1460</v>
      </c>
      <c r="B238" t="s">
        <v>2199</v>
      </c>
      <c r="C238" t="s">
        <v>28</v>
      </c>
      <c r="D238" t="s">
        <v>1461</v>
      </c>
      <c r="E238" t="s">
        <v>1463</v>
      </c>
      <c r="F238">
        <v>1</v>
      </c>
      <c r="G238" t="s">
        <v>1075</v>
      </c>
      <c r="H238" s="1">
        <v>46023</v>
      </c>
      <c r="I238" t="s">
        <v>1076</v>
      </c>
      <c r="J238">
        <v>1</v>
      </c>
      <c r="K238" s="1">
        <v>46023</v>
      </c>
      <c r="L238" s="8">
        <v>8196174</v>
      </c>
    </row>
    <row r="239" spans="1:12" x14ac:dyDescent="0.25">
      <c r="A239" t="s">
        <v>1466</v>
      </c>
      <c r="B239" t="s">
        <v>2199</v>
      </c>
      <c r="C239" t="s">
        <v>28</v>
      </c>
      <c r="D239" t="s">
        <v>1467</v>
      </c>
      <c r="E239" t="s">
        <v>760</v>
      </c>
      <c r="F239">
        <v>1</v>
      </c>
      <c r="G239" t="s">
        <v>1469</v>
      </c>
      <c r="H239" s="1">
        <v>46054</v>
      </c>
      <c r="I239" t="s">
        <v>1470</v>
      </c>
      <c r="J239">
        <v>1</v>
      </c>
      <c r="K239" s="1">
        <v>46054</v>
      </c>
      <c r="L239" s="8">
        <v>5000001</v>
      </c>
    </row>
    <row r="240" spans="1:12" x14ac:dyDescent="0.25">
      <c r="A240" t="s">
        <v>1473</v>
      </c>
      <c r="B240" t="s">
        <v>2199</v>
      </c>
      <c r="C240" t="s">
        <v>28</v>
      </c>
      <c r="D240" t="s">
        <v>1474</v>
      </c>
      <c r="E240" t="s">
        <v>1476</v>
      </c>
      <c r="F240">
        <v>1</v>
      </c>
      <c r="G240" t="s">
        <v>1477</v>
      </c>
      <c r="H240" s="1">
        <v>46023</v>
      </c>
      <c r="I240" t="s">
        <v>219</v>
      </c>
      <c r="J240">
        <v>1</v>
      </c>
      <c r="K240" s="1">
        <v>46023</v>
      </c>
      <c r="L240" s="8">
        <v>300006</v>
      </c>
    </row>
    <row r="241" spans="1:12" x14ac:dyDescent="0.25">
      <c r="A241" t="s">
        <v>1479</v>
      </c>
      <c r="B241" t="s">
        <v>2199</v>
      </c>
      <c r="C241" t="s">
        <v>28</v>
      </c>
      <c r="D241" t="s">
        <v>1480</v>
      </c>
      <c r="E241" t="s">
        <v>602</v>
      </c>
      <c r="F241">
        <v>1</v>
      </c>
      <c r="G241" t="s">
        <v>1445</v>
      </c>
      <c r="H241" s="1">
        <v>46113</v>
      </c>
      <c r="I241" t="s">
        <v>1446</v>
      </c>
      <c r="J241">
        <v>1</v>
      </c>
      <c r="K241" s="1">
        <v>46143</v>
      </c>
      <c r="L241" s="8">
        <v>220000</v>
      </c>
    </row>
    <row r="242" spans="1:12" x14ac:dyDescent="0.25">
      <c r="A242" t="s">
        <v>1482</v>
      </c>
      <c r="B242" t="s">
        <v>2199</v>
      </c>
      <c r="C242" t="s">
        <v>28</v>
      </c>
      <c r="D242" t="s">
        <v>1483</v>
      </c>
      <c r="E242" t="s">
        <v>1459</v>
      </c>
      <c r="F242">
        <v>1</v>
      </c>
      <c r="G242" t="s">
        <v>1477</v>
      </c>
      <c r="H242" s="1">
        <v>46023</v>
      </c>
      <c r="I242" t="s">
        <v>219</v>
      </c>
      <c r="J242">
        <v>1</v>
      </c>
      <c r="K242" s="1">
        <v>46023</v>
      </c>
      <c r="L242" s="8">
        <v>1500018</v>
      </c>
    </row>
    <row r="243" spans="1:12" x14ac:dyDescent="0.25">
      <c r="A243" t="s">
        <v>1489</v>
      </c>
      <c r="B243" t="s">
        <v>2199</v>
      </c>
      <c r="C243" t="s">
        <v>28</v>
      </c>
      <c r="D243" t="s">
        <v>1490</v>
      </c>
      <c r="E243" t="s">
        <v>359</v>
      </c>
      <c r="F243">
        <v>1</v>
      </c>
      <c r="G243" t="s">
        <v>1211</v>
      </c>
      <c r="H243" s="1">
        <v>46113</v>
      </c>
      <c r="I243" t="s">
        <v>320</v>
      </c>
      <c r="J243">
        <v>1</v>
      </c>
      <c r="K243" s="1">
        <v>46113</v>
      </c>
      <c r="L243" s="8">
        <v>218020</v>
      </c>
    </row>
    <row r="244" spans="1:12" x14ac:dyDescent="0.25">
      <c r="A244" t="s">
        <v>1492</v>
      </c>
      <c r="B244" t="s">
        <v>2199</v>
      </c>
      <c r="C244" t="s">
        <v>28</v>
      </c>
      <c r="D244" t="s">
        <v>1494</v>
      </c>
      <c r="E244" t="s">
        <v>1410</v>
      </c>
      <c r="F244">
        <v>1</v>
      </c>
      <c r="G244" t="s">
        <v>590</v>
      </c>
      <c r="H244" s="1">
        <v>46082</v>
      </c>
      <c r="I244" t="s">
        <v>591</v>
      </c>
      <c r="J244">
        <v>1</v>
      </c>
      <c r="K244" s="1">
        <v>46082</v>
      </c>
      <c r="L244" s="8">
        <v>100000</v>
      </c>
    </row>
    <row r="245" spans="1:12" x14ac:dyDescent="0.25">
      <c r="A245" t="s">
        <v>1497</v>
      </c>
      <c r="B245" t="s">
        <v>2199</v>
      </c>
      <c r="C245" t="s">
        <v>28</v>
      </c>
      <c r="D245" t="s">
        <v>1498</v>
      </c>
      <c r="E245" t="s">
        <v>1500</v>
      </c>
      <c r="F245">
        <v>1</v>
      </c>
      <c r="G245" t="s">
        <v>1075</v>
      </c>
      <c r="H245" s="1">
        <v>46082</v>
      </c>
      <c r="I245" t="s">
        <v>1076</v>
      </c>
      <c r="J245">
        <v>1</v>
      </c>
      <c r="K245" s="1">
        <v>46082</v>
      </c>
      <c r="L245" s="8">
        <v>335005</v>
      </c>
    </row>
    <row r="246" spans="1:12" x14ac:dyDescent="0.25">
      <c r="A246" t="s">
        <v>1501</v>
      </c>
      <c r="B246" t="s">
        <v>2199</v>
      </c>
      <c r="C246" t="s">
        <v>28</v>
      </c>
      <c r="D246" t="s">
        <v>1502</v>
      </c>
      <c r="E246" t="s">
        <v>1504</v>
      </c>
      <c r="F246">
        <v>1</v>
      </c>
      <c r="G246" t="s">
        <v>1505</v>
      </c>
      <c r="H246" s="1">
        <v>46023</v>
      </c>
      <c r="I246" t="s">
        <v>423</v>
      </c>
      <c r="J246">
        <v>12</v>
      </c>
      <c r="K246" t="s">
        <v>413</v>
      </c>
      <c r="L246" s="8">
        <v>2400000</v>
      </c>
    </row>
    <row r="247" spans="1:12" x14ac:dyDescent="0.25">
      <c r="A247" t="s">
        <v>1509</v>
      </c>
      <c r="B247" t="s">
        <v>2199</v>
      </c>
      <c r="C247" t="s">
        <v>28</v>
      </c>
      <c r="D247" t="s">
        <v>1510</v>
      </c>
      <c r="E247" t="s">
        <v>1512</v>
      </c>
      <c r="F247">
        <v>2</v>
      </c>
      <c r="G247" t="s">
        <v>590</v>
      </c>
      <c r="H247" s="1">
        <v>46113</v>
      </c>
      <c r="I247" t="s">
        <v>591</v>
      </c>
      <c r="J247">
        <v>1</v>
      </c>
      <c r="K247" s="1">
        <v>46113</v>
      </c>
      <c r="L247" s="8">
        <v>76086</v>
      </c>
    </row>
    <row r="248" spans="1:12" x14ac:dyDescent="0.25">
      <c r="A248" t="s">
        <v>1509</v>
      </c>
      <c r="B248" t="s">
        <v>2199</v>
      </c>
      <c r="C248" t="s">
        <v>28</v>
      </c>
      <c r="D248" t="s">
        <v>1510</v>
      </c>
      <c r="E248" t="s">
        <v>1513</v>
      </c>
      <c r="F248">
        <v>2</v>
      </c>
      <c r="G248" t="s">
        <v>590</v>
      </c>
      <c r="H248" s="1">
        <v>46113</v>
      </c>
      <c r="I248" t="s">
        <v>591</v>
      </c>
      <c r="J248">
        <v>1</v>
      </c>
      <c r="K248" s="1">
        <v>46113</v>
      </c>
      <c r="L248" s="8">
        <v>224004</v>
      </c>
    </row>
    <row r="249" spans="1:12" x14ac:dyDescent="0.25">
      <c r="A249" t="s">
        <v>1514</v>
      </c>
      <c r="B249" t="s">
        <v>2199</v>
      </c>
      <c r="C249" t="s">
        <v>28</v>
      </c>
      <c r="D249" t="s">
        <v>1515</v>
      </c>
      <c r="E249" t="s">
        <v>1251</v>
      </c>
      <c r="F249">
        <v>1</v>
      </c>
      <c r="G249" t="s">
        <v>1075</v>
      </c>
      <c r="H249" s="1">
        <v>46235</v>
      </c>
      <c r="I249" t="s">
        <v>1076</v>
      </c>
      <c r="J249">
        <v>1</v>
      </c>
      <c r="K249" s="1">
        <v>46266</v>
      </c>
      <c r="L249" s="8">
        <v>150000</v>
      </c>
    </row>
    <row r="250" spans="1:12" x14ac:dyDescent="0.25">
      <c r="A250" t="s">
        <v>1518</v>
      </c>
      <c r="B250" t="s">
        <v>2199</v>
      </c>
      <c r="C250" t="s">
        <v>28</v>
      </c>
      <c r="D250" t="s">
        <v>1520</v>
      </c>
      <c r="E250" t="s">
        <v>1523</v>
      </c>
      <c r="F250">
        <v>3</v>
      </c>
      <c r="G250" t="s">
        <v>761</v>
      </c>
      <c r="H250" s="1">
        <v>46143</v>
      </c>
      <c r="I250" t="s">
        <v>762</v>
      </c>
      <c r="J250">
        <v>1</v>
      </c>
      <c r="K250" s="1">
        <v>46143</v>
      </c>
      <c r="L250" s="8">
        <v>50004</v>
      </c>
    </row>
    <row r="251" spans="1:12" x14ac:dyDescent="0.25">
      <c r="A251" t="s">
        <v>1518</v>
      </c>
      <c r="B251" t="s">
        <v>2199</v>
      </c>
      <c r="C251" t="s">
        <v>28</v>
      </c>
      <c r="D251" t="s">
        <v>1520</v>
      </c>
      <c r="E251" t="s">
        <v>1524</v>
      </c>
      <c r="F251">
        <v>3</v>
      </c>
      <c r="G251" t="s">
        <v>761</v>
      </c>
      <c r="H251" s="1">
        <v>46143</v>
      </c>
      <c r="I251" t="s">
        <v>762</v>
      </c>
      <c r="J251">
        <v>1</v>
      </c>
      <c r="K251" s="1">
        <v>46143</v>
      </c>
      <c r="L251" s="8">
        <v>650000</v>
      </c>
    </row>
    <row r="252" spans="1:12" x14ac:dyDescent="0.25">
      <c r="A252" t="s">
        <v>1518</v>
      </c>
      <c r="B252" t="s">
        <v>2199</v>
      </c>
      <c r="C252" t="s">
        <v>28</v>
      </c>
      <c r="D252" t="s">
        <v>1520</v>
      </c>
      <c r="E252" t="s">
        <v>1522</v>
      </c>
      <c r="F252">
        <v>3</v>
      </c>
      <c r="G252" t="s">
        <v>761</v>
      </c>
      <c r="H252" s="1">
        <v>46143</v>
      </c>
      <c r="I252" t="s">
        <v>762</v>
      </c>
      <c r="J252">
        <v>1</v>
      </c>
      <c r="K252" s="1">
        <v>46143</v>
      </c>
      <c r="L252" s="8">
        <v>960000</v>
      </c>
    </row>
    <row r="253" spans="1:12" x14ac:dyDescent="0.25">
      <c r="A253" t="s">
        <v>1525</v>
      </c>
      <c r="B253" t="s">
        <v>2199</v>
      </c>
      <c r="C253" t="s">
        <v>28</v>
      </c>
      <c r="D253" t="s">
        <v>1502</v>
      </c>
      <c r="E253" t="s">
        <v>1527</v>
      </c>
      <c r="F253">
        <v>1</v>
      </c>
      <c r="G253" t="s">
        <v>1505</v>
      </c>
      <c r="H253" s="1">
        <v>46023</v>
      </c>
      <c r="I253" t="s">
        <v>423</v>
      </c>
      <c r="J253">
        <v>1</v>
      </c>
      <c r="K253" s="1">
        <v>46023</v>
      </c>
      <c r="L253" s="8">
        <v>3861900</v>
      </c>
    </row>
    <row r="254" spans="1:12" x14ac:dyDescent="0.25">
      <c r="A254" t="s">
        <v>1528</v>
      </c>
      <c r="B254" t="s">
        <v>2199</v>
      </c>
      <c r="C254" t="s">
        <v>28</v>
      </c>
      <c r="D254" t="s">
        <v>1529</v>
      </c>
      <c r="E254" t="s">
        <v>911</v>
      </c>
      <c r="F254">
        <v>2</v>
      </c>
      <c r="G254" t="s">
        <v>1075</v>
      </c>
      <c r="H254" s="1">
        <v>46143</v>
      </c>
      <c r="I254" t="s">
        <v>1076</v>
      </c>
      <c r="J254">
        <v>1</v>
      </c>
      <c r="K254" s="1">
        <v>46143</v>
      </c>
      <c r="L254" s="8">
        <v>20000</v>
      </c>
    </row>
    <row r="255" spans="1:12" x14ac:dyDescent="0.25">
      <c r="A255" t="s">
        <v>1528</v>
      </c>
      <c r="B255" t="s">
        <v>2199</v>
      </c>
      <c r="C255" t="s">
        <v>28</v>
      </c>
      <c r="D255" t="s">
        <v>1529</v>
      </c>
      <c r="E255" t="s">
        <v>1531</v>
      </c>
      <c r="F255">
        <v>2</v>
      </c>
      <c r="G255" t="s">
        <v>1075</v>
      </c>
      <c r="H255" s="1">
        <v>46143</v>
      </c>
      <c r="I255" t="s">
        <v>1076</v>
      </c>
      <c r="J255">
        <v>1</v>
      </c>
      <c r="K255" s="1">
        <v>46143</v>
      </c>
      <c r="L255" s="8">
        <v>16000</v>
      </c>
    </row>
    <row r="256" spans="1:12" x14ac:dyDescent="0.25">
      <c r="A256" t="s">
        <v>1532</v>
      </c>
      <c r="B256" t="s">
        <v>2199</v>
      </c>
      <c r="C256" t="s">
        <v>28</v>
      </c>
      <c r="D256" t="s">
        <v>1533</v>
      </c>
      <c r="E256" t="s">
        <v>1536</v>
      </c>
      <c r="F256">
        <v>5</v>
      </c>
      <c r="G256" t="s">
        <v>761</v>
      </c>
      <c r="H256" s="1">
        <v>46143</v>
      </c>
      <c r="I256" t="s">
        <v>762</v>
      </c>
      <c r="J256">
        <v>1</v>
      </c>
      <c r="K256" s="1">
        <v>46143</v>
      </c>
      <c r="L256" s="8">
        <v>120000</v>
      </c>
    </row>
    <row r="257" spans="1:12" x14ac:dyDescent="0.25">
      <c r="A257" t="s">
        <v>1532</v>
      </c>
      <c r="B257" t="s">
        <v>2199</v>
      </c>
      <c r="C257" t="s">
        <v>28</v>
      </c>
      <c r="D257" t="s">
        <v>1533</v>
      </c>
      <c r="E257" t="s">
        <v>1534</v>
      </c>
      <c r="F257">
        <v>5</v>
      </c>
      <c r="G257" t="s">
        <v>761</v>
      </c>
      <c r="H257" s="1">
        <v>46143</v>
      </c>
      <c r="I257" t="s">
        <v>762</v>
      </c>
      <c r="J257">
        <v>1</v>
      </c>
      <c r="K257" s="1">
        <v>46143</v>
      </c>
      <c r="L257" s="8">
        <v>1100001</v>
      </c>
    </row>
    <row r="258" spans="1:12" x14ac:dyDescent="0.25">
      <c r="A258" t="s">
        <v>1532</v>
      </c>
      <c r="B258" t="s">
        <v>2199</v>
      </c>
      <c r="C258" t="s">
        <v>28</v>
      </c>
      <c r="D258" t="s">
        <v>1533</v>
      </c>
      <c r="E258" t="s">
        <v>1537</v>
      </c>
      <c r="F258">
        <v>5</v>
      </c>
      <c r="G258" t="s">
        <v>761</v>
      </c>
      <c r="H258" s="1">
        <v>46143</v>
      </c>
      <c r="I258" t="s">
        <v>762</v>
      </c>
      <c r="J258">
        <v>1</v>
      </c>
      <c r="K258" s="1">
        <v>46143</v>
      </c>
      <c r="L258" s="8">
        <v>30000</v>
      </c>
    </row>
    <row r="259" spans="1:12" x14ac:dyDescent="0.25">
      <c r="A259" t="s">
        <v>1532</v>
      </c>
      <c r="B259" t="s">
        <v>2199</v>
      </c>
      <c r="C259" t="s">
        <v>28</v>
      </c>
      <c r="D259" t="s">
        <v>1533</v>
      </c>
      <c r="E259" t="s">
        <v>1538</v>
      </c>
      <c r="F259">
        <v>5</v>
      </c>
      <c r="G259" t="s">
        <v>761</v>
      </c>
      <c r="H259" s="1">
        <v>46143</v>
      </c>
      <c r="I259" t="s">
        <v>762</v>
      </c>
      <c r="J259">
        <v>1</v>
      </c>
      <c r="K259" s="1">
        <v>46143</v>
      </c>
      <c r="L259" s="8">
        <v>390000</v>
      </c>
    </row>
    <row r="260" spans="1:12" x14ac:dyDescent="0.25">
      <c r="A260" t="s">
        <v>1532</v>
      </c>
      <c r="B260" t="s">
        <v>2199</v>
      </c>
      <c r="C260" t="s">
        <v>28</v>
      </c>
      <c r="D260" t="s">
        <v>1533</v>
      </c>
      <c r="E260" t="s">
        <v>1535</v>
      </c>
      <c r="F260">
        <v>5</v>
      </c>
      <c r="G260" t="s">
        <v>761</v>
      </c>
      <c r="H260" s="1">
        <v>46143</v>
      </c>
      <c r="I260" t="s">
        <v>762</v>
      </c>
      <c r="J260">
        <v>1</v>
      </c>
      <c r="K260" s="1">
        <v>46143</v>
      </c>
      <c r="L260" s="8">
        <v>1100090</v>
      </c>
    </row>
    <row r="261" spans="1:12" x14ac:dyDescent="0.25">
      <c r="A261" t="s">
        <v>1539</v>
      </c>
      <c r="B261" t="s">
        <v>2199</v>
      </c>
      <c r="C261" t="s">
        <v>28</v>
      </c>
      <c r="D261" t="s">
        <v>1540</v>
      </c>
      <c r="E261" t="s">
        <v>1191</v>
      </c>
      <c r="F261">
        <v>1</v>
      </c>
      <c r="G261" t="s">
        <v>1211</v>
      </c>
      <c r="H261" s="1">
        <v>46327</v>
      </c>
      <c r="I261" t="s">
        <v>320</v>
      </c>
      <c r="J261">
        <v>1</v>
      </c>
      <c r="K261" s="1">
        <v>46327</v>
      </c>
      <c r="L261" s="8">
        <v>400000</v>
      </c>
    </row>
    <row r="262" spans="1:12" x14ac:dyDescent="0.25">
      <c r="A262" t="s">
        <v>1542</v>
      </c>
      <c r="B262" t="s">
        <v>2199</v>
      </c>
      <c r="C262" t="s">
        <v>28</v>
      </c>
      <c r="D262" t="s">
        <v>1543</v>
      </c>
      <c r="E262" t="s">
        <v>1545</v>
      </c>
      <c r="F262">
        <v>1</v>
      </c>
      <c r="G262" t="s">
        <v>1075</v>
      </c>
      <c r="H262" s="1">
        <v>46204</v>
      </c>
      <c r="I262" t="s">
        <v>1076</v>
      </c>
      <c r="J262">
        <v>1</v>
      </c>
      <c r="K262" s="1">
        <v>46204</v>
      </c>
      <c r="L262" s="8">
        <v>800000</v>
      </c>
    </row>
    <row r="263" spans="1:12" x14ac:dyDescent="0.25">
      <c r="A263" t="s">
        <v>1546</v>
      </c>
      <c r="B263" t="s">
        <v>2199</v>
      </c>
      <c r="C263" t="s">
        <v>28</v>
      </c>
      <c r="D263" t="s">
        <v>1548</v>
      </c>
      <c r="E263" t="s">
        <v>1549</v>
      </c>
      <c r="F263">
        <v>3</v>
      </c>
      <c r="G263" t="s">
        <v>761</v>
      </c>
      <c r="H263" s="1">
        <v>46143</v>
      </c>
      <c r="I263" t="s">
        <v>762</v>
      </c>
      <c r="J263">
        <v>1</v>
      </c>
      <c r="K263" s="1">
        <v>46143</v>
      </c>
      <c r="L263" s="8">
        <v>746010</v>
      </c>
    </row>
    <row r="264" spans="1:12" x14ac:dyDescent="0.25">
      <c r="A264" t="s">
        <v>1546</v>
      </c>
      <c r="B264" t="s">
        <v>2199</v>
      </c>
      <c r="C264" t="s">
        <v>28</v>
      </c>
      <c r="D264" t="s">
        <v>1548</v>
      </c>
      <c r="E264" t="s">
        <v>1550</v>
      </c>
      <c r="F264">
        <v>3</v>
      </c>
      <c r="G264" t="s">
        <v>761</v>
      </c>
      <c r="H264" s="1">
        <v>46143</v>
      </c>
      <c r="I264" t="s">
        <v>762</v>
      </c>
      <c r="J264">
        <v>1</v>
      </c>
      <c r="K264" s="1">
        <v>46143</v>
      </c>
      <c r="L264" s="8">
        <v>480032</v>
      </c>
    </row>
    <row r="265" spans="1:12" x14ac:dyDescent="0.25">
      <c r="A265" t="s">
        <v>1546</v>
      </c>
      <c r="B265" t="s">
        <v>2199</v>
      </c>
      <c r="C265" t="s">
        <v>28</v>
      </c>
      <c r="D265" t="s">
        <v>1548</v>
      </c>
      <c r="E265" t="s">
        <v>1227</v>
      </c>
      <c r="F265">
        <v>3</v>
      </c>
      <c r="G265" t="s">
        <v>761</v>
      </c>
      <c r="H265" s="1">
        <v>46143</v>
      </c>
      <c r="I265" t="s">
        <v>762</v>
      </c>
      <c r="J265">
        <v>1</v>
      </c>
      <c r="K265" s="1">
        <v>46143</v>
      </c>
      <c r="L265" s="8">
        <v>96000</v>
      </c>
    </row>
    <row r="266" spans="1:12" x14ac:dyDescent="0.25">
      <c r="A266" t="s">
        <v>1551</v>
      </c>
      <c r="B266" t="s">
        <v>2199</v>
      </c>
      <c r="C266" t="s">
        <v>28</v>
      </c>
      <c r="D266" t="s">
        <v>1553</v>
      </c>
      <c r="E266" t="s">
        <v>1554</v>
      </c>
      <c r="F266">
        <v>1</v>
      </c>
      <c r="G266" t="s">
        <v>761</v>
      </c>
      <c r="H266" s="1">
        <v>46143</v>
      </c>
      <c r="I266" t="s">
        <v>762</v>
      </c>
      <c r="J266">
        <v>1</v>
      </c>
      <c r="K266" s="1">
        <v>46143</v>
      </c>
      <c r="L266" s="8">
        <v>334061</v>
      </c>
    </row>
    <row r="267" spans="1:12" x14ac:dyDescent="0.25">
      <c r="A267" t="s">
        <v>1555</v>
      </c>
      <c r="B267" t="s">
        <v>2199</v>
      </c>
      <c r="C267" t="s">
        <v>28</v>
      </c>
      <c r="D267" t="s">
        <v>1556</v>
      </c>
      <c r="E267" t="s">
        <v>1558</v>
      </c>
      <c r="F267">
        <v>1</v>
      </c>
      <c r="G267" t="s">
        <v>1559</v>
      </c>
      <c r="H267" s="1">
        <v>46082</v>
      </c>
      <c r="I267" t="s">
        <v>1560</v>
      </c>
      <c r="J267">
        <v>1</v>
      </c>
      <c r="K267" s="1">
        <v>46113</v>
      </c>
      <c r="L267" s="8">
        <v>14500000</v>
      </c>
    </row>
    <row r="268" spans="1:12" x14ac:dyDescent="0.25">
      <c r="A268" t="s">
        <v>1563</v>
      </c>
      <c r="B268" t="s">
        <v>2199</v>
      </c>
      <c r="C268" t="s">
        <v>28</v>
      </c>
      <c r="D268" t="s">
        <v>1404</v>
      </c>
      <c r="E268" t="s">
        <v>815</v>
      </c>
      <c r="F268">
        <v>2</v>
      </c>
      <c r="G268" t="s">
        <v>1035</v>
      </c>
      <c r="H268" s="1">
        <v>46327</v>
      </c>
      <c r="I268" t="s">
        <v>1036</v>
      </c>
      <c r="J268">
        <v>1</v>
      </c>
      <c r="K268" s="1">
        <v>46327</v>
      </c>
      <c r="L268" s="8">
        <v>60000</v>
      </c>
    </row>
    <row r="269" spans="1:12" x14ac:dyDescent="0.25">
      <c r="A269" t="s">
        <v>1563</v>
      </c>
      <c r="B269" t="s">
        <v>2199</v>
      </c>
      <c r="C269" t="s">
        <v>28</v>
      </c>
      <c r="D269" t="s">
        <v>1404</v>
      </c>
      <c r="E269" t="s">
        <v>957</v>
      </c>
      <c r="F269">
        <v>2</v>
      </c>
      <c r="G269" t="s">
        <v>1035</v>
      </c>
      <c r="H269" s="1">
        <v>46327</v>
      </c>
      <c r="I269" t="s">
        <v>1036</v>
      </c>
      <c r="J269">
        <v>1</v>
      </c>
      <c r="K269" s="1">
        <v>46327</v>
      </c>
      <c r="L269" s="8">
        <v>400000</v>
      </c>
    </row>
    <row r="270" spans="1:12" x14ac:dyDescent="0.25">
      <c r="A270" t="s">
        <v>1566</v>
      </c>
      <c r="B270" t="s">
        <v>2199</v>
      </c>
      <c r="C270" t="s">
        <v>28</v>
      </c>
      <c r="D270" t="s">
        <v>1567</v>
      </c>
      <c r="E270" t="s">
        <v>1121</v>
      </c>
      <c r="F270">
        <v>1</v>
      </c>
      <c r="G270" t="s">
        <v>1211</v>
      </c>
      <c r="H270" s="1">
        <v>46054</v>
      </c>
      <c r="I270" t="s">
        <v>320</v>
      </c>
      <c r="J270">
        <v>1</v>
      </c>
      <c r="K270" s="1">
        <v>46054</v>
      </c>
      <c r="L270" s="8">
        <v>120000</v>
      </c>
    </row>
    <row r="271" spans="1:12" x14ac:dyDescent="0.25">
      <c r="A271" t="s">
        <v>1569</v>
      </c>
      <c r="B271" t="s">
        <v>2199</v>
      </c>
      <c r="C271" t="s">
        <v>28</v>
      </c>
      <c r="D271" t="s">
        <v>1570</v>
      </c>
      <c r="E271" t="s">
        <v>599</v>
      </c>
      <c r="F271">
        <v>1</v>
      </c>
      <c r="G271" t="s">
        <v>1572</v>
      </c>
      <c r="H271" s="1">
        <v>46082</v>
      </c>
      <c r="I271" t="s">
        <v>1573</v>
      </c>
      <c r="J271">
        <v>1</v>
      </c>
      <c r="K271" s="1">
        <v>46082</v>
      </c>
      <c r="L271" s="8">
        <v>7000000</v>
      </c>
    </row>
    <row r="272" spans="1:12" x14ac:dyDescent="0.25">
      <c r="A272" t="s">
        <v>1585</v>
      </c>
      <c r="B272" t="s">
        <v>2199</v>
      </c>
      <c r="C272" t="s">
        <v>28</v>
      </c>
      <c r="D272" t="s">
        <v>1587</v>
      </c>
      <c r="E272" t="s">
        <v>1589</v>
      </c>
      <c r="F272">
        <v>1</v>
      </c>
      <c r="G272" t="s">
        <v>1572</v>
      </c>
      <c r="H272" s="1">
        <v>46082</v>
      </c>
      <c r="I272" t="s">
        <v>1573</v>
      </c>
      <c r="J272">
        <v>1</v>
      </c>
      <c r="K272" s="1">
        <v>46082</v>
      </c>
      <c r="L272" s="8">
        <v>1428000</v>
      </c>
    </row>
    <row r="273" spans="1:12" x14ac:dyDescent="0.25">
      <c r="A273" t="s">
        <v>1590</v>
      </c>
      <c r="B273" t="s">
        <v>2199</v>
      </c>
      <c r="C273" t="s">
        <v>374</v>
      </c>
      <c r="D273" t="s">
        <v>1591</v>
      </c>
      <c r="E273" t="s">
        <v>1592</v>
      </c>
      <c r="F273">
        <v>3</v>
      </c>
      <c r="G273" t="s">
        <v>761</v>
      </c>
      <c r="H273" s="1">
        <v>46143</v>
      </c>
      <c r="I273" t="s">
        <v>762</v>
      </c>
      <c r="J273">
        <v>1</v>
      </c>
      <c r="K273" s="1">
        <v>46143</v>
      </c>
      <c r="L273" s="8">
        <v>150000</v>
      </c>
    </row>
    <row r="274" spans="1:12" x14ac:dyDescent="0.25">
      <c r="A274" t="s">
        <v>1590</v>
      </c>
      <c r="B274" t="s">
        <v>2199</v>
      </c>
      <c r="C274" t="s">
        <v>374</v>
      </c>
      <c r="D274" t="s">
        <v>1591</v>
      </c>
      <c r="E274" t="s">
        <v>1594</v>
      </c>
      <c r="F274">
        <v>3</v>
      </c>
      <c r="G274" t="s">
        <v>761</v>
      </c>
      <c r="H274" s="1">
        <v>46143</v>
      </c>
      <c r="I274" t="s">
        <v>762</v>
      </c>
      <c r="J274">
        <v>1</v>
      </c>
      <c r="K274" s="1">
        <v>46143</v>
      </c>
      <c r="L274" s="8">
        <v>75000</v>
      </c>
    </row>
    <row r="275" spans="1:12" x14ac:dyDescent="0.25">
      <c r="A275" t="s">
        <v>1590</v>
      </c>
      <c r="B275" t="s">
        <v>2199</v>
      </c>
      <c r="C275" t="s">
        <v>374</v>
      </c>
      <c r="D275" t="s">
        <v>1591</v>
      </c>
      <c r="E275" t="s">
        <v>1593</v>
      </c>
      <c r="F275">
        <v>3</v>
      </c>
      <c r="G275" t="s">
        <v>761</v>
      </c>
      <c r="H275" s="1">
        <v>46143</v>
      </c>
      <c r="I275" t="s">
        <v>762</v>
      </c>
      <c r="J275">
        <v>1</v>
      </c>
      <c r="K275" s="1">
        <v>46143</v>
      </c>
      <c r="L275" s="8">
        <v>70000</v>
      </c>
    </row>
    <row r="276" spans="1:12" x14ac:dyDescent="0.25">
      <c r="A276" t="s">
        <v>1600</v>
      </c>
      <c r="B276" t="s">
        <v>2199</v>
      </c>
      <c r="C276" t="s">
        <v>28</v>
      </c>
      <c r="D276" t="s">
        <v>1601</v>
      </c>
      <c r="E276" t="s">
        <v>1603</v>
      </c>
      <c r="F276">
        <v>1</v>
      </c>
      <c r="G276" t="s">
        <v>1572</v>
      </c>
      <c r="H276" s="1">
        <v>46235</v>
      </c>
      <c r="I276" t="s">
        <v>1573</v>
      </c>
      <c r="J276">
        <v>1</v>
      </c>
      <c r="K276" s="1">
        <v>46235</v>
      </c>
      <c r="L276" s="8">
        <v>1428000</v>
      </c>
    </row>
    <row r="277" spans="1:12" x14ac:dyDescent="0.25">
      <c r="A277" t="s">
        <v>1604</v>
      </c>
      <c r="B277" t="s">
        <v>2199</v>
      </c>
      <c r="C277" t="s">
        <v>28</v>
      </c>
      <c r="D277" t="s">
        <v>1605</v>
      </c>
      <c r="E277" t="s">
        <v>1607</v>
      </c>
      <c r="F277">
        <v>2</v>
      </c>
      <c r="G277" t="s">
        <v>1608</v>
      </c>
      <c r="H277" s="1">
        <v>46023</v>
      </c>
      <c r="I277" t="s">
        <v>361</v>
      </c>
      <c r="J277">
        <v>1</v>
      </c>
      <c r="K277" s="1">
        <v>46023</v>
      </c>
      <c r="L277" s="8">
        <v>360000</v>
      </c>
    </row>
    <row r="278" spans="1:12" x14ac:dyDescent="0.25">
      <c r="A278" t="s">
        <v>1604</v>
      </c>
      <c r="B278" t="s">
        <v>2199</v>
      </c>
      <c r="C278" t="s">
        <v>28</v>
      </c>
      <c r="D278" t="s">
        <v>1605</v>
      </c>
      <c r="E278" t="s">
        <v>1609</v>
      </c>
      <c r="F278">
        <v>2</v>
      </c>
      <c r="G278" t="s">
        <v>1608</v>
      </c>
      <c r="H278" s="1">
        <v>46023</v>
      </c>
      <c r="I278" t="s">
        <v>361</v>
      </c>
      <c r="J278">
        <v>1</v>
      </c>
      <c r="K278" s="1">
        <v>46023</v>
      </c>
      <c r="L278" s="8">
        <v>800000</v>
      </c>
    </row>
    <row r="279" spans="1:12" x14ac:dyDescent="0.25">
      <c r="A279" t="s">
        <v>1610</v>
      </c>
      <c r="B279" t="s">
        <v>2199</v>
      </c>
      <c r="C279" t="s">
        <v>28</v>
      </c>
      <c r="D279" t="s">
        <v>1611</v>
      </c>
      <c r="E279" t="s">
        <v>1618</v>
      </c>
      <c r="F279">
        <v>4</v>
      </c>
      <c r="G279" t="s">
        <v>1613</v>
      </c>
      <c r="H279" s="1">
        <v>46054</v>
      </c>
      <c r="I279" t="s">
        <v>1614</v>
      </c>
      <c r="J279">
        <v>1</v>
      </c>
      <c r="K279" s="1">
        <v>46054</v>
      </c>
      <c r="L279" s="8">
        <v>5000001</v>
      </c>
    </row>
    <row r="280" spans="1:12" x14ac:dyDescent="0.25">
      <c r="A280" t="s">
        <v>1610</v>
      </c>
      <c r="B280" t="s">
        <v>2199</v>
      </c>
      <c r="C280" t="s">
        <v>28</v>
      </c>
      <c r="D280" t="s">
        <v>1611</v>
      </c>
      <c r="E280" t="s">
        <v>1617</v>
      </c>
      <c r="F280">
        <v>4</v>
      </c>
      <c r="G280" t="s">
        <v>1613</v>
      </c>
      <c r="H280" s="1">
        <v>46082</v>
      </c>
      <c r="I280" t="s">
        <v>1614</v>
      </c>
      <c r="J280">
        <v>1</v>
      </c>
      <c r="K280" s="1">
        <v>46082</v>
      </c>
      <c r="L280" s="8">
        <v>5000001</v>
      </c>
    </row>
    <row r="281" spans="1:12" x14ac:dyDescent="0.25">
      <c r="A281" t="s">
        <v>1610</v>
      </c>
      <c r="B281" t="s">
        <v>2199</v>
      </c>
      <c r="C281" t="s">
        <v>28</v>
      </c>
      <c r="D281" t="s">
        <v>1611</v>
      </c>
      <c r="E281" t="s">
        <v>602</v>
      </c>
      <c r="F281">
        <v>4</v>
      </c>
      <c r="G281" t="s">
        <v>1613</v>
      </c>
      <c r="H281" s="1">
        <v>46054</v>
      </c>
      <c r="I281" t="s">
        <v>1614</v>
      </c>
      <c r="J281">
        <v>1</v>
      </c>
      <c r="K281" s="1">
        <v>46054</v>
      </c>
      <c r="L281" s="8">
        <v>1500000</v>
      </c>
    </row>
    <row r="282" spans="1:12" x14ac:dyDescent="0.25">
      <c r="A282" t="s">
        <v>1610</v>
      </c>
      <c r="B282" t="s">
        <v>2199</v>
      </c>
      <c r="C282" t="s">
        <v>28</v>
      </c>
      <c r="D282" t="s">
        <v>1611</v>
      </c>
      <c r="E282" t="s">
        <v>1619</v>
      </c>
      <c r="F282">
        <v>4</v>
      </c>
      <c r="G282" t="s">
        <v>1613</v>
      </c>
      <c r="H282" s="1">
        <v>46023</v>
      </c>
      <c r="I282" t="s">
        <v>1614</v>
      </c>
      <c r="J282">
        <v>1</v>
      </c>
      <c r="K282" s="1">
        <v>46023</v>
      </c>
      <c r="L282" s="8">
        <v>50932000</v>
      </c>
    </row>
    <row r="283" spans="1:12" x14ac:dyDescent="0.25">
      <c r="A283" t="s">
        <v>1620</v>
      </c>
      <c r="B283" t="s">
        <v>2199</v>
      </c>
      <c r="C283" t="s">
        <v>28</v>
      </c>
      <c r="D283" t="s">
        <v>1621</v>
      </c>
      <c r="E283" t="s">
        <v>1623</v>
      </c>
      <c r="F283">
        <v>1</v>
      </c>
      <c r="G283" t="s">
        <v>1608</v>
      </c>
      <c r="H283" s="1">
        <v>46023</v>
      </c>
      <c r="I283" t="s">
        <v>361</v>
      </c>
      <c r="J283">
        <v>1</v>
      </c>
      <c r="K283" s="1">
        <v>46023</v>
      </c>
      <c r="L283" s="8">
        <v>600000</v>
      </c>
    </row>
    <row r="284" spans="1:12" x14ac:dyDescent="0.25">
      <c r="A284" t="s">
        <v>1626</v>
      </c>
      <c r="B284" t="s">
        <v>2199</v>
      </c>
      <c r="C284" t="s">
        <v>28</v>
      </c>
      <c r="D284" t="s">
        <v>1627</v>
      </c>
      <c r="E284" t="s">
        <v>1629</v>
      </c>
      <c r="F284">
        <v>3</v>
      </c>
      <c r="G284" t="s">
        <v>1572</v>
      </c>
      <c r="H284" s="1">
        <v>46113</v>
      </c>
      <c r="I284" t="s">
        <v>1573</v>
      </c>
      <c r="J284">
        <v>1</v>
      </c>
      <c r="K284" s="1">
        <v>46113</v>
      </c>
      <c r="L284" s="8">
        <v>63000</v>
      </c>
    </row>
    <row r="285" spans="1:12" x14ac:dyDescent="0.25">
      <c r="A285" t="s">
        <v>1626</v>
      </c>
      <c r="B285" t="s">
        <v>2199</v>
      </c>
      <c r="C285" t="s">
        <v>28</v>
      </c>
      <c r="D285" t="s">
        <v>1627</v>
      </c>
      <c r="E285" t="s">
        <v>1630</v>
      </c>
      <c r="F285">
        <v>3</v>
      </c>
      <c r="G285" t="s">
        <v>1572</v>
      </c>
      <c r="H285" s="1">
        <v>46113</v>
      </c>
      <c r="I285" t="s">
        <v>1573</v>
      </c>
      <c r="J285">
        <v>1</v>
      </c>
      <c r="K285" s="1">
        <v>46113</v>
      </c>
      <c r="L285" s="8">
        <v>3164040</v>
      </c>
    </row>
    <row r="286" spans="1:12" x14ac:dyDescent="0.25">
      <c r="A286" t="s">
        <v>1626</v>
      </c>
      <c r="B286" t="s">
        <v>2199</v>
      </c>
      <c r="C286" t="s">
        <v>28</v>
      </c>
      <c r="D286" t="s">
        <v>1627</v>
      </c>
      <c r="E286" t="s">
        <v>1631</v>
      </c>
      <c r="F286">
        <v>3</v>
      </c>
      <c r="G286" t="s">
        <v>1572</v>
      </c>
      <c r="H286" s="1">
        <v>46113</v>
      </c>
      <c r="I286" t="s">
        <v>1573</v>
      </c>
      <c r="J286">
        <v>1</v>
      </c>
      <c r="K286" s="1">
        <v>46113</v>
      </c>
      <c r="L286" s="8">
        <v>2353780</v>
      </c>
    </row>
    <row r="287" spans="1:12" x14ac:dyDescent="0.25">
      <c r="A287" t="s">
        <v>1632</v>
      </c>
      <c r="B287" t="s">
        <v>2199</v>
      </c>
      <c r="C287" t="s">
        <v>28</v>
      </c>
      <c r="D287" t="s">
        <v>1633</v>
      </c>
      <c r="E287" t="s">
        <v>1636</v>
      </c>
      <c r="F287">
        <v>2</v>
      </c>
      <c r="G287" t="s">
        <v>934</v>
      </c>
      <c r="H287" s="1">
        <v>46204</v>
      </c>
      <c r="I287" t="s">
        <v>935</v>
      </c>
      <c r="J287">
        <v>1</v>
      </c>
      <c r="K287" s="1">
        <v>46204</v>
      </c>
      <c r="L287" s="8">
        <v>80000</v>
      </c>
    </row>
    <row r="288" spans="1:12" x14ac:dyDescent="0.25">
      <c r="A288" t="s">
        <v>1632</v>
      </c>
      <c r="B288" t="s">
        <v>2199</v>
      </c>
      <c r="C288" t="s">
        <v>28</v>
      </c>
      <c r="D288" t="s">
        <v>1633</v>
      </c>
      <c r="E288" t="s">
        <v>1635</v>
      </c>
      <c r="F288">
        <v>2</v>
      </c>
      <c r="G288" t="s">
        <v>934</v>
      </c>
      <c r="H288" s="1">
        <v>46204</v>
      </c>
      <c r="I288" t="s">
        <v>935</v>
      </c>
      <c r="J288">
        <v>1</v>
      </c>
      <c r="K288" s="1">
        <v>46204</v>
      </c>
      <c r="L288" s="8">
        <v>360000</v>
      </c>
    </row>
    <row r="289" spans="1:12" x14ac:dyDescent="0.25">
      <c r="A289" t="s">
        <v>1637</v>
      </c>
      <c r="B289" t="s">
        <v>2199</v>
      </c>
      <c r="C289" t="s">
        <v>28</v>
      </c>
      <c r="D289" t="s">
        <v>1177</v>
      </c>
      <c r="E289" t="s">
        <v>1179</v>
      </c>
      <c r="F289">
        <v>1</v>
      </c>
      <c r="G289" t="s">
        <v>1180</v>
      </c>
      <c r="H289" s="1">
        <v>46082</v>
      </c>
      <c r="I289" t="s">
        <v>1181</v>
      </c>
      <c r="J289">
        <v>1</v>
      </c>
      <c r="K289" s="1">
        <v>46082</v>
      </c>
      <c r="L289" s="8">
        <v>115003</v>
      </c>
    </row>
    <row r="290" spans="1:12" x14ac:dyDescent="0.25">
      <c r="A290" t="s">
        <v>1638</v>
      </c>
      <c r="B290" t="s">
        <v>2199</v>
      </c>
      <c r="C290" t="s">
        <v>28</v>
      </c>
      <c r="D290" t="s">
        <v>1639</v>
      </c>
      <c r="E290" t="s">
        <v>1641</v>
      </c>
      <c r="F290">
        <v>1</v>
      </c>
      <c r="G290" t="s">
        <v>1642</v>
      </c>
      <c r="H290" s="1">
        <v>46082</v>
      </c>
      <c r="I290" t="s">
        <v>1643</v>
      </c>
      <c r="J290">
        <v>1</v>
      </c>
      <c r="K290" s="1">
        <v>46082</v>
      </c>
      <c r="L290" s="8">
        <v>405000</v>
      </c>
    </row>
    <row r="291" spans="1:12" x14ac:dyDescent="0.25">
      <c r="A291" t="s">
        <v>1667</v>
      </c>
      <c r="B291" t="s">
        <v>2199</v>
      </c>
      <c r="C291" t="s">
        <v>28</v>
      </c>
      <c r="D291" t="s">
        <v>1668</v>
      </c>
      <c r="E291" t="s">
        <v>359</v>
      </c>
      <c r="F291">
        <v>3</v>
      </c>
      <c r="G291" t="s">
        <v>64</v>
      </c>
      <c r="H291" s="1">
        <v>46082</v>
      </c>
      <c r="I291" t="s">
        <v>65</v>
      </c>
      <c r="J291">
        <v>4</v>
      </c>
      <c r="K291" t="s">
        <v>1672</v>
      </c>
      <c r="L291" s="8">
        <v>367136</v>
      </c>
    </row>
    <row r="292" spans="1:12" x14ac:dyDescent="0.25">
      <c r="A292" t="s">
        <v>1667</v>
      </c>
      <c r="B292" t="s">
        <v>2199</v>
      </c>
      <c r="C292" t="s">
        <v>28</v>
      </c>
      <c r="D292" t="s">
        <v>1668</v>
      </c>
      <c r="E292" t="s">
        <v>1670</v>
      </c>
      <c r="F292">
        <v>3</v>
      </c>
      <c r="G292" t="s">
        <v>64</v>
      </c>
      <c r="H292" s="1">
        <v>46054</v>
      </c>
      <c r="I292" t="s">
        <v>65</v>
      </c>
      <c r="J292">
        <v>1</v>
      </c>
      <c r="K292" s="1">
        <v>46054</v>
      </c>
      <c r="L292" s="8">
        <v>150000</v>
      </c>
    </row>
    <row r="293" spans="1:12" x14ac:dyDescent="0.25">
      <c r="A293" t="s">
        <v>1667</v>
      </c>
      <c r="B293" t="s">
        <v>2199</v>
      </c>
      <c r="C293" t="s">
        <v>28</v>
      </c>
      <c r="D293" t="s">
        <v>1668</v>
      </c>
      <c r="E293" t="s">
        <v>1671</v>
      </c>
      <c r="F293">
        <v>3</v>
      </c>
      <c r="G293" t="s">
        <v>64</v>
      </c>
      <c r="H293" s="1">
        <v>46054</v>
      </c>
      <c r="I293" t="s">
        <v>65</v>
      </c>
      <c r="J293">
        <v>1</v>
      </c>
      <c r="K293" s="1">
        <v>46054</v>
      </c>
      <c r="L293" s="8">
        <v>25017</v>
      </c>
    </row>
    <row r="294" spans="1:12" x14ac:dyDescent="0.25">
      <c r="A294" t="s">
        <v>1675</v>
      </c>
      <c r="B294" t="s">
        <v>2199</v>
      </c>
      <c r="C294" t="s">
        <v>28</v>
      </c>
      <c r="D294" t="s">
        <v>1658</v>
      </c>
      <c r="E294" t="s">
        <v>1617</v>
      </c>
      <c r="F294">
        <v>2</v>
      </c>
      <c r="G294" t="s">
        <v>1660</v>
      </c>
      <c r="H294" s="1">
        <v>46174</v>
      </c>
      <c r="I294" t="s">
        <v>1661</v>
      </c>
      <c r="J294">
        <v>1</v>
      </c>
      <c r="K294" s="1">
        <v>46174</v>
      </c>
      <c r="L294" s="8">
        <v>1302600</v>
      </c>
    </row>
    <row r="295" spans="1:12" x14ac:dyDescent="0.25">
      <c r="A295" t="s">
        <v>1675</v>
      </c>
      <c r="B295" t="s">
        <v>2199</v>
      </c>
      <c r="C295" t="s">
        <v>28</v>
      </c>
      <c r="D295" t="s">
        <v>1658</v>
      </c>
      <c r="E295" t="s">
        <v>1678</v>
      </c>
      <c r="F295">
        <v>2</v>
      </c>
      <c r="G295" t="s">
        <v>1660</v>
      </c>
      <c r="H295" s="1">
        <v>46174</v>
      </c>
      <c r="I295" t="s">
        <v>1661</v>
      </c>
      <c r="J295">
        <v>1</v>
      </c>
      <c r="K295" s="1">
        <v>46174</v>
      </c>
      <c r="L295" s="8">
        <v>1200000</v>
      </c>
    </row>
    <row r="296" spans="1:12" x14ac:dyDescent="0.25">
      <c r="A296" t="s">
        <v>1679</v>
      </c>
      <c r="B296" t="s">
        <v>2199</v>
      </c>
      <c r="C296" t="s">
        <v>28</v>
      </c>
      <c r="D296" t="s">
        <v>1680</v>
      </c>
      <c r="E296" t="s">
        <v>1550</v>
      </c>
      <c r="F296">
        <v>3</v>
      </c>
      <c r="G296" t="s">
        <v>457</v>
      </c>
      <c r="H296" s="1">
        <v>46023</v>
      </c>
      <c r="I296" t="s">
        <v>1682</v>
      </c>
      <c r="J296">
        <v>1</v>
      </c>
      <c r="K296" s="1">
        <v>46023</v>
      </c>
      <c r="L296" s="8">
        <v>18000</v>
      </c>
    </row>
    <row r="297" spans="1:12" x14ac:dyDescent="0.25">
      <c r="A297" t="s">
        <v>1679</v>
      </c>
      <c r="B297" t="s">
        <v>2199</v>
      </c>
      <c r="C297" t="s">
        <v>28</v>
      </c>
      <c r="D297" t="s">
        <v>1680</v>
      </c>
      <c r="E297" t="s">
        <v>486</v>
      </c>
      <c r="F297">
        <v>3</v>
      </c>
      <c r="G297" t="s">
        <v>457</v>
      </c>
      <c r="H297" s="1">
        <v>46023</v>
      </c>
      <c r="I297" t="s">
        <v>1682</v>
      </c>
      <c r="J297">
        <v>1</v>
      </c>
      <c r="K297" s="1">
        <v>46023</v>
      </c>
      <c r="L297" s="8">
        <v>184014</v>
      </c>
    </row>
    <row r="298" spans="1:12" x14ac:dyDescent="0.25">
      <c r="A298" t="s">
        <v>1679</v>
      </c>
      <c r="B298" t="s">
        <v>2199</v>
      </c>
      <c r="C298" t="s">
        <v>28</v>
      </c>
      <c r="D298" t="s">
        <v>1680</v>
      </c>
      <c r="E298" t="s">
        <v>1683</v>
      </c>
      <c r="F298">
        <v>3</v>
      </c>
      <c r="G298" t="s">
        <v>457</v>
      </c>
      <c r="H298" s="1">
        <v>46023</v>
      </c>
      <c r="I298" t="s">
        <v>1682</v>
      </c>
      <c r="J298">
        <v>1</v>
      </c>
      <c r="K298" s="1">
        <v>46023</v>
      </c>
      <c r="L298" s="8">
        <v>20000</v>
      </c>
    </row>
    <row r="299" spans="1:12" x14ac:dyDescent="0.25">
      <c r="A299" t="s">
        <v>1684</v>
      </c>
      <c r="B299" t="s">
        <v>2199</v>
      </c>
      <c r="C299" t="s">
        <v>28</v>
      </c>
      <c r="D299" t="s">
        <v>1685</v>
      </c>
      <c r="E299" t="s">
        <v>639</v>
      </c>
      <c r="F299">
        <v>1</v>
      </c>
      <c r="G299" t="s">
        <v>1642</v>
      </c>
      <c r="H299" s="1">
        <v>46054</v>
      </c>
      <c r="I299" t="s">
        <v>1643</v>
      </c>
      <c r="J299">
        <v>1</v>
      </c>
      <c r="K299" s="1">
        <v>46054</v>
      </c>
      <c r="L299" s="8">
        <v>200000</v>
      </c>
    </row>
    <row r="300" spans="1:12" x14ac:dyDescent="0.25">
      <c r="A300" t="s">
        <v>1687</v>
      </c>
      <c r="B300" t="s">
        <v>2199</v>
      </c>
      <c r="C300" t="s">
        <v>28</v>
      </c>
      <c r="D300" t="s">
        <v>1688</v>
      </c>
      <c r="E300" t="s">
        <v>486</v>
      </c>
      <c r="F300">
        <v>2</v>
      </c>
      <c r="G300" t="s">
        <v>1690</v>
      </c>
      <c r="H300" s="1">
        <v>46082</v>
      </c>
      <c r="I300" t="s">
        <v>865</v>
      </c>
      <c r="J300">
        <v>1</v>
      </c>
      <c r="K300" s="1">
        <v>46082</v>
      </c>
      <c r="L300" s="8">
        <v>230009</v>
      </c>
    </row>
    <row r="301" spans="1:12" x14ac:dyDescent="0.25">
      <c r="A301" t="s">
        <v>1687</v>
      </c>
      <c r="B301" t="s">
        <v>2199</v>
      </c>
      <c r="C301" t="s">
        <v>28</v>
      </c>
      <c r="D301" t="s">
        <v>1688</v>
      </c>
      <c r="E301" t="s">
        <v>1693</v>
      </c>
      <c r="F301">
        <v>2</v>
      </c>
      <c r="G301" t="s">
        <v>1690</v>
      </c>
      <c r="H301" s="1">
        <v>46082</v>
      </c>
      <c r="I301" t="s">
        <v>865</v>
      </c>
      <c r="J301">
        <v>1</v>
      </c>
      <c r="K301" s="1">
        <v>46082</v>
      </c>
      <c r="L301" s="8">
        <v>1796000</v>
      </c>
    </row>
    <row r="302" spans="1:12" x14ac:dyDescent="0.25">
      <c r="A302" t="s">
        <v>1694</v>
      </c>
      <c r="B302" t="s">
        <v>2199</v>
      </c>
      <c r="C302" t="s">
        <v>28</v>
      </c>
      <c r="D302" t="s">
        <v>1695</v>
      </c>
      <c r="E302" t="s">
        <v>815</v>
      </c>
      <c r="F302">
        <v>1</v>
      </c>
      <c r="G302" t="s">
        <v>414</v>
      </c>
      <c r="H302" s="1">
        <v>46143</v>
      </c>
      <c r="I302" t="s">
        <v>1697</v>
      </c>
      <c r="J302">
        <v>1</v>
      </c>
      <c r="K302" s="1">
        <v>46143</v>
      </c>
      <c r="L302" s="8">
        <v>2500008</v>
      </c>
    </row>
    <row r="303" spans="1:12" x14ac:dyDescent="0.25">
      <c r="A303" t="s">
        <v>1699</v>
      </c>
      <c r="B303" t="s">
        <v>2199</v>
      </c>
      <c r="C303" t="s">
        <v>28</v>
      </c>
      <c r="D303" t="s">
        <v>1658</v>
      </c>
      <c r="E303" t="s">
        <v>486</v>
      </c>
      <c r="F303">
        <v>1</v>
      </c>
      <c r="G303" t="s">
        <v>1660</v>
      </c>
      <c r="H303" s="1">
        <v>46174</v>
      </c>
      <c r="I303" t="s">
        <v>1661</v>
      </c>
      <c r="J303">
        <v>1</v>
      </c>
      <c r="K303" s="1">
        <v>46174</v>
      </c>
      <c r="L303" s="8">
        <v>500115</v>
      </c>
    </row>
    <row r="304" spans="1:12" x14ac:dyDescent="0.25">
      <c r="A304" t="s">
        <v>1700</v>
      </c>
      <c r="B304" t="s">
        <v>2199</v>
      </c>
      <c r="C304" t="s">
        <v>28</v>
      </c>
      <c r="D304" t="s">
        <v>1701</v>
      </c>
      <c r="E304" t="s">
        <v>1703</v>
      </c>
      <c r="F304">
        <v>1</v>
      </c>
      <c r="G304" t="s">
        <v>1704</v>
      </c>
      <c r="H304" s="1">
        <v>46143</v>
      </c>
      <c r="I304" t="s">
        <v>1705</v>
      </c>
      <c r="J304">
        <v>1</v>
      </c>
      <c r="K304" s="1">
        <v>46143</v>
      </c>
      <c r="L304" s="8">
        <v>4059825</v>
      </c>
    </row>
    <row r="305" spans="1:12" x14ac:dyDescent="0.25">
      <c r="A305" t="s">
        <v>1708</v>
      </c>
      <c r="B305" t="s">
        <v>2199</v>
      </c>
      <c r="C305" t="s">
        <v>28</v>
      </c>
      <c r="D305" t="s">
        <v>1709</v>
      </c>
      <c r="E305" t="s">
        <v>1711</v>
      </c>
      <c r="F305">
        <v>1</v>
      </c>
      <c r="G305" t="s">
        <v>958</v>
      </c>
      <c r="H305" s="1">
        <v>46023</v>
      </c>
      <c r="I305" t="s">
        <v>959</v>
      </c>
      <c r="J305">
        <v>1</v>
      </c>
      <c r="K305" s="1">
        <v>46023</v>
      </c>
      <c r="L305" s="8">
        <v>550000</v>
      </c>
    </row>
    <row r="306" spans="1:12" x14ac:dyDescent="0.25">
      <c r="A306" t="s">
        <v>1712</v>
      </c>
      <c r="B306" t="s">
        <v>2199</v>
      </c>
      <c r="C306" t="s">
        <v>28</v>
      </c>
      <c r="D306" t="s">
        <v>1713</v>
      </c>
      <c r="E306" t="s">
        <v>602</v>
      </c>
      <c r="F306">
        <v>1</v>
      </c>
      <c r="G306" t="s">
        <v>1572</v>
      </c>
      <c r="H306" s="1">
        <v>46082</v>
      </c>
      <c r="I306" t="s">
        <v>1573</v>
      </c>
      <c r="J306">
        <v>1</v>
      </c>
      <c r="K306" s="1">
        <v>46082</v>
      </c>
      <c r="L306" s="8">
        <v>783090</v>
      </c>
    </row>
    <row r="307" spans="1:12" x14ac:dyDescent="0.25">
      <c r="A307" t="s">
        <v>1715</v>
      </c>
      <c r="B307" t="s">
        <v>2199</v>
      </c>
      <c r="C307" t="s">
        <v>28</v>
      </c>
      <c r="D307" t="s">
        <v>1716</v>
      </c>
      <c r="E307" t="s">
        <v>1592</v>
      </c>
      <c r="F307">
        <v>1</v>
      </c>
      <c r="G307" t="s">
        <v>958</v>
      </c>
      <c r="H307" s="1">
        <v>46023</v>
      </c>
      <c r="I307" t="s">
        <v>959</v>
      </c>
      <c r="J307">
        <v>1</v>
      </c>
      <c r="K307" s="1">
        <v>46023</v>
      </c>
      <c r="L307" s="8">
        <v>60000</v>
      </c>
    </row>
    <row r="308" spans="1:12" x14ac:dyDescent="0.25">
      <c r="A308" t="s">
        <v>1718</v>
      </c>
      <c r="B308" t="s">
        <v>2199</v>
      </c>
      <c r="C308" t="s">
        <v>28</v>
      </c>
      <c r="D308" t="s">
        <v>1719</v>
      </c>
      <c r="E308" t="s">
        <v>1721</v>
      </c>
      <c r="F308">
        <v>1</v>
      </c>
      <c r="G308" t="s">
        <v>1723</v>
      </c>
      <c r="H308" s="1">
        <v>46174</v>
      </c>
      <c r="I308" t="s">
        <v>154</v>
      </c>
      <c r="J308">
        <v>24</v>
      </c>
      <c r="K308" t="s">
        <v>1722</v>
      </c>
      <c r="L308" s="8">
        <v>0</v>
      </c>
    </row>
    <row r="309" spans="1:12" x14ac:dyDescent="0.25">
      <c r="A309" t="s">
        <v>1725</v>
      </c>
      <c r="B309" t="s">
        <v>2199</v>
      </c>
      <c r="C309" t="s">
        <v>28</v>
      </c>
      <c r="D309" t="s">
        <v>1726</v>
      </c>
      <c r="E309" t="s">
        <v>623</v>
      </c>
      <c r="F309">
        <v>1</v>
      </c>
      <c r="G309" t="s">
        <v>1211</v>
      </c>
      <c r="H309" s="1">
        <v>46143</v>
      </c>
      <c r="I309" t="s">
        <v>320</v>
      </c>
      <c r="J309">
        <v>1</v>
      </c>
      <c r="K309" s="1">
        <v>46143</v>
      </c>
      <c r="L309" s="8">
        <v>900000</v>
      </c>
    </row>
    <row r="310" spans="1:12" x14ac:dyDescent="0.25">
      <c r="A310" t="s">
        <v>1728</v>
      </c>
      <c r="B310" t="s">
        <v>2199</v>
      </c>
      <c r="C310" t="s">
        <v>28</v>
      </c>
      <c r="D310" t="s">
        <v>1729</v>
      </c>
      <c r="E310" t="s">
        <v>882</v>
      </c>
      <c r="F310">
        <v>1</v>
      </c>
      <c r="G310" t="s">
        <v>1211</v>
      </c>
      <c r="H310" s="1">
        <v>46357</v>
      </c>
      <c r="I310" t="s">
        <v>320</v>
      </c>
      <c r="J310">
        <v>1</v>
      </c>
      <c r="K310" s="1">
        <v>46357</v>
      </c>
      <c r="L310" s="8">
        <v>1500000</v>
      </c>
    </row>
    <row r="311" spans="1:12" x14ac:dyDescent="0.25">
      <c r="A311" t="s">
        <v>1731</v>
      </c>
      <c r="B311" t="s">
        <v>2199</v>
      </c>
      <c r="C311" t="s">
        <v>28</v>
      </c>
      <c r="D311" t="s">
        <v>1732</v>
      </c>
      <c r="E311" t="s">
        <v>1641</v>
      </c>
      <c r="F311">
        <v>1</v>
      </c>
      <c r="G311" t="s">
        <v>1572</v>
      </c>
      <c r="H311" s="1">
        <v>46082</v>
      </c>
      <c r="I311" t="s">
        <v>1573</v>
      </c>
      <c r="J311">
        <v>1</v>
      </c>
      <c r="K311" s="1">
        <v>46082</v>
      </c>
      <c r="L311" s="8">
        <v>726450</v>
      </c>
    </row>
    <row r="312" spans="1:12" x14ac:dyDescent="0.25">
      <c r="A312" t="s">
        <v>1734</v>
      </c>
      <c r="B312" t="s">
        <v>2199</v>
      </c>
      <c r="C312" t="s">
        <v>28</v>
      </c>
      <c r="D312" t="s">
        <v>1736</v>
      </c>
      <c r="E312" t="s">
        <v>807</v>
      </c>
      <c r="F312">
        <v>1</v>
      </c>
      <c r="G312" t="s">
        <v>624</v>
      </c>
      <c r="H312" s="1">
        <v>46143</v>
      </c>
      <c r="I312" t="s">
        <v>625</v>
      </c>
      <c r="J312">
        <v>1</v>
      </c>
      <c r="K312" s="1">
        <v>46143</v>
      </c>
      <c r="L312" s="8">
        <v>5000000</v>
      </c>
    </row>
    <row r="313" spans="1:12" x14ac:dyDescent="0.25">
      <c r="A313" t="s">
        <v>1738</v>
      </c>
      <c r="B313" t="s">
        <v>2199</v>
      </c>
      <c r="C313" t="s">
        <v>28</v>
      </c>
      <c r="D313" t="s">
        <v>1739</v>
      </c>
      <c r="E313" t="s">
        <v>602</v>
      </c>
      <c r="F313">
        <v>1</v>
      </c>
      <c r="G313" t="s">
        <v>1723</v>
      </c>
      <c r="H313" s="1">
        <v>46113</v>
      </c>
      <c r="I313" t="s">
        <v>154</v>
      </c>
      <c r="J313">
        <v>1</v>
      </c>
      <c r="K313" s="1">
        <v>46113</v>
      </c>
      <c r="L313" s="8">
        <v>500000</v>
      </c>
    </row>
    <row r="314" spans="1:12" x14ac:dyDescent="0.25">
      <c r="A314" t="s">
        <v>1741</v>
      </c>
      <c r="B314" t="s">
        <v>2199</v>
      </c>
      <c r="C314" t="s">
        <v>28</v>
      </c>
      <c r="D314" t="s">
        <v>1742</v>
      </c>
      <c r="E314" t="s">
        <v>486</v>
      </c>
      <c r="F314">
        <v>1</v>
      </c>
      <c r="G314" t="s">
        <v>1744</v>
      </c>
      <c r="H314" s="1">
        <v>46082</v>
      </c>
      <c r="I314" t="s">
        <v>1745</v>
      </c>
      <c r="J314">
        <v>1</v>
      </c>
      <c r="K314" s="1">
        <v>46082</v>
      </c>
      <c r="L314" s="8">
        <v>316013</v>
      </c>
    </row>
    <row r="315" spans="1:12" x14ac:dyDescent="0.25">
      <c r="A315" t="s">
        <v>1748</v>
      </c>
      <c r="B315" t="s">
        <v>2199</v>
      </c>
      <c r="C315" t="s">
        <v>28</v>
      </c>
      <c r="D315" t="s">
        <v>1749</v>
      </c>
      <c r="E315" t="s">
        <v>1751</v>
      </c>
      <c r="F315">
        <v>1</v>
      </c>
      <c r="G315" t="s">
        <v>1752</v>
      </c>
      <c r="H315" s="1">
        <v>46023</v>
      </c>
      <c r="I315" t="s">
        <v>1753</v>
      </c>
      <c r="J315">
        <v>1</v>
      </c>
      <c r="K315" s="1">
        <v>46023</v>
      </c>
      <c r="L315" s="8">
        <v>10000000</v>
      </c>
    </row>
    <row r="316" spans="1:12" x14ac:dyDescent="0.25">
      <c r="A316" t="s">
        <v>1756</v>
      </c>
      <c r="B316" t="s">
        <v>2199</v>
      </c>
      <c r="C316" t="s">
        <v>28</v>
      </c>
      <c r="D316" t="s">
        <v>1757</v>
      </c>
      <c r="E316" t="s">
        <v>1237</v>
      </c>
      <c r="F316">
        <v>1</v>
      </c>
      <c r="G316" t="s">
        <v>1759</v>
      </c>
      <c r="H316" s="1">
        <v>46174</v>
      </c>
      <c r="I316" t="s">
        <v>1760</v>
      </c>
      <c r="J316">
        <v>1</v>
      </c>
      <c r="K316" s="1">
        <v>46266</v>
      </c>
      <c r="L316" s="8">
        <v>15000018</v>
      </c>
    </row>
    <row r="317" spans="1:12" x14ac:dyDescent="0.25">
      <c r="A317" t="s">
        <v>1763</v>
      </c>
      <c r="B317" t="s">
        <v>2199</v>
      </c>
      <c r="C317" t="s">
        <v>28</v>
      </c>
      <c r="D317" t="s">
        <v>1764</v>
      </c>
      <c r="E317" t="s">
        <v>1766</v>
      </c>
      <c r="F317">
        <v>1</v>
      </c>
      <c r="G317" t="s">
        <v>1759</v>
      </c>
      <c r="H317" s="1">
        <v>46174</v>
      </c>
      <c r="I317" t="s">
        <v>1760</v>
      </c>
      <c r="J317">
        <v>1</v>
      </c>
      <c r="K317" s="1">
        <v>46204</v>
      </c>
      <c r="L317" s="8">
        <v>30000000</v>
      </c>
    </row>
    <row r="318" spans="1:12" x14ac:dyDescent="0.25">
      <c r="A318" t="s">
        <v>1767</v>
      </c>
      <c r="B318" t="s">
        <v>2199</v>
      </c>
      <c r="C318" t="s">
        <v>28</v>
      </c>
      <c r="D318" t="s">
        <v>1768</v>
      </c>
      <c r="E318" t="s">
        <v>1599</v>
      </c>
      <c r="F318">
        <v>2</v>
      </c>
      <c r="G318" t="s">
        <v>1642</v>
      </c>
      <c r="H318" s="1">
        <v>46082</v>
      </c>
      <c r="I318" t="s">
        <v>1643</v>
      </c>
      <c r="J318">
        <v>1</v>
      </c>
      <c r="K318" s="1">
        <v>46082</v>
      </c>
      <c r="L318" s="8">
        <v>130000</v>
      </c>
    </row>
    <row r="319" spans="1:12" x14ac:dyDescent="0.25">
      <c r="A319" t="s">
        <v>1767</v>
      </c>
      <c r="B319" t="s">
        <v>2199</v>
      </c>
      <c r="C319" t="s">
        <v>28</v>
      </c>
      <c r="D319" t="s">
        <v>1768</v>
      </c>
      <c r="E319" t="s">
        <v>631</v>
      </c>
      <c r="F319">
        <v>2</v>
      </c>
      <c r="G319" t="s">
        <v>1642</v>
      </c>
      <c r="H319" s="1">
        <v>46082</v>
      </c>
      <c r="I319" t="s">
        <v>1643</v>
      </c>
      <c r="J319">
        <v>1</v>
      </c>
      <c r="K319" s="1">
        <v>46082</v>
      </c>
      <c r="L319" s="8">
        <v>150000</v>
      </c>
    </row>
    <row r="320" spans="1:12" x14ac:dyDescent="0.25">
      <c r="A320" t="s">
        <v>1770</v>
      </c>
      <c r="B320" t="s">
        <v>2199</v>
      </c>
      <c r="C320" t="s">
        <v>28</v>
      </c>
      <c r="D320" t="s">
        <v>1771</v>
      </c>
      <c r="E320" t="s">
        <v>1237</v>
      </c>
      <c r="F320">
        <v>1</v>
      </c>
      <c r="G320" t="s">
        <v>1773</v>
      </c>
      <c r="H320" s="1">
        <v>46113</v>
      </c>
      <c r="I320" t="s">
        <v>1774</v>
      </c>
      <c r="J320">
        <v>1</v>
      </c>
      <c r="K320" s="1">
        <v>46113</v>
      </c>
      <c r="L320" s="8">
        <v>7000000</v>
      </c>
    </row>
    <row r="321" spans="1:12" x14ac:dyDescent="0.25">
      <c r="A321" t="s">
        <v>1777</v>
      </c>
      <c r="B321" t="s">
        <v>2199</v>
      </c>
      <c r="C321" t="s">
        <v>28</v>
      </c>
      <c r="D321" t="s">
        <v>1778</v>
      </c>
      <c r="E321" t="s">
        <v>602</v>
      </c>
      <c r="F321">
        <v>1</v>
      </c>
      <c r="G321" t="s">
        <v>1744</v>
      </c>
      <c r="H321" s="1">
        <v>46143</v>
      </c>
      <c r="I321" t="s">
        <v>1745</v>
      </c>
      <c r="J321">
        <v>1</v>
      </c>
      <c r="K321" s="1">
        <v>46143</v>
      </c>
      <c r="L321" s="8">
        <v>1200000</v>
      </c>
    </row>
    <row r="322" spans="1:12" x14ac:dyDescent="0.25">
      <c r="A322" t="s">
        <v>1780</v>
      </c>
      <c r="B322" t="s">
        <v>2199</v>
      </c>
      <c r="C322" t="s">
        <v>28</v>
      </c>
      <c r="D322" t="s">
        <v>1781</v>
      </c>
      <c r="E322" t="s">
        <v>359</v>
      </c>
      <c r="F322">
        <v>1</v>
      </c>
      <c r="G322" t="s">
        <v>1744</v>
      </c>
      <c r="H322" s="1">
        <v>46082</v>
      </c>
      <c r="I322" t="s">
        <v>1745</v>
      </c>
      <c r="J322">
        <v>1</v>
      </c>
      <c r="K322" s="1">
        <v>46082</v>
      </c>
      <c r="L322" s="8">
        <v>150100</v>
      </c>
    </row>
    <row r="323" spans="1:12" x14ac:dyDescent="0.25">
      <c r="A323" t="s">
        <v>1783</v>
      </c>
      <c r="B323" t="s">
        <v>2199</v>
      </c>
      <c r="C323" t="s">
        <v>28</v>
      </c>
      <c r="D323" t="s">
        <v>1784</v>
      </c>
      <c r="E323" t="s">
        <v>1786</v>
      </c>
      <c r="F323">
        <v>1</v>
      </c>
      <c r="G323" t="s">
        <v>1773</v>
      </c>
      <c r="H323" s="1">
        <v>46082</v>
      </c>
      <c r="I323" t="s">
        <v>1774</v>
      </c>
      <c r="J323">
        <v>1</v>
      </c>
      <c r="K323" s="1">
        <v>46082</v>
      </c>
      <c r="L323" s="8">
        <v>1500000</v>
      </c>
    </row>
    <row r="324" spans="1:12" x14ac:dyDescent="0.25">
      <c r="A324" t="s">
        <v>1787</v>
      </c>
      <c r="B324" t="s">
        <v>2199</v>
      </c>
      <c r="C324" t="s">
        <v>28</v>
      </c>
      <c r="D324" t="s">
        <v>1788</v>
      </c>
      <c r="E324" t="s">
        <v>359</v>
      </c>
      <c r="F324">
        <v>3</v>
      </c>
      <c r="G324" t="s">
        <v>1642</v>
      </c>
      <c r="H324" s="1">
        <v>46266</v>
      </c>
      <c r="I324" t="s">
        <v>1643</v>
      </c>
      <c r="J324">
        <v>1</v>
      </c>
      <c r="K324" s="1">
        <v>46266</v>
      </c>
      <c r="L324" s="8">
        <v>20500</v>
      </c>
    </row>
    <row r="325" spans="1:12" x14ac:dyDescent="0.25">
      <c r="A325" t="s">
        <v>1787</v>
      </c>
      <c r="B325" t="s">
        <v>2199</v>
      </c>
      <c r="C325" t="s">
        <v>28</v>
      </c>
      <c r="D325" t="s">
        <v>1788</v>
      </c>
      <c r="E325" t="s">
        <v>486</v>
      </c>
      <c r="F325">
        <v>3</v>
      </c>
      <c r="G325" t="s">
        <v>1642</v>
      </c>
      <c r="H325" s="1">
        <v>46266</v>
      </c>
      <c r="I325" t="s">
        <v>1643</v>
      </c>
      <c r="J325">
        <v>1</v>
      </c>
      <c r="K325" s="1">
        <v>46266</v>
      </c>
      <c r="L325" s="8">
        <v>84048</v>
      </c>
    </row>
    <row r="326" spans="1:12" x14ac:dyDescent="0.25">
      <c r="A326" t="s">
        <v>1787</v>
      </c>
      <c r="B326" t="s">
        <v>2199</v>
      </c>
      <c r="C326" t="s">
        <v>28</v>
      </c>
      <c r="D326" t="s">
        <v>1788</v>
      </c>
      <c r="E326" t="s">
        <v>855</v>
      </c>
      <c r="F326">
        <v>3</v>
      </c>
      <c r="G326" t="s">
        <v>1642</v>
      </c>
      <c r="H326" s="1">
        <v>46266</v>
      </c>
      <c r="I326" t="s">
        <v>1643</v>
      </c>
      <c r="J326">
        <v>1</v>
      </c>
      <c r="K326" s="1">
        <v>46266</v>
      </c>
      <c r="L326" s="8">
        <v>14000</v>
      </c>
    </row>
    <row r="327" spans="1:12" x14ac:dyDescent="0.25">
      <c r="A327" t="s">
        <v>1790</v>
      </c>
      <c r="B327" t="s">
        <v>2199</v>
      </c>
      <c r="C327" t="s">
        <v>28</v>
      </c>
      <c r="D327" t="s">
        <v>1791</v>
      </c>
      <c r="E327" t="s">
        <v>910</v>
      </c>
      <c r="F327">
        <v>1</v>
      </c>
      <c r="G327" t="s">
        <v>1773</v>
      </c>
      <c r="H327" s="1">
        <v>46054</v>
      </c>
      <c r="I327" t="s">
        <v>1774</v>
      </c>
      <c r="J327">
        <v>1</v>
      </c>
      <c r="K327" s="1">
        <v>46054</v>
      </c>
      <c r="L327" s="8">
        <v>1000000</v>
      </c>
    </row>
    <row r="328" spans="1:12" x14ac:dyDescent="0.25">
      <c r="A328" t="s">
        <v>1793</v>
      </c>
      <c r="B328" t="s">
        <v>2199</v>
      </c>
      <c r="C328" t="s">
        <v>28</v>
      </c>
      <c r="D328" t="s">
        <v>1794</v>
      </c>
      <c r="E328" t="s">
        <v>1796</v>
      </c>
      <c r="F328">
        <v>2</v>
      </c>
      <c r="G328" t="s">
        <v>1797</v>
      </c>
      <c r="H328" s="1">
        <v>46023</v>
      </c>
      <c r="I328" t="s">
        <v>1798</v>
      </c>
      <c r="J328">
        <v>1</v>
      </c>
      <c r="K328" s="1">
        <v>46023</v>
      </c>
      <c r="L328" s="8">
        <v>65000</v>
      </c>
    </row>
    <row r="329" spans="1:12" x14ac:dyDescent="0.25">
      <c r="A329" t="s">
        <v>1793</v>
      </c>
      <c r="B329" t="s">
        <v>2199</v>
      </c>
      <c r="C329" t="s">
        <v>28</v>
      </c>
      <c r="D329" t="s">
        <v>1794</v>
      </c>
      <c r="E329" t="s">
        <v>1801</v>
      </c>
      <c r="F329">
        <v>2</v>
      </c>
      <c r="G329" t="s">
        <v>1797</v>
      </c>
      <c r="H329" s="1">
        <v>46023</v>
      </c>
      <c r="I329" t="s">
        <v>1798</v>
      </c>
      <c r="J329">
        <v>1</v>
      </c>
      <c r="K329" s="1">
        <v>46023</v>
      </c>
      <c r="L329" s="8">
        <v>45000</v>
      </c>
    </row>
    <row r="330" spans="1:12" x14ac:dyDescent="0.25">
      <c r="A330" t="s">
        <v>1802</v>
      </c>
      <c r="B330" t="s">
        <v>2199</v>
      </c>
      <c r="C330" t="s">
        <v>28</v>
      </c>
      <c r="D330" t="s">
        <v>1803</v>
      </c>
      <c r="E330" t="s">
        <v>486</v>
      </c>
      <c r="F330">
        <v>1</v>
      </c>
      <c r="G330" t="s">
        <v>1805</v>
      </c>
      <c r="H330" s="1">
        <v>46054</v>
      </c>
      <c r="I330" t="s">
        <v>523</v>
      </c>
      <c r="J330">
        <v>1</v>
      </c>
      <c r="K330" s="1">
        <v>46054</v>
      </c>
      <c r="L330" s="8">
        <v>600000</v>
      </c>
    </row>
    <row r="331" spans="1:12" x14ac:dyDescent="0.25">
      <c r="A331" t="s">
        <v>1807</v>
      </c>
      <c r="B331" t="s">
        <v>2199</v>
      </c>
      <c r="C331" t="s">
        <v>28</v>
      </c>
      <c r="D331" t="s">
        <v>1808</v>
      </c>
      <c r="E331" t="s">
        <v>1810</v>
      </c>
      <c r="F331">
        <v>1</v>
      </c>
      <c r="G331" t="s">
        <v>1752</v>
      </c>
      <c r="H331" s="1">
        <v>46023</v>
      </c>
      <c r="I331" t="s">
        <v>1753</v>
      </c>
      <c r="J331">
        <v>1</v>
      </c>
      <c r="K331" s="1">
        <v>46023</v>
      </c>
      <c r="L331" s="8">
        <v>10000000</v>
      </c>
    </row>
    <row r="332" spans="1:12" x14ac:dyDescent="0.25">
      <c r="A332" t="s">
        <v>1811</v>
      </c>
      <c r="B332" t="s">
        <v>2199</v>
      </c>
      <c r="C332" t="s">
        <v>28</v>
      </c>
      <c r="D332" t="s">
        <v>1812</v>
      </c>
      <c r="E332" t="s">
        <v>1814</v>
      </c>
      <c r="F332">
        <v>1</v>
      </c>
      <c r="G332" t="s">
        <v>1797</v>
      </c>
      <c r="H332" s="1">
        <v>46023</v>
      </c>
      <c r="I332" t="s">
        <v>1798</v>
      </c>
      <c r="J332">
        <v>1</v>
      </c>
      <c r="K332" s="1">
        <v>46023</v>
      </c>
      <c r="L332" s="8">
        <v>500000</v>
      </c>
    </row>
    <row r="333" spans="1:12" x14ac:dyDescent="0.25">
      <c r="A333" t="s">
        <v>1815</v>
      </c>
      <c r="B333" t="s">
        <v>2199</v>
      </c>
      <c r="C333" t="s">
        <v>28</v>
      </c>
      <c r="D333" t="s">
        <v>1816</v>
      </c>
      <c r="E333" t="s">
        <v>1179</v>
      </c>
      <c r="F333">
        <v>1</v>
      </c>
      <c r="G333" t="s">
        <v>1642</v>
      </c>
      <c r="H333" s="1">
        <v>46113</v>
      </c>
      <c r="I333" t="s">
        <v>1643</v>
      </c>
      <c r="J333">
        <v>1</v>
      </c>
      <c r="K333" s="1">
        <v>46113</v>
      </c>
      <c r="L333" s="8">
        <v>450008</v>
      </c>
    </row>
    <row r="334" spans="1:12" x14ac:dyDescent="0.25">
      <c r="A334" t="s">
        <v>1818</v>
      </c>
      <c r="B334" t="s">
        <v>2199</v>
      </c>
      <c r="C334" t="s">
        <v>28</v>
      </c>
      <c r="D334" t="s">
        <v>1819</v>
      </c>
      <c r="E334" t="s">
        <v>1174</v>
      </c>
      <c r="F334">
        <v>1</v>
      </c>
      <c r="G334" t="s">
        <v>1723</v>
      </c>
      <c r="H334" s="1">
        <v>46174</v>
      </c>
      <c r="I334" t="s">
        <v>154</v>
      </c>
      <c r="J334">
        <v>1</v>
      </c>
      <c r="K334" s="1">
        <v>46174</v>
      </c>
      <c r="L334" s="8">
        <v>700000</v>
      </c>
    </row>
    <row r="335" spans="1:12" x14ac:dyDescent="0.25">
      <c r="A335" t="s">
        <v>1821</v>
      </c>
      <c r="B335" t="s">
        <v>2199</v>
      </c>
      <c r="C335" t="s">
        <v>28</v>
      </c>
      <c r="D335" t="s">
        <v>1822</v>
      </c>
      <c r="E335" t="s">
        <v>777</v>
      </c>
      <c r="F335">
        <v>1</v>
      </c>
      <c r="G335" t="s">
        <v>1723</v>
      </c>
      <c r="H335" s="1">
        <v>46113</v>
      </c>
      <c r="I335" t="s">
        <v>154</v>
      </c>
      <c r="J335">
        <v>1</v>
      </c>
      <c r="K335" s="1">
        <v>46113</v>
      </c>
      <c r="L335" s="8">
        <v>2000160</v>
      </c>
    </row>
    <row r="336" spans="1:12" x14ac:dyDescent="0.25">
      <c r="A336" t="s">
        <v>1824</v>
      </c>
      <c r="B336" t="s">
        <v>2199</v>
      </c>
      <c r="C336" t="s">
        <v>28</v>
      </c>
      <c r="D336" t="s">
        <v>1825</v>
      </c>
      <c r="E336" t="s">
        <v>602</v>
      </c>
      <c r="F336">
        <v>1</v>
      </c>
      <c r="G336" t="s">
        <v>1805</v>
      </c>
      <c r="H336" s="1">
        <v>46113</v>
      </c>
      <c r="I336" t="s">
        <v>523</v>
      </c>
      <c r="J336">
        <v>1</v>
      </c>
      <c r="K336" s="1">
        <v>46113</v>
      </c>
      <c r="L336" s="8">
        <v>420000</v>
      </c>
    </row>
    <row r="337" spans="1:12" x14ac:dyDescent="0.25">
      <c r="A337" t="s">
        <v>1832</v>
      </c>
      <c r="B337" t="s">
        <v>2199</v>
      </c>
      <c r="C337" t="s">
        <v>28</v>
      </c>
      <c r="D337" t="s">
        <v>1833</v>
      </c>
      <c r="E337" t="s">
        <v>815</v>
      </c>
      <c r="F337">
        <v>2</v>
      </c>
      <c r="G337" t="s">
        <v>1642</v>
      </c>
      <c r="H337" s="1">
        <v>46174</v>
      </c>
      <c r="I337" t="s">
        <v>1643</v>
      </c>
      <c r="J337">
        <v>1</v>
      </c>
      <c r="K337" s="1">
        <v>46174</v>
      </c>
      <c r="L337" s="8">
        <v>600000</v>
      </c>
    </row>
    <row r="338" spans="1:12" x14ac:dyDescent="0.25">
      <c r="A338" t="s">
        <v>1832</v>
      </c>
      <c r="B338" t="s">
        <v>2199</v>
      </c>
      <c r="C338" t="s">
        <v>28</v>
      </c>
      <c r="D338" t="s">
        <v>1833</v>
      </c>
      <c r="E338" t="s">
        <v>486</v>
      </c>
      <c r="F338">
        <v>2</v>
      </c>
      <c r="G338" t="s">
        <v>1642</v>
      </c>
      <c r="H338" s="1">
        <v>46174</v>
      </c>
      <c r="I338" t="s">
        <v>1643</v>
      </c>
      <c r="J338">
        <v>1</v>
      </c>
      <c r="K338" s="1">
        <v>46174</v>
      </c>
      <c r="L338" s="8">
        <v>400000</v>
      </c>
    </row>
    <row r="339" spans="1:12" x14ac:dyDescent="0.25">
      <c r="A339" t="s">
        <v>1835</v>
      </c>
      <c r="B339" t="s">
        <v>2199</v>
      </c>
      <c r="C339" t="s">
        <v>28</v>
      </c>
      <c r="D339" t="s">
        <v>1836</v>
      </c>
      <c r="E339" t="s">
        <v>1838</v>
      </c>
      <c r="F339">
        <v>1</v>
      </c>
      <c r="G339" t="s">
        <v>1642</v>
      </c>
      <c r="H339" s="1">
        <v>46235</v>
      </c>
      <c r="I339" t="s">
        <v>1643</v>
      </c>
      <c r="J339">
        <v>1</v>
      </c>
      <c r="K339" s="1">
        <v>46235</v>
      </c>
      <c r="L339" s="8">
        <v>440040</v>
      </c>
    </row>
    <row r="340" spans="1:12" x14ac:dyDescent="0.25">
      <c r="A340" t="s">
        <v>1839</v>
      </c>
      <c r="B340" t="s">
        <v>2199</v>
      </c>
      <c r="C340" t="s">
        <v>28</v>
      </c>
      <c r="D340" t="s">
        <v>1840</v>
      </c>
      <c r="E340" t="s">
        <v>777</v>
      </c>
      <c r="F340">
        <v>1</v>
      </c>
      <c r="G340" t="s">
        <v>1572</v>
      </c>
      <c r="H340" s="1">
        <v>46113</v>
      </c>
      <c r="I340" t="s">
        <v>1573</v>
      </c>
      <c r="J340">
        <v>1</v>
      </c>
      <c r="K340" s="1">
        <v>46113</v>
      </c>
      <c r="L340" s="8">
        <v>2578000</v>
      </c>
    </row>
    <row r="341" spans="1:12" x14ac:dyDescent="0.25">
      <c r="A341" t="s">
        <v>1842</v>
      </c>
      <c r="B341" t="s">
        <v>2199</v>
      </c>
      <c r="C341" t="s">
        <v>28</v>
      </c>
      <c r="D341" t="s">
        <v>1843</v>
      </c>
      <c r="E341" t="s">
        <v>1844</v>
      </c>
      <c r="F341">
        <v>1</v>
      </c>
      <c r="G341" t="s">
        <v>122</v>
      </c>
      <c r="H341" s="1">
        <v>46143</v>
      </c>
      <c r="I341" t="s">
        <v>544</v>
      </c>
      <c r="J341">
        <v>1</v>
      </c>
      <c r="K341" s="1">
        <v>46143</v>
      </c>
      <c r="L341" s="8">
        <v>3000000</v>
      </c>
    </row>
    <row r="342" spans="1:12" x14ac:dyDescent="0.25">
      <c r="A342" t="s">
        <v>1845</v>
      </c>
      <c r="B342" t="s">
        <v>2199</v>
      </c>
      <c r="C342" t="s">
        <v>28</v>
      </c>
      <c r="D342" t="s">
        <v>1846</v>
      </c>
      <c r="E342" t="s">
        <v>602</v>
      </c>
      <c r="F342">
        <v>1</v>
      </c>
      <c r="G342" t="s">
        <v>1572</v>
      </c>
      <c r="H342" s="1">
        <v>46266</v>
      </c>
      <c r="I342" t="s">
        <v>1573</v>
      </c>
      <c r="J342">
        <v>1</v>
      </c>
      <c r="K342" s="1">
        <v>46266</v>
      </c>
      <c r="L342" s="8">
        <v>1428000</v>
      </c>
    </row>
    <row r="343" spans="1:12" x14ac:dyDescent="0.25">
      <c r="A343" t="s">
        <v>1848</v>
      </c>
      <c r="B343" t="s">
        <v>2199</v>
      </c>
      <c r="C343" t="s">
        <v>28</v>
      </c>
      <c r="D343" t="s">
        <v>1849</v>
      </c>
      <c r="E343" t="s">
        <v>1851</v>
      </c>
      <c r="F343">
        <v>1</v>
      </c>
      <c r="G343" t="s">
        <v>414</v>
      </c>
      <c r="H343" s="1">
        <v>46082</v>
      </c>
      <c r="I343" t="s">
        <v>1852</v>
      </c>
      <c r="J343">
        <v>1</v>
      </c>
      <c r="K343" s="1">
        <v>46082</v>
      </c>
      <c r="L343" s="8">
        <v>9000000</v>
      </c>
    </row>
    <row r="344" spans="1:12" x14ac:dyDescent="0.25">
      <c r="A344" t="s">
        <v>1853</v>
      </c>
      <c r="B344" t="s">
        <v>2199</v>
      </c>
      <c r="C344" t="s">
        <v>28</v>
      </c>
      <c r="D344" t="s">
        <v>1854</v>
      </c>
      <c r="E344" t="s">
        <v>1175</v>
      </c>
      <c r="F344">
        <v>1</v>
      </c>
      <c r="G344" t="s">
        <v>1445</v>
      </c>
      <c r="H344" s="1">
        <v>46054</v>
      </c>
      <c r="I344" t="s">
        <v>1446</v>
      </c>
      <c r="J344">
        <v>1</v>
      </c>
      <c r="K344" s="1">
        <v>46054</v>
      </c>
      <c r="L344" s="8">
        <v>3000000</v>
      </c>
    </row>
    <row r="345" spans="1:12" x14ac:dyDescent="0.25">
      <c r="A345" t="s">
        <v>1856</v>
      </c>
      <c r="B345" t="s">
        <v>2199</v>
      </c>
      <c r="C345" t="s">
        <v>28</v>
      </c>
      <c r="D345" t="s">
        <v>1857</v>
      </c>
      <c r="E345" t="s">
        <v>760</v>
      </c>
      <c r="F345">
        <v>1</v>
      </c>
      <c r="G345" t="s">
        <v>761</v>
      </c>
      <c r="H345" s="1">
        <v>46174</v>
      </c>
      <c r="I345" t="s">
        <v>762</v>
      </c>
      <c r="J345">
        <v>1</v>
      </c>
      <c r="K345" s="1">
        <v>46174</v>
      </c>
      <c r="L345" s="8">
        <v>1250000</v>
      </c>
    </row>
    <row r="346" spans="1:12" x14ac:dyDescent="0.25">
      <c r="A346" t="s">
        <v>1860</v>
      </c>
      <c r="B346" t="s">
        <v>2199</v>
      </c>
      <c r="C346" t="s">
        <v>28</v>
      </c>
      <c r="D346" t="s">
        <v>1861</v>
      </c>
      <c r="E346" t="s">
        <v>1864</v>
      </c>
      <c r="F346">
        <v>3</v>
      </c>
      <c r="G346" t="s">
        <v>1797</v>
      </c>
      <c r="H346" s="1">
        <v>46023</v>
      </c>
      <c r="I346" t="s">
        <v>1798</v>
      </c>
      <c r="J346">
        <v>1</v>
      </c>
      <c r="K346" s="1">
        <v>46054</v>
      </c>
      <c r="L346" s="8">
        <v>58014</v>
      </c>
    </row>
    <row r="347" spans="1:12" x14ac:dyDescent="0.25">
      <c r="A347" t="s">
        <v>1860</v>
      </c>
      <c r="B347" t="s">
        <v>2199</v>
      </c>
      <c r="C347" t="s">
        <v>28</v>
      </c>
      <c r="D347" t="s">
        <v>1861</v>
      </c>
      <c r="E347" t="s">
        <v>1863</v>
      </c>
      <c r="F347">
        <v>3</v>
      </c>
      <c r="G347" t="s">
        <v>1797</v>
      </c>
      <c r="H347" s="1">
        <v>46023</v>
      </c>
      <c r="I347" t="s">
        <v>1798</v>
      </c>
      <c r="J347">
        <v>1</v>
      </c>
      <c r="K347" s="1">
        <v>46054</v>
      </c>
      <c r="L347" s="8">
        <v>120000</v>
      </c>
    </row>
    <row r="348" spans="1:12" x14ac:dyDescent="0.25">
      <c r="A348" t="s">
        <v>1860</v>
      </c>
      <c r="B348" t="s">
        <v>2199</v>
      </c>
      <c r="C348" t="s">
        <v>28</v>
      </c>
      <c r="D348" t="s">
        <v>1861</v>
      </c>
      <c r="E348" t="s">
        <v>486</v>
      </c>
      <c r="F348">
        <v>3</v>
      </c>
      <c r="G348" t="s">
        <v>1797</v>
      </c>
      <c r="H348" s="1">
        <v>46023</v>
      </c>
      <c r="I348" t="s">
        <v>1798</v>
      </c>
      <c r="J348">
        <v>1</v>
      </c>
      <c r="K348" s="1">
        <v>46054</v>
      </c>
      <c r="L348" s="8">
        <v>271072</v>
      </c>
    </row>
    <row r="349" spans="1:12" x14ac:dyDescent="0.25">
      <c r="A349" t="s">
        <v>1865</v>
      </c>
      <c r="B349" t="s">
        <v>2199</v>
      </c>
      <c r="C349" t="s">
        <v>28</v>
      </c>
      <c r="D349" t="s">
        <v>1866</v>
      </c>
      <c r="E349" t="s">
        <v>359</v>
      </c>
      <c r="F349">
        <v>2</v>
      </c>
      <c r="G349" t="s">
        <v>1868</v>
      </c>
      <c r="H349" s="1">
        <v>46023</v>
      </c>
      <c r="I349" t="s">
        <v>1869</v>
      </c>
      <c r="J349">
        <v>1</v>
      </c>
      <c r="K349" s="1">
        <v>46023</v>
      </c>
      <c r="L349" s="8">
        <v>385050</v>
      </c>
    </row>
    <row r="350" spans="1:12" x14ac:dyDescent="0.25">
      <c r="A350" t="s">
        <v>1865</v>
      </c>
      <c r="B350" t="s">
        <v>2199</v>
      </c>
      <c r="C350" t="s">
        <v>28</v>
      </c>
      <c r="D350" t="s">
        <v>1866</v>
      </c>
      <c r="E350" t="s">
        <v>855</v>
      </c>
      <c r="F350">
        <v>2</v>
      </c>
      <c r="G350" t="s">
        <v>1868</v>
      </c>
      <c r="H350" s="1">
        <v>46023</v>
      </c>
      <c r="I350" t="s">
        <v>1869</v>
      </c>
      <c r="J350">
        <v>1</v>
      </c>
      <c r="K350" s="1">
        <v>46023</v>
      </c>
      <c r="L350" s="8">
        <v>121800</v>
      </c>
    </row>
    <row r="351" spans="1:12" x14ac:dyDescent="0.25">
      <c r="A351" t="s">
        <v>1872</v>
      </c>
      <c r="B351" t="s">
        <v>2199</v>
      </c>
      <c r="C351" t="s">
        <v>28</v>
      </c>
      <c r="D351" t="s">
        <v>1873</v>
      </c>
      <c r="E351" t="s">
        <v>359</v>
      </c>
      <c r="F351">
        <v>3</v>
      </c>
      <c r="G351" t="s">
        <v>1875</v>
      </c>
      <c r="H351" s="1">
        <v>46082</v>
      </c>
      <c r="I351" t="s">
        <v>1876</v>
      </c>
      <c r="J351">
        <v>1</v>
      </c>
      <c r="K351" s="1">
        <v>46082</v>
      </c>
      <c r="L351" s="8">
        <v>68000</v>
      </c>
    </row>
    <row r="352" spans="1:12" x14ac:dyDescent="0.25">
      <c r="A352" t="s">
        <v>1872</v>
      </c>
      <c r="B352" t="s">
        <v>2199</v>
      </c>
      <c r="C352" t="s">
        <v>28</v>
      </c>
      <c r="D352" t="s">
        <v>1873</v>
      </c>
      <c r="E352" t="s">
        <v>1878</v>
      </c>
      <c r="F352">
        <v>3</v>
      </c>
      <c r="G352" t="s">
        <v>1875</v>
      </c>
      <c r="H352" s="1">
        <v>46082</v>
      </c>
      <c r="I352" t="s">
        <v>1876</v>
      </c>
      <c r="J352">
        <v>1</v>
      </c>
      <c r="K352" s="1">
        <v>46082</v>
      </c>
      <c r="L352" s="8">
        <v>305000</v>
      </c>
    </row>
    <row r="353" spans="1:12" x14ac:dyDescent="0.25">
      <c r="A353" t="s">
        <v>1872</v>
      </c>
      <c r="B353" t="s">
        <v>2199</v>
      </c>
      <c r="C353" t="s">
        <v>28</v>
      </c>
      <c r="D353" t="s">
        <v>1873</v>
      </c>
      <c r="E353" t="s">
        <v>486</v>
      </c>
      <c r="F353">
        <v>3</v>
      </c>
      <c r="G353" t="s">
        <v>1875</v>
      </c>
      <c r="H353" s="1">
        <v>46082</v>
      </c>
      <c r="I353" t="s">
        <v>1876</v>
      </c>
      <c r="J353">
        <v>1</v>
      </c>
      <c r="K353" s="1">
        <v>46082</v>
      </c>
      <c r="L353" s="8">
        <v>132068</v>
      </c>
    </row>
    <row r="354" spans="1:12" x14ac:dyDescent="0.25">
      <c r="A354" t="s">
        <v>1879</v>
      </c>
      <c r="B354" t="s">
        <v>2199</v>
      </c>
      <c r="C354" t="s">
        <v>28</v>
      </c>
      <c r="D354" t="s">
        <v>1880</v>
      </c>
      <c r="E354" t="s">
        <v>1375</v>
      </c>
      <c r="F354">
        <v>1</v>
      </c>
      <c r="G354" t="s">
        <v>768</v>
      </c>
      <c r="H354" s="1">
        <v>46235</v>
      </c>
      <c r="I354" t="s">
        <v>966</v>
      </c>
      <c r="J354">
        <v>1</v>
      </c>
      <c r="K354" s="1">
        <v>46235</v>
      </c>
      <c r="L354" s="8">
        <v>12000000</v>
      </c>
    </row>
    <row r="355" spans="1:12" x14ac:dyDescent="0.25">
      <c r="A355" t="s">
        <v>1883</v>
      </c>
      <c r="B355" t="s">
        <v>2199</v>
      </c>
      <c r="C355" t="s">
        <v>28</v>
      </c>
      <c r="D355" t="s">
        <v>1884</v>
      </c>
      <c r="E355" t="s">
        <v>1886</v>
      </c>
      <c r="F355">
        <v>1</v>
      </c>
      <c r="G355" t="s">
        <v>1759</v>
      </c>
      <c r="H355" s="1">
        <v>46082</v>
      </c>
      <c r="I355" t="s">
        <v>1760</v>
      </c>
      <c r="J355">
        <v>1</v>
      </c>
      <c r="K355" s="1">
        <v>46082</v>
      </c>
      <c r="L355" s="8">
        <v>3550000</v>
      </c>
    </row>
    <row r="356" spans="1:12" x14ac:dyDescent="0.25">
      <c r="A356" t="s">
        <v>1890</v>
      </c>
      <c r="B356" t="s">
        <v>2199</v>
      </c>
      <c r="C356" t="s">
        <v>28</v>
      </c>
      <c r="D356" t="s">
        <v>1891</v>
      </c>
      <c r="E356" t="s">
        <v>1527</v>
      </c>
      <c r="F356">
        <v>1</v>
      </c>
      <c r="G356" t="s">
        <v>1893</v>
      </c>
      <c r="H356" s="1">
        <v>46023</v>
      </c>
      <c r="I356" t="s">
        <v>1894</v>
      </c>
      <c r="J356">
        <v>1</v>
      </c>
      <c r="K356" s="1">
        <v>46023</v>
      </c>
      <c r="L356" s="8">
        <v>70000</v>
      </c>
    </row>
    <row r="357" spans="1:12" x14ac:dyDescent="0.25">
      <c r="A357" t="s">
        <v>1897</v>
      </c>
      <c r="B357" t="s">
        <v>2199</v>
      </c>
      <c r="C357" t="s">
        <v>28</v>
      </c>
      <c r="D357" t="s">
        <v>1898</v>
      </c>
      <c r="E357" t="s">
        <v>1550</v>
      </c>
      <c r="F357">
        <v>3</v>
      </c>
      <c r="G357" t="s">
        <v>1797</v>
      </c>
      <c r="H357" s="1">
        <v>46023</v>
      </c>
      <c r="I357" t="s">
        <v>1798</v>
      </c>
      <c r="J357">
        <v>1</v>
      </c>
      <c r="K357" s="1">
        <v>46023</v>
      </c>
      <c r="L357" s="8">
        <v>35000</v>
      </c>
    </row>
    <row r="358" spans="1:12" x14ac:dyDescent="0.25">
      <c r="A358" t="s">
        <v>1897</v>
      </c>
      <c r="B358" t="s">
        <v>2199</v>
      </c>
      <c r="C358" t="s">
        <v>28</v>
      </c>
      <c r="D358" t="s">
        <v>1898</v>
      </c>
      <c r="E358" t="s">
        <v>486</v>
      </c>
      <c r="F358">
        <v>3</v>
      </c>
      <c r="G358" t="s">
        <v>1797</v>
      </c>
      <c r="H358" s="1">
        <v>46023</v>
      </c>
      <c r="I358" t="s">
        <v>1798</v>
      </c>
      <c r="J358">
        <v>1</v>
      </c>
      <c r="K358" s="1">
        <v>46023</v>
      </c>
      <c r="L358" s="8">
        <v>120000</v>
      </c>
    </row>
    <row r="359" spans="1:12" x14ac:dyDescent="0.25">
      <c r="A359" t="s">
        <v>1897</v>
      </c>
      <c r="B359" t="s">
        <v>2199</v>
      </c>
      <c r="C359" t="s">
        <v>28</v>
      </c>
      <c r="D359" t="s">
        <v>1898</v>
      </c>
      <c r="E359" t="s">
        <v>1058</v>
      </c>
      <c r="F359">
        <v>3</v>
      </c>
      <c r="G359" t="s">
        <v>1797</v>
      </c>
      <c r="H359" s="1">
        <v>46023</v>
      </c>
      <c r="I359" t="s">
        <v>1798</v>
      </c>
      <c r="J359">
        <v>1</v>
      </c>
      <c r="K359" s="1">
        <v>46023</v>
      </c>
      <c r="L359" s="8">
        <v>180000</v>
      </c>
    </row>
    <row r="360" spans="1:12" x14ac:dyDescent="0.25">
      <c r="A360" t="s">
        <v>1901</v>
      </c>
      <c r="B360" t="s">
        <v>2199</v>
      </c>
      <c r="C360" t="s">
        <v>28</v>
      </c>
      <c r="D360" t="s">
        <v>1903</v>
      </c>
      <c r="E360" t="s">
        <v>359</v>
      </c>
      <c r="F360">
        <v>3</v>
      </c>
      <c r="G360" t="s">
        <v>761</v>
      </c>
      <c r="H360" s="1">
        <v>46023</v>
      </c>
      <c r="I360" t="s">
        <v>762</v>
      </c>
      <c r="J360">
        <v>1</v>
      </c>
      <c r="K360" s="1">
        <v>46054</v>
      </c>
      <c r="L360" s="8">
        <v>5255136</v>
      </c>
    </row>
    <row r="361" spans="1:12" x14ac:dyDescent="0.25">
      <c r="A361" t="s">
        <v>1901</v>
      </c>
      <c r="B361" t="s">
        <v>2199</v>
      </c>
      <c r="C361" t="s">
        <v>28</v>
      </c>
      <c r="D361" t="s">
        <v>1903</v>
      </c>
      <c r="E361" t="s">
        <v>1907</v>
      </c>
      <c r="F361">
        <v>3</v>
      </c>
      <c r="G361" t="s">
        <v>761</v>
      </c>
      <c r="H361" s="1">
        <v>46023</v>
      </c>
      <c r="I361" t="s">
        <v>762</v>
      </c>
      <c r="J361">
        <v>1</v>
      </c>
      <c r="K361" s="1">
        <v>46054</v>
      </c>
      <c r="L361" s="8">
        <v>1261902</v>
      </c>
    </row>
    <row r="362" spans="1:12" x14ac:dyDescent="0.25">
      <c r="A362" t="s">
        <v>1908</v>
      </c>
      <c r="B362" t="s">
        <v>2199</v>
      </c>
      <c r="C362" t="s">
        <v>28</v>
      </c>
      <c r="D362" t="s">
        <v>1909</v>
      </c>
      <c r="E362" t="s">
        <v>740</v>
      </c>
      <c r="F362">
        <v>1</v>
      </c>
      <c r="G362" t="s">
        <v>1797</v>
      </c>
      <c r="H362" s="1">
        <v>46023</v>
      </c>
      <c r="I362" t="s">
        <v>1798</v>
      </c>
      <c r="J362">
        <v>1</v>
      </c>
      <c r="K362" s="1">
        <v>46023</v>
      </c>
      <c r="L362" s="8">
        <v>170000</v>
      </c>
    </row>
    <row r="363" spans="1:12" x14ac:dyDescent="0.25">
      <c r="A363" t="s">
        <v>1911</v>
      </c>
      <c r="B363" t="s">
        <v>2199</v>
      </c>
      <c r="C363" t="s">
        <v>28</v>
      </c>
      <c r="D363" t="s">
        <v>1912</v>
      </c>
      <c r="E363" t="s">
        <v>840</v>
      </c>
      <c r="F363">
        <v>1</v>
      </c>
      <c r="G363" t="s">
        <v>1893</v>
      </c>
      <c r="H363" s="1">
        <v>46023</v>
      </c>
      <c r="I363" t="s">
        <v>1894</v>
      </c>
      <c r="J363">
        <v>1</v>
      </c>
      <c r="K363" s="1">
        <v>46023</v>
      </c>
      <c r="L363" s="8">
        <v>100000</v>
      </c>
    </row>
    <row r="364" spans="1:12" x14ac:dyDescent="0.25">
      <c r="A364" t="s">
        <v>1914</v>
      </c>
      <c r="B364" t="s">
        <v>2199</v>
      </c>
      <c r="C364" t="s">
        <v>28</v>
      </c>
      <c r="D364" t="s">
        <v>1916</v>
      </c>
      <c r="E364" t="s">
        <v>1920</v>
      </c>
      <c r="F364">
        <v>2</v>
      </c>
      <c r="G364" t="s">
        <v>1445</v>
      </c>
      <c r="H364" s="1">
        <v>46054</v>
      </c>
      <c r="I364" t="s">
        <v>1446</v>
      </c>
      <c r="J364">
        <v>1</v>
      </c>
      <c r="K364" s="1">
        <v>46082</v>
      </c>
      <c r="L364" s="8">
        <v>150000</v>
      </c>
    </row>
    <row r="365" spans="1:12" x14ac:dyDescent="0.25">
      <c r="A365" t="s">
        <v>1914</v>
      </c>
      <c r="B365" t="s">
        <v>2199</v>
      </c>
      <c r="C365" t="s">
        <v>28</v>
      </c>
      <c r="D365" t="s">
        <v>1916</v>
      </c>
      <c r="E365" t="s">
        <v>1918</v>
      </c>
      <c r="F365">
        <v>2</v>
      </c>
      <c r="G365" t="s">
        <v>1445</v>
      </c>
      <c r="H365" s="1">
        <v>46054</v>
      </c>
      <c r="I365" t="s">
        <v>1446</v>
      </c>
      <c r="J365">
        <v>1</v>
      </c>
      <c r="K365" s="1">
        <v>46082</v>
      </c>
      <c r="L365" s="8">
        <v>70000</v>
      </c>
    </row>
    <row r="366" spans="1:12" x14ac:dyDescent="0.25">
      <c r="A366" t="s">
        <v>1921</v>
      </c>
      <c r="B366" t="s">
        <v>2199</v>
      </c>
      <c r="C366" t="s">
        <v>28</v>
      </c>
      <c r="D366" t="s">
        <v>1922</v>
      </c>
      <c r="E366" t="s">
        <v>359</v>
      </c>
      <c r="F366">
        <v>2</v>
      </c>
      <c r="G366" t="s">
        <v>1924</v>
      </c>
      <c r="H366" s="1">
        <v>46023</v>
      </c>
      <c r="I366" t="s">
        <v>1869</v>
      </c>
      <c r="J366">
        <v>1</v>
      </c>
      <c r="K366" s="1">
        <v>46023</v>
      </c>
      <c r="L366" s="8">
        <v>380078</v>
      </c>
    </row>
    <row r="367" spans="1:12" x14ac:dyDescent="0.25">
      <c r="A367" t="s">
        <v>1921</v>
      </c>
      <c r="B367" t="s">
        <v>2199</v>
      </c>
      <c r="C367" t="s">
        <v>28</v>
      </c>
      <c r="D367" t="s">
        <v>1922</v>
      </c>
      <c r="E367" t="s">
        <v>855</v>
      </c>
      <c r="F367">
        <v>2</v>
      </c>
      <c r="G367" t="s">
        <v>1924</v>
      </c>
      <c r="H367" s="1">
        <v>46023</v>
      </c>
      <c r="I367" t="s">
        <v>1869</v>
      </c>
      <c r="J367">
        <v>1</v>
      </c>
      <c r="K367" s="1">
        <v>46023</v>
      </c>
      <c r="L367" s="8">
        <v>131430</v>
      </c>
    </row>
    <row r="368" spans="1:12" x14ac:dyDescent="0.25">
      <c r="A368" t="s">
        <v>1927</v>
      </c>
      <c r="B368" t="s">
        <v>2199</v>
      </c>
      <c r="C368" t="s">
        <v>28</v>
      </c>
      <c r="D368" t="s">
        <v>1928</v>
      </c>
      <c r="E368" t="s">
        <v>359</v>
      </c>
      <c r="F368">
        <v>9</v>
      </c>
      <c r="G368" t="s">
        <v>1931</v>
      </c>
      <c r="H368" s="1">
        <v>46174</v>
      </c>
      <c r="I368" t="s">
        <v>1932</v>
      </c>
      <c r="J368">
        <v>1</v>
      </c>
      <c r="K368" s="1">
        <v>46204</v>
      </c>
      <c r="L368" s="8">
        <v>738320</v>
      </c>
    </row>
    <row r="369" spans="1:12" x14ac:dyDescent="0.25">
      <c r="A369" t="s">
        <v>1927</v>
      </c>
      <c r="B369" t="s">
        <v>2199</v>
      </c>
      <c r="C369" t="s">
        <v>28</v>
      </c>
      <c r="D369" t="s">
        <v>1928</v>
      </c>
      <c r="E369" t="s">
        <v>1941</v>
      </c>
      <c r="F369">
        <v>9</v>
      </c>
      <c r="G369" t="s">
        <v>1931</v>
      </c>
      <c r="H369" s="1">
        <v>46235</v>
      </c>
      <c r="I369" t="s">
        <v>1932</v>
      </c>
      <c r="J369">
        <v>1</v>
      </c>
      <c r="K369" s="1">
        <v>46266</v>
      </c>
      <c r="L369" s="8">
        <v>1500000</v>
      </c>
    </row>
    <row r="370" spans="1:12" x14ac:dyDescent="0.25">
      <c r="A370" t="s">
        <v>1927</v>
      </c>
      <c r="B370" t="s">
        <v>2199</v>
      </c>
      <c r="C370" t="s">
        <v>28</v>
      </c>
      <c r="D370" t="s">
        <v>1928</v>
      </c>
      <c r="E370" t="s">
        <v>1938</v>
      </c>
      <c r="F370">
        <v>9</v>
      </c>
      <c r="G370" t="s">
        <v>1931</v>
      </c>
      <c r="H370" s="1">
        <v>46174</v>
      </c>
      <c r="I370" t="s">
        <v>1932</v>
      </c>
      <c r="J370">
        <v>1</v>
      </c>
      <c r="K370" s="1">
        <v>46204</v>
      </c>
      <c r="L370" s="8">
        <v>3100800</v>
      </c>
    </row>
    <row r="371" spans="1:12" x14ac:dyDescent="0.25">
      <c r="A371" t="s">
        <v>1927</v>
      </c>
      <c r="B371" t="s">
        <v>2199</v>
      </c>
      <c r="C371" t="s">
        <v>28</v>
      </c>
      <c r="D371" t="s">
        <v>1928</v>
      </c>
      <c r="E371" t="s">
        <v>1940</v>
      </c>
      <c r="F371">
        <v>9</v>
      </c>
      <c r="G371" t="s">
        <v>1931</v>
      </c>
      <c r="H371" s="1">
        <v>46174</v>
      </c>
      <c r="I371" t="s">
        <v>1932</v>
      </c>
      <c r="J371">
        <v>1</v>
      </c>
      <c r="K371" s="1">
        <v>46204</v>
      </c>
      <c r="L371" s="8">
        <v>50000</v>
      </c>
    </row>
    <row r="372" spans="1:12" x14ac:dyDescent="0.25">
      <c r="A372" t="s">
        <v>1927</v>
      </c>
      <c r="B372" t="s">
        <v>2199</v>
      </c>
      <c r="C372" t="s">
        <v>28</v>
      </c>
      <c r="D372" t="s">
        <v>1928</v>
      </c>
      <c r="E372" t="s">
        <v>1907</v>
      </c>
      <c r="F372">
        <v>9</v>
      </c>
      <c r="G372" t="s">
        <v>1931</v>
      </c>
      <c r="H372" s="1">
        <v>46174</v>
      </c>
      <c r="I372" t="s">
        <v>1932</v>
      </c>
      <c r="J372">
        <v>1</v>
      </c>
      <c r="K372" s="1">
        <v>46204</v>
      </c>
      <c r="L372" s="8">
        <v>169040</v>
      </c>
    </row>
    <row r="373" spans="1:12" x14ac:dyDescent="0.25">
      <c r="A373" t="s">
        <v>1927</v>
      </c>
      <c r="B373" t="s">
        <v>2199</v>
      </c>
      <c r="C373" t="s">
        <v>28</v>
      </c>
      <c r="D373" t="s">
        <v>1928</v>
      </c>
      <c r="E373" t="s">
        <v>1939</v>
      </c>
      <c r="F373">
        <v>9</v>
      </c>
      <c r="G373" t="s">
        <v>1931</v>
      </c>
      <c r="H373" s="1">
        <v>46174</v>
      </c>
      <c r="I373" t="s">
        <v>1932</v>
      </c>
      <c r="J373">
        <v>1</v>
      </c>
      <c r="K373" s="1">
        <v>46204</v>
      </c>
      <c r="L373" s="8">
        <v>50000</v>
      </c>
    </row>
    <row r="374" spans="1:12" x14ac:dyDescent="0.25">
      <c r="A374" t="s">
        <v>1927</v>
      </c>
      <c r="B374" t="s">
        <v>2199</v>
      </c>
      <c r="C374" t="s">
        <v>28</v>
      </c>
      <c r="D374" t="s">
        <v>1928</v>
      </c>
      <c r="E374" t="s">
        <v>1936</v>
      </c>
      <c r="F374">
        <v>9</v>
      </c>
      <c r="G374" t="s">
        <v>1931</v>
      </c>
      <c r="H374" s="1">
        <v>46235</v>
      </c>
      <c r="I374" t="s">
        <v>1932</v>
      </c>
      <c r="J374">
        <v>1</v>
      </c>
      <c r="K374" s="1">
        <v>46266</v>
      </c>
      <c r="L374" s="8">
        <v>5400000</v>
      </c>
    </row>
    <row r="375" spans="1:12" x14ac:dyDescent="0.25">
      <c r="A375" t="s">
        <v>1927</v>
      </c>
      <c r="B375" t="s">
        <v>2199</v>
      </c>
      <c r="C375" t="s">
        <v>28</v>
      </c>
      <c r="D375" t="s">
        <v>1928</v>
      </c>
      <c r="E375" t="s">
        <v>1930</v>
      </c>
      <c r="F375">
        <v>9</v>
      </c>
      <c r="G375" t="s">
        <v>1931</v>
      </c>
      <c r="H375" s="1">
        <v>46174</v>
      </c>
      <c r="I375" t="s">
        <v>1932</v>
      </c>
      <c r="J375">
        <v>1</v>
      </c>
      <c r="K375" s="1">
        <v>46204</v>
      </c>
      <c r="L375" s="8">
        <v>195000000</v>
      </c>
    </row>
    <row r="376" spans="1:12" x14ac:dyDescent="0.25">
      <c r="A376" t="s">
        <v>1927</v>
      </c>
      <c r="B376" t="s">
        <v>2199</v>
      </c>
      <c r="C376" t="s">
        <v>28</v>
      </c>
      <c r="D376" t="s">
        <v>1928</v>
      </c>
      <c r="E376" t="s">
        <v>1935</v>
      </c>
      <c r="F376">
        <v>9</v>
      </c>
      <c r="G376" t="s">
        <v>1931</v>
      </c>
      <c r="H376" s="1">
        <v>46174</v>
      </c>
      <c r="I376" t="s">
        <v>1932</v>
      </c>
      <c r="J376">
        <v>1</v>
      </c>
      <c r="K376" s="1">
        <v>46204</v>
      </c>
      <c r="L376" s="8">
        <v>1800000</v>
      </c>
    </row>
    <row r="377" spans="1:12" x14ac:dyDescent="0.25">
      <c r="A377" t="s">
        <v>1942</v>
      </c>
      <c r="B377" t="s">
        <v>2199</v>
      </c>
      <c r="C377" t="s">
        <v>28</v>
      </c>
      <c r="D377" t="s">
        <v>1943</v>
      </c>
      <c r="E377" t="s">
        <v>1945</v>
      </c>
      <c r="F377">
        <v>3</v>
      </c>
      <c r="G377" t="s">
        <v>761</v>
      </c>
      <c r="H377" s="1">
        <v>46174</v>
      </c>
      <c r="I377" t="s">
        <v>762</v>
      </c>
      <c r="J377">
        <v>1</v>
      </c>
      <c r="K377" s="1">
        <v>46204</v>
      </c>
      <c r="L377" s="8">
        <v>239016</v>
      </c>
    </row>
    <row r="378" spans="1:12" x14ac:dyDescent="0.25">
      <c r="A378" t="s">
        <v>1942</v>
      </c>
      <c r="B378" t="s">
        <v>2199</v>
      </c>
      <c r="C378" t="s">
        <v>28</v>
      </c>
      <c r="D378" t="s">
        <v>1943</v>
      </c>
      <c r="E378" t="s">
        <v>1947</v>
      </c>
      <c r="F378">
        <v>3</v>
      </c>
      <c r="G378" t="s">
        <v>761</v>
      </c>
      <c r="H378" s="1">
        <v>46174</v>
      </c>
      <c r="I378" t="s">
        <v>762</v>
      </c>
      <c r="J378">
        <v>1</v>
      </c>
      <c r="K378" s="1">
        <v>46204</v>
      </c>
      <c r="L378" s="8">
        <v>480320</v>
      </c>
    </row>
    <row r="379" spans="1:12" x14ac:dyDescent="0.25">
      <c r="A379" t="s">
        <v>1942</v>
      </c>
      <c r="B379" t="s">
        <v>2199</v>
      </c>
      <c r="C379" t="s">
        <v>28</v>
      </c>
      <c r="D379" t="s">
        <v>1943</v>
      </c>
      <c r="E379" t="s">
        <v>1946</v>
      </c>
      <c r="F379">
        <v>3</v>
      </c>
      <c r="G379" t="s">
        <v>761</v>
      </c>
      <c r="H379" s="1">
        <v>46174</v>
      </c>
      <c r="I379" t="s">
        <v>762</v>
      </c>
      <c r="J379">
        <v>1</v>
      </c>
      <c r="K379" s="1">
        <v>46204</v>
      </c>
      <c r="L379" s="8">
        <v>1074052</v>
      </c>
    </row>
    <row r="380" spans="1:12" x14ac:dyDescent="0.25">
      <c r="A380" t="s">
        <v>1948</v>
      </c>
      <c r="B380" t="s">
        <v>2199</v>
      </c>
      <c r="C380" t="s">
        <v>28</v>
      </c>
      <c r="D380" t="s">
        <v>1949</v>
      </c>
      <c r="E380" t="s">
        <v>777</v>
      </c>
      <c r="F380">
        <v>1</v>
      </c>
      <c r="G380" t="s">
        <v>414</v>
      </c>
      <c r="H380" s="1">
        <v>46082</v>
      </c>
      <c r="I380" t="s">
        <v>1852</v>
      </c>
      <c r="J380">
        <v>1</v>
      </c>
      <c r="K380" s="1">
        <v>46082</v>
      </c>
      <c r="L380" s="8">
        <v>10002100</v>
      </c>
    </row>
    <row r="381" spans="1:12" x14ac:dyDescent="0.25">
      <c r="A381" t="s">
        <v>1951</v>
      </c>
      <c r="B381" t="s">
        <v>2199</v>
      </c>
      <c r="C381" t="s">
        <v>28</v>
      </c>
      <c r="D381" t="s">
        <v>1952</v>
      </c>
      <c r="E381" t="s">
        <v>1864</v>
      </c>
      <c r="F381">
        <v>2</v>
      </c>
      <c r="G381" t="s">
        <v>761</v>
      </c>
      <c r="H381" s="1">
        <v>46082</v>
      </c>
      <c r="I381" t="s">
        <v>762</v>
      </c>
      <c r="J381">
        <v>1</v>
      </c>
      <c r="K381" s="1">
        <v>46113</v>
      </c>
      <c r="L381" s="8">
        <v>809217</v>
      </c>
    </row>
    <row r="382" spans="1:12" x14ac:dyDescent="0.25">
      <c r="A382" t="s">
        <v>1951</v>
      </c>
      <c r="B382" t="s">
        <v>2199</v>
      </c>
      <c r="C382" t="s">
        <v>28</v>
      </c>
      <c r="D382" t="s">
        <v>1952</v>
      </c>
      <c r="E382" t="s">
        <v>1938</v>
      </c>
      <c r="F382">
        <v>2</v>
      </c>
      <c r="G382" t="s">
        <v>761</v>
      </c>
      <c r="H382" s="1">
        <v>46082</v>
      </c>
      <c r="I382" t="s">
        <v>762</v>
      </c>
      <c r="J382">
        <v>1</v>
      </c>
      <c r="K382" s="1">
        <v>46113</v>
      </c>
      <c r="L382" s="8">
        <v>340060</v>
      </c>
    </row>
    <row r="383" spans="1:12" x14ac:dyDescent="0.25">
      <c r="A383" t="s">
        <v>1955</v>
      </c>
      <c r="B383" t="s">
        <v>2199</v>
      </c>
      <c r="C383" t="s">
        <v>28</v>
      </c>
      <c r="D383" t="s">
        <v>1956</v>
      </c>
      <c r="E383" t="s">
        <v>1303</v>
      </c>
      <c r="F383">
        <v>3</v>
      </c>
      <c r="G383" t="s">
        <v>414</v>
      </c>
      <c r="H383" s="1">
        <v>46082</v>
      </c>
      <c r="I383" t="s">
        <v>1852</v>
      </c>
      <c r="J383">
        <v>1</v>
      </c>
      <c r="K383" s="1">
        <v>46082</v>
      </c>
      <c r="L383" s="8">
        <v>3960000</v>
      </c>
    </row>
    <row r="384" spans="1:12" x14ac:dyDescent="0.25">
      <c r="A384" t="s">
        <v>1955</v>
      </c>
      <c r="B384" t="s">
        <v>2199</v>
      </c>
      <c r="C384" t="s">
        <v>28</v>
      </c>
      <c r="D384" t="s">
        <v>1956</v>
      </c>
      <c r="E384" t="s">
        <v>1958</v>
      </c>
      <c r="F384">
        <v>3</v>
      </c>
      <c r="G384" t="s">
        <v>414</v>
      </c>
      <c r="H384" s="1">
        <v>46082</v>
      </c>
      <c r="I384" t="s">
        <v>1852</v>
      </c>
      <c r="J384">
        <v>1</v>
      </c>
      <c r="K384" s="1">
        <v>46082</v>
      </c>
      <c r="L384" s="8">
        <v>600000</v>
      </c>
    </row>
    <row r="385" spans="1:12" x14ac:dyDescent="0.25">
      <c r="A385" t="s">
        <v>1955</v>
      </c>
      <c r="B385" t="s">
        <v>2199</v>
      </c>
      <c r="C385" t="s">
        <v>28</v>
      </c>
      <c r="D385" t="s">
        <v>1956</v>
      </c>
      <c r="E385" t="s">
        <v>1959</v>
      </c>
      <c r="F385">
        <v>3</v>
      </c>
      <c r="G385" t="s">
        <v>414</v>
      </c>
      <c r="H385" s="1">
        <v>46082</v>
      </c>
      <c r="I385" t="s">
        <v>1852</v>
      </c>
      <c r="J385">
        <v>1</v>
      </c>
      <c r="K385" s="1">
        <v>46082</v>
      </c>
      <c r="L385" s="8">
        <v>1000000</v>
      </c>
    </row>
    <row r="386" spans="1:12" x14ac:dyDescent="0.25">
      <c r="A386" t="s">
        <v>1960</v>
      </c>
      <c r="B386" t="s">
        <v>2199</v>
      </c>
      <c r="C386" t="s">
        <v>28</v>
      </c>
      <c r="D386" t="s">
        <v>1961</v>
      </c>
      <c r="E386" t="s">
        <v>962</v>
      </c>
      <c r="F386">
        <v>3</v>
      </c>
      <c r="G386" t="s">
        <v>1963</v>
      </c>
      <c r="H386" s="1">
        <v>46266</v>
      </c>
      <c r="I386" t="s">
        <v>1964</v>
      </c>
      <c r="J386">
        <v>1</v>
      </c>
      <c r="K386" s="1">
        <v>46266</v>
      </c>
      <c r="L386" s="8">
        <v>40000</v>
      </c>
    </row>
    <row r="387" spans="1:12" x14ac:dyDescent="0.25">
      <c r="A387" t="s">
        <v>1960</v>
      </c>
      <c r="B387" t="s">
        <v>2199</v>
      </c>
      <c r="C387" t="s">
        <v>28</v>
      </c>
      <c r="D387" t="s">
        <v>1961</v>
      </c>
      <c r="E387" t="s">
        <v>1966</v>
      </c>
      <c r="F387">
        <v>3</v>
      </c>
      <c r="G387" t="s">
        <v>1963</v>
      </c>
      <c r="H387" s="1">
        <v>46266</v>
      </c>
      <c r="I387" t="s">
        <v>1964</v>
      </c>
      <c r="J387">
        <v>1</v>
      </c>
      <c r="K387" s="1">
        <v>46266</v>
      </c>
      <c r="L387" s="8">
        <v>180000</v>
      </c>
    </row>
    <row r="388" spans="1:12" x14ac:dyDescent="0.25">
      <c r="A388" t="s">
        <v>1960</v>
      </c>
      <c r="B388" t="s">
        <v>2199</v>
      </c>
      <c r="C388" t="s">
        <v>28</v>
      </c>
      <c r="D388" t="s">
        <v>1961</v>
      </c>
      <c r="E388" t="s">
        <v>602</v>
      </c>
      <c r="F388">
        <v>3</v>
      </c>
      <c r="G388" t="s">
        <v>1963</v>
      </c>
      <c r="H388" s="1">
        <v>46266</v>
      </c>
      <c r="I388" t="s">
        <v>1964</v>
      </c>
      <c r="J388">
        <v>1</v>
      </c>
      <c r="K388" s="1">
        <v>46266</v>
      </c>
      <c r="L388" s="8">
        <v>700000</v>
      </c>
    </row>
    <row r="389" spans="1:12" x14ac:dyDescent="0.25">
      <c r="A389" t="s">
        <v>1976</v>
      </c>
      <c r="B389" t="s">
        <v>2199</v>
      </c>
      <c r="C389" t="s">
        <v>28</v>
      </c>
      <c r="D389" t="s">
        <v>1977</v>
      </c>
      <c r="E389" t="s">
        <v>1979</v>
      </c>
      <c r="F389">
        <v>1</v>
      </c>
      <c r="G389" t="s">
        <v>1660</v>
      </c>
      <c r="H389" s="1">
        <v>46113</v>
      </c>
      <c r="I389" t="s">
        <v>1980</v>
      </c>
      <c r="J389">
        <v>1</v>
      </c>
      <c r="K389" s="1">
        <v>46113</v>
      </c>
      <c r="L389" s="8">
        <v>15984280</v>
      </c>
    </row>
    <row r="390" spans="1:12" x14ac:dyDescent="0.25">
      <c r="A390" t="s">
        <v>1981</v>
      </c>
      <c r="B390" t="s">
        <v>2199</v>
      </c>
      <c r="C390" t="s">
        <v>28</v>
      </c>
      <c r="D390" t="s">
        <v>1982</v>
      </c>
      <c r="E390" t="s">
        <v>1984</v>
      </c>
      <c r="F390">
        <v>2</v>
      </c>
      <c r="G390" t="s">
        <v>1985</v>
      </c>
      <c r="H390" s="1">
        <v>46023</v>
      </c>
      <c r="I390" t="s">
        <v>1986</v>
      </c>
      <c r="J390">
        <v>1</v>
      </c>
      <c r="K390" s="1">
        <v>46023</v>
      </c>
      <c r="L390" s="8">
        <v>350200</v>
      </c>
    </row>
    <row r="391" spans="1:12" x14ac:dyDescent="0.25">
      <c r="A391" t="s">
        <v>1981</v>
      </c>
      <c r="B391" t="s">
        <v>2199</v>
      </c>
      <c r="C391" t="s">
        <v>28</v>
      </c>
      <c r="D391" t="s">
        <v>1982</v>
      </c>
      <c r="E391" t="s">
        <v>1989</v>
      </c>
      <c r="F391">
        <v>2</v>
      </c>
      <c r="G391" t="s">
        <v>1985</v>
      </c>
      <c r="H391" s="1">
        <v>46023</v>
      </c>
      <c r="I391" t="s">
        <v>1986</v>
      </c>
      <c r="J391">
        <v>1</v>
      </c>
      <c r="K391" s="1">
        <v>46023</v>
      </c>
      <c r="L391" s="8">
        <v>550800</v>
      </c>
    </row>
    <row r="392" spans="1:12" x14ac:dyDescent="0.25">
      <c r="A392" t="s">
        <v>1990</v>
      </c>
      <c r="B392" t="s">
        <v>2199</v>
      </c>
      <c r="C392" t="s">
        <v>28</v>
      </c>
      <c r="D392" t="s">
        <v>1991</v>
      </c>
      <c r="E392" t="s">
        <v>1303</v>
      </c>
      <c r="F392">
        <v>1</v>
      </c>
      <c r="G392" t="s">
        <v>414</v>
      </c>
      <c r="H392" s="1">
        <v>46082</v>
      </c>
      <c r="I392" t="s">
        <v>1852</v>
      </c>
      <c r="J392">
        <v>1</v>
      </c>
      <c r="K392" s="1">
        <v>46113</v>
      </c>
      <c r="L392" s="8">
        <v>3500000</v>
      </c>
    </row>
    <row r="393" spans="1:12" x14ac:dyDescent="0.25">
      <c r="A393" t="s">
        <v>1993</v>
      </c>
      <c r="B393" t="s">
        <v>2199</v>
      </c>
      <c r="C393" t="s">
        <v>28</v>
      </c>
      <c r="D393" t="s">
        <v>1994</v>
      </c>
      <c r="E393" t="s">
        <v>1959</v>
      </c>
      <c r="F393">
        <v>1</v>
      </c>
      <c r="G393" t="s">
        <v>414</v>
      </c>
      <c r="H393" s="1">
        <v>46082</v>
      </c>
      <c r="I393" t="s">
        <v>1996</v>
      </c>
      <c r="J393">
        <v>1</v>
      </c>
      <c r="K393" s="1">
        <v>46082</v>
      </c>
      <c r="L393" s="8">
        <v>15135390</v>
      </c>
    </row>
    <row r="394" spans="1:12" x14ac:dyDescent="0.25">
      <c r="A394" t="s">
        <v>1997</v>
      </c>
      <c r="B394" t="s">
        <v>2199</v>
      </c>
      <c r="C394" t="s">
        <v>28</v>
      </c>
      <c r="D394" t="s">
        <v>1998</v>
      </c>
      <c r="E394" t="s">
        <v>602</v>
      </c>
      <c r="F394">
        <v>1</v>
      </c>
      <c r="G394" t="s">
        <v>1985</v>
      </c>
      <c r="H394" s="1">
        <v>46113</v>
      </c>
      <c r="I394" t="s">
        <v>1986</v>
      </c>
      <c r="J394">
        <v>1</v>
      </c>
      <c r="K394" s="1">
        <v>46113</v>
      </c>
      <c r="L394" s="8">
        <v>1200000</v>
      </c>
    </row>
    <row r="395" spans="1:12" x14ac:dyDescent="0.25">
      <c r="A395" t="s">
        <v>2000</v>
      </c>
      <c r="B395" t="s">
        <v>2199</v>
      </c>
      <c r="C395" t="s">
        <v>28</v>
      </c>
      <c r="D395" t="s">
        <v>2001</v>
      </c>
      <c r="E395" t="s">
        <v>2003</v>
      </c>
      <c r="F395">
        <v>2</v>
      </c>
      <c r="G395" t="s">
        <v>1985</v>
      </c>
      <c r="H395" s="1">
        <v>46023</v>
      </c>
      <c r="I395" t="s">
        <v>1986</v>
      </c>
      <c r="J395">
        <v>12</v>
      </c>
      <c r="K395" t="s">
        <v>413</v>
      </c>
      <c r="L395" s="8">
        <v>10000000</v>
      </c>
    </row>
    <row r="396" spans="1:12" x14ac:dyDescent="0.25">
      <c r="A396" t="s">
        <v>2000</v>
      </c>
      <c r="B396" t="s">
        <v>2199</v>
      </c>
      <c r="C396" t="s">
        <v>28</v>
      </c>
      <c r="D396" t="s">
        <v>2001</v>
      </c>
      <c r="E396" t="s">
        <v>2004</v>
      </c>
      <c r="F396">
        <v>2</v>
      </c>
      <c r="G396" t="s">
        <v>1985</v>
      </c>
      <c r="H396" s="1">
        <v>46023</v>
      </c>
      <c r="I396" t="s">
        <v>1986</v>
      </c>
      <c r="J396">
        <v>12</v>
      </c>
      <c r="K396" t="s">
        <v>413</v>
      </c>
      <c r="L396" s="8">
        <v>10000000</v>
      </c>
    </row>
    <row r="397" spans="1:12" x14ac:dyDescent="0.25">
      <c r="A397" t="s">
        <v>2005</v>
      </c>
      <c r="B397" t="s">
        <v>2199</v>
      </c>
      <c r="C397" t="s">
        <v>28</v>
      </c>
      <c r="D397" t="s">
        <v>2006</v>
      </c>
      <c r="E397" t="s">
        <v>359</v>
      </c>
      <c r="F397">
        <v>4</v>
      </c>
      <c r="G397" t="s">
        <v>1469</v>
      </c>
      <c r="H397" s="1">
        <v>46082</v>
      </c>
      <c r="I397" t="s">
        <v>2008</v>
      </c>
      <c r="J397">
        <v>1</v>
      </c>
      <c r="K397" s="1">
        <v>46113</v>
      </c>
      <c r="L397" s="8">
        <v>158235</v>
      </c>
    </row>
    <row r="398" spans="1:12" x14ac:dyDescent="0.25">
      <c r="A398" t="s">
        <v>2005</v>
      </c>
      <c r="B398" t="s">
        <v>2199</v>
      </c>
      <c r="C398" t="s">
        <v>28</v>
      </c>
      <c r="D398" t="s">
        <v>2006</v>
      </c>
      <c r="E398" t="s">
        <v>1938</v>
      </c>
      <c r="F398">
        <v>4</v>
      </c>
      <c r="G398" t="s">
        <v>1469</v>
      </c>
      <c r="H398" s="1">
        <v>46054</v>
      </c>
      <c r="I398" t="s">
        <v>2008</v>
      </c>
      <c r="J398">
        <v>1</v>
      </c>
      <c r="K398" s="1">
        <v>46082</v>
      </c>
      <c r="L398" s="8">
        <v>729076</v>
      </c>
    </row>
    <row r="399" spans="1:12" x14ac:dyDescent="0.25">
      <c r="A399" t="s">
        <v>2005</v>
      </c>
      <c r="B399" t="s">
        <v>2199</v>
      </c>
      <c r="C399" t="s">
        <v>28</v>
      </c>
      <c r="D399" t="s">
        <v>2006</v>
      </c>
      <c r="E399" t="s">
        <v>1406</v>
      </c>
      <c r="F399">
        <v>4</v>
      </c>
      <c r="G399" t="s">
        <v>1469</v>
      </c>
      <c r="H399" s="1">
        <v>46143</v>
      </c>
      <c r="I399" t="s">
        <v>2008</v>
      </c>
      <c r="J399">
        <v>1</v>
      </c>
      <c r="K399" s="1">
        <v>46174</v>
      </c>
      <c r="L399" s="8">
        <v>4000</v>
      </c>
    </row>
    <row r="400" spans="1:12" x14ac:dyDescent="0.25">
      <c r="A400" t="s">
        <v>2005</v>
      </c>
      <c r="B400" t="s">
        <v>2199</v>
      </c>
      <c r="C400" t="s">
        <v>28</v>
      </c>
      <c r="D400" t="s">
        <v>2006</v>
      </c>
      <c r="E400" t="s">
        <v>2010</v>
      </c>
      <c r="F400">
        <v>4</v>
      </c>
      <c r="G400" t="s">
        <v>1469</v>
      </c>
      <c r="H400" s="1">
        <v>46143</v>
      </c>
      <c r="I400" t="s">
        <v>2008</v>
      </c>
      <c r="J400">
        <v>1</v>
      </c>
      <c r="K400" s="1">
        <v>46174</v>
      </c>
      <c r="L400" s="8">
        <v>20000</v>
      </c>
    </row>
    <row r="401" spans="1:12" x14ac:dyDescent="0.25">
      <c r="A401" t="s">
        <v>2011</v>
      </c>
      <c r="B401" t="s">
        <v>2199</v>
      </c>
      <c r="C401" t="s">
        <v>28</v>
      </c>
      <c r="D401" t="s">
        <v>2012</v>
      </c>
      <c r="E401" t="s">
        <v>2014</v>
      </c>
      <c r="F401">
        <v>2</v>
      </c>
      <c r="G401" t="s">
        <v>1985</v>
      </c>
      <c r="H401" s="1">
        <v>46023</v>
      </c>
      <c r="I401" t="s">
        <v>1986</v>
      </c>
      <c r="J401">
        <v>12</v>
      </c>
      <c r="K401" t="s">
        <v>413</v>
      </c>
      <c r="L401" s="8">
        <v>10000000</v>
      </c>
    </row>
    <row r="402" spans="1:12" x14ac:dyDescent="0.25">
      <c r="A402" t="s">
        <v>2011</v>
      </c>
      <c r="B402" t="s">
        <v>2199</v>
      </c>
      <c r="C402" t="s">
        <v>28</v>
      </c>
      <c r="D402" t="s">
        <v>2012</v>
      </c>
      <c r="E402" t="s">
        <v>2015</v>
      </c>
      <c r="F402">
        <v>2</v>
      </c>
      <c r="G402" t="s">
        <v>1985</v>
      </c>
      <c r="H402" s="1">
        <v>46023</v>
      </c>
      <c r="I402" t="s">
        <v>1986</v>
      </c>
      <c r="J402">
        <v>12</v>
      </c>
      <c r="K402" t="s">
        <v>413</v>
      </c>
      <c r="L402" s="8">
        <v>40008000</v>
      </c>
    </row>
    <row r="403" spans="1:12" x14ac:dyDescent="0.25">
      <c r="A403" t="s">
        <v>2016</v>
      </c>
      <c r="B403" t="s">
        <v>2199</v>
      </c>
      <c r="C403" t="s">
        <v>28</v>
      </c>
      <c r="D403" t="s">
        <v>2017</v>
      </c>
      <c r="E403" t="s">
        <v>740</v>
      </c>
      <c r="F403">
        <v>3</v>
      </c>
      <c r="G403" t="s">
        <v>1963</v>
      </c>
      <c r="H403" s="1">
        <v>46082</v>
      </c>
      <c r="I403" t="s">
        <v>1964</v>
      </c>
      <c r="J403">
        <v>1</v>
      </c>
      <c r="K403" s="1">
        <v>46082</v>
      </c>
      <c r="L403" s="8">
        <v>65010</v>
      </c>
    </row>
    <row r="404" spans="1:12" x14ac:dyDescent="0.25">
      <c r="A404" t="s">
        <v>2016</v>
      </c>
      <c r="B404" t="s">
        <v>2199</v>
      </c>
      <c r="C404" t="s">
        <v>28</v>
      </c>
      <c r="D404" t="s">
        <v>2017</v>
      </c>
      <c r="E404" t="s">
        <v>2019</v>
      </c>
      <c r="F404">
        <v>3</v>
      </c>
      <c r="G404" t="s">
        <v>1963</v>
      </c>
      <c r="H404" s="1">
        <v>46082</v>
      </c>
      <c r="I404" t="s">
        <v>1964</v>
      </c>
      <c r="J404">
        <v>1</v>
      </c>
      <c r="K404" s="1">
        <v>46082</v>
      </c>
      <c r="L404" s="8">
        <v>45012</v>
      </c>
    </row>
    <row r="405" spans="1:12" x14ac:dyDescent="0.25">
      <c r="A405" t="s">
        <v>2016</v>
      </c>
      <c r="B405" t="s">
        <v>2199</v>
      </c>
      <c r="C405" t="s">
        <v>28</v>
      </c>
      <c r="D405" t="s">
        <v>2017</v>
      </c>
      <c r="E405" t="s">
        <v>962</v>
      </c>
      <c r="F405">
        <v>3</v>
      </c>
      <c r="G405" t="s">
        <v>1963</v>
      </c>
      <c r="H405" s="1">
        <v>46082</v>
      </c>
      <c r="I405" t="s">
        <v>1964</v>
      </c>
      <c r="J405">
        <v>1</v>
      </c>
      <c r="K405" s="1">
        <v>46082</v>
      </c>
      <c r="L405" s="8">
        <v>120010</v>
      </c>
    </row>
    <row r="406" spans="1:12" x14ac:dyDescent="0.25">
      <c r="A406" t="s">
        <v>2020</v>
      </c>
      <c r="B406" t="s">
        <v>2199</v>
      </c>
      <c r="C406" t="s">
        <v>28</v>
      </c>
      <c r="D406" t="s">
        <v>2021</v>
      </c>
      <c r="E406" t="s">
        <v>2023</v>
      </c>
      <c r="F406">
        <v>1</v>
      </c>
      <c r="G406" t="s">
        <v>1985</v>
      </c>
      <c r="H406" s="1">
        <v>46023</v>
      </c>
      <c r="I406" t="s">
        <v>1986</v>
      </c>
      <c r="J406">
        <v>1</v>
      </c>
      <c r="K406" s="1">
        <v>46023</v>
      </c>
      <c r="L406" s="8">
        <v>700005</v>
      </c>
    </row>
    <row r="407" spans="1:12" x14ac:dyDescent="0.25">
      <c r="A407" t="s">
        <v>2024</v>
      </c>
      <c r="B407" t="s">
        <v>2199</v>
      </c>
      <c r="C407" t="s">
        <v>28</v>
      </c>
      <c r="D407" t="s">
        <v>2025</v>
      </c>
      <c r="E407" t="s">
        <v>2027</v>
      </c>
      <c r="F407">
        <v>1</v>
      </c>
      <c r="G407" t="s">
        <v>1985</v>
      </c>
      <c r="H407" s="1">
        <v>46023</v>
      </c>
      <c r="I407" t="s">
        <v>1986</v>
      </c>
      <c r="J407">
        <v>12</v>
      </c>
      <c r="K407" t="s">
        <v>413</v>
      </c>
      <c r="L407" s="8">
        <v>10000000</v>
      </c>
    </row>
    <row r="408" spans="1:12" x14ac:dyDescent="0.25">
      <c r="A408" t="s">
        <v>2041</v>
      </c>
      <c r="B408" t="s">
        <v>2199</v>
      </c>
      <c r="C408" t="s">
        <v>28</v>
      </c>
      <c r="D408" t="s">
        <v>2042</v>
      </c>
      <c r="E408" t="s">
        <v>2045</v>
      </c>
      <c r="F408">
        <v>6</v>
      </c>
      <c r="G408" t="s">
        <v>657</v>
      </c>
      <c r="H408" s="1">
        <v>46023</v>
      </c>
      <c r="I408" t="s">
        <v>658</v>
      </c>
      <c r="J408">
        <v>1</v>
      </c>
      <c r="K408" s="1">
        <v>46023</v>
      </c>
      <c r="L408" s="8">
        <v>280008</v>
      </c>
    </row>
    <row r="409" spans="1:12" x14ac:dyDescent="0.25">
      <c r="A409" t="s">
        <v>2041</v>
      </c>
      <c r="B409" t="s">
        <v>2199</v>
      </c>
      <c r="C409" t="s">
        <v>28</v>
      </c>
      <c r="D409" t="s">
        <v>2042</v>
      </c>
      <c r="E409" t="s">
        <v>777</v>
      </c>
      <c r="F409">
        <v>6</v>
      </c>
      <c r="G409" t="s">
        <v>657</v>
      </c>
      <c r="H409" s="1">
        <v>46023</v>
      </c>
      <c r="I409" t="s">
        <v>658</v>
      </c>
      <c r="J409">
        <v>1</v>
      </c>
      <c r="K409" s="1">
        <v>46023</v>
      </c>
      <c r="L409" s="8">
        <v>815000</v>
      </c>
    </row>
    <row r="410" spans="1:12" x14ac:dyDescent="0.25">
      <c r="A410" t="s">
        <v>2041</v>
      </c>
      <c r="B410" t="s">
        <v>2199</v>
      </c>
      <c r="C410" t="s">
        <v>28</v>
      </c>
      <c r="D410" t="s">
        <v>2042</v>
      </c>
      <c r="E410" t="s">
        <v>821</v>
      </c>
      <c r="F410">
        <v>6</v>
      </c>
      <c r="G410" t="s">
        <v>657</v>
      </c>
      <c r="H410" s="1">
        <v>46023</v>
      </c>
      <c r="I410" t="s">
        <v>658</v>
      </c>
      <c r="J410">
        <v>1</v>
      </c>
      <c r="K410" s="1">
        <v>46023</v>
      </c>
      <c r="L410" s="8">
        <v>60000</v>
      </c>
    </row>
    <row r="411" spans="1:12" x14ac:dyDescent="0.25">
      <c r="A411" t="s">
        <v>2041</v>
      </c>
      <c r="B411" t="s">
        <v>2199</v>
      </c>
      <c r="C411" t="s">
        <v>28</v>
      </c>
      <c r="D411" t="s">
        <v>2042</v>
      </c>
      <c r="E411" t="s">
        <v>2044</v>
      </c>
      <c r="F411">
        <v>6</v>
      </c>
      <c r="G411" t="s">
        <v>657</v>
      </c>
      <c r="H411" s="1">
        <v>46023</v>
      </c>
      <c r="I411" t="s">
        <v>658</v>
      </c>
      <c r="J411">
        <v>1</v>
      </c>
      <c r="K411" s="1">
        <v>46023</v>
      </c>
      <c r="L411" s="8">
        <v>833000</v>
      </c>
    </row>
    <row r="412" spans="1:12" x14ac:dyDescent="0.25">
      <c r="A412" t="s">
        <v>2041</v>
      </c>
      <c r="B412" t="s">
        <v>2199</v>
      </c>
      <c r="C412" t="s">
        <v>28</v>
      </c>
      <c r="D412" t="s">
        <v>2042</v>
      </c>
      <c r="E412" t="s">
        <v>2046</v>
      </c>
      <c r="F412">
        <v>6</v>
      </c>
      <c r="G412" t="s">
        <v>657</v>
      </c>
      <c r="H412" s="1">
        <v>46023</v>
      </c>
      <c r="I412" t="s">
        <v>658</v>
      </c>
      <c r="J412">
        <v>1</v>
      </c>
      <c r="K412" s="1">
        <v>46023</v>
      </c>
      <c r="L412" s="8">
        <v>100000</v>
      </c>
    </row>
    <row r="413" spans="1:12" x14ac:dyDescent="0.25">
      <c r="A413" t="s">
        <v>2041</v>
      </c>
      <c r="B413" t="s">
        <v>2199</v>
      </c>
      <c r="C413" t="s">
        <v>28</v>
      </c>
      <c r="D413" t="s">
        <v>2042</v>
      </c>
      <c r="E413" t="s">
        <v>760</v>
      </c>
      <c r="F413">
        <v>6</v>
      </c>
      <c r="G413" t="s">
        <v>657</v>
      </c>
      <c r="H413" s="1">
        <v>46023</v>
      </c>
      <c r="I413" t="s">
        <v>658</v>
      </c>
      <c r="J413">
        <v>1</v>
      </c>
      <c r="K413" s="1">
        <v>46023</v>
      </c>
      <c r="L413" s="8">
        <v>550002</v>
      </c>
    </row>
    <row r="414" spans="1:12" x14ac:dyDescent="0.25">
      <c r="A414" t="s">
        <v>2047</v>
      </c>
      <c r="B414" t="s">
        <v>2199</v>
      </c>
      <c r="C414" t="s">
        <v>28</v>
      </c>
      <c r="D414" t="s">
        <v>2048</v>
      </c>
      <c r="E414" t="s">
        <v>2054</v>
      </c>
      <c r="F414">
        <v>3</v>
      </c>
      <c r="G414" t="s">
        <v>2051</v>
      </c>
      <c r="H414" s="1">
        <v>46143</v>
      </c>
      <c r="I414" t="s">
        <v>2052</v>
      </c>
      <c r="J414">
        <v>1</v>
      </c>
      <c r="K414" s="1">
        <v>46174</v>
      </c>
      <c r="L414" s="8">
        <v>684735</v>
      </c>
    </row>
    <row r="415" spans="1:12" x14ac:dyDescent="0.25">
      <c r="A415" t="s">
        <v>2047</v>
      </c>
      <c r="B415" t="s">
        <v>2199</v>
      </c>
      <c r="C415" t="s">
        <v>28</v>
      </c>
      <c r="D415" t="s">
        <v>2048</v>
      </c>
      <c r="E415" t="s">
        <v>2055</v>
      </c>
      <c r="F415">
        <v>3</v>
      </c>
      <c r="G415" t="s">
        <v>2051</v>
      </c>
      <c r="H415" s="1">
        <v>46143</v>
      </c>
      <c r="I415" t="s">
        <v>2052</v>
      </c>
      <c r="J415">
        <v>1</v>
      </c>
      <c r="K415" s="1">
        <v>46174</v>
      </c>
      <c r="L415" s="8">
        <v>204100</v>
      </c>
    </row>
    <row r="416" spans="1:12" x14ac:dyDescent="0.25">
      <c r="A416" t="s">
        <v>2047</v>
      </c>
      <c r="B416" t="s">
        <v>2199</v>
      </c>
      <c r="C416" t="s">
        <v>28</v>
      </c>
      <c r="D416" t="s">
        <v>2048</v>
      </c>
      <c r="E416" t="s">
        <v>1936</v>
      </c>
      <c r="F416">
        <v>3</v>
      </c>
      <c r="G416" t="s">
        <v>2051</v>
      </c>
      <c r="H416" s="1">
        <v>46143</v>
      </c>
      <c r="I416" t="s">
        <v>2052</v>
      </c>
      <c r="J416">
        <v>1</v>
      </c>
      <c r="K416" s="1">
        <v>46174</v>
      </c>
      <c r="L416" s="8">
        <v>360000</v>
      </c>
    </row>
    <row r="417" spans="1:12" x14ac:dyDescent="0.25">
      <c r="A417" t="s">
        <v>2056</v>
      </c>
      <c r="B417" t="s">
        <v>2199</v>
      </c>
      <c r="C417" t="s">
        <v>28</v>
      </c>
      <c r="D417" t="s">
        <v>2057</v>
      </c>
      <c r="E417" t="s">
        <v>2059</v>
      </c>
      <c r="F417">
        <v>5</v>
      </c>
      <c r="G417" t="s">
        <v>1642</v>
      </c>
      <c r="H417" s="1">
        <v>46082</v>
      </c>
      <c r="I417" t="s">
        <v>1643</v>
      </c>
      <c r="J417">
        <v>1</v>
      </c>
      <c r="K417" s="1">
        <v>46113</v>
      </c>
      <c r="L417" s="8">
        <v>45000</v>
      </c>
    </row>
    <row r="418" spans="1:12" x14ac:dyDescent="0.25">
      <c r="A418" t="s">
        <v>2056</v>
      </c>
      <c r="B418" t="s">
        <v>2199</v>
      </c>
      <c r="C418" t="s">
        <v>28</v>
      </c>
      <c r="D418" t="s">
        <v>2057</v>
      </c>
      <c r="E418" t="s">
        <v>2062</v>
      </c>
      <c r="F418">
        <v>5</v>
      </c>
      <c r="G418" t="s">
        <v>1642</v>
      </c>
      <c r="H418" s="1">
        <v>46174</v>
      </c>
      <c r="I418" t="s">
        <v>1643</v>
      </c>
      <c r="J418">
        <v>1</v>
      </c>
      <c r="K418" s="1">
        <v>46204</v>
      </c>
      <c r="L418" s="8">
        <v>175014</v>
      </c>
    </row>
    <row r="419" spans="1:12" x14ac:dyDescent="0.25">
      <c r="A419" t="s">
        <v>2056</v>
      </c>
      <c r="B419" t="s">
        <v>2199</v>
      </c>
      <c r="C419" t="s">
        <v>28</v>
      </c>
      <c r="D419" t="s">
        <v>2057</v>
      </c>
      <c r="E419" t="s">
        <v>2061</v>
      </c>
      <c r="F419">
        <v>5</v>
      </c>
      <c r="G419" t="s">
        <v>1642</v>
      </c>
      <c r="H419" s="1">
        <v>46082</v>
      </c>
      <c r="I419" t="s">
        <v>1643</v>
      </c>
      <c r="J419">
        <v>1</v>
      </c>
      <c r="K419" s="1">
        <v>46113</v>
      </c>
      <c r="L419" s="8">
        <v>123000</v>
      </c>
    </row>
    <row r="420" spans="1:12" x14ac:dyDescent="0.25">
      <c r="A420" t="s">
        <v>2056</v>
      </c>
      <c r="B420" t="s">
        <v>2199</v>
      </c>
      <c r="C420" t="s">
        <v>28</v>
      </c>
      <c r="D420" t="s">
        <v>2057</v>
      </c>
      <c r="E420" t="s">
        <v>1137</v>
      </c>
      <c r="F420">
        <v>5</v>
      </c>
      <c r="G420" t="s">
        <v>1642</v>
      </c>
      <c r="H420" s="1">
        <v>46082</v>
      </c>
      <c r="I420" t="s">
        <v>1643</v>
      </c>
      <c r="J420">
        <v>1</v>
      </c>
      <c r="K420" s="1">
        <v>46113</v>
      </c>
      <c r="L420" s="8">
        <v>40000</v>
      </c>
    </row>
    <row r="421" spans="1:12" x14ac:dyDescent="0.25">
      <c r="A421" t="s">
        <v>2056</v>
      </c>
      <c r="B421" t="s">
        <v>2199</v>
      </c>
      <c r="C421" t="s">
        <v>28</v>
      </c>
      <c r="D421" t="s">
        <v>2057</v>
      </c>
      <c r="E421" t="s">
        <v>1973</v>
      </c>
      <c r="F421">
        <v>5</v>
      </c>
      <c r="G421" t="s">
        <v>1642</v>
      </c>
      <c r="H421" s="1">
        <v>46082</v>
      </c>
      <c r="I421" t="s">
        <v>1643</v>
      </c>
      <c r="J421">
        <v>1</v>
      </c>
      <c r="K421" s="1">
        <v>46113</v>
      </c>
      <c r="L421" s="8">
        <v>500024</v>
      </c>
    </row>
    <row r="422" spans="1:12" x14ac:dyDescent="0.25">
      <c r="A422" t="s">
        <v>2067</v>
      </c>
      <c r="B422" t="s">
        <v>2199</v>
      </c>
      <c r="C422" t="s">
        <v>28</v>
      </c>
      <c r="D422" t="s">
        <v>2068</v>
      </c>
      <c r="E422" t="s">
        <v>486</v>
      </c>
      <c r="F422">
        <v>1</v>
      </c>
      <c r="G422" t="s">
        <v>590</v>
      </c>
      <c r="H422" s="1">
        <v>46082</v>
      </c>
      <c r="I422" t="s">
        <v>591</v>
      </c>
      <c r="J422">
        <v>1</v>
      </c>
      <c r="K422" s="1">
        <v>46082</v>
      </c>
      <c r="L422" s="8">
        <v>490280</v>
      </c>
    </row>
    <row r="423" spans="1:12" x14ac:dyDescent="0.25">
      <c r="A423" t="s">
        <v>2070</v>
      </c>
      <c r="B423" t="s">
        <v>2199</v>
      </c>
      <c r="C423" t="s">
        <v>28</v>
      </c>
      <c r="D423" t="s">
        <v>2071</v>
      </c>
      <c r="E423" t="s">
        <v>2073</v>
      </c>
      <c r="F423">
        <v>1</v>
      </c>
      <c r="G423" t="s">
        <v>1642</v>
      </c>
      <c r="H423" s="1">
        <v>46113</v>
      </c>
      <c r="I423" t="s">
        <v>1643</v>
      </c>
      <c r="J423">
        <v>1</v>
      </c>
      <c r="K423" s="1">
        <v>46143</v>
      </c>
      <c r="L423" s="8">
        <v>70000</v>
      </c>
    </row>
    <row r="424" spans="1:12" x14ac:dyDescent="0.25">
      <c r="A424" t="s">
        <v>2074</v>
      </c>
      <c r="B424" t="s">
        <v>2199</v>
      </c>
      <c r="C424" t="s">
        <v>28</v>
      </c>
      <c r="D424" t="s">
        <v>788</v>
      </c>
      <c r="E424" t="s">
        <v>359</v>
      </c>
      <c r="F424">
        <v>2</v>
      </c>
      <c r="G424" t="s">
        <v>2076</v>
      </c>
      <c r="H424" s="1">
        <v>46082</v>
      </c>
      <c r="I424" t="s">
        <v>2077</v>
      </c>
      <c r="J424">
        <v>1</v>
      </c>
      <c r="K424" s="1">
        <v>46082</v>
      </c>
      <c r="L424" s="8">
        <v>2280150</v>
      </c>
    </row>
    <row r="425" spans="1:12" x14ac:dyDescent="0.25">
      <c r="A425" t="s">
        <v>2074</v>
      </c>
      <c r="B425" t="s">
        <v>2199</v>
      </c>
      <c r="C425" t="s">
        <v>28</v>
      </c>
      <c r="D425" t="s">
        <v>788</v>
      </c>
      <c r="E425" t="s">
        <v>855</v>
      </c>
      <c r="F425">
        <v>2</v>
      </c>
      <c r="G425" t="s">
        <v>2076</v>
      </c>
      <c r="H425" s="1">
        <v>46082</v>
      </c>
      <c r="I425" t="s">
        <v>2077</v>
      </c>
      <c r="J425">
        <v>1</v>
      </c>
      <c r="K425" s="1">
        <v>46082</v>
      </c>
      <c r="L425" s="8">
        <v>193760</v>
      </c>
    </row>
    <row r="426" spans="1:12" x14ac:dyDescent="0.25">
      <c r="A426" t="s">
        <v>2083</v>
      </c>
      <c r="B426" t="s">
        <v>2199</v>
      </c>
      <c r="C426" t="s">
        <v>28</v>
      </c>
      <c r="D426" t="s">
        <v>1916</v>
      </c>
      <c r="E426" t="s">
        <v>2085</v>
      </c>
      <c r="F426">
        <v>1</v>
      </c>
      <c r="G426" t="s">
        <v>1445</v>
      </c>
      <c r="H426" s="1">
        <v>46054</v>
      </c>
      <c r="I426" t="s">
        <v>1446</v>
      </c>
      <c r="J426">
        <v>1</v>
      </c>
      <c r="K426" s="1">
        <v>46082</v>
      </c>
      <c r="L426" s="8">
        <v>200000</v>
      </c>
    </row>
    <row r="427" spans="1:12" x14ac:dyDescent="0.25">
      <c r="A427" t="s">
        <v>2089</v>
      </c>
      <c r="B427" t="s">
        <v>2199</v>
      </c>
      <c r="C427" t="s">
        <v>28</v>
      </c>
      <c r="D427" t="s">
        <v>2090</v>
      </c>
      <c r="E427" t="s">
        <v>2096</v>
      </c>
      <c r="F427">
        <v>6</v>
      </c>
      <c r="G427" t="s">
        <v>761</v>
      </c>
      <c r="H427" s="1">
        <v>46113</v>
      </c>
      <c r="I427" t="s">
        <v>762</v>
      </c>
      <c r="J427">
        <v>1</v>
      </c>
      <c r="K427" s="1">
        <v>46143</v>
      </c>
      <c r="L427" s="8">
        <v>30000</v>
      </c>
    </row>
    <row r="428" spans="1:12" x14ac:dyDescent="0.25">
      <c r="A428" t="s">
        <v>2089</v>
      </c>
      <c r="B428" t="s">
        <v>2199</v>
      </c>
      <c r="C428" t="s">
        <v>28</v>
      </c>
      <c r="D428" t="s">
        <v>2090</v>
      </c>
      <c r="E428" t="s">
        <v>2092</v>
      </c>
      <c r="F428">
        <v>6</v>
      </c>
      <c r="G428" t="s">
        <v>761</v>
      </c>
      <c r="H428" s="1">
        <v>46113</v>
      </c>
      <c r="I428" t="s">
        <v>762</v>
      </c>
      <c r="J428">
        <v>1</v>
      </c>
      <c r="K428" s="1">
        <v>46143</v>
      </c>
      <c r="L428" s="8">
        <v>343480</v>
      </c>
    </row>
    <row r="429" spans="1:12" x14ac:dyDescent="0.25">
      <c r="A429" t="s">
        <v>2089</v>
      </c>
      <c r="B429" t="s">
        <v>2199</v>
      </c>
      <c r="C429" t="s">
        <v>28</v>
      </c>
      <c r="D429" t="s">
        <v>2090</v>
      </c>
      <c r="E429" t="s">
        <v>1864</v>
      </c>
      <c r="F429">
        <v>6</v>
      </c>
      <c r="G429" t="s">
        <v>761</v>
      </c>
      <c r="H429" s="1">
        <v>46113</v>
      </c>
      <c r="I429" t="s">
        <v>762</v>
      </c>
      <c r="J429">
        <v>1</v>
      </c>
      <c r="K429" s="1">
        <v>46143</v>
      </c>
      <c r="L429" s="8">
        <v>230040</v>
      </c>
    </row>
    <row r="430" spans="1:12" x14ac:dyDescent="0.25">
      <c r="A430" t="s">
        <v>2089</v>
      </c>
      <c r="B430" t="s">
        <v>2199</v>
      </c>
      <c r="C430" t="s">
        <v>28</v>
      </c>
      <c r="D430" t="s">
        <v>2090</v>
      </c>
      <c r="E430" t="s">
        <v>1938</v>
      </c>
      <c r="F430">
        <v>6</v>
      </c>
      <c r="G430" t="s">
        <v>761</v>
      </c>
      <c r="H430" s="1">
        <v>46113</v>
      </c>
      <c r="I430" t="s">
        <v>762</v>
      </c>
      <c r="J430">
        <v>1</v>
      </c>
      <c r="K430" s="1">
        <v>46143</v>
      </c>
      <c r="L430" s="8">
        <v>220110</v>
      </c>
    </row>
    <row r="431" spans="1:12" x14ac:dyDescent="0.25">
      <c r="A431" t="s">
        <v>2089</v>
      </c>
      <c r="B431" t="s">
        <v>2199</v>
      </c>
      <c r="C431" t="s">
        <v>28</v>
      </c>
      <c r="D431" t="s">
        <v>2090</v>
      </c>
      <c r="E431" t="s">
        <v>2093</v>
      </c>
      <c r="F431">
        <v>6</v>
      </c>
      <c r="G431" t="s">
        <v>761</v>
      </c>
      <c r="H431" s="1">
        <v>46113</v>
      </c>
      <c r="I431" t="s">
        <v>762</v>
      </c>
      <c r="J431">
        <v>1</v>
      </c>
      <c r="K431" s="1">
        <v>46143</v>
      </c>
      <c r="L431" s="8">
        <v>100000</v>
      </c>
    </row>
    <row r="432" spans="1:12" x14ac:dyDescent="0.25">
      <c r="A432" t="s">
        <v>2089</v>
      </c>
      <c r="B432" t="s">
        <v>2199</v>
      </c>
      <c r="C432" t="s">
        <v>28</v>
      </c>
      <c r="D432" t="s">
        <v>2090</v>
      </c>
      <c r="E432" t="s">
        <v>2095</v>
      </c>
      <c r="F432">
        <v>6</v>
      </c>
      <c r="G432" t="s">
        <v>761</v>
      </c>
      <c r="H432" s="1">
        <v>46113</v>
      </c>
      <c r="I432" t="s">
        <v>762</v>
      </c>
      <c r="J432">
        <v>1</v>
      </c>
      <c r="K432" s="1">
        <v>46143</v>
      </c>
      <c r="L432" s="8">
        <v>2364300</v>
      </c>
    </row>
    <row r="433" spans="1:12" x14ac:dyDescent="0.25">
      <c r="A433" t="s">
        <v>2097</v>
      </c>
      <c r="B433" t="s">
        <v>2199</v>
      </c>
      <c r="C433" t="s">
        <v>28</v>
      </c>
      <c r="D433" t="s">
        <v>2098</v>
      </c>
      <c r="E433" t="s">
        <v>2101</v>
      </c>
      <c r="F433">
        <v>3</v>
      </c>
      <c r="G433" t="s">
        <v>590</v>
      </c>
      <c r="H433" s="1">
        <v>46113</v>
      </c>
      <c r="I433" t="s">
        <v>591</v>
      </c>
      <c r="J433">
        <v>1</v>
      </c>
      <c r="K433" s="1">
        <v>46143</v>
      </c>
      <c r="L433" s="8">
        <v>1559097</v>
      </c>
    </row>
    <row r="434" spans="1:12" x14ac:dyDescent="0.25">
      <c r="A434" t="s">
        <v>2097</v>
      </c>
      <c r="B434" t="s">
        <v>2199</v>
      </c>
      <c r="C434" t="s">
        <v>28</v>
      </c>
      <c r="D434" t="s">
        <v>2098</v>
      </c>
      <c r="E434" t="s">
        <v>1940</v>
      </c>
      <c r="F434">
        <v>3</v>
      </c>
      <c r="G434" t="s">
        <v>590</v>
      </c>
      <c r="H434" s="1">
        <v>46113</v>
      </c>
      <c r="I434" t="s">
        <v>591</v>
      </c>
      <c r="J434">
        <v>1</v>
      </c>
      <c r="K434" s="1">
        <v>46143</v>
      </c>
      <c r="L434" s="8">
        <v>150000</v>
      </c>
    </row>
    <row r="435" spans="1:12" x14ac:dyDescent="0.25">
      <c r="A435" t="s">
        <v>2097</v>
      </c>
      <c r="B435" t="s">
        <v>2199</v>
      </c>
      <c r="C435" t="s">
        <v>28</v>
      </c>
      <c r="D435" t="s">
        <v>2098</v>
      </c>
      <c r="E435" t="s">
        <v>2055</v>
      </c>
      <c r="F435">
        <v>3</v>
      </c>
      <c r="G435" t="s">
        <v>590</v>
      </c>
      <c r="H435" s="1">
        <v>46082</v>
      </c>
      <c r="I435" t="s">
        <v>591</v>
      </c>
      <c r="J435">
        <v>1</v>
      </c>
      <c r="K435" s="1">
        <v>46113</v>
      </c>
      <c r="L435" s="8">
        <v>464009</v>
      </c>
    </row>
    <row r="436" spans="1:12" x14ac:dyDescent="0.25">
      <c r="A436" t="s">
        <v>2107</v>
      </c>
      <c r="B436" t="s">
        <v>2199</v>
      </c>
      <c r="C436" t="s">
        <v>28</v>
      </c>
      <c r="D436" t="s">
        <v>2108</v>
      </c>
      <c r="E436" t="s">
        <v>486</v>
      </c>
      <c r="F436">
        <v>3</v>
      </c>
      <c r="G436" t="s">
        <v>761</v>
      </c>
      <c r="H436" s="1">
        <v>46054</v>
      </c>
      <c r="I436" t="s">
        <v>762</v>
      </c>
      <c r="J436">
        <v>1</v>
      </c>
      <c r="K436" s="1">
        <v>46054</v>
      </c>
      <c r="L436" s="8">
        <v>1975000</v>
      </c>
    </row>
    <row r="437" spans="1:12" x14ac:dyDescent="0.25">
      <c r="A437" t="s">
        <v>2107</v>
      </c>
      <c r="B437" t="s">
        <v>2199</v>
      </c>
      <c r="C437" t="s">
        <v>28</v>
      </c>
      <c r="D437" t="s">
        <v>2108</v>
      </c>
      <c r="E437" t="s">
        <v>1683</v>
      </c>
      <c r="F437">
        <v>3</v>
      </c>
      <c r="G437" t="s">
        <v>761</v>
      </c>
      <c r="H437" s="1">
        <v>46054</v>
      </c>
      <c r="I437" t="s">
        <v>762</v>
      </c>
      <c r="J437">
        <v>1</v>
      </c>
      <c r="K437" s="1">
        <v>46054</v>
      </c>
      <c r="L437" s="8">
        <v>50000</v>
      </c>
    </row>
    <row r="438" spans="1:12" x14ac:dyDescent="0.25">
      <c r="A438" t="s">
        <v>2107</v>
      </c>
      <c r="B438" t="s">
        <v>2199</v>
      </c>
      <c r="C438" t="s">
        <v>28</v>
      </c>
      <c r="D438" t="s">
        <v>2108</v>
      </c>
      <c r="E438" t="s">
        <v>953</v>
      </c>
      <c r="F438">
        <v>3</v>
      </c>
      <c r="G438" t="s">
        <v>761</v>
      </c>
      <c r="H438" s="1">
        <v>46054</v>
      </c>
      <c r="I438" t="s">
        <v>762</v>
      </c>
      <c r="J438">
        <v>1</v>
      </c>
      <c r="K438" s="1">
        <v>46054</v>
      </c>
      <c r="L438" s="8">
        <v>500004</v>
      </c>
    </row>
    <row r="439" spans="1:12" x14ac:dyDescent="0.25">
      <c r="A439" t="s">
        <v>2115</v>
      </c>
      <c r="B439" t="s">
        <v>2199</v>
      </c>
      <c r="C439" t="s">
        <v>28</v>
      </c>
      <c r="D439" t="s">
        <v>2116</v>
      </c>
      <c r="E439" t="s">
        <v>359</v>
      </c>
      <c r="F439">
        <v>4</v>
      </c>
      <c r="G439" t="s">
        <v>761</v>
      </c>
      <c r="H439" s="1">
        <v>46266</v>
      </c>
      <c r="I439" t="s">
        <v>762</v>
      </c>
      <c r="J439">
        <v>1</v>
      </c>
      <c r="K439" s="1">
        <v>46266</v>
      </c>
      <c r="L439" s="8">
        <v>679980</v>
      </c>
    </row>
    <row r="440" spans="1:12" x14ac:dyDescent="0.25">
      <c r="A440" t="s">
        <v>2115</v>
      </c>
      <c r="B440" t="s">
        <v>2199</v>
      </c>
      <c r="C440" t="s">
        <v>28</v>
      </c>
      <c r="D440" t="s">
        <v>2116</v>
      </c>
      <c r="E440" t="s">
        <v>2118</v>
      </c>
      <c r="F440">
        <v>4</v>
      </c>
      <c r="G440" t="s">
        <v>761</v>
      </c>
      <c r="H440" s="1">
        <v>46266</v>
      </c>
      <c r="I440" t="s">
        <v>762</v>
      </c>
      <c r="J440">
        <v>1</v>
      </c>
      <c r="K440" s="1">
        <v>46266</v>
      </c>
      <c r="L440" s="8">
        <v>1000000</v>
      </c>
    </row>
    <row r="441" spans="1:12" x14ac:dyDescent="0.25">
      <c r="A441" t="s">
        <v>2115</v>
      </c>
      <c r="B441" t="s">
        <v>2199</v>
      </c>
      <c r="C441" t="s">
        <v>28</v>
      </c>
      <c r="D441" t="s">
        <v>2116</v>
      </c>
      <c r="E441" t="s">
        <v>2120</v>
      </c>
      <c r="F441">
        <v>4</v>
      </c>
      <c r="G441" t="s">
        <v>761</v>
      </c>
      <c r="H441" s="1">
        <v>46266</v>
      </c>
      <c r="I441" t="s">
        <v>762</v>
      </c>
      <c r="J441">
        <v>1</v>
      </c>
      <c r="K441" s="1">
        <v>46266</v>
      </c>
      <c r="L441" s="8">
        <v>186000</v>
      </c>
    </row>
    <row r="442" spans="1:12" x14ac:dyDescent="0.25">
      <c r="A442" t="s">
        <v>2115</v>
      </c>
      <c r="B442" t="s">
        <v>2199</v>
      </c>
      <c r="C442" t="s">
        <v>28</v>
      </c>
      <c r="D442" t="s">
        <v>2116</v>
      </c>
      <c r="E442" t="s">
        <v>2119</v>
      </c>
      <c r="F442">
        <v>4</v>
      </c>
      <c r="G442" t="s">
        <v>761</v>
      </c>
      <c r="H442" s="1">
        <v>46266</v>
      </c>
      <c r="I442" t="s">
        <v>762</v>
      </c>
      <c r="J442">
        <v>1</v>
      </c>
      <c r="K442" s="1">
        <v>46266</v>
      </c>
      <c r="L442" s="8">
        <v>360000</v>
      </c>
    </row>
    <row r="443" spans="1:12" x14ac:dyDescent="0.25">
      <c r="A443" t="s">
        <v>2121</v>
      </c>
      <c r="B443" t="s">
        <v>2199</v>
      </c>
      <c r="C443" t="s">
        <v>28</v>
      </c>
      <c r="D443" t="s">
        <v>2122</v>
      </c>
      <c r="E443" t="s">
        <v>2059</v>
      </c>
      <c r="F443">
        <v>23</v>
      </c>
      <c r="G443" t="s">
        <v>2124</v>
      </c>
      <c r="H443" s="1">
        <v>46082</v>
      </c>
      <c r="I443" t="s">
        <v>1217</v>
      </c>
      <c r="J443">
        <v>1</v>
      </c>
      <c r="K443" s="1">
        <v>46113</v>
      </c>
      <c r="L443" s="8">
        <v>35000</v>
      </c>
    </row>
    <row r="444" spans="1:12" x14ac:dyDescent="0.25">
      <c r="A444" t="s">
        <v>2121</v>
      </c>
      <c r="B444" t="s">
        <v>2199</v>
      </c>
      <c r="C444" t="s">
        <v>28</v>
      </c>
      <c r="D444" t="s">
        <v>2122</v>
      </c>
      <c r="E444" t="s">
        <v>359</v>
      </c>
      <c r="F444">
        <v>23</v>
      </c>
      <c r="G444" t="s">
        <v>2124</v>
      </c>
      <c r="H444" s="1">
        <v>46082</v>
      </c>
      <c r="I444" t="s">
        <v>1217</v>
      </c>
      <c r="J444">
        <v>1</v>
      </c>
      <c r="K444" s="1">
        <v>46113</v>
      </c>
      <c r="L444" s="8">
        <v>490000</v>
      </c>
    </row>
    <row r="445" spans="1:12" x14ac:dyDescent="0.25">
      <c r="A445" t="s">
        <v>2121</v>
      </c>
      <c r="B445" t="s">
        <v>2199</v>
      </c>
      <c r="C445" t="s">
        <v>28</v>
      </c>
      <c r="D445" t="s">
        <v>2122</v>
      </c>
      <c r="E445" t="s">
        <v>1864</v>
      </c>
      <c r="F445">
        <v>23</v>
      </c>
      <c r="G445" t="s">
        <v>2124</v>
      </c>
      <c r="H445" s="1">
        <v>46082</v>
      </c>
      <c r="I445" t="s">
        <v>1217</v>
      </c>
      <c r="J445">
        <v>1</v>
      </c>
      <c r="K445" s="1">
        <v>46113</v>
      </c>
      <c r="L445" s="8">
        <v>308000</v>
      </c>
    </row>
    <row r="446" spans="1:12" x14ac:dyDescent="0.25">
      <c r="A446" t="s">
        <v>2121</v>
      </c>
      <c r="B446" t="s">
        <v>2199</v>
      </c>
      <c r="C446" t="s">
        <v>28</v>
      </c>
      <c r="D446" t="s">
        <v>2122</v>
      </c>
      <c r="E446" t="s">
        <v>1938</v>
      </c>
      <c r="F446">
        <v>23</v>
      </c>
      <c r="G446" t="s">
        <v>2124</v>
      </c>
      <c r="H446" s="1">
        <v>46082</v>
      </c>
      <c r="I446" t="s">
        <v>1217</v>
      </c>
      <c r="J446">
        <v>1</v>
      </c>
      <c r="K446" s="1">
        <v>46113</v>
      </c>
      <c r="L446" s="8">
        <v>145040</v>
      </c>
    </row>
    <row r="447" spans="1:12" x14ac:dyDescent="0.25">
      <c r="A447" t="s">
        <v>2121</v>
      </c>
      <c r="B447" t="s">
        <v>2199</v>
      </c>
      <c r="C447" t="s">
        <v>28</v>
      </c>
      <c r="D447" t="s">
        <v>2122</v>
      </c>
      <c r="E447" t="s">
        <v>1251</v>
      </c>
      <c r="F447">
        <v>23</v>
      </c>
      <c r="G447" t="s">
        <v>2124</v>
      </c>
      <c r="H447" s="1">
        <v>46082</v>
      </c>
      <c r="I447" t="s">
        <v>1217</v>
      </c>
      <c r="J447">
        <v>1</v>
      </c>
      <c r="K447" s="1">
        <v>46113</v>
      </c>
      <c r="L447" s="8">
        <v>35000</v>
      </c>
    </row>
    <row r="448" spans="1:12" x14ac:dyDescent="0.25">
      <c r="A448" t="s">
        <v>2121</v>
      </c>
      <c r="B448" t="s">
        <v>2199</v>
      </c>
      <c r="C448" t="s">
        <v>28</v>
      </c>
      <c r="D448" t="s">
        <v>2122</v>
      </c>
      <c r="E448" t="s">
        <v>2134</v>
      </c>
      <c r="F448">
        <v>23</v>
      </c>
      <c r="G448" t="s">
        <v>2124</v>
      </c>
      <c r="H448" s="1">
        <v>46143</v>
      </c>
      <c r="I448" t="s">
        <v>1217</v>
      </c>
      <c r="J448">
        <v>1</v>
      </c>
      <c r="K448" s="1">
        <v>46174</v>
      </c>
      <c r="L448" s="8">
        <v>1000000</v>
      </c>
    </row>
    <row r="449" spans="1:12" x14ac:dyDescent="0.25">
      <c r="A449" t="s">
        <v>2121</v>
      </c>
      <c r="B449" t="s">
        <v>2199</v>
      </c>
      <c r="C449" t="s">
        <v>28</v>
      </c>
      <c r="D449" t="s">
        <v>2122</v>
      </c>
      <c r="E449" t="s">
        <v>2138</v>
      </c>
      <c r="F449">
        <v>23</v>
      </c>
      <c r="G449" t="s">
        <v>2124</v>
      </c>
      <c r="H449" s="1">
        <v>46082</v>
      </c>
      <c r="I449" t="s">
        <v>1217</v>
      </c>
      <c r="J449">
        <v>1</v>
      </c>
      <c r="K449" s="1">
        <v>46113</v>
      </c>
      <c r="L449" s="8">
        <v>40000</v>
      </c>
    </row>
    <row r="450" spans="1:12" x14ac:dyDescent="0.25">
      <c r="A450" t="s">
        <v>2121</v>
      </c>
      <c r="B450" t="s">
        <v>2199</v>
      </c>
      <c r="C450" t="s">
        <v>28</v>
      </c>
      <c r="D450" t="s">
        <v>2122</v>
      </c>
      <c r="E450" t="s">
        <v>2135</v>
      </c>
      <c r="F450">
        <v>23</v>
      </c>
      <c r="G450" t="s">
        <v>2124</v>
      </c>
      <c r="H450" s="1">
        <v>46082</v>
      </c>
      <c r="I450" t="s">
        <v>1217</v>
      </c>
      <c r="J450">
        <v>1</v>
      </c>
      <c r="K450" s="1">
        <v>46113</v>
      </c>
      <c r="L450" s="8">
        <v>2000000</v>
      </c>
    </row>
    <row r="451" spans="1:12" x14ac:dyDescent="0.25">
      <c r="A451" t="s">
        <v>2121</v>
      </c>
      <c r="B451" t="s">
        <v>2199</v>
      </c>
      <c r="C451" t="s">
        <v>28</v>
      </c>
      <c r="D451" t="s">
        <v>2122</v>
      </c>
      <c r="E451" t="s">
        <v>2132</v>
      </c>
      <c r="F451">
        <v>23</v>
      </c>
      <c r="G451" t="s">
        <v>2124</v>
      </c>
      <c r="H451" s="1">
        <v>46143</v>
      </c>
      <c r="I451" t="s">
        <v>1217</v>
      </c>
      <c r="J451">
        <v>4</v>
      </c>
      <c r="K451" t="s">
        <v>2133</v>
      </c>
      <c r="L451" s="8">
        <v>600000</v>
      </c>
    </row>
    <row r="452" spans="1:12" x14ac:dyDescent="0.25">
      <c r="A452" t="s">
        <v>2121</v>
      </c>
      <c r="B452" t="s">
        <v>2199</v>
      </c>
      <c r="C452" t="s">
        <v>28</v>
      </c>
      <c r="D452" t="s">
        <v>2122</v>
      </c>
      <c r="E452" t="s">
        <v>2139</v>
      </c>
      <c r="F452">
        <v>23</v>
      </c>
      <c r="G452" t="s">
        <v>2124</v>
      </c>
      <c r="H452" s="1">
        <v>46082</v>
      </c>
      <c r="I452" t="s">
        <v>1217</v>
      </c>
      <c r="J452">
        <v>1</v>
      </c>
      <c r="K452" s="1">
        <v>46113</v>
      </c>
      <c r="L452" s="8">
        <v>156000</v>
      </c>
    </row>
    <row r="453" spans="1:12" x14ac:dyDescent="0.25">
      <c r="A453" t="s">
        <v>2121</v>
      </c>
      <c r="B453" t="s">
        <v>2199</v>
      </c>
      <c r="C453" t="s">
        <v>28</v>
      </c>
      <c r="D453" t="s">
        <v>2122</v>
      </c>
      <c r="E453" t="s">
        <v>2127</v>
      </c>
      <c r="F453">
        <v>23</v>
      </c>
      <c r="G453" t="s">
        <v>2124</v>
      </c>
      <c r="H453" s="1">
        <v>46082</v>
      </c>
      <c r="I453" t="s">
        <v>1217</v>
      </c>
      <c r="J453">
        <v>1</v>
      </c>
      <c r="K453" s="1">
        <v>46113</v>
      </c>
      <c r="L453" s="8">
        <v>1010080</v>
      </c>
    </row>
    <row r="454" spans="1:12" x14ac:dyDescent="0.25">
      <c r="A454" t="s">
        <v>2121</v>
      </c>
      <c r="B454" t="s">
        <v>2199</v>
      </c>
      <c r="C454" t="s">
        <v>28</v>
      </c>
      <c r="D454" t="s">
        <v>2122</v>
      </c>
      <c r="E454" t="s">
        <v>2128</v>
      </c>
      <c r="F454">
        <v>23</v>
      </c>
      <c r="G454" t="s">
        <v>2124</v>
      </c>
      <c r="H454" s="1">
        <v>46082</v>
      </c>
      <c r="I454" t="s">
        <v>1217</v>
      </c>
      <c r="J454">
        <v>1</v>
      </c>
      <c r="K454" s="1">
        <v>46113</v>
      </c>
      <c r="L454" s="8">
        <v>40000</v>
      </c>
    </row>
    <row r="455" spans="1:12" x14ac:dyDescent="0.25">
      <c r="A455" t="s">
        <v>2121</v>
      </c>
      <c r="B455" t="s">
        <v>2199</v>
      </c>
      <c r="C455" t="s">
        <v>28</v>
      </c>
      <c r="D455" t="s">
        <v>2122</v>
      </c>
      <c r="E455" t="s">
        <v>512</v>
      </c>
      <c r="F455">
        <v>23</v>
      </c>
      <c r="G455" t="s">
        <v>2124</v>
      </c>
      <c r="H455" s="1">
        <v>46113</v>
      </c>
      <c r="I455" t="s">
        <v>1217</v>
      </c>
      <c r="J455">
        <v>3</v>
      </c>
      <c r="K455" t="s">
        <v>2129</v>
      </c>
      <c r="L455" s="8">
        <v>5000000</v>
      </c>
    </row>
    <row r="456" spans="1:12" x14ac:dyDescent="0.25">
      <c r="A456" t="s">
        <v>2121</v>
      </c>
      <c r="B456" t="s">
        <v>2199</v>
      </c>
      <c r="C456" t="s">
        <v>28</v>
      </c>
      <c r="D456" t="s">
        <v>2122</v>
      </c>
      <c r="E456" t="s">
        <v>2095</v>
      </c>
      <c r="F456">
        <v>23</v>
      </c>
      <c r="G456" t="s">
        <v>2124</v>
      </c>
      <c r="H456" s="1">
        <v>46082</v>
      </c>
      <c r="I456" t="s">
        <v>1217</v>
      </c>
      <c r="J456">
        <v>1</v>
      </c>
      <c r="K456" s="1">
        <v>46113</v>
      </c>
      <c r="L456" s="8">
        <v>715050</v>
      </c>
    </row>
    <row r="457" spans="1:12" x14ac:dyDescent="0.25">
      <c r="A457" t="s">
        <v>2121</v>
      </c>
      <c r="B457" t="s">
        <v>2199</v>
      </c>
      <c r="C457" t="s">
        <v>28</v>
      </c>
      <c r="D457" t="s">
        <v>2122</v>
      </c>
      <c r="E457" t="s">
        <v>1617</v>
      </c>
      <c r="F457">
        <v>23</v>
      </c>
      <c r="G457" t="s">
        <v>2124</v>
      </c>
      <c r="H457" s="1">
        <v>46143</v>
      </c>
      <c r="I457" t="s">
        <v>1217</v>
      </c>
      <c r="J457">
        <v>1</v>
      </c>
      <c r="K457" s="1">
        <v>46174</v>
      </c>
      <c r="L457" s="8">
        <v>1000000</v>
      </c>
    </row>
    <row r="458" spans="1:12" x14ac:dyDescent="0.25">
      <c r="A458" t="s">
        <v>2121</v>
      </c>
      <c r="B458" t="s">
        <v>2199</v>
      </c>
      <c r="C458" t="s">
        <v>28</v>
      </c>
      <c r="D458" t="s">
        <v>2122</v>
      </c>
      <c r="E458" t="s">
        <v>912</v>
      </c>
      <c r="F458">
        <v>23</v>
      </c>
      <c r="G458" t="s">
        <v>2124</v>
      </c>
      <c r="H458" s="1">
        <v>46082</v>
      </c>
      <c r="I458" t="s">
        <v>1217</v>
      </c>
      <c r="J458">
        <v>1</v>
      </c>
      <c r="K458" s="1">
        <v>46113</v>
      </c>
      <c r="L458" s="8">
        <v>385000</v>
      </c>
    </row>
    <row r="459" spans="1:12" x14ac:dyDescent="0.25">
      <c r="A459" t="s">
        <v>2121</v>
      </c>
      <c r="B459" t="s">
        <v>2199</v>
      </c>
      <c r="C459" t="s">
        <v>28</v>
      </c>
      <c r="D459" t="s">
        <v>2122</v>
      </c>
      <c r="E459" t="s">
        <v>288</v>
      </c>
      <c r="F459">
        <v>23</v>
      </c>
      <c r="G459" t="s">
        <v>2124</v>
      </c>
      <c r="H459" s="1">
        <v>46113</v>
      </c>
      <c r="I459" t="s">
        <v>1217</v>
      </c>
      <c r="J459">
        <v>1</v>
      </c>
      <c r="K459" s="1">
        <v>46143</v>
      </c>
      <c r="L459" s="8">
        <v>6000000</v>
      </c>
    </row>
    <row r="460" spans="1:12" x14ac:dyDescent="0.25">
      <c r="A460" t="s">
        <v>2121</v>
      </c>
      <c r="B460" t="s">
        <v>2199</v>
      </c>
      <c r="C460" t="s">
        <v>28</v>
      </c>
      <c r="D460" t="s">
        <v>2122</v>
      </c>
      <c r="E460" t="s">
        <v>2130</v>
      </c>
      <c r="F460">
        <v>23</v>
      </c>
      <c r="G460" t="s">
        <v>2124</v>
      </c>
      <c r="H460" s="1">
        <v>46143</v>
      </c>
      <c r="I460" t="s">
        <v>1217</v>
      </c>
      <c r="J460">
        <v>1</v>
      </c>
      <c r="K460" s="1">
        <v>46174</v>
      </c>
      <c r="L460" s="8">
        <v>2500000</v>
      </c>
    </row>
    <row r="461" spans="1:12" x14ac:dyDescent="0.25">
      <c r="A461" t="s">
        <v>2121</v>
      </c>
      <c r="B461" t="s">
        <v>2199</v>
      </c>
      <c r="C461" t="s">
        <v>28</v>
      </c>
      <c r="D461" t="s">
        <v>2122</v>
      </c>
      <c r="E461" t="s">
        <v>1939</v>
      </c>
      <c r="F461">
        <v>23</v>
      </c>
      <c r="G461" t="s">
        <v>2124</v>
      </c>
      <c r="H461" s="1">
        <v>46082</v>
      </c>
      <c r="I461" t="s">
        <v>1217</v>
      </c>
      <c r="J461">
        <v>1</v>
      </c>
      <c r="K461" s="1">
        <v>46113</v>
      </c>
      <c r="L461" s="8">
        <v>70000</v>
      </c>
    </row>
    <row r="462" spans="1:12" x14ac:dyDescent="0.25">
      <c r="A462" t="s">
        <v>2121</v>
      </c>
      <c r="B462" t="s">
        <v>2199</v>
      </c>
      <c r="C462" t="s">
        <v>28</v>
      </c>
      <c r="D462" t="s">
        <v>2122</v>
      </c>
      <c r="E462" t="s">
        <v>1936</v>
      </c>
      <c r="F462">
        <v>23</v>
      </c>
      <c r="G462" t="s">
        <v>2124</v>
      </c>
      <c r="H462" s="1">
        <v>46143</v>
      </c>
      <c r="I462" t="s">
        <v>1217</v>
      </c>
      <c r="J462">
        <v>1</v>
      </c>
      <c r="K462" s="1">
        <v>46174</v>
      </c>
      <c r="L462" s="8">
        <v>500000</v>
      </c>
    </row>
    <row r="463" spans="1:12" x14ac:dyDescent="0.25">
      <c r="A463" t="s">
        <v>2121</v>
      </c>
      <c r="B463" t="s">
        <v>2199</v>
      </c>
      <c r="C463" t="s">
        <v>28</v>
      </c>
      <c r="D463" t="s">
        <v>2122</v>
      </c>
      <c r="E463" t="s">
        <v>2136</v>
      </c>
      <c r="F463">
        <v>23</v>
      </c>
      <c r="G463" t="s">
        <v>2124</v>
      </c>
      <c r="H463" s="1">
        <v>46143</v>
      </c>
      <c r="I463" t="s">
        <v>1217</v>
      </c>
      <c r="J463">
        <v>1</v>
      </c>
      <c r="K463" s="1">
        <v>46174</v>
      </c>
      <c r="L463" s="8">
        <v>4000000</v>
      </c>
    </row>
    <row r="464" spans="1:12" x14ac:dyDescent="0.25">
      <c r="A464" t="s">
        <v>2121</v>
      </c>
      <c r="B464" t="s">
        <v>2199</v>
      </c>
      <c r="C464" t="s">
        <v>28</v>
      </c>
      <c r="D464" t="s">
        <v>2122</v>
      </c>
      <c r="E464" t="s">
        <v>1930</v>
      </c>
      <c r="F464">
        <v>23</v>
      </c>
      <c r="G464" t="s">
        <v>2124</v>
      </c>
      <c r="H464" s="1">
        <v>46113</v>
      </c>
      <c r="I464" t="s">
        <v>1217</v>
      </c>
      <c r="J464">
        <v>1</v>
      </c>
      <c r="K464" s="1">
        <v>46143</v>
      </c>
      <c r="L464" s="8">
        <v>1000000</v>
      </c>
    </row>
    <row r="465" spans="1:12" x14ac:dyDescent="0.25">
      <c r="A465" t="s">
        <v>2121</v>
      </c>
      <c r="B465" t="s">
        <v>2199</v>
      </c>
      <c r="C465" t="s">
        <v>28</v>
      </c>
      <c r="D465" t="s">
        <v>2122</v>
      </c>
      <c r="E465" t="s">
        <v>2137</v>
      </c>
      <c r="F465">
        <v>23</v>
      </c>
      <c r="G465" t="s">
        <v>2124</v>
      </c>
      <c r="H465" s="1">
        <v>46113</v>
      </c>
      <c r="I465" t="s">
        <v>1217</v>
      </c>
      <c r="J465">
        <v>1</v>
      </c>
      <c r="K465" s="1">
        <v>46143</v>
      </c>
      <c r="L465" s="8">
        <v>2000000</v>
      </c>
    </row>
    <row r="466" spans="1:12" x14ac:dyDescent="0.25">
      <c r="A466" t="s">
        <v>2144</v>
      </c>
      <c r="B466" t="s">
        <v>2199</v>
      </c>
      <c r="C466" t="s">
        <v>28</v>
      </c>
      <c r="D466" t="s">
        <v>2145</v>
      </c>
      <c r="E466" t="s">
        <v>359</v>
      </c>
      <c r="F466">
        <v>4</v>
      </c>
      <c r="G466" t="s">
        <v>64</v>
      </c>
      <c r="H466" s="1">
        <v>46113</v>
      </c>
      <c r="I466" t="s">
        <v>65</v>
      </c>
      <c r="J466">
        <v>1</v>
      </c>
      <c r="K466" s="1">
        <v>46113</v>
      </c>
      <c r="L466" s="8">
        <v>364000</v>
      </c>
    </row>
    <row r="467" spans="1:12" x14ac:dyDescent="0.25">
      <c r="A467" t="s">
        <v>2144</v>
      </c>
      <c r="B467" t="s">
        <v>2199</v>
      </c>
      <c r="C467" t="s">
        <v>28</v>
      </c>
      <c r="D467" t="s">
        <v>2145</v>
      </c>
      <c r="E467" t="s">
        <v>2147</v>
      </c>
      <c r="F467">
        <v>4</v>
      </c>
      <c r="G467" t="s">
        <v>64</v>
      </c>
      <c r="H467" s="1">
        <v>46113</v>
      </c>
      <c r="I467" t="s">
        <v>65</v>
      </c>
      <c r="J467">
        <v>1</v>
      </c>
      <c r="K467" s="1">
        <v>46113</v>
      </c>
      <c r="L467" s="8">
        <v>166036</v>
      </c>
    </row>
    <row r="468" spans="1:12" x14ac:dyDescent="0.25">
      <c r="A468" t="s">
        <v>2144</v>
      </c>
      <c r="B468" t="s">
        <v>2199</v>
      </c>
      <c r="C468" t="s">
        <v>28</v>
      </c>
      <c r="D468" t="s">
        <v>2145</v>
      </c>
      <c r="E468" t="s">
        <v>855</v>
      </c>
      <c r="F468">
        <v>4</v>
      </c>
      <c r="G468" t="s">
        <v>64</v>
      </c>
      <c r="H468" s="1">
        <v>46113</v>
      </c>
      <c r="I468" t="s">
        <v>65</v>
      </c>
      <c r="J468">
        <v>1</v>
      </c>
      <c r="K468" s="1">
        <v>46113</v>
      </c>
      <c r="L468" s="8">
        <v>73472</v>
      </c>
    </row>
    <row r="469" spans="1:12" x14ac:dyDescent="0.25">
      <c r="A469" t="s">
        <v>2144</v>
      </c>
      <c r="B469" t="s">
        <v>2199</v>
      </c>
      <c r="C469" t="s">
        <v>28</v>
      </c>
      <c r="D469" t="s">
        <v>2145</v>
      </c>
      <c r="E469" t="s">
        <v>2148</v>
      </c>
      <c r="F469">
        <v>4</v>
      </c>
      <c r="G469" t="s">
        <v>64</v>
      </c>
      <c r="H469" s="1">
        <v>46113</v>
      </c>
      <c r="I469" t="s">
        <v>65</v>
      </c>
      <c r="J469">
        <v>1</v>
      </c>
      <c r="K469" s="1">
        <v>46113</v>
      </c>
      <c r="L469" s="8">
        <v>1350000</v>
      </c>
    </row>
    <row r="470" spans="1:12" x14ac:dyDescent="0.25">
      <c r="A470" t="s">
        <v>2149</v>
      </c>
      <c r="B470" t="s">
        <v>2199</v>
      </c>
      <c r="C470" t="s">
        <v>28</v>
      </c>
      <c r="D470" t="s">
        <v>2150</v>
      </c>
      <c r="E470" t="s">
        <v>359</v>
      </c>
      <c r="F470">
        <v>5</v>
      </c>
      <c r="G470" t="s">
        <v>2152</v>
      </c>
      <c r="H470" s="1">
        <v>46054</v>
      </c>
      <c r="I470" t="s">
        <v>2153</v>
      </c>
      <c r="J470">
        <v>1</v>
      </c>
      <c r="K470" s="1">
        <v>46054</v>
      </c>
      <c r="L470" s="8">
        <v>647705</v>
      </c>
    </row>
    <row r="471" spans="1:12" x14ac:dyDescent="0.25">
      <c r="A471" t="s">
        <v>2149</v>
      </c>
      <c r="B471" t="s">
        <v>2199</v>
      </c>
      <c r="C471" t="s">
        <v>28</v>
      </c>
      <c r="D471" t="s">
        <v>2150</v>
      </c>
      <c r="E471" t="s">
        <v>2155</v>
      </c>
      <c r="F471">
        <v>5</v>
      </c>
      <c r="G471" t="s">
        <v>2152</v>
      </c>
      <c r="H471" s="1">
        <v>46054</v>
      </c>
      <c r="I471" t="s">
        <v>2153</v>
      </c>
      <c r="J471">
        <v>1</v>
      </c>
      <c r="K471" s="1">
        <v>46054</v>
      </c>
      <c r="L471" s="8">
        <v>4498002</v>
      </c>
    </row>
    <row r="472" spans="1:12" x14ac:dyDescent="0.25">
      <c r="A472" t="s">
        <v>2149</v>
      </c>
      <c r="B472" t="s">
        <v>2199</v>
      </c>
      <c r="C472" t="s">
        <v>28</v>
      </c>
      <c r="D472" t="s">
        <v>2150</v>
      </c>
      <c r="E472" t="s">
        <v>786</v>
      </c>
      <c r="F472">
        <v>5</v>
      </c>
      <c r="G472" t="s">
        <v>2152</v>
      </c>
      <c r="H472" s="1">
        <v>46054</v>
      </c>
      <c r="I472" t="s">
        <v>2153</v>
      </c>
      <c r="J472">
        <v>1</v>
      </c>
      <c r="K472" s="1">
        <v>46054</v>
      </c>
      <c r="L472" s="8">
        <v>438750</v>
      </c>
    </row>
    <row r="473" spans="1:12" x14ac:dyDescent="0.25">
      <c r="A473" t="s">
        <v>2149</v>
      </c>
      <c r="B473" t="s">
        <v>2199</v>
      </c>
      <c r="C473" t="s">
        <v>28</v>
      </c>
      <c r="D473" t="s">
        <v>2150</v>
      </c>
      <c r="E473" t="s">
        <v>486</v>
      </c>
      <c r="F473">
        <v>5</v>
      </c>
      <c r="G473" t="s">
        <v>2152</v>
      </c>
      <c r="H473" s="1">
        <v>46054</v>
      </c>
      <c r="I473" t="s">
        <v>2153</v>
      </c>
      <c r="J473">
        <v>1</v>
      </c>
      <c r="K473" s="1">
        <v>46054</v>
      </c>
      <c r="L473" s="8">
        <v>845559</v>
      </c>
    </row>
    <row r="474" spans="1:12" x14ac:dyDescent="0.25">
      <c r="A474" t="s">
        <v>2149</v>
      </c>
      <c r="B474" t="s">
        <v>2199</v>
      </c>
      <c r="C474" t="s">
        <v>28</v>
      </c>
      <c r="D474" t="s">
        <v>2150</v>
      </c>
      <c r="E474" t="s">
        <v>855</v>
      </c>
      <c r="F474">
        <v>5</v>
      </c>
      <c r="G474" t="s">
        <v>2152</v>
      </c>
      <c r="H474" s="1">
        <v>46054</v>
      </c>
      <c r="I474" t="s">
        <v>2153</v>
      </c>
      <c r="J474">
        <v>1</v>
      </c>
      <c r="K474" s="1">
        <v>46054</v>
      </c>
      <c r="L474" s="8">
        <v>157680</v>
      </c>
    </row>
    <row r="475" spans="1:12" x14ac:dyDescent="0.25">
      <c r="A475" t="s">
        <v>2156</v>
      </c>
      <c r="B475" t="s">
        <v>2199</v>
      </c>
      <c r="C475" t="s">
        <v>28</v>
      </c>
      <c r="D475" t="s">
        <v>2157</v>
      </c>
      <c r="E475" t="s">
        <v>786</v>
      </c>
      <c r="F475">
        <v>2</v>
      </c>
      <c r="G475" t="s">
        <v>395</v>
      </c>
      <c r="H475" s="1">
        <v>46023</v>
      </c>
      <c r="I475" t="s">
        <v>1217</v>
      </c>
      <c r="J475">
        <v>1</v>
      </c>
      <c r="K475" s="1">
        <v>46023</v>
      </c>
      <c r="L475" s="8">
        <v>791208</v>
      </c>
    </row>
    <row r="476" spans="1:12" x14ac:dyDescent="0.25">
      <c r="A476" t="s">
        <v>2156</v>
      </c>
      <c r="B476" t="s">
        <v>2199</v>
      </c>
      <c r="C476" t="s">
        <v>28</v>
      </c>
      <c r="D476" t="s">
        <v>2157</v>
      </c>
      <c r="E476" t="s">
        <v>1989</v>
      </c>
      <c r="F476">
        <v>2</v>
      </c>
      <c r="G476" t="s">
        <v>395</v>
      </c>
      <c r="H476" s="1">
        <v>46023</v>
      </c>
      <c r="I476" t="s">
        <v>1217</v>
      </c>
      <c r="J476">
        <v>1</v>
      </c>
      <c r="K476" s="1">
        <v>46023</v>
      </c>
      <c r="L476" s="8">
        <v>30000</v>
      </c>
    </row>
    <row r="477" spans="1:12" x14ac:dyDescent="0.25">
      <c r="A477" t="s">
        <v>2166</v>
      </c>
      <c r="B477" t="s">
        <v>2199</v>
      </c>
      <c r="C477" t="s">
        <v>28</v>
      </c>
      <c r="D477" t="s">
        <v>2167</v>
      </c>
      <c r="E477" t="s">
        <v>1550</v>
      </c>
      <c r="F477">
        <v>3</v>
      </c>
      <c r="G477" t="s">
        <v>64</v>
      </c>
      <c r="H477" s="1">
        <v>46054</v>
      </c>
      <c r="I477" t="s">
        <v>65</v>
      </c>
      <c r="J477">
        <v>1</v>
      </c>
      <c r="K477" s="1">
        <v>46054</v>
      </c>
      <c r="L477" s="8">
        <v>40000</v>
      </c>
    </row>
    <row r="478" spans="1:12" x14ac:dyDescent="0.25">
      <c r="A478" t="s">
        <v>2166</v>
      </c>
      <c r="B478" t="s">
        <v>2199</v>
      </c>
      <c r="C478" t="s">
        <v>28</v>
      </c>
      <c r="D478" t="s">
        <v>2167</v>
      </c>
      <c r="E478" t="s">
        <v>486</v>
      </c>
      <c r="F478">
        <v>3</v>
      </c>
      <c r="G478" t="s">
        <v>64</v>
      </c>
      <c r="H478" s="1">
        <v>46054</v>
      </c>
      <c r="I478" t="s">
        <v>65</v>
      </c>
      <c r="J478">
        <v>1</v>
      </c>
      <c r="K478" s="1">
        <v>46054</v>
      </c>
      <c r="L478" s="8">
        <v>275496</v>
      </c>
    </row>
    <row r="479" spans="1:12" x14ac:dyDescent="0.25">
      <c r="A479" t="s">
        <v>2166</v>
      </c>
      <c r="B479" t="s">
        <v>2199</v>
      </c>
      <c r="C479" t="s">
        <v>28</v>
      </c>
      <c r="D479" t="s">
        <v>2167</v>
      </c>
      <c r="E479" t="s">
        <v>832</v>
      </c>
      <c r="F479">
        <v>3</v>
      </c>
      <c r="G479" t="s">
        <v>64</v>
      </c>
      <c r="H479" s="1">
        <v>46054</v>
      </c>
      <c r="I479" t="s">
        <v>65</v>
      </c>
      <c r="J479">
        <v>1</v>
      </c>
      <c r="K479" s="1">
        <v>46054</v>
      </c>
      <c r="L479" s="8">
        <v>80000</v>
      </c>
    </row>
    <row r="480" spans="1:12" x14ac:dyDescent="0.25">
      <c r="A480" t="s">
        <v>2169</v>
      </c>
      <c r="B480" t="s">
        <v>2199</v>
      </c>
      <c r="C480" t="s">
        <v>28</v>
      </c>
      <c r="D480" t="s">
        <v>2170</v>
      </c>
      <c r="E480" t="s">
        <v>359</v>
      </c>
      <c r="F480">
        <v>3</v>
      </c>
      <c r="G480" t="s">
        <v>2171</v>
      </c>
      <c r="H480" s="1">
        <v>46054</v>
      </c>
      <c r="I480" t="s">
        <v>2172</v>
      </c>
      <c r="J480">
        <v>1</v>
      </c>
      <c r="K480" s="1">
        <v>46054</v>
      </c>
      <c r="L480" s="8">
        <v>781840</v>
      </c>
    </row>
    <row r="481" spans="1:12" x14ac:dyDescent="0.25">
      <c r="A481" t="s">
        <v>2169</v>
      </c>
      <c r="B481" t="s">
        <v>2199</v>
      </c>
      <c r="C481" t="s">
        <v>28</v>
      </c>
      <c r="D481" t="s">
        <v>2170</v>
      </c>
      <c r="E481" t="s">
        <v>786</v>
      </c>
      <c r="F481">
        <v>3</v>
      </c>
      <c r="G481" t="s">
        <v>2171</v>
      </c>
      <c r="H481" s="1">
        <v>46054</v>
      </c>
      <c r="I481" t="s">
        <v>2172</v>
      </c>
      <c r="J481">
        <v>1</v>
      </c>
      <c r="K481" s="1">
        <v>46054</v>
      </c>
      <c r="L481" s="8">
        <v>579758</v>
      </c>
    </row>
    <row r="482" spans="1:12" x14ac:dyDescent="0.25">
      <c r="A482" t="s">
        <v>2169</v>
      </c>
      <c r="B482" t="s">
        <v>2199</v>
      </c>
      <c r="C482" t="s">
        <v>28</v>
      </c>
      <c r="D482" t="s">
        <v>2170</v>
      </c>
      <c r="E482" t="s">
        <v>855</v>
      </c>
      <c r="F482">
        <v>3</v>
      </c>
      <c r="G482" t="s">
        <v>2171</v>
      </c>
      <c r="H482" s="1">
        <v>46054</v>
      </c>
      <c r="I482" t="s">
        <v>2172</v>
      </c>
      <c r="J482">
        <v>1</v>
      </c>
      <c r="K482" s="1">
        <v>46054</v>
      </c>
      <c r="L482" s="8">
        <v>165750</v>
      </c>
    </row>
    <row r="483" spans="1:12" x14ac:dyDescent="0.25">
      <c r="A483" t="s">
        <v>2174</v>
      </c>
      <c r="B483" t="s">
        <v>2199</v>
      </c>
      <c r="C483" t="s">
        <v>28</v>
      </c>
      <c r="D483" t="s">
        <v>2175</v>
      </c>
      <c r="E483" t="s">
        <v>2106</v>
      </c>
      <c r="F483">
        <v>2</v>
      </c>
      <c r="G483" t="s">
        <v>1893</v>
      </c>
      <c r="H483" s="1">
        <v>46023</v>
      </c>
      <c r="I483" t="s">
        <v>2177</v>
      </c>
      <c r="J483">
        <v>1</v>
      </c>
      <c r="K483" s="1">
        <v>46023</v>
      </c>
      <c r="L483" s="8">
        <v>250000</v>
      </c>
    </row>
    <row r="484" spans="1:12" x14ac:dyDescent="0.25">
      <c r="A484" t="s">
        <v>2174</v>
      </c>
      <c r="B484" t="s">
        <v>2199</v>
      </c>
      <c r="C484" t="s">
        <v>28</v>
      </c>
      <c r="D484" t="s">
        <v>2175</v>
      </c>
      <c r="E484" t="s">
        <v>486</v>
      </c>
      <c r="F484">
        <v>2</v>
      </c>
      <c r="G484" t="s">
        <v>1893</v>
      </c>
      <c r="H484" s="1">
        <v>46023</v>
      </c>
      <c r="I484" t="s">
        <v>2177</v>
      </c>
      <c r="J484">
        <v>1</v>
      </c>
      <c r="K484" s="1">
        <v>46023</v>
      </c>
      <c r="L484" s="8">
        <v>239000</v>
      </c>
    </row>
    <row r="485" spans="1:12" x14ac:dyDescent="0.25">
      <c r="A485" t="s">
        <v>2178</v>
      </c>
      <c r="B485" t="s">
        <v>2199</v>
      </c>
      <c r="C485" t="s">
        <v>28</v>
      </c>
      <c r="D485" t="s">
        <v>2179</v>
      </c>
      <c r="E485" t="s">
        <v>760</v>
      </c>
      <c r="F485">
        <v>1</v>
      </c>
      <c r="G485" t="s">
        <v>950</v>
      </c>
      <c r="H485" s="1">
        <v>46113</v>
      </c>
      <c r="I485" t="s">
        <v>951</v>
      </c>
      <c r="J485">
        <v>1</v>
      </c>
      <c r="K485" s="1">
        <v>46113</v>
      </c>
      <c r="L485" s="8">
        <v>57500000</v>
      </c>
    </row>
    <row r="486" spans="1:12" x14ac:dyDescent="0.25">
      <c r="A486" t="s">
        <v>2183</v>
      </c>
      <c r="B486" t="s">
        <v>2199</v>
      </c>
      <c r="C486" t="s">
        <v>28</v>
      </c>
      <c r="D486" t="s">
        <v>2184</v>
      </c>
      <c r="E486" t="s">
        <v>2188</v>
      </c>
      <c r="F486">
        <v>11</v>
      </c>
      <c r="G486" t="s">
        <v>761</v>
      </c>
      <c r="H486" s="1">
        <v>46143</v>
      </c>
      <c r="I486" t="s">
        <v>762</v>
      </c>
      <c r="J486">
        <v>1</v>
      </c>
      <c r="K486" s="1">
        <v>46143</v>
      </c>
      <c r="L486" s="8">
        <v>960000</v>
      </c>
    </row>
    <row r="487" spans="1:12" x14ac:dyDescent="0.25">
      <c r="A487" t="s">
        <v>2183</v>
      </c>
      <c r="B487" t="s">
        <v>2199</v>
      </c>
      <c r="C487" t="s">
        <v>28</v>
      </c>
      <c r="D487" t="s">
        <v>2184</v>
      </c>
      <c r="E487" t="s">
        <v>2191</v>
      </c>
      <c r="F487">
        <v>11</v>
      </c>
      <c r="G487" t="s">
        <v>761</v>
      </c>
      <c r="H487" s="1">
        <v>46143</v>
      </c>
      <c r="I487" t="s">
        <v>762</v>
      </c>
      <c r="J487">
        <v>1</v>
      </c>
      <c r="K487" s="1">
        <v>46143</v>
      </c>
      <c r="L487" s="8">
        <v>500004</v>
      </c>
    </row>
    <row r="488" spans="1:12" x14ac:dyDescent="0.25">
      <c r="A488" t="s">
        <v>2183</v>
      </c>
      <c r="B488" t="s">
        <v>2199</v>
      </c>
      <c r="C488" t="s">
        <v>28</v>
      </c>
      <c r="D488" t="s">
        <v>2184</v>
      </c>
      <c r="E488" t="s">
        <v>2187</v>
      </c>
      <c r="F488">
        <v>11</v>
      </c>
      <c r="G488" t="s">
        <v>761</v>
      </c>
      <c r="H488" s="1">
        <v>46143</v>
      </c>
      <c r="I488" t="s">
        <v>762</v>
      </c>
      <c r="J488">
        <v>1</v>
      </c>
      <c r="K488" s="1">
        <v>46143</v>
      </c>
      <c r="L488" s="8">
        <v>1201970</v>
      </c>
    </row>
    <row r="489" spans="1:12" x14ac:dyDescent="0.25">
      <c r="A489" t="s">
        <v>2183</v>
      </c>
      <c r="B489" t="s">
        <v>2199</v>
      </c>
      <c r="C489" t="s">
        <v>28</v>
      </c>
      <c r="D489" t="s">
        <v>2184</v>
      </c>
      <c r="E489" t="s">
        <v>855</v>
      </c>
      <c r="F489">
        <v>11</v>
      </c>
      <c r="G489" t="s">
        <v>761</v>
      </c>
      <c r="H489" s="1">
        <v>46143</v>
      </c>
      <c r="I489" t="s">
        <v>762</v>
      </c>
      <c r="J489">
        <v>1</v>
      </c>
      <c r="K489" s="1">
        <v>46143</v>
      </c>
      <c r="L489" s="8">
        <v>2563440</v>
      </c>
    </row>
    <row r="490" spans="1:12" x14ac:dyDescent="0.25">
      <c r="A490" t="s">
        <v>2183</v>
      </c>
      <c r="B490" t="s">
        <v>2199</v>
      </c>
      <c r="C490" t="s">
        <v>28</v>
      </c>
      <c r="D490" t="s">
        <v>2184</v>
      </c>
      <c r="E490" t="s">
        <v>2190</v>
      </c>
      <c r="F490">
        <v>11</v>
      </c>
      <c r="G490" t="s">
        <v>761</v>
      </c>
      <c r="H490" s="1">
        <v>46143</v>
      </c>
      <c r="I490" t="s">
        <v>762</v>
      </c>
      <c r="J490">
        <v>1</v>
      </c>
      <c r="K490" s="1">
        <v>46143</v>
      </c>
      <c r="L490" s="8">
        <v>549000</v>
      </c>
    </row>
    <row r="491" spans="1:12" x14ac:dyDescent="0.25">
      <c r="A491" t="s">
        <v>2183</v>
      </c>
      <c r="B491" t="s">
        <v>2199</v>
      </c>
      <c r="C491" t="s">
        <v>28</v>
      </c>
      <c r="D491" t="s">
        <v>2184</v>
      </c>
      <c r="E491" t="s">
        <v>2194</v>
      </c>
      <c r="F491">
        <v>11</v>
      </c>
      <c r="G491" t="s">
        <v>761</v>
      </c>
      <c r="H491" s="1">
        <v>46143</v>
      </c>
      <c r="I491" t="s">
        <v>762</v>
      </c>
      <c r="J491">
        <v>1</v>
      </c>
      <c r="K491" s="1">
        <v>46143</v>
      </c>
      <c r="L491" s="8">
        <v>55008</v>
      </c>
    </row>
    <row r="492" spans="1:12" x14ac:dyDescent="0.25">
      <c r="A492" t="s">
        <v>2183</v>
      </c>
      <c r="B492" t="s">
        <v>2199</v>
      </c>
      <c r="C492" t="s">
        <v>28</v>
      </c>
      <c r="D492" t="s">
        <v>2184</v>
      </c>
      <c r="E492" t="s">
        <v>2193</v>
      </c>
      <c r="F492">
        <v>11</v>
      </c>
      <c r="G492" t="s">
        <v>761</v>
      </c>
      <c r="H492" s="1">
        <v>46143</v>
      </c>
      <c r="I492" t="s">
        <v>762</v>
      </c>
      <c r="J492">
        <v>1</v>
      </c>
      <c r="K492" s="1">
        <v>46143</v>
      </c>
      <c r="L492" s="8">
        <v>120000</v>
      </c>
    </row>
    <row r="493" spans="1:12" x14ac:dyDescent="0.25">
      <c r="A493" t="s">
        <v>2183</v>
      </c>
      <c r="B493" t="s">
        <v>2199</v>
      </c>
      <c r="C493" t="s">
        <v>28</v>
      </c>
      <c r="D493" t="s">
        <v>2184</v>
      </c>
      <c r="E493" t="s">
        <v>2192</v>
      </c>
      <c r="F493">
        <v>11</v>
      </c>
      <c r="G493" t="s">
        <v>761</v>
      </c>
      <c r="H493" s="1">
        <v>46143</v>
      </c>
      <c r="I493" t="s">
        <v>762</v>
      </c>
      <c r="J493">
        <v>1</v>
      </c>
      <c r="K493" s="1">
        <v>46143</v>
      </c>
      <c r="L493" s="8">
        <v>290017</v>
      </c>
    </row>
    <row r="494" spans="1:12" x14ac:dyDescent="0.25">
      <c r="A494" t="s">
        <v>2183</v>
      </c>
      <c r="B494" t="s">
        <v>2199</v>
      </c>
      <c r="C494" t="s">
        <v>28</v>
      </c>
      <c r="D494" t="s">
        <v>2184</v>
      </c>
      <c r="E494" t="s">
        <v>2189</v>
      </c>
      <c r="F494">
        <v>11</v>
      </c>
      <c r="G494" t="s">
        <v>761</v>
      </c>
      <c r="H494" s="1">
        <v>46143</v>
      </c>
      <c r="I494" t="s">
        <v>762</v>
      </c>
      <c r="J494">
        <v>1</v>
      </c>
      <c r="K494" s="1">
        <v>46143</v>
      </c>
      <c r="L494" s="8">
        <v>948047</v>
      </c>
    </row>
    <row r="495" spans="1:12" x14ac:dyDescent="0.25">
      <c r="A495" t="s">
        <v>2183</v>
      </c>
      <c r="B495" t="s">
        <v>2199</v>
      </c>
      <c r="C495" t="s">
        <v>28</v>
      </c>
      <c r="D495" t="s">
        <v>2184</v>
      </c>
      <c r="E495" t="s">
        <v>2186</v>
      </c>
      <c r="F495">
        <v>11</v>
      </c>
      <c r="G495" t="s">
        <v>761</v>
      </c>
      <c r="H495" s="1">
        <v>46143</v>
      </c>
      <c r="I495" t="s">
        <v>762</v>
      </c>
      <c r="J495">
        <v>1</v>
      </c>
      <c r="K495" s="1">
        <v>46143</v>
      </c>
      <c r="L495" s="8">
        <v>4093285</v>
      </c>
    </row>
    <row r="496" spans="1:12" x14ac:dyDescent="0.25">
      <c r="A496" t="s">
        <v>2183</v>
      </c>
      <c r="B496" t="s">
        <v>2199</v>
      </c>
      <c r="C496" t="s">
        <v>28</v>
      </c>
      <c r="D496" t="s">
        <v>2184</v>
      </c>
      <c r="E496" t="s">
        <v>2195</v>
      </c>
      <c r="F496">
        <v>11</v>
      </c>
      <c r="G496" t="s">
        <v>761</v>
      </c>
      <c r="H496" s="1">
        <v>46143</v>
      </c>
      <c r="I496" t="s">
        <v>762</v>
      </c>
      <c r="J496">
        <v>1</v>
      </c>
      <c r="K496" s="1">
        <v>46143</v>
      </c>
      <c r="L496" s="8">
        <v>30000</v>
      </c>
    </row>
    <row r="497" spans="1:12" x14ac:dyDescent="0.25">
      <c r="A497" t="s">
        <v>251</v>
      </c>
      <c r="B497" t="s">
        <v>2196</v>
      </c>
      <c r="C497" t="s">
        <v>28</v>
      </c>
      <c r="D497" t="s">
        <v>253</v>
      </c>
      <c r="E497" t="s">
        <v>263</v>
      </c>
      <c r="F497">
        <v>14</v>
      </c>
      <c r="G497" t="s">
        <v>257</v>
      </c>
      <c r="H497" s="1">
        <v>45717</v>
      </c>
      <c r="I497" t="s">
        <v>258</v>
      </c>
      <c r="J497">
        <v>2</v>
      </c>
      <c r="K497" t="s">
        <v>264</v>
      </c>
      <c r="L497" s="8">
        <v>7000000</v>
      </c>
    </row>
    <row r="498" spans="1:12" x14ac:dyDescent="0.25">
      <c r="A498" t="s">
        <v>251</v>
      </c>
      <c r="B498" t="s">
        <v>2196</v>
      </c>
      <c r="C498" t="s">
        <v>28</v>
      </c>
      <c r="D498" t="s">
        <v>253</v>
      </c>
      <c r="E498" t="s">
        <v>261</v>
      </c>
      <c r="F498">
        <v>14</v>
      </c>
      <c r="G498" t="s">
        <v>257</v>
      </c>
      <c r="H498" s="1">
        <v>45717</v>
      </c>
      <c r="I498" t="s">
        <v>258</v>
      </c>
      <c r="J498">
        <v>4</v>
      </c>
      <c r="K498" t="s">
        <v>262</v>
      </c>
      <c r="L498" s="8">
        <v>71900000</v>
      </c>
    </row>
    <row r="499" spans="1:12" x14ac:dyDescent="0.25">
      <c r="A499" t="s">
        <v>251</v>
      </c>
      <c r="B499" t="s">
        <v>2196</v>
      </c>
      <c r="C499" t="s">
        <v>28</v>
      </c>
      <c r="D499" t="s">
        <v>253</v>
      </c>
      <c r="E499" t="s">
        <v>267</v>
      </c>
      <c r="F499">
        <v>14</v>
      </c>
      <c r="G499" t="s">
        <v>257</v>
      </c>
      <c r="H499" s="1">
        <v>45717</v>
      </c>
      <c r="I499" t="s">
        <v>258</v>
      </c>
      <c r="J499">
        <v>4</v>
      </c>
      <c r="K499" t="s">
        <v>268</v>
      </c>
      <c r="L499" s="8">
        <v>24820000</v>
      </c>
    </row>
    <row r="500" spans="1:12" x14ac:dyDescent="0.25">
      <c r="A500" t="s">
        <v>251</v>
      </c>
      <c r="B500" t="s">
        <v>2196</v>
      </c>
      <c r="C500" t="s">
        <v>28</v>
      </c>
      <c r="D500" t="s">
        <v>253</v>
      </c>
      <c r="E500" t="s">
        <v>255</v>
      </c>
      <c r="F500">
        <v>14</v>
      </c>
      <c r="G500" t="s">
        <v>257</v>
      </c>
      <c r="H500" s="1">
        <v>45717</v>
      </c>
      <c r="I500" t="s">
        <v>258</v>
      </c>
      <c r="J500">
        <v>7</v>
      </c>
      <c r="K500" t="s">
        <v>256</v>
      </c>
      <c r="L500" s="8">
        <v>20800000</v>
      </c>
    </row>
    <row r="501" spans="1:12" x14ac:dyDescent="0.25">
      <c r="A501" t="s">
        <v>251</v>
      </c>
      <c r="B501" t="s">
        <v>2196</v>
      </c>
      <c r="C501" t="s">
        <v>28</v>
      </c>
      <c r="D501" t="s">
        <v>253</v>
      </c>
      <c r="E501" t="s">
        <v>265</v>
      </c>
      <c r="F501">
        <v>14</v>
      </c>
      <c r="G501" t="s">
        <v>257</v>
      </c>
      <c r="H501" s="1">
        <v>45717</v>
      </c>
      <c r="I501" t="s">
        <v>258</v>
      </c>
      <c r="J501">
        <v>2</v>
      </c>
      <c r="K501" t="s">
        <v>266</v>
      </c>
      <c r="L501" s="8">
        <v>45150000</v>
      </c>
    </row>
    <row r="502" spans="1:12" x14ac:dyDescent="0.25">
      <c r="A502" t="s">
        <v>251</v>
      </c>
      <c r="B502" t="s">
        <v>2196</v>
      </c>
      <c r="C502" t="s">
        <v>28</v>
      </c>
      <c r="D502" t="s">
        <v>253</v>
      </c>
      <c r="E502" t="s">
        <v>269</v>
      </c>
      <c r="F502">
        <v>14</v>
      </c>
      <c r="G502" t="s">
        <v>257</v>
      </c>
      <c r="H502" s="1">
        <v>45717</v>
      </c>
      <c r="I502" t="s">
        <v>258</v>
      </c>
      <c r="J502">
        <v>6</v>
      </c>
      <c r="K502" t="s">
        <v>270</v>
      </c>
      <c r="L502" s="8">
        <v>23200001</v>
      </c>
    </row>
    <row r="503" spans="1:12" x14ac:dyDescent="0.25">
      <c r="A503" t="s">
        <v>251</v>
      </c>
      <c r="B503" t="s">
        <v>2196</v>
      </c>
      <c r="C503" t="s">
        <v>28</v>
      </c>
      <c r="D503" t="s">
        <v>253</v>
      </c>
      <c r="E503" t="s">
        <v>271</v>
      </c>
      <c r="F503">
        <v>14</v>
      </c>
      <c r="G503" t="s">
        <v>257</v>
      </c>
      <c r="H503" s="1">
        <v>45717</v>
      </c>
      <c r="I503" t="s">
        <v>258</v>
      </c>
      <c r="J503">
        <v>4</v>
      </c>
      <c r="K503" t="s">
        <v>256</v>
      </c>
      <c r="L503" s="8">
        <v>81500000</v>
      </c>
    </row>
    <row r="504" spans="1:12" x14ac:dyDescent="0.25">
      <c r="A504" t="s">
        <v>251</v>
      </c>
      <c r="B504" t="s">
        <v>2196</v>
      </c>
      <c r="C504" t="s">
        <v>28</v>
      </c>
      <c r="D504" t="s">
        <v>253</v>
      </c>
      <c r="E504" t="s">
        <v>275</v>
      </c>
      <c r="F504">
        <v>14</v>
      </c>
      <c r="G504" t="s">
        <v>257</v>
      </c>
      <c r="H504" s="1">
        <v>45717</v>
      </c>
      <c r="I504" t="s">
        <v>258</v>
      </c>
      <c r="J504">
        <v>8</v>
      </c>
      <c r="K504" t="s">
        <v>276</v>
      </c>
      <c r="L504" s="8">
        <v>45800000</v>
      </c>
    </row>
    <row r="505" spans="1:12" x14ac:dyDescent="0.25">
      <c r="A505" t="s">
        <v>251</v>
      </c>
      <c r="B505" t="s">
        <v>2196</v>
      </c>
      <c r="C505" t="s">
        <v>28</v>
      </c>
      <c r="D505" t="s">
        <v>253</v>
      </c>
      <c r="E505" t="s">
        <v>272</v>
      </c>
      <c r="F505">
        <v>14</v>
      </c>
      <c r="G505" t="s">
        <v>257</v>
      </c>
      <c r="H505" s="1">
        <v>45717</v>
      </c>
      <c r="I505" t="s">
        <v>258</v>
      </c>
      <c r="J505">
        <v>8</v>
      </c>
      <c r="K505" t="s">
        <v>273</v>
      </c>
      <c r="L505" s="8">
        <v>13950000</v>
      </c>
    </row>
    <row r="506" spans="1:12" x14ac:dyDescent="0.25">
      <c r="A506" t="s">
        <v>251</v>
      </c>
      <c r="B506" t="s">
        <v>2196</v>
      </c>
      <c r="C506" t="s">
        <v>28</v>
      </c>
      <c r="D506" t="s">
        <v>253</v>
      </c>
      <c r="E506" t="s">
        <v>281</v>
      </c>
      <c r="F506">
        <v>14</v>
      </c>
      <c r="G506" t="s">
        <v>257</v>
      </c>
      <c r="H506" s="1">
        <v>45809</v>
      </c>
      <c r="I506" t="s">
        <v>258</v>
      </c>
      <c r="J506">
        <v>2</v>
      </c>
      <c r="K506" t="s">
        <v>282</v>
      </c>
      <c r="L506" s="8">
        <v>225000</v>
      </c>
    </row>
    <row r="507" spans="1:12" x14ac:dyDescent="0.25">
      <c r="A507" t="s">
        <v>251</v>
      </c>
      <c r="B507" t="s">
        <v>2196</v>
      </c>
      <c r="C507" t="s">
        <v>28</v>
      </c>
      <c r="D507" t="s">
        <v>253</v>
      </c>
      <c r="E507" t="s">
        <v>277</v>
      </c>
      <c r="F507">
        <v>14</v>
      </c>
      <c r="G507" t="s">
        <v>257</v>
      </c>
      <c r="H507" s="1">
        <v>45717</v>
      </c>
      <c r="I507" t="s">
        <v>258</v>
      </c>
      <c r="J507">
        <v>24</v>
      </c>
      <c r="K507" t="s">
        <v>278</v>
      </c>
      <c r="L507" s="8">
        <v>21279996</v>
      </c>
    </row>
    <row r="508" spans="1:12" x14ac:dyDescent="0.25">
      <c r="A508" t="s">
        <v>568</v>
      </c>
      <c r="B508" t="s">
        <v>2199</v>
      </c>
      <c r="C508" t="s">
        <v>567</v>
      </c>
      <c r="D508" t="s">
        <v>570</v>
      </c>
      <c r="E508" t="s">
        <v>583</v>
      </c>
      <c r="F508">
        <v>8</v>
      </c>
      <c r="G508" t="s">
        <v>573</v>
      </c>
      <c r="H508" s="1">
        <v>46327</v>
      </c>
      <c r="I508" t="s">
        <v>574</v>
      </c>
      <c r="J508">
        <v>1</v>
      </c>
      <c r="K508" s="1">
        <v>46357</v>
      </c>
      <c r="L508" s="8">
        <v>18000000</v>
      </c>
    </row>
    <row r="509" spans="1:12" x14ac:dyDescent="0.25">
      <c r="A509" t="s">
        <v>568</v>
      </c>
      <c r="B509" t="s">
        <v>2199</v>
      </c>
      <c r="C509" t="s">
        <v>567</v>
      </c>
      <c r="D509" t="s">
        <v>570</v>
      </c>
      <c r="E509" t="s">
        <v>577</v>
      </c>
      <c r="F509">
        <v>8</v>
      </c>
      <c r="G509" t="s">
        <v>573</v>
      </c>
      <c r="H509" s="1">
        <v>46174</v>
      </c>
      <c r="I509" t="s">
        <v>574</v>
      </c>
      <c r="J509">
        <v>1</v>
      </c>
      <c r="K509" s="1">
        <v>46174</v>
      </c>
      <c r="L509" s="8">
        <v>1000000</v>
      </c>
    </row>
    <row r="510" spans="1:12" x14ac:dyDescent="0.25">
      <c r="A510" t="s">
        <v>568</v>
      </c>
      <c r="B510" t="s">
        <v>2199</v>
      </c>
      <c r="C510" t="s">
        <v>567</v>
      </c>
      <c r="D510" t="s">
        <v>570</v>
      </c>
      <c r="E510" t="s">
        <v>578</v>
      </c>
      <c r="F510">
        <v>8</v>
      </c>
      <c r="G510" t="s">
        <v>573</v>
      </c>
      <c r="H510" s="1">
        <v>46174</v>
      </c>
      <c r="I510" t="s">
        <v>574</v>
      </c>
      <c r="J510">
        <v>1</v>
      </c>
      <c r="K510" s="1">
        <v>46174</v>
      </c>
      <c r="L510" s="8">
        <v>2000000</v>
      </c>
    </row>
    <row r="511" spans="1:12" x14ac:dyDescent="0.25">
      <c r="A511" t="s">
        <v>568</v>
      </c>
      <c r="B511" t="s">
        <v>2199</v>
      </c>
      <c r="C511" t="s">
        <v>567</v>
      </c>
      <c r="D511" t="s">
        <v>570</v>
      </c>
      <c r="E511" t="s">
        <v>580</v>
      </c>
      <c r="F511">
        <v>8</v>
      </c>
      <c r="G511" t="s">
        <v>573</v>
      </c>
      <c r="H511" s="1">
        <v>46296</v>
      </c>
      <c r="I511" t="s">
        <v>574</v>
      </c>
      <c r="J511">
        <v>1</v>
      </c>
      <c r="K511" s="1">
        <v>46296</v>
      </c>
      <c r="L511" s="8">
        <v>35000000</v>
      </c>
    </row>
    <row r="512" spans="1:12" x14ac:dyDescent="0.25">
      <c r="A512" t="s">
        <v>568</v>
      </c>
      <c r="B512" t="s">
        <v>2199</v>
      </c>
      <c r="C512" t="s">
        <v>567</v>
      </c>
      <c r="D512" t="s">
        <v>570</v>
      </c>
      <c r="E512" t="s">
        <v>579</v>
      </c>
      <c r="F512">
        <v>8</v>
      </c>
      <c r="G512" t="s">
        <v>573</v>
      </c>
      <c r="H512" s="1">
        <v>46266</v>
      </c>
      <c r="I512" t="s">
        <v>574</v>
      </c>
      <c r="J512">
        <v>1</v>
      </c>
      <c r="K512" s="1">
        <v>46266</v>
      </c>
      <c r="L512" s="8">
        <v>25000000</v>
      </c>
    </row>
    <row r="513" spans="1:12" x14ac:dyDescent="0.25">
      <c r="A513" t="s">
        <v>568</v>
      </c>
      <c r="B513" t="s">
        <v>2199</v>
      </c>
      <c r="C513" t="s">
        <v>567</v>
      </c>
      <c r="D513" t="s">
        <v>570</v>
      </c>
      <c r="E513" t="s">
        <v>582</v>
      </c>
      <c r="F513">
        <v>8</v>
      </c>
      <c r="G513" t="s">
        <v>573</v>
      </c>
      <c r="H513" s="1">
        <v>46327</v>
      </c>
      <c r="I513" t="s">
        <v>574</v>
      </c>
      <c r="J513">
        <v>1</v>
      </c>
      <c r="K513" s="1">
        <v>46357</v>
      </c>
      <c r="L513" s="8">
        <v>20000000</v>
      </c>
    </row>
    <row r="514" spans="1:12" x14ac:dyDescent="0.25">
      <c r="A514" t="s">
        <v>568</v>
      </c>
      <c r="B514" t="s">
        <v>2199</v>
      </c>
      <c r="C514" t="s">
        <v>567</v>
      </c>
      <c r="D514" t="s">
        <v>570</v>
      </c>
      <c r="E514" t="s">
        <v>581</v>
      </c>
      <c r="F514">
        <v>8</v>
      </c>
      <c r="G514" t="s">
        <v>573</v>
      </c>
      <c r="H514" s="1">
        <v>46327</v>
      </c>
      <c r="I514" t="s">
        <v>574</v>
      </c>
      <c r="J514">
        <v>1</v>
      </c>
      <c r="K514" s="1">
        <v>46327</v>
      </c>
      <c r="L514" s="8">
        <v>15000000</v>
      </c>
    </row>
    <row r="515" spans="1:12" x14ac:dyDescent="0.25">
      <c r="A515" t="s">
        <v>568</v>
      </c>
      <c r="B515" t="s">
        <v>2199</v>
      </c>
      <c r="C515" t="s">
        <v>567</v>
      </c>
      <c r="D515" t="s">
        <v>570</v>
      </c>
      <c r="E515" t="s">
        <v>572</v>
      </c>
      <c r="F515">
        <v>8</v>
      </c>
      <c r="G515" t="s">
        <v>573</v>
      </c>
      <c r="H515" s="1">
        <v>46113</v>
      </c>
      <c r="I515" t="s">
        <v>574</v>
      </c>
      <c r="J515">
        <v>1</v>
      </c>
      <c r="K515" s="1">
        <v>46113</v>
      </c>
      <c r="L515" s="8">
        <v>40000000</v>
      </c>
    </row>
    <row r="516" spans="1:12" x14ac:dyDescent="0.25">
      <c r="A516" t="s">
        <v>1369</v>
      </c>
      <c r="B516" t="s">
        <v>2199</v>
      </c>
      <c r="C516" t="s">
        <v>1238</v>
      </c>
      <c r="D516" t="s">
        <v>1370</v>
      </c>
      <c r="E516" t="s">
        <v>1175</v>
      </c>
      <c r="F516">
        <v>2</v>
      </c>
      <c r="G516" t="s">
        <v>1299</v>
      </c>
      <c r="H516" s="1">
        <v>46113</v>
      </c>
      <c r="I516" t="s">
        <v>1300</v>
      </c>
      <c r="J516">
        <v>1</v>
      </c>
      <c r="K516" s="1">
        <v>46113</v>
      </c>
      <c r="L516" s="8">
        <v>704255000</v>
      </c>
    </row>
    <row r="517" spans="1:12" x14ac:dyDescent="0.25">
      <c r="A517" t="s">
        <v>1369</v>
      </c>
      <c r="B517" t="s">
        <v>2199</v>
      </c>
      <c r="C517" t="s">
        <v>1238</v>
      </c>
      <c r="D517" t="s">
        <v>1370</v>
      </c>
      <c r="E517" t="s">
        <v>1303</v>
      </c>
      <c r="F517">
        <v>2</v>
      </c>
      <c r="G517" t="s">
        <v>1299</v>
      </c>
      <c r="H517" s="1">
        <v>46113</v>
      </c>
      <c r="I517" t="s">
        <v>1300</v>
      </c>
      <c r="J517">
        <v>1</v>
      </c>
      <c r="K517" s="1">
        <v>46113</v>
      </c>
      <c r="L517" s="8">
        <v>874576000</v>
      </c>
    </row>
    <row r="518" spans="1:12" x14ac:dyDescent="0.25">
      <c r="A518" t="s">
        <v>1385</v>
      </c>
      <c r="B518" t="s">
        <v>2199</v>
      </c>
      <c r="C518" t="s">
        <v>1238</v>
      </c>
      <c r="D518" t="s">
        <v>1386</v>
      </c>
      <c r="E518" t="s">
        <v>1175</v>
      </c>
      <c r="F518">
        <v>2</v>
      </c>
      <c r="G518" t="s">
        <v>1299</v>
      </c>
      <c r="H518" s="1">
        <v>46113</v>
      </c>
      <c r="I518" t="s">
        <v>1300</v>
      </c>
      <c r="J518">
        <v>1</v>
      </c>
      <c r="K518" s="1">
        <v>46113</v>
      </c>
      <c r="L518" s="8">
        <v>64156000</v>
      </c>
    </row>
    <row r="519" spans="1:12" x14ac:dyDescent="0.25">
      <c r="A519" t="s">
        <v>1385</v>
      </c>
      <c r="B519" t="s">
        <v>2199</v>
      </c>
      <c r="C519" t="s">
        <v>1238</v>
      </c>
      <c r="D519" t="s">
        <v>1386</v>
      </c>
      <c r="E519" t="s">
        <v>1303</v>
      </c>
      <c r="F519">
        <v>2</v>
      </c>
      <c r="G519" t="s">
        <v>1299</v>
      </c>
      <c r="H519" s="1">
        <v>46113</v>
      </c>
      <c r="I519" t="s">
        <v>1300</v>
      </c>
      <c r="J519">
        <v>1</v>
      </c>
      <c r="K519" s="1">
        <v>46113</v>
      </c>
      <c r="L519" s="8">
        <v>1904912000</v>
      </c>
    </row>
    <row r="520" spans="1:12" x14ac:dyDescent="0.25">
      <c r="A520" t="s">
        <v>1387</v>
      </c>
      <c r="B520" t="s">
        <v>2199</v>
      </c>
      <c r="C520" t="s">
        <v>1238</v>
      </c>
      <c r="D520" t="s">
        <v>1388</v>
      </c>
      <c r="E520" t="s">
        <v>1175</v>
      </c>
      <c r="F520">
        <v>2</v>
      </c>
      <c r="G520" t="s">
        <v>1299</v>
      </c>
      <c r="H520" s="1">
        <v>46113</v>
      </c>
      <c r="I520" t="s">
        <v>1300</v>
      </c>
      <c r="J520">
        <v>1</v>
      </c>
      <c r="K520" s="1">
        <v>46113</v>
      </c>
      <c r="L520" s="8">
        <v>12678000</v>
      </c>
    </row>
    <row r="521" spans="1:12" x14ac:dyDescent="0.25">
      <c r="A521" t="s">
        <v>1387</v>
      </c>
      <c r="B521" t="s">
        <v>2199</v>
      </c>
      <c r="C521" t="s">
        <v>1238</v>
      </c>
      <c r="D521" t="s">
        <v>1388</v>
      </c>
      <c r="E521" t="s">
        <v>1303</v>
      </c>
      <c r="F521">
        <v>2</v>
      </c>
      <c r="G521" t="s">
        <v>1299</v>
      </c>
      <c r="H521" s="1">
        <v>46113</v>
      </c>
      <c r="I521" t="s">
        <v>1300</v>
      </c>
      <c r="J521">
        <v>1</v>
      </c>
      <c r="K521" s="1">
        <v>46113</v>
      </c>
      <c r="L521" s="8">
        <v>5954000</v>
      </c>
    </row>
    <row r="522" spans="1:12" x14ac:dyDescent="0.25">
      <c r="A522" t="s">
        <v>1393</v>
      </c>
      <c r="B522" t="s">
        <v>2199</v>
      </c>
      <c r="C522" t="s">
        <v>1238</v>
      </c>
      <c r="D522" t="s">
        <v>1394</v>
      </c>
      <c r="E522" t="s">
        <v>1175</v>
      </c>
      <c r="F522">
        <v>2</v>
      </c>
      <c r="G522" t="s">
        <v>1299</v>
      </c>
      <c r="H522" s="1">
        <v>46113</v>
      </c>
      <c r="I522" t="s">
        <v>1300</v>
      </c>
      <c r="J522">
        <v>1</v>
      </c>
      <c r="K522" s="1">
        <v>46113</v>
      </c>
      <c r="L522" s="8">
        <v>30000000</v>
      </c>
    </row>
    <row r="523" spans="1:12" x14ac:dyDescent="0.25">
      <c r="A523" t="s">
        <v>1393</v>
      </c>
      <c r="B523" t="s">
        <v>2199</v>
      </c>
      <c r="C523" t="s">
        <v>1238</v>
      </c>
      <c r="D523" t="s">
        <v>1394</v>
      </c>
      <c r="E523" t="s">
        <v>1303</v>
      </c>
      <c r="F523">
        <v>2</v>
      </c>
      <c r="G523" t="s">
        <v>1299</v>
      </c>
      <c r="H523" s="1">
        <v>46113</v>
      </c>
      <c r="I523" t="s">
        <v>1300</v>
      </c>
      <c r="J523">
        <v>1</v>
      </c>
      <c r="K523" s="1">
        <v>46113</v>
      </c>
      <c r="L523" s="8">
        <v>250000000</v>
      </c>
    </row>
    <row r="524" spans="1:12" x14ac:dyDescent="0.25">
      <c r="A524" t="s">
        <v>1398</v>
      </c>
      <c r="B524" t="s">
        <v>2199</v>
      </c>
      <c r="C524" t="s">
        <v>1238</v>
      </c>
      <c r="D524" t="s">
        <v>1399</v>
      </c>
      <c r="E524" t="s">
        <v>1175</v>
      </c>
      <c r="F524">
        <v>2</v>
      </c>
      <c r="G524" t="s">
        <v>1299</v>
      </c>
      <c r="H524" s="1">
        <v>46143</v>
      </c>
      <c r="I524" t="s">
        <v>1300</v>
      </c>
      <c r="J524">
        <v>1</v>
      </c>
      <c r="K524" s="1">
        <v>46143</v>
      </c>
      <c r="L524" s="8">
        <v>6000000</v>
      </c>
    </row>
    <row r="525" spans="1:12" x14ac:dyDescent="0.25">
      <c r="A525" t="s">
        <v>1398</v>
      </c>
      <c r="B525" t="s">
        <v>2199</v>
      </c>
      <c r="C525" t="s">
        <v>1238</v>
      </c>
      <c r="D525" t="s">
        <v>1399</v>
      </c>
      <c r="E525" t="s">
        <v>1303</v>
      </c>
      <c r="F525">
        <v>2</v>
      </c>
      <c r="G525" t="s">
        <v>1299</v>
      </c>
      <c r="H525" s="1">
        <v>46143</v>
      </c>
      <c r="I525" t="s">
        <v>1300</v>
      </c>
      <c r="J525">
        <v>1</v>
      </c>
      <c r="K525" s="1">
        <v>46143</v>
      </c>
      <c r="L525" s="8">
        <v>55000000</v>
      </c>
    </row>
    <row r="526" spans="1:12" x14ac:dyDescent="0.25">
      <c r="A526" t="s">
        <v>1464</v>
      </c>
      <c r="B526" t="s">
        <v>2199</v>
      </c>
      <c r="C526" t="s">
        <v>1238</v>
      </c>
      <c r="D526" t="s">
        <v>1465</v>
      </c>
      <c r="E526" t="s">
        <v>1293</v>
      </c>
      <c r="F526">
        <v>1</v>
      </c>
      <c r="G526" t="s">
        <v>1075</v>
      </c>
      <c r="H526" s="1">
        <v>46023</v>
      </c>
      <c r="I526" t="s">
        <v>1076</v>
      </c>
      <c r="J526">
        <v>1</v>
      </c>
      <c r="K526" s="1">
        <v>46023</v>
      </c>
      <c r="L526" s="8">
        <v>1000000</v>
      </c>
    </row>
    <row r="527" spans="1:12" x14ac:dyDescent="0.25">
      <c r="A527" t="s">
        <v>1485</v>
      </c>
      <c r="B527" t="s">
        <v>2199</v>
      </c>
      <c r="C527" t="s">
        <v>1238</v>
      </c>
      <c r="D527" t="s">
        <v>1486</v>
      </c>
      <c r="E527" t="s">
        <v>1488</v>
      </c>
      <c r="F527">
        <v>1</v>
      </c>
      <c r="G527" t="s">
        <v>1211</v>
      </c>
      <c r="H527" s="1">
        <v>46054</v>
      </c>
      <c r="I527" t="s">
        <v>320</v>
      </c>
      <c r="J527">
        <v>1</v>
      </c>
      <c r="K527" s="1">
        <v>46054</v>
      </c>
      <c r="L527" s="8">
        <v>250000</v>
      </c>
    </row>
    <row r="528" spans="1:12" x14ac:dyDescent="0.25">
      <c r="A528" t="s">
        <v>1624</v>
      </c>
      <c r="B528" t="s">
        <v>2199</v>
      </c>
      <c r="C528" t="s">
        <v>1238</v>
      </c>
      <c r="D528" t="s">
        <v>1621</v>
      </c>
      <c r="E528" t="s">
        <v>1625</v>
      </c>
      <c r="F528">
        <v>1</v>
      </c>
      <c r="G528" t="s">
        <v>1608</v>
      </c>
      <c r="H528" s="1">
        <v>46023</v>
      </c>
      <c r="I528" t="s">
        <v>361</v>
      </c>
      <c r="J528">
        <v>1</v>
      </c>
      <c r="K528" s="1">
        <v>46023</v>
      </c>
      <c r="L528" s="8">
        <v>780000</v>
      </c>
    </row>
    <row r="529" spans="1:12" x14ac:dyDescent="0.25">
      <c r="A529" t="s">
        <v>1673</v>
      </c>
      <c r="B529" t="s">
        <v>2199</v>
      </c>
      <c r="C529" t="s">
        <v>1238</v>
      </c>
      <c r="D529" t="s">
        <v>1674</v>
      </c>
      <c r="E529" t="s">
        <v>1175</v>
      </c>
      <c r="F529">
        <v>2</v>
      </c>
      <c r="G529" t="s">
        <v>1299</v>
      </c>
      <c r="H529" s="1">
        <v>46113</v>
      </c>
      <c r="I529" t="s">
        <v>1300</v>
      </c>
      <c r="J529">
        <v>1</v>
      </c>
      <c r="K529" s="1">
        <v>46113</v>
      </c>
      <c r="L529" s="8">
        <v>5731000</v>
      </c>
    </row>
    <row r="530" spans="1:12" x14ac:dyDescent="0.25">
      <c r="A530" t="s">
        <v>1673</v>
      </c>
      <c r="B530" t="s">
        <v>2199</v>
      </c>
      <c r="C530" t="s">
        <v>1238</v>
      </c>
      <c r="D530" t="s">
        <v>1674</v>
      </c>
      <c r="E530" t="s">
        <v>1303</v>
      </c>
      <c r="F530">
        <v>2</v>
      </c>
      <c r="G530" t="s">
        <v>1299</v>
      </c>
      <c r="H530" s="1">
        <v>46113</v>
      </c>
      <c r="I530" t="s">
        <v>1300</v>
      </c>
      <c r="J530">
        <v>1</v>
      </c>
      <c r="K530" s="1">
        <v>46113</v>
      </c>
      <c r="L530" s="8">
        <v>1042000</v>
      </c>
    </row>
    <row r="531" spans="1:12" x14ac:dyDescent="0.25">
      <c r="A531" t="s">
        <v>2037</v>
      </c>
      <c r="B531" t="s">
        <v>2199</v>
      </c>
      <c r="C531" t="s">
        <v>1238</v>
      </c>
      <c r="D531" t="s">
        <v>1658</v>
      </c>
      <c r="E531" t="s">
        <v>2040</v>
      </c>
      <c r="F531">
        <v>2</v>
      </c>
      <c r="G531" t="s">
        <v>2039</v>
      </c>
      <c r="H531" s="1">
        <v>46174</v>
      </c>
      <c r="I531" t="s">
        <v>1661</v>
      </c>
      <c r="J531">
        <v>1</v>
      </c>
      <c r="K531" s="1">
        <v>46174</v>
      </c>
      <c r="L531" s="8">
        <v>1000000</v>
      </c>
    </row>
    <row r="532" spans="1:12" x14ac:dyDescent="0.25">
      <c r="A532" t="s">
        <v>2037</v>
      </c>
      <c r="B532" t="s">
        <v>2199</v>
      </c>
      <c r="C532" t="s">
        <v>1238</v>
      </c>
      <c r="D532" t="s">
        <v>1658</v>
      </c>
      <c r="E532" t="s">
        <v>2038</v>
      </c>
      <c r="F532">
        <v>2</v>
      </c>
      <c r="G532" t="s">
        <v>2039</v>
      </c>
      <c r="H532" s="1">
        <v>46174</v>
      </c>
      <c r="I532" t="s">
        <v>1661</v>
      </c>
      <c r="J532">
        <v>1</v>
      </c>
      <c r="K532" s="1">
        <v>46174</v>
      </c>
      <c r="L532" s="8">
        <v>18000000</v>
      </c>
    </row>
    <row r="533" spans="1:12" x14ac:dyDescent="0.25">
      <c r="A533" t="s">
        <v>2063</v>
      </c>
      <c r="B533" t="s">
        <v>2199</v>
      </c>
      <c r="C533" t="s">
        <v>1238</v>
      </c>
      <c r="D533" t="s">
        <v>2064</v>
      </c>
      <c r="E533" t="s">
        <v>2066</v>
      </c>
      <c r="F533">
        <v>1</v>
      </c>
      <c r="G533" t="s">
        <v>768</v>
      </c>
      <c r="H533" s="1">
        <v>46023</v>
      </c>
      <c r="I533" t="s">
        <v>966</v>
      </c>
      <c r="J533">
        <v>1</v>
      </c>
      <c r="K533" s="1">
        <v>46023</v>
      </c>
      <c r="L533" s="8">
        <v>300000</v>
      </c>
    </row>
    <row r="534" spans="1:12" x14ac:dyDescent="0.25">
      <c r="A534" t="s">
        <v>2102</v>
      </c>
      <c r="B534" t="s">
        <v>2199</v>
      </c>
      <c r="C534" t="s">
        <v>1238</v>
      </c>
      <c r="D534" t="s">
        <v>2103</v>
      </c>
      <c r="E534" t="s">
        <v>2106</v>
      </c>
      <c r="F534">
        <v>2</v>
      </c>
      <c r="G534" t="s">
        <v>1759</v>
      </c>
      <c r="H534" s="1">
        <v>46082</v>
      </c>
      <c r="I534" t="s">
        <v>1760</v>
      </c>
      <c r="J534">
        <v>1</v>
      </c>
      <c r="K534" s="1">
        <v>46082</v>
      </c>
      <c r="L534" s="8">
        <v>1000000</v>
      </c>
    </row>
    <row r="535" spans="1:12" x14ac:dyDescent="0.25">
      <c r="A535" t="s">
        <v>2102</v>
      </c>
      <c r="B535" t="s">
        <v>2199</v>
      </c>
      <c r="C535" t="s">
        <v>1238</v>
      </c>
      <c r="D535" t="s">
        <v>2103</v>
      </c>
      <c r="E535" t="s">
        <v>2105</v>
      </c>
      <c r="F535">
        <v>2</v>
      </c>
      <c r="G535" t="s">
        <v>1759</v>
      </c>
      <c r="H535" s="1">
        <v>46082</v>
      </c>
      <c r="I535" t="s">
        <v>1760</v>
      </c>
      <c r="J535">
        <v>1</v>
      </c>
      <c r="K535" s="1">
        <v>46082</v>
      </c>
      <c r="L535" s="8">
        <v>15000000</v>
      </c>
    </row>
    <row r="536" spans="1:12" x14ac:dyDescent="0.25">
      <c r="A536" t="s">
        <v>2140</v>
      </c>
      <c r="B536" t="s">
        <v>2199</v>
      </c>
      <c r="C536" t="s">
        <v>1238</v>
      </c>
      <c r="D536" t="s">
        <v>2141</v>
      </c>
      <c r="E536" t="s">
        <v>2143</v>
      </c>
      <c r="F536">
        <v>1</v>
      </c>
      <c r="G536" t="s">
        <v>768</v>
      </c>
      <c r="H536" s="1">
        <v>46023</v>
      </c>
      <c r="I536" t="s">
        <v>966</v>
      </c>
      <c r="J536">
        <v>1</v>
      </c>
      <c r="K536" s="1">
        <v>46054</v>
      </c>
      <c r="L536" s="8">
        <v>250000</v>
      </c>
    </row>
    <row r="537" spans="1:12" x14ac:dyDescent="0.25">
      <c r="A537" t="s">
        <v>1239</v>
      </c>
      <c r="B537" t="s">
        <v>2199</v>
      </c>
      <c r="C537" t="s">
        <v>1238</v>
      </c>
      <c r="D537" t="s">
        <v>1241</v>
      </c>
      <c r="E537" t="s">
        <v>1243</v>
      </c>
      <c r="F537">
        <v>1</v>
      </c>
      <c r="G537" t="s">
        <v>122</v>
      </c>
      <c r="H537" s="1">
        <v>46113</v>
      </c>
      <c r="I537" t="s">
        <v>544</v>
      </c>
      <c r="J537">
        <v>1</v>
      </c>
      <c r="K537" s="1">
        <v>46113</v>
      </c>
      <c r="L537" s="8">
        <v>108183000</v>
      </c>
    </row>
    <row r="538" spans="1:12" x14ac:dyDescent="0.25">
      <c r="A538" t="s">
        <v>1289</v>
      </c>
      <c r="B538" t="s">
        <v>2199</v>
      </c>
      <c r="C538" t="s">
        <v>1238</v>
      </c>
      <c r="D538" t="s">
        <v>1291</v>
      </c>
      <c r="E538" t="s">
        <v>1293</v>
      </c>
      <c r="F538">
        <v>1</v>
      </c>
      <c r="G538" t="s">
        <v>768</v>
      </c>
      <c r="H538" s="1">
        <v>46023</v>
      </c>
      <c r="I538" t="s">
        <v>386</v>
      </c>
      <c r="J538">
        <v>1</v>
      </c>
      <c r="K538" s="1">
        <v>46023</v>
      </c>
      <c r="L538" s="8">
        <v>4000005</v>
      </c>
    </row>
    <row r="539" spans="1:12" x14ac:dyDescent="0.25">
      <c r="A539" t="s">
        <v>1295</v>
      </c>
      <c r="B539" t="s">
        <v>2199</v>
      </c>
      <c r="C539" t="s">
        <v>1238</v>
      </c>
      <c r="D539" t="s">
        <v>1297</v>
      </c>
      <c r="E539" t="s">
        <v>1175</v>
      </c>
      <c r="F539">
        <v>2</v>
      </c>
      <c r="G539" t="s">
        <v>1299</v>
      </c>
      <c r="H539" s="1">
        <v>46113</v>
      </c>
      <c r="I539" t="s">
        <v>1300</v>
      </c>
      <c r="J539">
        <v>1</v>
      </c>
      <c r="K539" s="1">
        <v>46113</v>
      </c>
      <c r="L539" s="8">
        <v>75964000</v>
      </c>
    </row>
    <row r="540" spans="1:12" x14ac:dyDescent="0.25">
      <c r="A540" t="s">
        <v>1295</v>
      </c>
      <c r="B540" t="s">
        <v>2199</v>
      </c>
      <c r="C540" t="s">
        <v>1238</v>
      </c>
      <c r="D540" t="s">
        <v>1297</v>
      </c>
      <c r="E540" t="s">
        <v>1303</v>
      </c>
      <c r="F540">
        <v>2</v>
      </c>
      <c r="G540" t="s">
        <v>1299</v>
      </c>
      <c r="H540" s="1">
        <v>46113</v>
      </c>
      <c r="I540" t="s">
        <v>1300</v>
      </c>
      <c r="J540">
        <v>1</v>
      </c>
      <c r="K540" s="1">
        <v>46113</v>
      </c>
      <c r="L540" s="8">
        <v>66699000</v>
      </c>
    </row>
    <row r="541" spans="1:12" x14ac:dyDescent="0.25">
      <c r="A541" t="s">
        <v>1349</v>
      </c>
      <c r="B541" t="s">
        <v>2199</v>
      </c>
      <c r="C541" t="s">
        <v>1238</v>
      </c>
      <c r="D541" t="s">
        <v>1350</v>
      </c>
      <c r="E541" t="s">
        <v>1175</v>
      </c>
      <c r="F541">
        <v>2</v>
      </c>
      <c r="G541" t="s">
        <v>1299</v>
      </c>
      <c r="H541" s="1">
        <v>46113</v>
      </c>
      <c r="I541" t="s">
        <v>1300</v>
      </c>
      <c r="J541">
        <v>1</v>
      </c>
      <c r="K541" s="1">
        <v>46113</v>
      </c>
      <c r="L541" s="8">
        <v>10000000</v>
      </c>
    </row>
    <row r="542" spans="1:12" x14ac:dyDescent="0.25">
      <c r="A542" t="s">
        <v>1349</v>
      </c>
      <c r="B542" t="s">
        <v>2199</v>
      </c>
      <c r="C542" t="s">
        <v>1238</v>
      </c>
      <c r="D542" t="s">
        <v>1350</v>
      </c>
      <c r="E542" t="s">
        <v>1303</v>
      </c>
      <c r="F542">
        <v>2</v>
      </c>
      <c r="G542" t="s">
        <v>1299</v>
      </c>
      <c r="H542" s="1">
        <v>46113</v>
      </c>
      <c r="I542" t="s">
        <v>1300</v>
      </c>
      <c r="J542">
        <v>1</v>
      </c>
      <c r="K542" s="1">
        <v>46113</v>
      </c>
      <c r="L542" s="8">
        <v>200000000</v>
      </c>
    </row>
    <row r="543" spans="1:12" x14ac:dyDescent="0.25">
      <c r="A543" t="s">
        <v>1352</v>
      </c>
      <c r="B543" t="s">
        <v>2199</v>
      </c>
      <c r="C543" t="s">
        <v>1238</v>
      </c>
      <c r="D543" t="s">
        <v>1353</v>
      </c>
      <c r="E543" t="s">
        <v>1175</v>
      </c>
      <c r="F543">
        <v>2</v>
      </c>
      <c r="G543" t="s">
        <v>1299</v>
      </c>
      <c r="H543" s="1">
        <v>46204</v>
      </c>
      <c r="I543" t="s">
        <v>1300</v>
      </c>
      <c r="J543">
        <v>1</v>
      </c>
      <c r="K543" s="1">
        <v>46204</v>
      </c>
      <c r="L543" s="8">
        <v>86892000</v>
      </c>
    </row>
    <row r="544" spans="1:12" x14ac:dyDescent="0.25">
      <c r="A544" t="s">
        <v>1352</v>
      </c>
      <c r="B544" t="s">
        <v>2199</v>
      </c>
      <c r="C544" t="s">
        <v>1238</v>
      </c>
      <c r="D544" t="s">
        <v>1353</v>
      </c>
      <c r="E544" t="s">
        <v>1303</v>
      </c>
      <c r="F544">
        <v>2</v>
      </c>
      <c r="G544" t="s">
        <v>1299</v>
      </c>
      <c r="H544" s="1">
        <v>46204</v>
      </c>
      <c r="I544" t="s">
        <v>1300</v>
      </c>
      <c r="J544">
        <v>1</v>
      </c>
      <c r="K544" s="1">
        <v>46204</v>
      </c>
      <c r="L544" s="8">
        <v>42183000</v>
      </c>
    </row>
    <row r="545" spans="1:12" x14ac:dyDescent="0.25">
      <c r="A545" t="s">
        <v>1339</v>
      </c>
      <c r="B545" t="s">
        <v>2199</v>
      </c>
      <c r="C545" t="s">
        <v>1304</v>
      </c>
      <c r="D545" t="s">
        <v>1340</v>
      </c>
      <c r="E545" t="s">
        <v>807</v>
      </c>
      <c r="F545">
        <v>1</v>
      </c>
      <c r="G545" t="s">
        <v>1342</v>
      </c>
      <c r="H545" s="1">
        <v>46174</v>
      </c>
      <c r="I545" t="s">
        <v>1343</v>
      </c>
      <c r="J545">
        <v>1</v>
      </c>
      <c r="K545" s="1">
        <v>46174</v>
      </c>
      <c r="L545" s="8">
        <v>525000</v>
      </c>
    </row>
    <row r="546" spans="1:12" x14ac:dyDescent="0.25">
      <c r="A546" t="s">
        <v>1371</v>
      </c>
      <c r="B546" t="s">
        <v>2199</v>
      </c>
      <c r="C546" t="s">
        <v>1304</v>
      </c>
      <c r="D546" t="s">
        <v>1373</v>
      </c>
      <c r="E546" t="s">
        <v>1375</v>
      </c>
      <c r="F546">
        <v>1</v>
      </c>
      <c r="G546" t="s">
        <v>1200</v>
      </c>
      <c r="H546" s="1">
        <v>46113</v>
      </c>
      <c r="I546" t="s">
        <v>514</v>
      </c>
      <c r="J546">
        <v>1</v>
      </c>
      <c r="K546" s="1">
        <v>46174</v>
      </c>
      <c r="L546" s="8">
        <v>1058222000</v>
      </c>
    </row>
    <row r="547" spans="1:12" x14ac:dyDescent="0.25">
      <c r="A547" t="s">
        <v>1376</v>
      </c>
      <c r="B547" t="s">
        <v>2199</v>
      </c>
      <c r="C547" t="s">
        <v>1304</v>
      </c>
      <c r="D547" t="s">
        <v>1377</v>
      </c>
      <c r="E547" t="s">
        <v>1375</v>
      </c>
      <c r="F547">
        <v>1</v>
      </c>
      <c r="G547" t="s">
        <v>1200</v>
      </c>
      <c r="H547" s="1">
        <v>46113</v>
      </c>
      <c r="I547" t="s">
        <v>514</v>
      </c>
      <c r="J547">
        <v>1</v>
      </c>
      <c r="K547" s="1">
        <v>46174</v>
      </c>
      <c r="L547" s="8">
        <v>916961000</v>
      </c>
    </row>
    <row r="548" spans="1:12" x14ac:dyDescent="0.25">
      <c r="A548" t="s">
        <v>1379</v>
      </c>
      <c r="B548" t="s">
        <v>2199</v>
      </c>
      <c r="C548" t="s">
        <v>1304</v>
      </c>
      <c r="D548" t="s">
        <v>1380</v>
      </c>
      <c r="E548" t="s">
        <v>1375</v>
      </c>
      <c r="F548">
        <v>1</v>
      </c>
      <c r="G548" t="s">
        <v>1200</v>
      </c>
      <c r="H548" s="1">
        <v>46113</v>
      </c>
      <c r="I548" t="s">
        <v>514</v>
      </c>
      <c r="J548">
        <v>1</v>
      </c>
      <c r="K548" s="1">
        <v>46113</v>
      </c>
      <c r="L548" s="8">
        <v>888441000</v>
      </c>
    </row>
    <row r="549" spans="1:12" x14ac:dyDescent="0.25">
      <c r="A549" t="s">
        <v>1389</v>
      </c>
      <c r="B549" t="s">
        <v>2199</v>
      </c>
      <c r="C549" t="s">
        <v>1304</v>
      </c>
      <c r="D549" t="s">
        <v>1390</v>
      </c>
      <c r="E549" t="s">
        <v>807</v>
      </c>
      <c r="F549">
        <v>1</v>
      </c>
      <c r="G549" t="s">
        <v>1342</v>
      </c>
      <c r="H549" s="1">
        <v>46174</v>
      </c>
      <c r="I549" t="s">
        <v>1392</v>
      </c>
      <c r="J549">
        <v>1</v>
      </c>
      <c r="K549" s="1">
        <v>46174</v>
      </c>
      <c r="L549" s="8">
        <v>630000</v>
      </c>
    </row>
    <row r="550" spans="1:12" x14ac:dyDescent="0.25">
      <c r="A550" t="s">
        <v>1887</v>
      </c>
      <c r="B550" t="s">
        <v>2199</v>
      </c>
      <c r="C550" t="s">
        <v>1304</v>
      </c>
      <c r="D550" t="s">
        <v>1888</v>
      </c>
      <c r="E550" t="s">
        <v>1199</v>
      </c>
      <c r="F550">
        <v>4</v>
      </c>
      <c r="G550" t="s">
        <v>1200</v>
      </c>
      <c r="H550" s="1">
        <v>46082</v>
      </c>
      <c r="I550" t="s">
        <v>514</v>
      </c>
      <c r="J550">
        <v>1</v>
      </c>
      <c r="K550" s="1">
        <v>46082</v>
      </c>
      <c r="L550" s="8">
        <v>493463899</v>
      </c>
    </row>
    <row r="551" spans="1:12" x14ac:dyDescent="0.25">
      <c r="A551" t="s">
        <v>1887</v>
      </c>
      <c r="B551" t="s">
        <v>2199</v>
      </c>
      <c r="C551" t="s">
        <v>1304</v>
      </c>
      <c r="D551" t="s">
        <v>1888</v>
      </c>
      <c r="E551" t="s">
        <v>1199</v>
      </c>
      <c r="F551">
        <v>4</v>
      </c>
      <c r="G551" t="s">
        <v>1200</v>
      </c>
      <c r="H551" s="1">
        <v>46113</v>
      </c>
      <c r="I551" t="s">
        <v>514</v>
      </c>
      <c r="J551">
        <v>1</v>
      </c>
      <c r="K551" s="1">
        <v>46113</v>
      </c>
      <c r="L551" s="8">
        <v>424384098</v>
      </c>
    </row>
    <row r="552" spans="1:12" x14ac:dyDescent="0.25">
      <c r="A552" t="s">
        <v>1887</v>
      </c>
      <c r="B552" t="s">
        <v>2199</v>
      </c>
      <c r="C552" t="s">
        <v>1304</v>
      </c>
      <c r="D552" t="s">
        <v>1888</v>
      </c>
      <c r="E552" t="s">
        <v>1199</v>
      </c>
      <c r="F552">
        <v>4</v>
      </c>
      <c r="G552" t="s">
        <v>1200</v>
      </c>
      <c r="H552" s="1">
        <v>46357</v>
      </c>
      <c r="I552" t="s">
        <v>514</v>
      </c>
      <c r="J552">
        <v>1</v>
      </c>
      <c r="K552" s="1">
        <v>46357</v>
      </c>
      <c r="L552" s="8">
        <v>1157231542</v>
      </c>
    </row>
    <row r="553" spans="1:12" x14ac:dyDescent="0.25">
      <c r="A553" t="s">
        <v>1305</v>
      </c>
      <c r="B553" t="s">
        <v>2199</v>
      </c>
      <c r="C553" t="s">
        <v>1304</v>
      </c>
      <c r="D553" t="s">
        <v>1306</v>
      </c>
      <c r="E553" t="s">
        <v>807</v>
      </c>
      <c r="F553">
        <v>1</v>
      </c>
      <c r="G553" t="s">
        <v>624</v>
      </c>
      <c r="H553" s="1">
        <v>46266</v>
      </c>
      <c r="I553" t="s">
        <v>625</v>
      </c>
      <c r="J553">
        <v>1</v>
      </c>
      <c r="K553" s="1">
        <v>46327</v>
      </c>
      <c r="L553" s="8">
        <v>1680000000</v>
      </c>
    </row>
    <row r="554" spans="1:12" x14ac:dyDescent="0.25">
      <c r="A554" t="s">
        <v>1308</v>
      </c>
      <c r="B554" t="s">
        <v>2199</v>
      </c>
      <c r="C554" t="s">
        <v>1304</v>
      </c>
      <c r="D554" t="s">
        <v>1309</v>
      </c>
      <c r="E554" t="s">
        <v>807</v>
      </c>
      <c r="F554">
        <v>1</v>
      </c>
      <c r="G554" t="s">
        <v>624</v>
      </c>
      <c r="H554" s="1">
        <v>46327</v>
      </c>
      <c r="I554" t="s">
        <v>625</v>
      </c>
      <c r="J554">
        <v>1</v>
      </c>
      <c r="K554" s="1">
        <v>46327</v>
      </c>
      <c r="L554" s="8">
        <v>80000000</v>
      </c>
    </row>
    <row r="555" spans="1:12" x14ac:dyDescent="0.25">
      <c r="A555" t="s">
        <v>1311</v>
      </c>
      <c r="B555" t="s">
        <v>2199</v>
      </c>
      <c r="C555" t="s">
        <v>1304</v>
      </c>
      <c r="D555" t="s">
        <v>1313</v>
      </c>
      <c r="E555" t="s">
        <v>807</v>
      </c>
      <c r="F555">
        <v>1</v>
      </c>
      <c r="G555" t="s">
        <v>1315</v>
      </c>
      <c r="H555" s="1">
        <v>46266</v>
      </c>
      <c r="I555" t="s">
        <v>1316</v>
      </c>
      <c r="J555">
        <v>1</v>
      </c>
      <c r="K555" s="1">
        <v>46327</v>
      </c>
      <c r="L555" s="8">
        <v>250000000</v>
      </c>
    </row>
    <row r="556" spans="1:12" x14ac:dyDescent="0.25">
      <c r="A556" t="s">
        <v>1319</v>
      </c>
      <c r="B556" t="s">
        <v>2199</v>
      </c>
      <c r="C556" t="s">
        <v>1304</v>
      </c>
      <c r="D556" t="s">
        <v>1320</v>
      </c>
      <c r="E556" t="s">
        <v>807</v>
      </c>
      <c r="F556">
        <v>1</v>
      </c>
      <c r="G556" t="s">
        <v>624</v>
      </c>
      <c r="H556" s="1">
        <v>46235</v>
      </c>
      <c r="I556" t="s">
        <v>625</v>
      </c>
      <c r="J556">
        <v>1</v>
      </c>
      <c r="K556" s="1">
        <v>46266</v>
      </c>
      <c r="L556" s="8">
        <v>55000000</v>
      </c>
    </row>
    <row r="557" spans="1:12" x14ac:dyDescent="0.25">
      <c r="A557" t="s">
        <v>1322</v>
      </c>
      <c r="B557" t="s">
        <v>2199</v>
      </c>
      <c r="C557" t="s">
        <v>1304</v>
      </c>
      <c r="D557" t="s">
        <v>1323</v>
      </c>
      <c r="E557" t="s">
        <v>807</v>
      </c>
      <c r="F557">
        <v>1</v>
      </c>
      <c r="G557" t="s">
        <v>1325</v>
      </c>
      <c r="H557" s="1">
        <v>46296</v>
      </c>
      <c r="I557" t="s">
        <v>1326</v>
      </c>
      <c r="J557">
        <v>1</v>
      </c>
      <c r="K557" s="1">
        <v>46296</v>
      </c>
      <c r="L557" s="8">
        <v>80000000</v>
      </c>
    </row>
    <row r="558" spans="1:12" x14ac:dyDescent="0.25">
      <c r="A558" t="s">
        <v>1328</v>
      </c>
      <c r="B558" t="s">
        <v>2199</v>
      </c>
      <c r="C558" t="s">
        <v>1304</v>
      </c>
      <c r="D558" t="s">
        <v>1329</v>
      </c>
      <c r="E558" t="s">
        <v>807</v>
      </c>
      <c r="F558">
        <v>1</v>
      </c>
      <c r="G558" t="s">
        <v>1325</v>
      </c>
      <c r="H558" s="1">
        <v>46296</v>
      </c>
      <c r="I558" t="s">
        <v>1326</v>
      </c>
      <c r="J558">
        <v>1</v>
      </c>
      <c r="K558" s="1">
        <v>46296</v>
      </c>
      <c r="L558" s="8">
        <v>80000000</v>
      </c>
    </row>
    <row r="559" spans="1:12" x14ac:dyDescent="0.25">
      <c r="A559" t="s">
        <v>1331</v>
      </c>
      <c r="B559" t="s">
        <v>2199</v>
      </c>
      <c r="C559" t="s">
        <v>1304</v>
      </c>
      <c r="D559" t="s">
        <v>1332</v>
      </c>
      <c r="E559" t="s">
        <v>807</v>
      </c>
      <c r="F559">
        <v>1</v>
      </c>
      <c r="G559" t="s">
        <v>624</v>
      </c>
      <c r="H559" s="1">
        <v>46296</v>
      </c>
      <c r="I559" t="s">
        <v>625</v>
      </c>
      <c r="J559">
        <v>1</v>
      </c>
      <c r="K559" s="1">
        <v>46296</v>
      </c>
      <c r="L559" s="8">
        <v>90000000</v>
      </c>
    </row>
    <row r="560" spans="1:12" x14ac:dyDescent="0.25">
      <c r="A560" t="s">
        <v>1334</v>
      </c>
      <c r="B560" t="s">
        <v>2199</v>
      </c>
      <c r="C560" t="s">
        <v>1304</v>
      </c>
      <c r="D560" t="s">
        <v>1335</v>
      </c>
      <c r="E560" t="s">
        <v>807</v>
      </c>
      <c r="F560">
        <v>1</v>
      </c>
      <c r="G560" t="s">
        <v>1337</v>
      </c>
      <c r="H560" s="1">
        <v>46357</v>
      </c>
      <c r="I560" t="s">
        <v>1107</v>
      </c>
      <c r="J560">
        <v>1</v>
      </c>
      <c r="K560" s="1">
        <v>46357</v>
      </c>
      <c r="L560" s="8">
        <v>9814756</v>
      </c>
    </row>
    <row r="561" spans="1:12" x14ac:dyDescent="0.25">
      <c r="A561" t="s">
        <v>1575</v>
      </c>
      <c r="B561" t="s">
        <v>2199</v>
      </c>
      <c r="C561" t="s">
        <v>374</v>
      </c>
      <c r="D561" t="s">
        <v>1576</v>
      </c>
      <c r="E561" t="s">
        <v>1580</v>
      </c>
      <c r="F561">
        <v>7</v>
      </c>
      <c r="G561" t="s">
        <v>761</v>
      </c>
      <c r="H561" s="1">
        <v>46054</v>
      </c>
      <c r="I561" t="s">
        <v>762</v>
      </c>
      <c r="J561">
        <v>1</v>
      </c>
      <c r="K561" s="1">
        <v>46054</v>
      </c>
      <c r="L561" s="8">
        <v>2760000</v>
      </c>
    </row>
    <row r="562" spans="1:12" x14ac:dyDescent="0.25">
      <c r="A562" t="s">
        <v>1575</v>
      </c>
      <c r="B562" t="s">
        <v>2199</v>
      </c>
      <c r="C562" t="s">
        <v>374</v>
      </c>
      <c r="D562" t="s">
        <v>1576</v>
      </c>
      <c r="E562" t="s">
        <v>1579</v>
      </c>
      <c r="F562">
        <v>7</v>
      </c>
      <c r="G562" t="s">
        <v>761</v>
      </c>
      <c r="H562" s="1">
        <v>46054</v>
      </c>
      <c r="I562" t="s">
        <v>762</v>
      </c>
      <c r="J562">
        <v>1</v>
      </c>
      <c r="K562" s="1">
        <v>46054</v>
      </c>
      <c r="L562" s="8">
        <v>450000</v>
      </c>
    </row>
    <row r="563" spans="1:12" x14ac:dyDescent="0.25">
      <c r="A563" t="s">
        <v>1575</v>
      </c>
      <c r="B563" t="s">
        <v>2199</v>
      </c>
      <c r="C563" t="s">
        <v>374</v>
      </c>
      <c r="D563" t="s">
        <v>1576</v>
      </c>
      <c r="E563" t="s">
        <v>1582</v>
      </c>
      <c r="F563">
        <v>7</v>
      </c>
      <c r="G563" t="s">
        <v>761</v>
      </c>
      <c r="H563" s="1">
        <v>46054</v>
      </c>
      <c r="I563" t="s">
        <v>762</v>
      </c>
      <c r="J563">
        <v>1</v>
      </c>
      <c r="K563" s="1">
        <v>46054</v>
      </c>
      <c r="L563" s="8">
        <v>800000</v>
      </c>
    </row>
    <row r="564" spans="1:12" x14ac:dyDescent="0.25">
      <c r="A564" t="s">
        <v>1575</v>
      </c>
      <c r="B564" t="s">
        <v>2199</v>
      </c>
      <c r="C564" t="s">
        <v>374</v>
      </c>
      <c r="D564" t="s">
        <v>1576</v>
      </c>
      <c r="E564" t="s">
        <v>1583</v>
      </c>
      <c r="F564">
        <v>7</v>
      </c>
      <c r="G564" t="s">
        <v>761</v>
      </c>
      <c r="H564" s="1">
        <v>46054</v>
      </c>
      <c r="I564" t="s">
        <v>762</v>
      </c>
      <c r="J564">
        <v>1</v>
      </c>
      <c r="K564" s="1">
        <v>46054</v>
      </c>
      <c r="L564" s="8">
        <v>240000</v>
      </c>
    </row>
    <row r="565" spans="1:12" x14ac:dyDescent="0.25">
      <c r="A565" t="s">
        <v>1575</v>
      </c>
      <c r="B565" t="s">
        <v>2199</v>
      </c>
      <c r="C565" t="s">
        <v>374</v>
      </c>
      <c r="D565" t="s">
        <v>1576</v>
      </c>
      <c r="E565" t="s">
        <v>1578</v>
      </c>
      <c r="F565">
        <v>7</v>
      </c>
      <c r="G565" t="s">
        <v>761</v>
      </c>
      <c r="H565" s="1">
        <v>46054</v>
      </c>
      <c r="I565" t="s">
        <v>762</v>
      </c>
      <c r="J565">
        <v>1</v>
      </c>
      <c r="K565" s="1">
        <v>46143</v>
      </c>
      <c r="L565" s="8">
        <v>120000</v>
      </c>
    </row>
    <row r="566" spans="1:12" x14ac:dyDescent="0.25">
      <c r="A566" t="s">
        <v>1575</v>
      </c>
      <c r="B566" t="s">
        <v>2199</v>
      </c>
      <c r="C566" t="s">
        <v>374</v>
      </c>
      <c r="D566" t="s">
        <v>1576</v>
      </c>
      <c r="E566" t="s">
        <v>1584</v>
      </c>
      <c r="F566">
        <v>7</v>
      </c>
      <c r="G566" t="s">
        <v>761</v>
      </c>
      <c r="H566" s="1">
        <v>46054</v>
      </c>
      <c r="I566" t="s">
        <v>762</v>
      </c>
      <c r="J566">
        <v>1</v>
      </c>
      <c r="K566" s="1">
        <v>46054</v>
      </c>
      <c r="L566" s="8">
        <v>30000</v>
      </c>
    </row>
    <row r="567" spans="1:12" x14ac:dyDescent="0.25">
      <c r="A567" t="s">
        <v>1575</v>
      </c>
      <c r="B567" t="s">
        <v>2199</v>
      </c>
      <c r="C567" t="s">
        <v>374</v>
      </c>
      <c r="D567" t="s">
        <v>1576</v>
      </c>
      <c r="E567" t="s">
        <v>1581</v>
      </c>
      <c r="F567">
        <v>7</v>
      </c>
      <c r="G567" t="s">
        <v>761</v>
      </c>
      <c r="H567" s="1">
        <v>46054</v>
      </c>
      <c r="I567" t="s">
        <v>762</v>
      </c>
      <c r="J567">
        <v>1</v>
      </c>
      <c r="K567" s="1">
        <v>46054</v>
      </c>
      <c r="L567" s="8">
        <v>2310000</v>
      </c>
    </row>
    <row r="568" spans="1:12" x14ac:dyDescent="0.25">
      <c r="A568" t="s">
        <v>1595</v>
      </c>
      <c r="B568" t="s">
        <v>2199</v>
      </c>
      <c r="C568" t="s">
        <v>374</v>
      </c>
      <c r="D568" t="s">
        <v>1597</v>
      </c>
      <c r="E568" t="s">
        <v>1599</v>
      </c>
      <c r="F568">
        <v>1</v>
      </c>
      <c r="G568" t="s">
        <v>761</v>
      </c>
      <c r="H568" s="1">
        <v>46054</v>
      </c>
      <c r="I568" t="s">
        <v>762</v>
      </c>
      <c r="J568">
        <v>1</v>
      </c>
      <c r="K568" s="1">
        <v>46054</v>
      </c>
      <c r="L568" s="8">
        <v>360000</v>
      </c>
    </row>
    <row r="569" spans="1:12" x14ac:dyDescent="0.25">
      <c r="A569" t="s">
        <v>1645</v>
      </c>
      <c r="B569" t="s">
        <v>2199</v>
      </c>
      <c r="C569" t="s">
        <v>374</v>
      </c>
      <c r="D569" t="s">
        <v>1646</v>
      </c>
      <c r="E569" t="s">
        <v>1648</v>
      </c>
      <c r="F569">
        <v>1</v>
      </c>
      <c r="G569" t="s">
        <v>1649</v>
      </c>
      <c r="H569" s="1">
        <v>46235</v>
      </c>
      <c r="I569" t="s">
        <v>762</v>
      </c>
      <c r="J569">
        <v>1</v>
      </c>
      <c r="K569" s="1">
        <v>46235</v>
      </c>
      <c r="L569" s="8">
        <v>4160004</v>
      </c>
    </row>
    <row r="570" spans="1:12" x14ac:dyDescent="0.25">
      <c r="A570" t="s">
        <v>1650</v>
      </c>
      <c r="B570" t="s">
        <v>2199</v>
      </c>
      <c r="C570" t="s">
        <v>374</v>
      </c>
      <c r="D570" t="s">
        <v>1651</v>
      </c>
      <c r="E570" t="s">
        <v>1653</v>
      </c>
      <c r="F570">
        <v>1</v>
      </c>
      <c r="G570" t="s">
        <v>761</v>
      </c>
      <c r="H570" s="1">
        <v>46143</v>
      </c>
      <c r="I570" t="s">
        <v>762</v>
      </c>
      <c r="J570">
        <v>1</v>
      </c>
      <c r="K570" s="1">
        <v>46143</v>
      </c>
      <c r="L570" s="8">
        <v>200004</v>
      </c>
    </row>
    <row r="571" spans="1:12" x14ac:dyDescent="0.25">
      <c r="A571" t="s">
        <v>1654</v>
      </c>
      <c r="B571" t="s">
        <v>2199</v>
      </c>
      <c r="C571" t="s">
        <v>374</v>
      </c>
      <c r="D571" t="s">
        <v>1655</v>
      </c>
      <c r="E571" t="s">
        <v>1592</v>
      </c>
      <c r="F571">
        <v>3</v>
      </c>
      <c r="G571" t="s">
        <v>761</v>
      </c>
      <c r="H571" s="1">
        <v>46143</v>
      </c>
      <c r="I571" t="s">
        <v>762</v>
      </c>
      <c r="J571">
        <v>1</v>
      </c>
      <c r="K571" s="1">
        <v>46143</v>
      </c>
      <c r="L571" s="8">
        <v>150000</v>
      </c>
    </row>
    <row r="572" spans="1:12" x14ac:dyDescent="0.25">
      <c r="A572" t="s">
        <v>1654</v>
      </c>
      <c r="B572" t="s">
        <v>2199</v>
      </c>
      <c r="C572" t="s">
        <v>374</v>
      </c>
      <c r="D572" t="s">
        <v>1655</v>
      </c>
      <c r="E572" t="s">
        <v>1656</v>
      </c>
      <c r="F572">
        <v>3</v>
      </c>
      <c r="G572" t="s">
        <v>761</v>
      </c>
      <c r="H572" s="1">
        <v>46143</v>
      </c>
      <c r="I572" t="s">
        <v>762</v>
      </c>
      <c r="J572">
        <v>1</v>
      </c>
      <c r="K572" s="1">
        <v>46143</v>
      </c>
      <c r="L572" s="8">
        <v>60000</v>
      </c>
    </row>
    <row r="573" spans="1:12" x14ac:dyDescent="0.25">
      <c r="A573" t="s">
        <v>1654</v>
      </c>
      <c r="B573" t="s">
        <v>2199</v>
      </c>
      <c r="C573" t="s">
        <v>374</v>
      </c>
      <c r="D573" t="s">
        <v>1655</v>
      </c>
      <c r="E573" t="s">
        <v>1593</v>
      </c>
      <c r="F573">
        <v>3</v>
      </c>
      <c r="G573" t="s">
        <v>761</v>
      </c>
      <c r="H573" s="1">
        <v>46143</v>
      </c>
      <c r="I573" t="s">
        <v>762</v>
      </c>
      <c r="J573">
        <v>1</v>
      </c>
      <c r="K573" s="1">
        <v>46143</v>
      </c>
      <c r="L573" s="8">
        <v>70000</v>
      </c>
    </row>
    <row r="574" spans="1:12" x14ac:dyDescent="0.25">
      <c r="A574" t="s">
        <v>1657</v>
      </c>
      <c r="B574" t="s">
        <v>2199</v>
      </c>
      <c r="C574" t="s">
        <v>374</v>
      </c>
      <c r="D574" t="s">
        <v>1658</v>
      </c>
      <c r="E574" t="s">
        <v>359</v>
      </c>
      <c r="F574">
        <v>6</v>
      </c>
      <c r="G574" t="s">
        <v>1660</v>
      </c>
      <c r="H574" s="1">
        <v>46235</v>
      </c>
      <c r="I574" t="s">
        <v>1661</v>
      </c>
      <c r="J574">
        <v>1</v>
      </c>
      <c r="K574" s="1">
        <v>46266</v>
      </c>
      <c r="L574" s="8">
        <v>6370016</v>
      </c>
    </row>
    <row r="575" spans="1:12" x14ac:dyDescent="0.25">
      <c r="A575" t="s">
        <v>1657</v>
      </c>
      <c r="B575" t="s">
        <v>2199</v>
      </c>
      <c r="C575" t="s">
        <v>374</v>
      </c>
      <c r="D575" t="s">
        <v>1658</v>
      </c>
      <c r="E575" t="s">
        <v>1664</v>
      </c>
      <c r="F575">
        <v>6</v>
      </c>
      <c r="G575" t="s">
        <v>1660</v>
      </c>
      <c r="H575" s="1">
        <v>46235</v>
      </c>
      <c r="I575" t="s">
        <v>1661</v>
      </c>
      <c r="J575">
        <v>1</v>
      </c>
      <c r="K575" s="1">
        <v>46266</v>
      </c>
      <c r="L575" s="8">
        <v>1200000</v>
      </c>
    </row>
    <row r="576" spans="1:12" x14ac:dyDescent="0.25">
      <c r="A576" t="s">
        <v>1657</v>
      </c>
      <c r="B576" t="s">
        <v>2199</v>
      </c>
      <c r="C576" t="s">
        <v>374</v>
      </c>
      <c r="D576" t="s">
        <v>1658</v>
      </c>
      <c r="E576" t="s">
        <v>1666</v>
      </c>
      <c r="F576">
        <v>6</v>
      </c>
      <c r="G576" t="s">
        <v>1660</v>
      </c>
      <c r="H576" s="1">
        <v>46235</v>
      </c>
      <c r="I576" t="s">
        <v>1661</v>
      </c>
      <c r="J576">
        <v>1</v>
      </c>
      <c r="K576" s="1">
        <v>46266</v>
      </c>
      <c r="L576" s="8">
        <v>2500000</v>
      </c>
    </row>
    <row r="577" spans="1:12" x14ac:dyDescent="0.25">
      <c r="A577" t="s">
        <v>1657</v>
      </c>
      <c r="B577" t="s">
        <v>2199</v>
      </c>
      <c r="C577" t="s">
        <v>374</v>
      </c>
      <c r="D577" t="s">
        <v>1658</v>
      </c>
      <c r="E577" t="s">
        <v>855</v>
      </c>
      <c r="F577">
        <v>6</v>
      </c>
      <c r="G577" t="s">
        <v>1660</v>
      </c>
      <c r="H577" s="1">
        <v>46235</v>
      </c>
      <c r="I577" t="s">
        <v>1661</v>
      </c>
      <c r="J577">
        <v>1</v>
      </c>
      <c r="K577" s="1">
        <v>46266</v>
      </c>
      <c r="L577" s="8">
        <v>40002</v>
      </c>
    </row>
    <row r="578" spans="1:12" x14ac:dyDescent="0.25">
      <c r="A578" t="s">
        <v>1657</v>
      </c>
      <c r="B578" t="s">
        <v>2199</v>
      </c>
      <c r="C578" t="s">
        <v>374</v>
      </c>
      <c r="D578" t="s">
        <v>1658</v>
      </c>
      <c r="E578" t="s">
        <v>1665</v>
      </c>
      <c r="F578">
        <v>6</v>
      </c>
      <c r="G578" t="s">
        <v>1660</v>
      </c>
      <c r="H578" s="1">
        <v>46235</v>
      </c>
      <c r="I578" t="s">
        <v>1661</v>
      </c>
      <c r="J578">
        <v>1</v>
      </c>
      <c r="K578" s="1">
        <v>46266</v>
      </c>
      <c r="L578" s="8">
        <v>4000000</v>
      </c>
    </row>
    <row r="579" spans="1:12" x14ac:dyDescent="0.25">
      <c r="A579" t="s">
        <v>1657</v>
      </c>
      <c r="B579" t="s">
        <v>2199</v>
      </c>
      <c r="C579" t="s">
        <v>374</v>
      </c>
      <c r="D579" t="s">
        <v>1658</v>
      </c>
      <c r="E579" t="s">
        <v>602</v>
      </c>
      <c r="F579">
        <v>6</v>
      </c>
      <c r="G579" t="s">
        <v>1660</v>
      </c>
      <c r="H579" s="1">
        <v>46235</v>
      </c>
      <c r="I579" t="s">
        <v>1661</v>
      </c>
      <c r="J579">
        <v>1</v>
      </c>
      <c r="K579" s="1">
        <v>46235</v>
      </c>
      <c r="L579" s="8">
        <v>4600000</v>
      </c>
    </row>
    <row r="580" spans="1:12" x14ac:dyDescent="0.25">
      <c r="A580" t="s">
        <v>1967</v>
      </c>
      <c r="B580" t="s">
        <v>2199</v>
      </c>
      <c r="C580" t="s">
        <v>374</v>
      </c>
      <c r="D580" t="s">
        <v>1969</v>
      </c>
      <c r="E580" t="s">
        <v>359</v>
      </c>
      <c r="F580">
        <v>5</v>
      </c>
      <c r="G580" t="s">
        <v>768</v>
      </c>
      <c r="H580" s="1">
        <v>46023</v>
      </c>
      <c r="I580" t="s">
        <v>1972</v>
      </c>
      <c r="J580">
        <v>1</v>
      </c>
      <c r="K580" s="1">
        <v>46054</v>
      </c>
      <c r="L580" s="8">
        <v>43320</v>
      </c>
    </row>
    <row r="581" spans="1:12" x14ac:dyDescent="0.25">
      <c r="A581" t="s">
        <v>1967</v>
      </c>
      <c r="B581" t="s">
        <v>2199</v>
      </c>
      <c r="C581" t="s">
        <v>374</v>
      </c>
      <c r="D581" t="s">
        <v>1969</v>
      </c>
      <c r="E581" t="s">
        <v>1971</v>
      </c>
      <c r="F581">
        <v>5</v>
      </c>
      <c r="G581" t="s">
        <v>768</v>
      </c>
      <c r="H581" s="1">
        <v>46023</v>
      </c>
      <c r="I581" t="s">
        <v>1972</v>
      </c>
      <c r="J581">
        <v>1</v>
      </c>
      <c r="K581" s="1">
        <v>46054</v>
      </c>
      <c r="L581" s="8">
        <v>112387</v>
      </c>
    </row>
    <row r="582" spans="1:12" x14ac:dyDescent="0.25">
      <c r="A582" t="s">
        <v>1967</v>
      </c>
      <c r="B582" t="s">
        <v>2199</v>
      </c>
      <c r="C582" t="s">
        <v>374</v>
      </c>
      <c r="D582" t="s">
        <v>1969</v>
      </c>
      <c r="E582" t="s">
        <v>1974</v>
      </c>
      <c r="F582">
        <v>5</v>
      </c>
      <c r="G582" t="s">
        <v>768</v>
      </c>
      <c r="H582" s="1">
        <v>46023</v>
      </c>
      <c r="I582" t="s">
        <v>1972</v>
      </c>
      <c r="J582">
        <v>1</v>
      </c>
      <c r="K582" s="1">
        <v>46054</v>
      </c>
      <c r="L582" s="8">
        <v>25000</v>
      </c>
    </row>
    <row r="583" spans="1:12" x14ac:dyDescent="0.25">
      <c r="A583" t="s">
        <v>1967</v>
      </c>
      <c r="B583" t="s">
        <v>2199</v>
      </c>
      <c r="C583" t="s">
        <v>374</v>
      </c>
      <c r="D583" t="s">
        <v>1969</v>
      </c>
      <c r="E583" t="s">
        <v>1975</v>
      </c>
      <c r="F583">
        <v>5</v>
      </c>
      <c r="G583" t="s">
        <v>768</v>
      </c>
      <c r="H583" s="1">
        <v>46023</v>
      </c>
      <c r="I583" t="s">
        <v>1972</v>
      </c>
      <c r="J583">
        <v>1</v>
      </c>
      <c r="K583" s="1">
        <v>46054</v>
      </c>
      <c r="L583" s="8">
        <v>1700</v>
      </c>
    </row>
    <row r="584" spans="1:12" x14ac:dyDescent="0.25">
      <c r="A584" t="s">
        <v>1967</v>
      </c>
      <c r="B584" t="s">
        <v>2199</v>
      </c>
      <c r="C584" t="s">
        <v>374</v>
      </c>
      <c r="D584" t="s">
        <v>1969</v>
      </c>
      <c r="E584" t="s">
        <v>1973</v>
      </c>
      <c r="F584">
        <v>5</v>
      </c>
      <c r="G584" t="s">
        <v>768</v>
      </c>
      <c r="H584" s="1">
        <v>46023</v>
      </c>
      <c r="I584" t="s">
        <v>1972</v>
      </c>
      <c r="J584">
        <v>1</v>
      </c>
      <c r="K584" s="1">
        <v>46054</v>
      </c>
      <c r="L584" s="8">
        <v>25002</v>
      </c>
    </row>
    <row r="585" spans="1:12" x14ac:dyDescent="0.25">
      <c r="A585" t="s">
        <v>2028</v>
      </c>
      <c r="B585" t="s">
        <v>2199</v>
      </c>
      <c r="C585" t="s">
        <v>374</v>
      </c>
      <c r="D585" t="s">
        <v>2029</v>
      </c>
      <c r="E585" t="s">
        <v>831</v>
      </c>
      <c r="F585">
        <v>8</v>
      </c>
      <c r="G585" t="s">
        <v>2032</v>
      </c>
      <c r="H585" s="1">
        <v>46082</v>
      </c>
      <c r="I585" t="s">
        <v>2033</v>
      </c>
      <c r="J585">
        <v>1</v>
      </c>
      <c r="K585" s="1">
        <v>46082</v>
      </c>
      <c r="L585" s="8">
        <v>930000</v>
      </c>
    </row>
    <row r="586" spans="1:12" x14ac:dyDescent="0.25">
      <c r="A586" t="s">
        <v>2028</v>
      </c>
      <c r="B586" t="s">
        <v>2199</v>
      </c>
      <c r="C586" t="s">
        <v>374</v>
      </c>
      <c r="D586" t="s">
        <v>2029</v>
      </c>
      <c r="E586" t="s">
        <v>370</v>
      </c>
      <c r="F586">
        <v>8</v>
      </c>
      <c r="G586" t="s">
        <v>2032</v>
      </c>
      <c r="H586" s="1">
        <v>46082</v>
      </c>
      <c r="I586" t="s">
        <v>2033</v>
      </c>
      <c r="J586">
        <v>1</v>
      </c>
      <c r="K586" s="1">
        <v>46082</v>
      </c>
      <c r="L586" s="8">
        <v>250000</v>
      </c>
    </row>
    <row r="587" spans="1:12" x14ac:dyDescent="0.25">
      <c r="A587" t="s">
        <v>2028</v>
      </c>
      <c r="B587" t="s">
        <v>2199</v>
      </c>
      <c r="C587" t="s">
        <v>374</v>
      </c>
      <c r="D587" t="s">
        <v>2029</v>
      </c>
      <c r="E587" t="s">
        <v>1174</v>
      </c>
      <c r="F587">
        <v>8</v>
      </c>
      <c r="G587" t="s">
        <v>2032</v>
      </c>
      <c r="H587" s="1">
        <v>46082</v>
      </c>
      <c r="I587" t="s">
        <v>2033</v>
      </c>
      <c r="J587">
        <v>1</v>
      </c>
      <c r="K587" s="1">
        <v>46082</v>
      </c>
      <c r="L587" s="8">
        <v>1195000</v>
      </c>
    </row>
    <row r="588" spans="1:12" x14ac:dyDescent="0.25">
      <c r="A588" t="s">
        <v>2028</v>
      </c>
      <c r="B588" t="s">
        <v>2199</v>
      </c>
      <c r="C588" t="s">
        <v>374</v>
      </c>
      <c r="D588" t="s">
        <v>2029</v>
      </c>
      <c r="E588" t="s">
        <v>2031</v>
      </c>
      <c r="F588">
        <v>8</v>
      </c>
      <c r="G588" t="s">
        <v>2032</v>
      </c>
      <c r="H588" s="1">
        <v>46082</v>
      </c>
      <c r="I588" t="s">
        <v>2033</v>
      </c>
      <c r="J588">
        <v>1</v>
      </c>
      <c r="K588" s="1">
        <v>46082</v>
      </c>
      <c r="L588" s="8">
        <v>600000</v>
      </c>
    </row>
    <row r="589" spans="1:12" x14ac:dyDescent="0.25">
      <c r="A589" t="s">
        <v>2028</v>
      </c>
      <c r="B589" t="s">
        <v>2199</v>
      </c>
      <c r="C589" t="s">
        <v>374</v>
      </c>
      <c r="D589" t="s">
        <v>2029</v>
      </c>
      <c r="E589" t="s">
        <v>1279</v>
      </c>
      <c r="F589">
        <v>8</v>
      </c>
      <c r="G589" t="s">
        <v>2032</v>
      </c>
      <c r="H589" s="1">
        <v>46082</v>
      </c>
      <c r="I589" t="s">
        <v>2033</v>
      </c>
      <c r="J589">
        <v>1</v>
      </c>
      <c r="K589" s="1">
        <v>46082</v>
      </c>
      <c r="L589" s="8">
        <v>1850000</v>
      </c>
    </row>
    <row r="590" spans="1:12" x14ac:dyDescent="0.25">
      <c r="A590" t="s">
        <v>2028</v>
      </c>
      <c r="B590" t="s">
        <v>2199</v>
      </c>
      <c r="C590" t="s">
        <v>374</v>
      </c>
      <c r="D590" t="s">
        <v>2029</v>
      </c>
      <c r="E590" t="s">
        <v>486</v>
      </c>
      <c r="F590">
        <v>8</v>
      </c>
      <c r="G590" t="s">
        <v>2032</v>
      </c>
      <c r="H590" s="1">
        <v>46082</v>
      </c>
      <c r="I590" t="s">
        <v>2033</v>
      </c>
      <c r="J590">
        <v>1</v>
      </c>
      <c r="K590" s="1">
        <v>46082</v>
      </c>
      <c r="L590" s="8">
        <v>1164000</v>
      </c>
    </row>
    <row r="591" spans="1:12" x14ac:dyDescent="0.25">
      <c r="A591" t="s">
        <v>2028</v>
      </c>
      <c r="B591" t="s">
        <v>2199</v>
      </c>
      <c r="C591" t="s">
        <v>374</v>
      </c>
      <c r="D591" t="s">
        <v>2029</v>
      </c>
      <c r="E591" t="s">
        <v>1678</v>
      </c>
      <c r="F591">
        <v>8</v>
      </c>
      <c r="G591" t="s">
        <v>2032</v>
      </c>
      <c r="H591" s="1">
        <v>46082</v>
      </c>
      <c r="I591" t="s">
        <v>2033</v>
      </c>
      <c r="J591">
        <v>1</v>
      </c>
      <c r="K591" s="1">
        <v>46082</v>
      </c>
      <c r="L591" s="8">
        <v>395540</v>
      </c>
    </row>
    <row r="592" spans="1:12" x14ac:dyDescent="0.25">
      <c r="A592" t="s">
        <v>2028</v>
      </c>
      <c r="B592" t="s">
        <v>2199</v>
      </c>
      <c r="C592" t="s">
        <v>374</v>
      </c>
      <c r="D592" t="s">
        <v>2029</v>
      </c>
      <c r="E592" t="s">
        <v>2036</v>
      </c>
      <c r="F592">
        <v>8</v>
      </c>
      <c r="G592" t="s">
        <v>2032</v>
      </c>
      <c r="H592" s="1">
        <v>46082</v>
      </c>
      <c r="I592" t="s">
        <v>2033</v>
      </c>
      <c r="J592">
        <v>1</v>
      </c>
      <c r="K592" s="1">
        <v>46082</v>
      </c>
      <c r="L592" s="8">
        <v>1200000</v>
      </c>
    </row>
    <row r="593" spans="1:12" x14ac:dyDescent="0.25">
      <c r="A593" t="s">
        <v>2080</v>
      </c>
      <c r="B593" t="s">
        <v>2199</v>
      </c>
      <c r="C593" t="s">
        <v>374</v>
      </c>
      <c r="D593" t="s">
        <v>2081</v>
      </c>
      <c r="E593" t="s">
        <v>786</v>
      </c>
      <c r="F593">
        <v>1</v>
      </c>
      <c r="G593" t="s">
        <v>768</v>
      </c>
      <c r="H593" s="1">
        <v>46082</v>
      </c>
      <c r="I593" t="s">
        <v>386</v>
      </c>
      <c r="J593">
        <v>1</v>
      </c>
      <c r="K593" s="1">
        <v>46082</v>
      </c>
      <c r="L593" s="8">
        <v>350280</v>
      </c>
    </row>
    <row r="594" spans="1:12" x14ac:dyDescent="0.25">
      <c r="A594" t="s">
        <v>2086</v>
      </c>
      <c r="B594" t="s">
        <v>2199</v>
      </c>
      <c r="C594" t="s">
        <v>374</v>
      </c>
      <c r="D594" t="s">
        <v>2087</v>
      </c>
      <c r="E594" t="s">
        <v>786</v>
      </c>
      <c r="F594">
        <v>1</v>
      </c>
      <c r="G594" t="s">
        <v>768</v>
      </c>
      <c r="H594" s="1">
        <v>46054</v>
      </c>
      <c r="I594" t="s">
        <v>386</v>
      </c>
      <c r="J594">
        <v>1</v>
      </c>
      <c r="K594" s="1">
        <v>46082</v>
      </c>
      <c r="L594" s="8">
        <v>506160</v>
      </c>
    </row>
    <row r="595" spans="1:12" x14ac:dyDescent="0.25">
      <c r="A595" t="s">
        <v>2110</v>
      </c>
      <c r="B595" t="s">
        <v>2199</v>
      </c>
      <c r="C595" t="s">
        <v>374</v>
      </c>
      <c r="D595" t="s">
        <v>2111</v>
      </c>
      <c r="E595" t="s">
        <v>359</v>
      </c>
      <c r="F595">
        <v>5</v>
      </c>
      <c r="G595" t="s">
        <v>768</v>
      </c>
      <c r="H595" s="1">
        <v>46023</v>
      </c>
      <c r="I595" t="s">
        <v>386</v>
      </c>
      <c r="J595">
        <v>1</v>
      </c>
      <c r="K595" s="1">
        <v>46023</v>
      </c>
      <c r="L595" s="8">
        <v>442000</v>
      </c>
    </row>
    <row r="596" spans="1:12" x14ac:dyDescent="0.25">
      <c r="A596" t="s">
        <v>2110</v>
      </c>
      <c r="B596" t="s">
        <v>2199</v>
      </c>
      <c r="C596" t="s">
        <v>374</v>
      </c>
      <c r="D596" t="s">
        <v>2111</v>
      </c>
      <c r="E596" t="s">
        <v>486</v>
      </c>
      <c r="F596">
        <v>5</v>
      </c>
      <c r="G596" t="s">
        <v>768</v>
      </c>
      <c r="H596" s="1">
        <v>46023</v>
      </c>
      <c r="I596" t="s">
        <v>386</v>
      </c>
      <c r="J596">
        <v>1</v>
      </c>
      <c r="K596" s="1">
        <v>46023</v>
      </c>
      <c r="L596" s="8">
        <v>501330</v>
      </c>
    </row>
    <row r="597" spans="1:12" x14ac:dyDescent="0.25">
      <c r="A597" t="s">
        <v>2110</v>
      </c>
      <c r="B597" t="s">
        <v>2199</v>
      </c>
      <c r="C597" t="s">
        <v>374</v>
      </c>
      <c r="D597" t="s">
        <v>2111</v>
      </c>
      <c r="E597" t="s">
        <v>855</v>
      </c>
      <c r="F597">
        <v>5</v>
      </c>
      <c r="G597" t="s">
        <v>768</v>
      </c>
      <c r="H597" s="1">
        <v>46023</v>
      </c>
      <c r="I597" t="s">
        <v>386</v>
      </c>
      <c r="J597">
        <v>1</v>
      </c>
      <c r="K597" s="1">
        <v>46023</v>
      </c>
      <c r="L597" s="8">
        <v>49700</v>
      </c>
    </row>
    <row r="598" spans="1:12" x14ac:dyDescent="0.25">
      <c r="A598" t="s">
        <v>2110</v>
      </c>
      <c r="B598" t="s">
        <v>2199</v>
      </c>
      <c r="C598" t="s">
        <v>374</v>
      </c>
      <c r="D598" t="s">
        <v>2111</v>
      </c>
      <c r="E598" t="s">
        <v>2114</v>
      </c>
      <c r="F598">
        <v>5</v>
      </c>
      <c r="G598" t="s">
        <v>768</v>
      </c>
      <c r="H598" s="1">
        <v>46023</v>
      </c>
      <c r="I598" t="s">
        <v>386</v>
      </c>
      <c r="J598">
        <v>1</v>
      </c>
      <c r="K598" s="1">
        <v>46023</v>
      </c>
      <c r="L598" s="8">
        <v>70000</v>
      </c>
    </row>
    <row r="599" spans="1:12" x14ac:dyDescent="0.25">
      <c r="A599" t="s">
        <v>2110</v>
      </c>
      <c r="B599" t="s">
        <v>2199</v>
      </c>
      <c r="C599" t="s">
        <v>374</v>
      </c>
      <c r="D599" t="s">
        <v>2111</v>
      </c>
      <c r="E599" t="s">
        <v>2113</v>
      </c>
      <c r="F599">
        <v>5</v>
      </c>
      <c r="G599" t="s">
        <v>768</v>
      </c>
      <c r="H599" s="1">
        <v>46023</v>
      </c>
      <c r="I599" t="s">
        <v>386</v>
      </c>
      <c r="J599">
        <v>1</v>
      </c>
      <c r="K599" s="1">
        <v>46023</v>
      </c>
      <c r="L599" s="8">
        <v>240000</v>
      </c>
    </row>
    <row r="600" spans="1:12" x14ac:dyDescent="0.25">
      <c r="A600" t="s">
        <v>2159</v>
      </c>
      <c r="B600" t="s">
        <v>2199</v>
      </c>
      <c r="C600" t="s">
        <v>374</v>
      </c>
      <c r="D600" t="s">
        <v>2160</v>
      </c>
      <c r="E600" t="s">
        <v>2165</v>
      </c>
      <c r="F600">
        <v>7</v>
      </c>
      <c r="G600" t="s">
        <v>761</v>
      </c>
      <c r="H600" s="1">
        <v>46054</v>
      </c>
      <c r="I600" t="s">
        <v>762</v>
      </c>
      <c r="J600">
        <v>1</v>
      </c>
      <c r="K600" s="1">
        <v>46174</v>
      </c>
      <c r="L600" s="8">
        <v>500000</v>
      </c>
    </row>
    <row r="601" spans="1:12" x14ac:dyDescent="0.25">
      <c r="A601" t="s">
        <v>2159</v>
      </c>
      <c r="B601" t="s">
        <v>2199</v>
      </c>
      <c r="C601" t="s">
        <v>374</v>
      </c>
      <c r="D601" t="s">
        <v>2160</v>
      </c>
      <c r="E601" t="s">
        <v>2164</v>
      </c>
      <c r="F601">
        <v>7</v>
      </c>
      <c r="G601" t="s">
        <v>761</v>
      </c>
      <c r="H601" s="1">
        <v>46054</v>
      </c>
      <c r="I601" t="s">
        <v>762</v>
      </c>
      <c r="J601">
        <v>1</v>
      </c>
      <c r="K601" s="1">
        <v>46174</v>
      </c>
      <c r="L601" s="8">
        <v>470007</v>
      </c>
    </row>
    <row r="602" spans="1:12" x14ac:dyDescent="0.25">
      <c r="A602" t="s">
        <v>2159</v>
      </c>
      <c r="B602" t="s">
        <v>2199</v>
      </c>
      <c r="C602" t="s">
        <v>374</v>
      </c>
      <c r="D602" t="s">
        <v>2160</v>
      </c>
      <c r="E602" t="s">
        <v>2163</v>
      </c>
      <c r="F602">
        <v>7</v>
      </c>
      <c r="G602" t="s">
        <v>761</v>
      </c>
      <c r="H602" s="1">
        <v>46174</v>
      </c>
      <c r="I602" t="s">
        <v>762</v>
      </c>
      <c r="J602">
        <v>1</v>
      </c>
      <c r="K602" s="1">
        <v>46174</v>
      </c>
      <c r="L602" s="8">
        <v>2060002</v>
      </c>
    </row>
    <row r="603" spans="1:12" x14ac:dyDescent="0.25">
      <c r="A603" t="s">
        <v>2159</v>
      </c>
      <c r="B603" t="s">
        <v>2199</v>
      </c>
      <c r="C603" t="s">
        <v>374</v>
      </c>
      <c r="D603" t="s">
        <v>2160</v>
      </c>
      <c r="E603" t="s">
        <v>1578</v>
      </c>
      <c r="F603">
        <v>7</v>
      </c>
      <c r="G603" t="s">
        <v>761</v>
      </c>
      <c r="H603" s="1">
        <v>46174</v>
      </c>
      <c r="I603" t="s">
        <v>762</v>
      </c>
      <c r="J603">
        <v>1</v>
      </c>
      <c r="K603" s="1">
        <v>46174</v>
      </c>
      <c r="L603" s="8">
        <v>120000</v>
      </c>
    </row>
    <row r="604" spans="1:12" x14ac:dyDescent="0.25">
      <c r="A604" t="s">
        <v>2159</v>
      </c>
      <c r="B604" t="s">
        <v>2199</v>
      </c>
      <c r="C604" t="s">
        <v>374</v>
      </c>
      <c r="D604" t="s">
        <v>2160</v>
      </c>
      <c r="E604" t="s">
        <v>820</v>
      </c>
      <c r="F604">
        <v>7</v>
      </c>
      <c r="G604" t="s">
        <v>761</v>
      </c>
      <c r="H604" s="1">
        <v>46174</v>
      </c>
      <c r="I604" t="s">
        <v>762</v>
      </c>
      <c r="J604">
        <v>1</v>
      </c>
      <c r="K604" s="1">
        <v>46174</v>
      </c>
      <c r="L604" s="8">
        <v>700000</v>
      </c>
    </row>
    <row r="605" spans="1:12" x14ac:dyDescent="0.25">
      <c r="A605" t="s">
        <v>2159</v>
      </c>
      <c r="B605" t="s">
        <v>2199</v>
      </c>
      <c r="C605" t="s">
        <v>374</v>
      </c>
      <c r="D605" t="s">
        <v>2160</v>
      </c>
      <c r="E605" t="s">
        <v>2161</v>
      </c>
      <c r="F605">
        <v>7</v>
      </c>
      <c r="G605" t="s">
        <v>761</v>
      </c>
      <c r="H605" s="1">
        <v>46054</v>
      </c>
      <c r="I605" t="s">
        <v>762</v>
      </c>
      <c r="J605">
        <v>1</v>
      </c>
      <c r="K605" s="1">
        <v>46054</v>
      </c>
      <c r="L605" s="8">
        <v>2700016</v>
      </c>
    </row>
    <row r="606" spans="1:12" x14ac:dyDescent="0.25">
      <c r="A606" t="s">
        <v>2159</v>
      </c>
      <c r="B606" t="s">
        <v>2199</v>
      </c>
      <c r="C606" t="s">
        <v>374</v>
      </c>
      <c r="D606" t="s">
        <v>2160</v>
      </c>
      <c r="E606" t="s">
        <v>2162</v>
      </c>
      <c r="F606">
        <v>7</v>
      </c>
      <c r="G606" t="s">
        <v>761</v>
      </c>
      <c r="H606" s="1">
        <v>46054</v>
      </c>
      <c r="I606" t="s">
        <v>762</v>
      </c>
      <c r="J606">
        <v>1</v>
      </c>
      <c r="K606" s="1">
        <v>46054</v>
      </c>
      <c r="L606" s="8">
        <v>1260000</v>
      </c>
    </row>
    <row r="607" spans="1:12" x14ac:dyDescent="0.25">
      <c r="A607" t="s">
        <v>2181</v>
      </c>
      <c r="B607" t="s">
        <v>2199</v>
      </c>
      <c r="C607" t="s">
        <v>374</v>
      </c>
      <c r="D607" t="s">
        <v>2182</v>
      </c>
      <c r="E607" t="s">
        <v>1653</v>
      </c>
      <c r="F607">
        <v>1</v>
      </c>
      <c r="G607" t="s">
        <v>761</v>
      </c>
      <c r="H607" s="1">
        <v>46143</v>
      </c>
      <c r="I607" t="s">
        <v>762</v>
      </c>
      <c r="J607">
        <v>1</v>
      </c>
      <c r="K607" s="1">
        <v>46143</v>
      </c>
      <c r="L607" s="8">
        <v>280008</v>
      </c>
    </row>
    <row r="608" spans="1:12" x14ac:dyDescent="0.25">
      <c r="A608" t="s">
        <v>375</v>
      </c>
      <c r="B608" t="s">
        <v>2196</v>
      </c>
      <c r="C608" t="s">
        <v>374</v>
      </c>
      <c r="D608" t="s">
        <v>376</v>
      </c>
      <c r="E608" t="s">
        <v>326</v>
      </c>
      <c r="F608">
        <v>1</v>
      </c>
      <c r="G608" t="s">
        <v>378</v>
      </c>
      <c r="H608" s="1">
        <v>45839</v>
      </c>
      <c r="I608" t="s">
        <v>361</v>
      </c>
      <c r="J608">
        <v>12</v>
      </c>
      <c r="K608" t="s">
        <v>318</v>
      </c>
      <c r="L608" s="8">
        <v>17416663</v>
      </c>
    </row>
    <row r="609" spans="1:12" x14ac:dyDescent="0.25">
      <c r="A609" t="s">
        <v>468</v>
      </c>
      <c r="B609" t="s">
        <v>2196</v>
      </c>
      <c r="C609" t="s">
        <v>374</v>
      </c>
      <c r="D609" t="s">
        <v>470</v>
      </c>
      <c r="E609" t="s">
        <v>472</v>
      </c>
      <c r="F609">
        <v>1</v>
      </c>
      <c r="G609" t="s">
        <v>473</v>
      </c>
      <c r="H609" s="1">
        <v>45870</v>
      </c>
      <c r="I609" t="s">
        <v>474</v>
      </c>
      <c r="J609">
        <v>12</v>
      </c>
      <c r="K609" t="s">
        <v>413</v>
      </c>
      <c r="L609" s="8">
        <v>394362600</v>
      </c>
    </row>
    <row r="610" spans="1:12" x14ac:dyDescent="0.25">
      <c r="A610" t="s">
        <v>545</v>
      </c>
      <c r="B610" t="s">
        <v>2196</v>
      </c>
      <c r="C610" t="s">
        <v>374</v>
      </c>
      <c r="D610" t="s">
        <v>546</v>
      </c>
      <c r="E610" t="s">
        <v>496</v>
      </c>
      <c r="F610">
        <v>1</v>
      </c>
      <c r="G610" t="s">
        <v>414</v>
      </c>
      <c r="H610" s="1">
        <v>45870</v>
      </c>
      <c r="I610" t="s">
        <v>415</v>
      </c>
      <c r="J610">
        <v>12</v>
      </c>
      <c r="K610" t="s">
        <v>318</v>
      </c>
      <c r="L610" s="8">
        <v>30800000</v>
      </c>
    </row>
    <row r="611" spans="1:12" x14ac:dyDescent="0.25">
      <c r="A611" t="s">
        <v>584</v>
      </c>
      <c r="B611" t="s">
        <v>2199</v>
      </c>
      <c r="C611" t="s">
        <v>374</v>
      </c>
      <c r="D611" t="s">
        <v>586</v>
      </c>
      <c r="E611" t="s">
        <v>588</v>
      </c>
      <c r="F611">
        <v>1</v>
      </c>
      <c r="G611" t="s">
        <v>590</v>
      </c>
      <c r="H611" s="1">
        <v>46054</v>
      </c>
      <c r="I611" t="s">
        <v>591</v>
      </c>
      <c r="J611">
        <v>10</v>
      </c>
      <c r="K611" t="s">
        <v>589</v>
      </c>
      <c r="L611" s="8">
        <v>56320000</v>
      </c>
    </row>
    <row r="612" spans="1:12" x14ac:dyDescent="0.25">
      <c r="A612" t="s">
        <v>605</v>
      </c>
      <c r="B612" t="s">
        <v>2199</v>
      </c>
      <c r="C612" t="s">
        <v>374</v>
      </c>
      <c r="D612" t="s">
        <v>607</v>
      </c>
      <c r="E612" t="s">
        <v>613</v>
      </c>
      <c r="F612">
        <v>2</v>
      </c>
      <c r="G612" t="s">
        <v>609</v>
      </c>
      <c r="H612" s="1">
        <v>46143</v>
      </c>
      <c r="I612" t="s">
        <v>610</v>
      </c>
      <c r="J612">
        <v>1</v>
      </c>
      <c r="K612" s="1">
        <v>46143</v>
      </c>
      <c r="L612" s="8">
        <v>30000000</v>
      </c>
    </row>
    <row r="613" spans="1:12" x14ac:dyDescent="0.25">
      <c r="A613" t="s">
        <v>605</v>
      </c>
      <c r="B613" t="s">
        <v>2199</v>
      </c>
      <c r="C613" t="s">
        <v>374</v>
      </c>
      <c r="D613" t="s">
        <v>607</v>
      </c>
      <c r="E613" t="s">
        <v>288</v>
      </c>
      <c r="F613">
        <v>2</v>
      </c>
      <c r="G613" t="s">
        <v>609</v>
      </c>
      <c r="H613" s="1">
        <v>46113</v>
      </c>
      <c r="I613" t="s">
        <v>610</v>
      </c>
      <c r="J613">
        <v>1</v>
      </c>
      <c r="K613" s="1">
        <v>46113</v>
      </c>
      <c r="L613" s="8">
        <v>30000000</v>
      </c>
    </row>
    <row r="614" spans="1:12" x14ac:dyDescent="0.25">
      <c r="A614" t="s">
        <v>614</v>
      </c>
      <c r="B614" t="s">
        <v>2199</v>
      </c>
      <c r="C614" t="s">
        <v>374</v>
      </c>
      <c r="D614" t="s">
        <v>616</v>
      </c>
      <c r="E614" t="s">
        <v>618</v>
      </c>
      <c r="F614">
        <v>1</v>
      </c>
      <c r="G614" t="s">
        <v>590</v>
      </c>
      <c r="H614" s="1">
        <v>46082</v>
      </c>
      <c r="I614" t="s">
        <v>591</v>
      </c>
      <c r="J614">
        <v>1</v>
      </c>
      <c r="K614" s="1">
        <v>46082</v>
      </c>
      <c r="L614" s="8">
        <v>410000</v>
      </c>
    </row>
    <row r="615" spans="1:12" x14ac:dyDescent="0.25">
      <c r="A615" t="s">
        <v>683</v>
      </c>
      <c r="B615" t="s">
        <v>2199</v>
      </c>
      <c r="C615" t="s">
        <v>374</v>
      </c>
      <c r="D615" t="s">
        <v>684</v>
      </c>
      <c r="E615" t="s">
        <v>370</v>
      </c>
      <c r="F615">
        <v>1</v>
      </c>
      <c r="G615" t="s">
        <v>657</v>
      </c>
      <c r="H615" s="1">
        <v>46235</v>
      </c>
      <c r="I615" t="s">
        <v>658</v>
      </c>
      <c r="J615">
        <v>1</v>
      </c>
      <c r="K615" s="1">
        <v>46235</v>
      </c>
      <c r="L615" s="8">
        <v>225000</v>
      </c>
    </row>
    <row r="616" spans="1:12" x14ac:dyDescent="0.25">
      <c r="A616" t="s">
        <v>693</v>
      </c>
      <c r="B616" t="s">
        <v>2199</v>
      </c>
      <c r="C616" t="s">
        <v>374</v>
      </c>
      <c r="D616" t="s">
        <v>694</v>
      </c>
      <c r="E616" t="s">
        <v>486</v>
      </c>
      <c r="F616">
        <v>1</v>
      </c>
      <c r="G616" t="s">
        <v>657</v>
      </c>
      <c r="H616" s="1">
        <v>46054</v>
      </c>
      <c r="I616" t="s">
        <v>658</v>
      </c>
      <c r="J616">
        <v>1</v>
      </c>
      <c r="K616" s="1">
        <v>46054</v>
      </c>
      <c r="L616" s="8">
        <v>260000</v>
      </c>
    </row>
    <row r="617" spans="1:12" x14ac:dyDescent="0.25">
      <c r="A617" t="s">
        <v>699</v>
      </c>
      <c r="B617" t="s">
        <v>2199</v>
      </c>
      <c r="C617" t="s">
        <v>374</v>
      </c>
      <c r="D617" t="s">
        <v>700</v>
      </c>
      <c r="E617" t="s">
        <v>370</v>
      </c>
      <c r="F617">
        <v>2</v>
      </c>
      <c r="G617" t="s">
        <v>657</v>
      </c>
      <c r="H617" s="1">
        <v>46174</v>
      </c>
      <c r="I617" t="s">
        <v>658</v>
      </c>
      <c r="J617">
        <v>1</v>
      </c>
      <c r="K617" s="1">
        <v>46174</v>
      </c>
      <c r="L617" s="8">
        <v>450000</v>
      </c>
    </row>
    <row r="618" spans="1:12" x14ac:dyDescent="0.25">
      <c r="A618" t="s">
        <v>699</v>
      </c>
      <c r="B618" t="s">
        <v>2199</v>
      </c>
      <c r="C618" t="s">
        <v>374</v>
      </c>
      <c r="D618" t="s">
        <v>700</v>
      </c>
      <c r="E618" t="s">
        <v>370</v>
      </c>
      <c r="F618">
        <v>2</v>
      </c>
      <c r="G618" t="s">
        <v>657</v>
      </c>
      <c r="H618" s="1">
        <v>46357</v>
      </c>
      <c r="I618" t="s">
        <v>658</v>
      </c>
      <c r="J618">
        <v>1</v>
      </c>
      <c r="K618" s="1">
        <v>46357</v>
      </c>
      <c r="L618" s="8">
        <v>450000</v>
      </c>
    </row>
    <row r="619" spans="1:12" x14ac:dyDescent="0.25">
      <c r="A619" t="s">
        <v>702</v>
      </c>
      <c r="B619" t="s">
        <v>2199</v>
      </c>
      <c r="C619" t="s">
        <v>374</v>
      </c>
      <c r="D619" t="s">
        <v>703</v>
      </c>
      <c r="E619" t="s">
        <v>705</v>
      </c>
      <c r="F619">
        <v>1</v>
      </c>
      <c r="G619" t="s">
        <v>657</v>
      </c>
      <c r="H619" s="1">
        <v>46266</v>
      </c>
      <c r="I619" t="s">
        <v>658</v>
      </c>
      <c r="J619">
        <v>1</v>
      </c>
      <c r="K619" s="1">
        <v>46266</v>
      </c>
      <c r="L619" s="8">
        <v>625000</v>
      </c>
    </row>
    <row r="620" spans="1:12" x14ac:dyDescent="0.25">
      <c r="A620" t="s">
        <v>709</v>
      </c>
      <c r="B620" t="s">
        <v>2199</v>
      </c>
      <c r="C620" t="s">
        <v>374</v>
      </c>
      <c r="D620" t="s">
        <v>710</v>
      </c>
      <c r="E620" t="s">
        <v>712</v>
      </c>
      <c r="F620">
        <v>1</v>
      </c>
      <c r="G620" t="s">
        <v>590</v>
      </c>
      <c r="H620" s="1">
        <v>46082</v>
      </c>
      <c r="I620" t="s">
        <v>591</v>
      </c>
      <c r="J620">
        <v>1</v>
      </c>
      <c r="K620" s="1">
        <v>46082</v>
      </c>
      <c r="L620" s="8">
        <v>150000</v>
      </c>
    </row>
    <row r="621" spans="1:12" x14ac:dyDescent="0.25">
      <c r="A621" t="s">
        <v>737</v>
      </c>
      <c r="B621" t="s">
        <v>2199</v>
      </c>
      <c r="C621" t="s">
        <v>374</v>
      </c>
      <c r="D621" t="s">
        <v>738</v>
      </c>
      <c r="E621" t="s">
        <v>740</v>
      </c>
      <c r="F621">
        <v>2</v>
      </c>
      <c r="G621" t="s">
        <v>657</v>
      </c>
      <c r="H621" s="1">
        <v>46023</v>
      </c>
      <c r="I621" t="s">
        <v>658</v>
      </c>
      <c r="J621">
        <v>1</v>
      </c>
      <c r="K621" s="1">
        <v>46023</v>
      </c>
      <c r="L621" s="8">
        <v>2272800</v>
      </c>
    </row>
    <row r="622" spans="1:12" x14ac:dyDescent="0.25">
      <c r="A622" t="s">
        <v>737</v>
      </c>
      <c r="B622" t="s">
        <v>2199</v>
      </c>
      <c r="C622" t="s">
        <v>374</v>
      </c>
      <c r="D622" t="s">
        <v>738</v>
      </c>
      <c r="E622" t="s">
        <v>195</v>
      </c>
      <c r="F622">
        <v>2</v>
      </c>
      <c r="G622" t="s">
        <v>657</v>
      </c>
      <c r="H622" s="1">
        <v>46023</v>
      </c>
      <c r="I622" t="s">
        <v>658</v>
      </c>
      <c r="J622">
        <v>1</v>
      </c>
      <c r="K622" s="1">
        <v>46023</v>
      </c>
      <c r="L622" s="8">
        <v>500080</v>
      </c>
    </row>
    <row r="623" spans="1:12" x14ac:dyDescent="0.25">
      <c r="A623" t="s">
        <v>741</v>
      </c>
      <c r="B623" t="s">
        <v>2199</v>
      </c>
      <c r="C623" t="s">
        <v>374</v>
      </c>
      <c r="D623" t="s">
        <v>742</v>
      </c>
      <c r="E623" t="s">
        <v>486</v>
      </c>
      <c r="F623">
        <v>1</v>
      </c>
      <c r="G623" t="s">
        <v>657</v>
      </c>
      <c r="H623" s="1">
        <v>46082</v>
      </c>
      <c r="I623" t="s">
        <v>658</v>
      </c>
      <c r="J623">
        <v>1</v>
      </c>
      <c r="K623" s="1">
        <v>46082</v>
      </c>
      <c r="L623" s="8">
        <v>1468231</v>
      </c>
    </row>
    <row r="624" spans="1:12" x14ac:dyDescent="0.25">
      <c r="A624" t="s">
        <v>749</v>
      </c>
      <c r="B624" t="s">
        <v>2199</v>
      </c>
      <c r="C624" t="s">
        <v>374</v>
      </c>
      <c r="D624" t="s">
        <v>750</v>
      </c>
      <c r="E624" t="s">
        <v>752</v>
      </c>
      <c r="F624">
        <v>1</v>
      </c>
      <c r="G624" t="s">
        <v>657</v>
      </c>
      <c r="H624" s="1">
        <v>46113</v>
      </c>
      <c r="I624" t="s">
        <v>658</v>
      </c>
      <c r="J624">
        <v>1</v>
      </c>
      <c r="K624" s="1">
        <v>46113</v>
      </c>
      <c r="L624" s="8">
        <v>350000</v>
      </c>
    </row>
    <row r="625" spans="1:12" x14ac:dyDescent="0.25">
      <c r="A625" t="s">
        <v>753</v>
      </c>
      <c r="B625" t="s">
        <v>2199</v>
      </c>
      <c r="C625" t="s">
        <v>374</v>
      </c>
      <c r="D625" t="s">
        <v>754</v>
      </c>
      <c r="E625" t="s">
        <v>359</v>
      </c>
      <c r="F625">
        <v>1</v>
      </c>
      <c r="G625" t="s">
        <v>657</v>
      </c>
      <c r="H625" s="1">
        <v>46082</v>
      </c>
      <c r="I625" t="s">
        <v>658</v>
      </c>
      <c r="J625">
        <v>1</v>
      </c>
      <c r="K625" s="1">
        <v>46082</v>
      </c>
      <c r="L625" s="8">
        <v>1287890</v>
      </c>
    </row>
    <row r="626" spans="1:12" x14ac:dyDescent="0.25">
      <c r="A626" t="s">
        <v>765</v>
      </c>
      <c r="B626" t="s">
        <v>2199</v>
      </c>
      <c r="C626" t="s">
        <v>374</v>
      </c>
      <c r="D626" t="s">
        <v>766</v>
      </c>
      <c r="E626" t="s">
        <v>359</v>
      </c>
      <c r="F626">
        <v>4</v>
      </c>
      <c r="G626" t="s">
        <v>768</v>
      </c>
      <c r="H626" s="1">
        <v>46082</v>
      </c>
      <c r="I626" t="s">
        <v>386</v>
      </c>
      <c r="J626">
        <v>1</v>
      </c>
      <c r="K626" s="1">
        <v>46082</v>
      </c>
      <c r="L626" s="8">
        <v>180435</v>
      </c>
    </row>
    <row r="627" spans="1:12" x14ac:dyDescent="0.25">
      <c r="A627" t="s">
        <v>765</v>
      </c>
      <c r="B627" t="s">
        <v>2199</v>
      </c>
      <c r="C627" t="s">
        <v>374</v>
      </c>
      <c r="D627" t="s">
        <v>766</v>
      </c>
      <c r="E627" t="s">
        <v>771</v>
      </c>
      <c r="F627">
        <v>4</v>
      </c>
      <c r="G627" t="s">
        <v>768</v>
      </c>
      <c r="H627" s="1">
        <v>46082</v>
      </c>
      <c r="I627" t="s">
        <v>386</v>
      </c>
      <c r="J627">
        <v>1</v>
      </c>
      <c r="K627" s="1">
        <v>46082</v>
      </c>
      <c r="L627" s="8">
        <v>27000</v>
      </c>
    </row>
    <row r="628" spans="1:12" x14ac:dyDescent="0.25">
      <c r="A628" t="s">
        <v>765</v>
      </c>
      <c r="B628" t="s">
        <v>2199</v>
      </c>
      <c r="C628" t="s">
        <v>374</v>
      </c>
      <c r="D628" t="s">
        <v>766</v>
      </c>
      <c r="E628" t="s">
        <v>195</v>
      </c>
      <c r="F628">
        <v>4</v>
      </c>
      <c r="G628" t="s">
        <v>768</v>
      </c>
      <c r="H628" s="1">
        <v>46082</v>
      </c>
      <c r="I628" t="s">
        <v>386</v>
      </c>
      <c r="J628">
        <v>1</v>
      </c>
      <c r="K628" s="1">
        <v>46082</v>
      </c>
      <c r="L628" s="8">
        <v>24399</v>
      </c>
    </row>
    <row r="629" spans="1:12" x14ac:dyDescent="0.25">
      <c r="A629" t="s">
        <v>765</v>
      </c>
      <c r="B629" t="s">
        <v>2199</v>
      </c>
      <c r="C629" t="s">
        <v>374</v>
      </c>
      <c r="D629" t="s">
        <v>766</v>
      </c>
      <c r="E629" t="s">
        <v>772</v>
      </c>
      <c r="F629">
        <v>4</v>
      </c>
      <c r="G629" t="s">
        <v>768</v>
      </c>
      <c r="H629" s="1">
        <v>46082</v>
      </c>
      <c r="I629" t="s">
        <v>386</v>
      </c>
      <c r="J629">
        <v>1</v>
      </c>
      <c r="K629" s="1">
        <v>46082</v>
      </c>
      <c r="L629" s="8">
        <v>52000</v>
      </c>
    </row>
    <row r="630" spans="1:12" x14ac:dyDescent="0.25">
      <c r="A630" t="s">
        <v>782</v>
      </c>
      <c r="B630" t="s">
        <v>2199</v>
      </c>
      <c r="C630" t="s">
        <v>374</v>
      </c>
      <c r="D630" t="s">
        <v>784</v>
      </c>
      <c r="E630" t="s">
        <v>359</v>
      </c>
      <c r="F630">
        <v>2</v>
      </c>
      <c r="G630" t="s">
        <v>768</v>
      </c>
      <c r="H630" s="1">
        <v>46023</v>
      </c>
      <c r="I630" t="s">
        <v>386</v>
      </c>
      <c r="J630">
        <v>1</v>
      </c>
      <c r="K630" s="1">
        <v>46023</v>
      </c>
      <c r="L630" s="8">
        <v>118594</v>
      </c>
    </row>
    <row r="631" spans="1:12" x14ac:dyDescent="0.25">
      <c r="A631" t="s">
        <v>782</v>
      </c>
      <c r="B631" t="s">
        <v>2199</v>
      </c>
      <c r="C631" t="s">
        <v>374</v>
      </c>
      <c r="D631" t="s">
        <v>784</v>
      </c>
      <c r="E631" t="s">
        <v>786</v>
      </c>
      <c r="F631">
        <v>2</v>
      </c>
      <c r="G631" t="s">
        <v>768</v>
      </c>
      <c r="H631" s="1">
        <v>46023</v>
      </c>
      <c r="I631" t="s">
        <v>386</v>
      </c>
      <c r="J631">
        <v>1</v>
      </c>
      <c r="K631" s="1">
        <v>46023</v>
      </c>
      <c r="L631" s="8">
        <v>147830</v>
      </c>
    </row>
    <row r="632" spans="1:12" x14ac:dyDescent="0.25">
      <c r="A632" t="s">
        <v>794</v>
      </c>
      <c r="B632" t="s">
        <v>2199</v>
      </c>
      <c r="C632" t="s">
        <v>374</v>
      </c>
      <c r="D632" t="s">
        <v>795</v>
      </c>
      <c r="E632" t="s">
        <v>740</v>
      </c>
      <c r="F632">
        <v>3</v>
      </c>
      <c r="G632" t="s">
        <v>768</v>
      </c>
      <c r="H632" s="1">
        <v>46023</v>
      </c>
      <c r="I632" t="s">
        <v>386</v>
      </c>
      <c r="J632">
        <v>1</v>
      </c>
      <c r="K632" s="1">
        <v>46023</v>
      </c>
      <c r="L632" s="8">
        <v>25200</v>
      </c>
    </row>
    <row r="633" spans="1:12" x14ac:dyDescent="0.25">
      <c r="A633" t="s">
        <v>794</v>
      </c>
      <c r="B633" t="s">
        <v>2199</v>
      </c>
      <c r="C633" t="s">
        <v>374</v>
      </c>
      <c r="D633" t="s">
        <v>795</v>
      </c>
      <c r="E633" t="s">
        <v>798</v>
      </c>
      <c r="F633">
        <v>3</v>
      </c>
      <c r="G633" t="s">
        <v>768</v>
      </c>
      <c r="H633" s="1">
        <v>46023</v>
      </c>
      <c r="I633" t="s">
        <v>386</v>
      </c>
      <c r="J633">
        <v>1</v>
      </c>
      <c r="K633" s="1">
        <v>46023</v>
      </c>
      <c r="L633" s="8">
        <v>13600</v>
      </c>
    </row>
    <row r="634" spans="1:12" x14ac:dyDescent="0.25">
      <c r="A634" t="s">
        <v>794</v>
      </c>
      <c r="B634" t="s">
        <v>2199</v>
      </c>
      <c r="C634" t="s">
        <v>374</v>
      </c>
      <c r="D634" t="s">
        <v>795</v>
      </c>
      <c r="E634" t="s">
        <v>797</v>
      </c>
      <c r="F634">
        <v>3</v>
      </c>
      <c r="G634" t="s">
        <v>768</v>
      </c>
      <c r="H634" s="1">
        <v>46023</v>
      </c>
      <c r="I634" t="s">
        <v>386</v>
      </c>
      <c r="J634">
        <v>1</v>
      </c>
      <c r="K634" s="1">
        <v>46023</v>
      </c>
      <c r="L634" s="8">
        <v>464280</v>
      </c>
    </row>
    <row r="635" spans="1:12" x14ac:dyDescent="0.25">
      <c r="A635" t="s">
        <v>799</v>
      </c>
      <c r="B635" t="s">
        <v>2199</v>
      </c>
      <c r="C635" t="s">
        <v>374</v>
      </c>
      <c r="D635" t="s">
        <v>801</v>
      </c>
      <c r="E635" t="s">
        <v>359</v>
      </c>
      <c r="F635">
        <v>2</v>
      </c>
      <c r="G635" t="s">
        <v>768</v>
      </c>
      <c r="H635" s="1">
        <v>46054</v>
      </c>
      <c r="I635" t="s">
        <v>386</v>
      </c>
      <c r="J635">
        <v>1</v>
      </c>
      <c r="K635" s="1">
        <v>46054</v>
      </c>
      <c r="L635" s="8">
        <v>13052</v>
      </c>
    </row>
    <row r="636" spans="1:12" x14ac:dyDescent="0.25">
      <c r="A636" t="s">
        <v>799</v>
      </c>
      <c r="B636" t="s">
        <v>2199</v>
      </c>
      <c r="C636" t="s">
        <v>374</v>
      </c>
      <c r="D636" t="s">
        <v>801</v>
      </c>
      <c r="E636" t="s">
        <v>786</v>
      </c>
      <c r="F636">
        <v>2</v>
      </c>
      <c r="G636" t="s">
        <v>768</v>
      </c>
      <c r="H636" s="1">
        <v>46054</v>
      </c>
      <c r="I636" t="s">
        <v>386</v>
      </c>
      <c r="J636">
        <v>1</v>
      </c>
      <c r="K636" s="1">
        <v>46054</v>
      </c>
      <c r="L636" s="8">
        <v>72618</v>
      </c>
    </row>
    <row r="637" spans="1:12" x14ac:dyDescent="0.25">
      <c r="A637" t="s">
        <v>822</v>
      </c>
      <c r="B637" t="s">
        <v>2199</v>
      </c>
      <c r="C637" t="s">
        <v>374</v>
      </c>
      <c r="D637" t="s">
        <v>823</v>
      </c>
      <c r="E637" t="s">
        <v>359</v>
      </c>
      <c r="F637">
        <v>3</v>
      </c>
      <c r="G637" t="s">
        <v>768</v>
      </c>
      <c r="H637" s="1">
        <v>46023</v>
      </c>
      <c r="I637" t="s">
        <v>386</v>
      </c>
      <c r="J637">
        <v>1</v>
      </c>
      <c r="K637" s="1">
        <v>46023</v>
      </c>
      <c r="L637" s="8">
        <v>144000</v>
      </c>
    </row>
    <row r="638" spans="1:12" x14ac:dyDescent="0.25">
      <c r="A638" t="s">
        <v>822</v>
      </c>
      <c r="B638" t="s">
        <v>2199</v>
      </c>
      <c r="C638" t="s">
        <v>374</v>
      </c>
      <c r="D638" t="s">
        <v>823</v>
      </c>
      <c r="E638" t="s">
        <v>826</v>
      </c>
      <c r="F638">
        <v>3</v>
      </c>
      <c r="G638" t="s">
        <v>768</v>
      </c>
      <c r="H638" s="1">
        <v>46023</v>
      </c>
      <c r="I638" t="s">
        <v>386</v>
      </c>
      <c r="J638">
        <v>1</v>
      </c>
      <c r="K638" s="1">
        <v>46023</v>
      </c>
      <c r="L638" s="8">
        <v>116012</v>
      </c>
    </row>
    <row r="639" spans="1:12" x14ac:dyDescent="0.25">
      <c r="A639" t="s">
        <v>822</v>
      </c>
      <c r="B639" t="s">
        <v>2199</v>
      </c>
      <c r="C639" t="s">
        <v>374</v>
      </c>
      <c r="D639" t="s">
        <v>823</v>
      </c>
      <c r="E639" t="s">
        <v>825</v>
      </c>
      <c r="F639">
        <v>3</v>
      </c>
      <c r="G639" t="s">
        <v>768</v>
      </c>
      <c r="H639" s="1">
        <v>46023</v>
      </c>
      <c r="I639" t="s">
        <v>386</v>
      </c>
      <c r="J639">
        <v>1</v>
      </c>
      <c r="K639" s="1">
        <v>46023</v>
      </c>
      <c r="L639" s="8">
        <v>190000</v>
      </c>
    </row>
    <row r="640" spans="1:12" x14ac:dyDescent="0.25">
      <c r="A640" t="s">
        <v>841</v>
      </c>
      <c r="B640" t="s">
        <v>2199</v>
      </c>
      <c r="C640" t="s">
        <v>374</v>
      </c>
      <c r="D640" t="s">
        <v>843</v>
      </c>
      <c r="E640" t="s">
        <v>846</v>
      </c>
      <c r="F640">
        <v>2</v>
      </c>
      <c r="G640" t="s">
        <v>768</v>
      </c>
      <c r="H640" s="1">
        <v>46023</v>
      </c>
      <c r="I640" t="s">
        <v>386</v>
      </c>
      <c r="J640">
        <v>1</v>
      </c>
      <c r="K640" s="1">
        <v>46023</v>
      </c>
      <c r="L640" s="8">
        <v>45000</v>
      </c>
    </row>
    <row r="641" spans="1:12" x14ac:dyDescent="0.25">
      <c r="A641" t="s">
        <v>841</v>
      </c>
      <c r="B641" t="s">
        <v>2199</v>
      </c>
      <c r="C641" t="s">
        <v>374</v>
      </c>
      <c r="D641" t="s">
        <v>843</v>
      </c>
      <c r="E641" t="s">
        <v>845</v>
      </c>
      <c r="F641">
        <v>2</v>
      </c>
      <c r="G641" t="s">
        <v>768</v>
      </c>
      <c r="H641" s="1">
        <v>46023</v>
      </c>
      <c r="I641" t="s">
        <v>386</v>
      </c>
      <c r="J641">
        <v>1</v>
      </c>
      <c r="K641" s="1">
        <v>46023</v>
      </c>
      <c r="L641" s="8">
        <v>105000</v>
      </c>
    </row>
    <row r="642" spans="1:12" x14ac:dyDescent="0.25">
      <c r="A642" t="s">
        <v>847</v>
      </c>
      <c r="B642" t="s">
        <v>2199</v>
      </c>
      <c r="C642" t="s">
        <v>374</v>
      </c>
      <c r="D642" t="s">
        <v>848</v>
      </c>
      <c r="E642" t="s">
        <v>359</v>
      </c>
      <c r="F642">
        <v>2</v>
      </c>
      <c r="G642" t="s">
        <v>768</v>
      </c>
      <c r="H642" s="1">
        <v>46204</v>
      </c>
      <c r="I642" t="s">
        <v>386</v>
      </c>
      <c r="J642">
        <v>1</v>
      </c>
      <c r="K642" s="1">
        <v>46204</v>
      </c>
      <c r="L642" s="8">
        <v>37792</v>
      </c>
    </row>
    <row r="643" spans="1:12" x14ac:dyDescent="0.25">
      <c r="A643" t="s">
        <v>847</v>
      </c>
      <c r="B643" t="s">
        <v>2199</v>
      </c>
      <c r="C643" t="s">
        <v>374</v>
      </c>
      <c r="D643" t="s">
        <v>848</v>
      </c>
      <c r="E643" t="s">
        <v>850</v>
      </c>
      <c r="F643">
        <v>2</v>
      </c>
      <c r="G643" t="s">
        <v>768</v>
      </c>
      <c r="H643" s="1">
        <v>46204</v>
      </c>
      <c r="I643" t="s">
        <v>386</v>
      </c>
      <c r="J643">
        <v>1</v>
      </c>
      <c r="K643" s="1">
        <v>46204</v>
      </c>
      <c r="L643" s="8">
        <v>35001</v>
      </c>
    </row>
    <row r="644" spans="1:12" x14ac:dyDescent="0.25">
      <c r="A644" t="s">
        <v>851</v>
      </c>
      <c r="B644" t="s">
        <v>2199</v>
      </c>
      <c r="C644" t="s">
        <v>374</v>
      </c>
      <c r="D644" t="s">
        <v>852</v>
      </c>
      <c r="E644" t="s">
        <v>854</v>
      </c>
      <c r="F644">
        <v>3</v>
      </c>
      <c r="G644" t="s">
        <v>768</v>
      </c>
      <c r="H644" s="1">
        <v>46235</v>
      </c>
      <c r="I644" t="s">
        <v>386</v>
      </c>
      <c r="J644">
        <v>1</v>
      </c>
      <c r="K644" s="1">
        <v>46235</v>
      </c>
      <c r="L644" s="8">
        <v>74022</v>
      </c>
    </row>
    <row r="645" spans="1:12" x14ac:dyDescent="0.25">
      <c r="A645" t="s">
        <v>851</v>
      </c>
      <c r="B645" t="s">
        <v>2199</v>
      </c>
      <c r="C645" t="s">
        <v>374</v>
      </c>
      <c r="D645" t="s">
        <v>852</v>
      </c>
      <c r="E645" t="s">
        <v>855</v>
      </c>
      <c r="F645">
        <v>3</v>
      </c>
      <c r="G645" t="s">
        <v>768</v>
      </c>
      <c r="H645" s="1">
        <v>46235</v>
      </c>
      <c r="I645" t="s">
        <v>386</v>
      </c>
      <c r="J645">
        <v>1</v>
      </c>
      <c r="K645" s="1">
        <v>46235</v>
      </c>
      <c r="L645" s="8">
        <v>15000</v>
      </c>
    </row>
    <row r="646" spans="1:12" x14ac:dyDescent="0.25">
      <c r="A646" t="s">
        <v>851</v>
      </c>
      <c r="B646" t="s">
        <v>2199</v>
      </c>
      <c r="C646" t="s">
        <v>374</v>
      </c>
      <c r="D646" t="s">
        <v>852</v>
      </c>
      <c r="E646" t="s">
        <v>602</v>
      </c>
      <c r="F646">
        <v>3</v>
      </c>
      <c r="G646" t="s">
        <v>768</v>
      </c>
      <c r="H646" s="1">
        <v>46235</v>
      </c>
      <c r="I646" t="s">
        <v>386</v>
      </c>
      <c r="J646">
        <v>1</v>
      </c>
      <c r="K646" s="1">
        <v>46235</v>
      </c>
      <c r="L646" s="8">
        <v>500000</v>
      </c>
    </row>
    <row r="647" spans="1:12" x14ac:dyDescent="0.25">
      <c r="A647" t="s">
        <v>856</v>
      </c>
      <c r="B647" t="s">
        <v>2199</v>
      </c>
      <c r="C647" t="s">
        <v>374</v>
      </c>
      <c r="D647" t="s">
        <v>857</v>
      </c>
      <c r="E647" t="s">
        <v>859</v>
      </c>
      <c r="F647">
        <v>1</v>
      </c>
      <c r="G647" t="s">
        <v>768</v>
      </c>
      <c r="H647" s="1">
        <v>46082</v>
      </c>
      <c r="I647" t="s">
        <v>386</v>
      </c>
      <c r="J647">
        <v>1</v>
      </c>
      <c r="K647" s="1">
        <v>46082</v>
      </c>
      <c r="L647" s="8">
        <v>300000</v>
      </c>
    </row>
    <row r="648" spans="1:12" x14ac:dyDescent="0.25">
      <c r="A648" t="s">
        <v>915</v>
      </c>
      <c r="B648" t="s">
        <v>2199</v>
      </c>
      <c r="C648" t="s">
        <v>374</v>
      </c>
      <c r="D648" t="s">
        <v>916</v>
      </c>
      <c r="E648" t="s">
        <v>359</v>
      </c>
      <c r="F648">
        <v>4</v>
      </c>
      <c r="G648" t="s">
        <v>768</v>
      </c>
      <c r="H648" s="1">
        <v>46327</v>
      </c>
      <c r="I648" t="s">
        <v>386</v>
      </c>
      <c r="J648">
        <v>1</v>
      </c>
      <c r="K648" s="1">
        <v>46327</v>
      </c>
      <c r="L648" s="8">
        <v>85250</v>
      </c>
    </row>
    <row r="649" spans="1:12" x14ac:dyDescent="0.25">
      <c r="A649" t="s">
        <v>915</v>
      </c>
      <c r="B649" t="s">
        <v>2199</v>
      </c>
      <c r="C649" t="s">
        <v>374</v>
      </c>
      <c r="D649" t="s">
        <v>916</v>
      </c>
      <c r="E649" t="s">
        <v>918</v>
      </c>
      <c r="F649">
        <v>4</v>
      </c>
      <c r="G649" t="s">
        <v>768</v>
      </c>
      <c r="H649" s="1">
        <v>46327</v>
      </c>
      <c r="I649" t="s">
        <v>386</v>
      </c>
      <c r="J649">
        <v>1</v>
      </c>
      <c r="K649" s="1">
        <v>46327</v>
      </c>
      <c r="L649" s="8">
        <v>23700</v>
      </c>
    </row>
    <row r="650" spans="1:12" x14ac:dyDescent="0.25">
      <c r="A650" t="s">
        <v>915</v>
      </c>
      <c r="B650" t="s">
        <v>2199</v>
      </c>
      <c r="C650" t="s">
        <v>374</v>
      </c>
      <c r="D650" t="s">
        <v>916</v>
      </c>
      <c r="E650" t="s">
        <v>786</v>
      </c>
      <c r="F650">
        <v>4</v>
      </c>
      <c r="G650" t="s">
        <v>768</v>
      </c>
      <c r="H650" s="1">
        <v>46327</v>
      </c>
      <c r="I650" t="s">
        <v>386</v>
      </c>
      <c r="J650">
        <v>1</v>
      </c>
      <c r="K650" s="1">
        <v>46327</v>
      </c>
      <c r="L650" s="8">
        <v>40920</v>
      </c>
    </row>
    <row r="651" spans="1:12" x14ac:dyDescent="0.25">
      <c r="A651" t="s">
        <v>915</v>
      </c>
      <c r="B651" t="s">
        <v>2199</v>
      </c>
      <c r="C651" t="s">
        <v>374</v>
      </c>
      <c r="D651" t="s">
        <v>916</v>
      </c>
      <c r="E651" t="s">
        <v>602</v>
      </c>
      <c r="F651">
        <v>4</v>
      </c>
      <c r="G651" t="s">
        <v>768</v>
      </c>
      <c r="H651" s="1">
        <v>46327</v>
      </c>
      <c r="I651" t="s">
        <v>386</v>
      </c>
      <c r="J651">
        <v>1</v>
      </c>
      <c r="K651" s="1">
        <v>46327</v>
      </c>
      <c r="L651" s="8">
        <v>250000</v>
      </c>
    </row>
    <row r="652" spans="1:12" x14ac:dyDescent="0.25">
      <c r="A652" t="s">
        <v>919</v>
      </c>
      <c r="B652" t="s">
        <v>2199</v>
      </c>
      <c r="C652" t="s">
        <v>374</v>
      </c>
      <c r="D652" t="s">
        <v>920</v>
      </c>
      <c r="E652" t="s">
        <v>786</v>
      </c>
      <c r="F652">
        <v>1</v>
      </c>
      <c r="G652" t="s">
        <v>768</v>
      </c>
      <c r="H652" s="1">
        <v>46023</v>
      </c>
      <c r="I652" t="s">
        <v>386</v>
      </c>
      <c r="J652">
        <v>1</v>
      </c>
      <c r="K652" s="1">
        <v>46023</v>
      </c>
      <c r="L652" s="8">
        <v>159016</v>
      </c>
    </row>
    <row r="653" spans="1:12" x14ac:dyDescent="0.25">
      <c r="A653" t="s">
        <v>927</v>
      </c>
      <c r="B653" t="s">
        <v>2199</v>
      </c>
      <c r="C653" t="s">
        <v>374</v>
      </c>
      <c r="D653" t="s">
        <v>928</v>
      </c>
      <c r="E653" t="s">
        <v>359</v>
      </c>
      <c r="F653">
        <v>3</v>
      </c>
      <c r="G653" t="s">
        <v>768</v>
      </c>
      <c r="H653" s="1">
        <v>46054</v>
      </c>
      <c r="I653" t="s">
        <v>386</v>
      </c>
      <c r="J653">
        <v>1</v>
      </c>
      <c r="K653" s="1">
        <v>46054</v>
      </c>
      <c r="L653" s="8">
        <v>392191</v>
      </c>
    </row>
    <row r="654" spans="1:12" x14ac:dyDescent="0.25">
      <c r="A654" t="s">
        <v>927</v>
      </c>
      <c r="B654" t="s">
        <v>2199</v>
      </c>
      <c r="C654" t="s">
        <v>374</v>
      </c>
      <c r="D654" t="s">
        <v>928</v>
      </c>
      <c r="E654" t="s">
        <v>855</v>
      </c>
      <c r="F654">
        <v>3</v>
      </c>
      <c r="G654" t="s">
        <v>768</v>
      </c>
      <c r="H654" s="1">
        <v>46054</v>
      </c>
      <c r="I654" t="s">
        <v>386</v>
      </c>
      <c r="J654">
        <v>1</v>
      </c>
      <c r="K654" s="1">
        <v>46054</v>
      </c>
      <c r="L654" s="8">
        <v>39600</v>
      </c>
    </row>
    <row r="655" spans="1:12" x14ac:dyDescent="0.25">
      <c r="A655" t="s">
        <v>927</v>
      </c>
      <c r="B655" t="s">
        <v>2199</v>
      </c>
      <c r="C655" t="s">
        <v>374</v>
      </c>
      <c r="D655" t="s">
        <v>928</v>
      </c>
      <c r="E655" t="s">
        <v>602</v>
      </c>
      <c r="F655">
        <v>3</v>
      </c>
      <c r="G655" t="s">
        <v>768</v>
      </c>
      <c r="H655" s="1">
        <v>46054</v>
      </c>
      <c r="I655" t="s">
        <v>386</v>
      </c>
      <c r="J655">
        <v>1</v>
      </c>
      <c r="K655" s="1">
        <v>46054</v>
      </c>
      <c r="L655" s="8">
        <v>700000</v>
      </c>
    </row>
    <row r="656" spans="1:12" x14ac:dyDescent="0.25">
      <c r="A656" t="s">
        <v>1030</v>
      </c>
      <c r="B656" t="s">
        <v>2199</v>
      </c>
      <c r="C656" t="s">
        <v>374</v>
      </c>
      <c r="D656" t="s">
        <v>1032</v>
      </c>
      <c r="E656" t="s">
        <v>359</v>
      </c>
      <c r="F656">
        <v>2</v>
      </c>
      <c r="G656" t="s">
        <v>1035</v>
      </c>
      <c r="H656" s="1">
        <v>46082</v>
      </c>
      <c r="I656" t="s">
        <v>1036</v>
      </c>
      <c r="J656">
        <v>1</v>
      </c>
      <c r="K656" s="1">
        <v>46082</v>
      </c>
      <c r="L656" s="8">
        <v>9200000</v>
      </c>
    </row>
    <row r="657" spans="1:12" x14ac:dyDescent="0.25">
      <c r="A657" t="s">
        <v>1030</v>
      </c>
      <c r="B657" t="s">
        <v>2199</v>
      </c>
      <c r="C657" t="s">
        <v>374</v>
      </c>
      <c r="D657" t="s">
        <v>1032</v>
      </c>
      <c r="E657" t="s">
        <v>1034</v>
      </c>
      <c r="F657">
        <v>2</v>
      </c>
      <c r="G657" t="s">
        <v>1035</v>
      </c>
      <c r="H657" s="1">
        <v>46082</v>
      </c>
      <c r="I657" t="s">
        <v>1036</v>
      </c>
      <c r="J657">
        <v>1</v>
      </c>
      <c r="K657" s="1">
        <v>46082</v>
      </c>
      <c r="L657" s="8">
        <v>21200000</v>
      </c>
    </row>
    <row r="658" spans="1:12" x14ac:dyDescent="0.25">
      <c r="A658" t="s">
        <v>1052</v>
      </c>
      <c r="B658" t="s">
        <v>2199</v>
      </c>
      <c r="C658" t="s">
        <v>374</v>
      </c>
      <c r="D658" t="s">
        <v>1053</v>
      </c>
      <c r="E658" t="s">
        <v>359</v>
      </c>
      <c r="F658">
        <v>2</v>
      </c>
      <c r="G658" t="s">
        <v>768</v>
      </c>
      <c r="H658" s="1">
        <v>46082</v>
      </c>
      <c r="I658" t="s">
        <v>386</v>
      </c>
      <c r="J658">
        <v>1</v>
      </c>
      <c r="K658" s="1">
        <v>46082</v>
      </c>
      <c r="L658" s="8">
        <v>176460</v>
      </c>
    </row>
    <row r="659" spans="1:12" x14ac:dyDescent="0.25">
      <c r="A659" t="s">
        <v>1052</v>
      </c>
      <c r="B659" t="s">
        <v>2199</v>
      </c>
      <c r="C659" t="s">
        <v>374</v>
      </c>
      <c r="D659" t="s">
        <v>1053</v>
      </c>
      <c r="E659" t="s">
        <v>855</v>
      </c>
      <c r="F659">
        <v>2</v>
      </c>
      <c r="G659" t="s">
        <v>768</v>
      </c>
      <c r="H659" s="1">
        <v>46082</v>
      </c>
      <c r="I659" t="s">
        <v>386</v>
      </c>
      <c r="J659">
        <v>1</v>
      </c>
      <c r="K659" s="1">
        <v>46082</v>
      </c>
      <c r="L659" s="8">
        <v>35400</v>
      </c>
    </row>
    <row r="660" spans="1:12" x14ac:dyDescent="0.25">
      <c r="A660" t="s">
        <v>1055</v>
      </c>
      <c r="B660" t="s">
        <v>2199</v>
      </c>
      <c r="C660" t="s">
        <v>374</v>
      </c>
      <c r="D660" t="s">
        <v>1056</v>
      </c>
      <c r="E660" t="s">
        <v>359</v>
      </c>
      <c r="F660">
        <v>4</v>
      </c>
      <c r="G660" t="s">
        <v>768</v>
      </c>
      <c r="H660" s="1">
        <v>46082</v>
      </c>
      <c r="I660" t="s">
        <v>386</v>
      </c>
      <c r="J660">
        <v>1</v>
      </c>
      <c r="K660" s="1">
        <v>46082</v>
      </c>
      <c r="L660" s="8">
        <v>176460</v>
      </c>
    </row>
    <row r="661" spans="1:12" x14ac:dyDescent="0.25">
      <c r="A661" t="s">
        <v>1055</v>
      </c>
      <c r="B661" t="s">
        <v>2199</v>
      </c>
      <c r="C661" t="s">
        <v>374</v>
      </c>
      <c r="D661" t="s">
        <v>1056</v>
      </c>
      <c r="E661" t="s">
        <v>486</v>
      </c>
      <c r="F661">
        <v>4</v>
      </c>
      <c r="G661" t="s">
        <v>768</v>
      </c>
      <c r="H661" s="1">
        <v>46082</v>
      </c>
      <c r="I661" t="s">
        <v>386</v>
      </c>
      <c r="J661">
        <v>1</v>
      </c>
      <c r="K661" s="1">
        <v>46082</v>
      </c>
      <c r="L661" s="8">
        <v>15000</v>
      </c>
    </row>
    <row r="662" spans="1:12" x14ac:dyDescent="0.25">
      <c r="A662" t="s">
        <v>1055</v>
      </c>
      <c r="B662" t="s">
        <v>2199</v>
      </c>
      <c r="C662" t="s">
        <v>374</v>
      </c>
      <c r="D662" t="s">
        <v>1056</v>
      </c>
      <c r="E662" t="s">
        <v>855</v>
      </c>
      <c r="F662">
        <v>4</v>
      </c>
      <c r="G662" t="s">
        <v>768</v>
      </c>
      <c r="H662" s="1">
        <v>46082</v>
      </c>
      <c r="I662" t="s">
        <v>386</v>
      </c>
      <c r="J662">
        <v>1</v>
      </c>
      <c r="K662" s="1">
        <v>46082</v>
      </c>
      <c r="L662" s="8">
        <v>20400</v>
      </c>
    </row>
    <row r="663" spans="1:12" x14ac:dyDescent="0.25">
      <c r="A663" t="s">
        <v>1055</v>
      </c>
      <c r="B663" t="s">
        <v>2199</v>
      </c>
      <c r="C663" t="s">
        <v>374</v>
      </c>
      <c r="D663" t="s">
        <v>1056</v>
      </c>
      <c r="E663" t="s">
        <v>1058</v>
      </c>
      <c r="F663">
        <v>4</v>
      </c>
      <c r="G663" t="s">
        <v>768</v>
      </c>
      <c r="H663" s="1">
        <v>46082</v>
      </c>
      <c r="I663" t="s">
        <v>386</v>
      </c>
      <c r="J663">
        <v>1</v>
      </c>
      <c r="K663" s="1">
        <v>46082</v>
      </c>
      <c r="L663" s="8">
        <v>52000</v>
      </c>
    </row>
    <row r="664" spans="1:12" x14ac:dyDescent="0.25">
      <c r="A664" t="s">
        <v>1066</v>
      </c>
      <c r="B664" t="s">
        <v>2199</v>
      </c>
      <c r="C664" t="s">
        <v>374</v>
      </c>
      <c r="D664" t="s">
        <v>1067</v>
      </c>
      <c r="E664" t="s">
        <v>486</v>
      </c>
      <c r="F664">
        <v>2</v>
      </c>
      <c r="G664" t="s">
        <v>790</v>
      </c>
      <c r="H664" s="1">
        <v>46266</v>
      </c>
      <c r="I664" t="s">
        <v>791</v>
      </c>
      <c r="J664">
        <v>1</v>
      </c>
      <c r="K664" s="1">
        <v>46296</v>
      </c>
      <c r="L664" s="8">
        <v>250000</v>
      </c>
    </row>
    <row r="665" spans="1:12" x14ac:dyDescent="0.25">
      <c r="A665" t="s">
        <v>1066</v>
      </c>
      <c r="B665" t="s">
        <v>2199</v>
      </c>
      <c r="C665" t="s">
        <v>374</v>
      </c>
      <c r="D665" t="s">
        <v>1067</v>
      </c>
      <c r="E665" t="s">
        <v>602</v>
      </c>
      <c r="F665">
        <v>2</v>
      </c>
      <c r="G665" t="s">
        <v>790</v>
      </c>
      <c r="H665" s="1">
        <v>46296</v>
      </c>
      <c r="I665" t="s">
        <v>791</v>
      </c>
      <c r="J665">
        <v>1</v>
      </c>
      <c r="K665" s="1">
        <v>46296</v>
      </c>
      <c r="L665" s="8">
        <v>1500000</v>
      </c>
    </row>
    <row r="666" spans="1:12" x14ac:dyDescent="0.25">
      <c r="A666" t="s">
        <v>1143</v>
      </c>
      <c r="B666" t="s">
        <v>2199</v>
      </c>
      <c r="C666" t="s">
        <v>374</v>
      </c>
      <c r="D666" t="s">
        <v>1144</v>
      </c>
      <c r="E666" t="s">
        <v>359</v>
      </c>
      <c r="F666">
        <v>4</v>
      </c>
      <c r="G666" t="s">
        <v>768</v>
      </c>
      <c r="H666" s="1">
        <v>46235</v>
      </c>
      <c r="I666" t="s">
        <v>386</v>
      </c>
      <c r="J666">
        <v>1</v>
      </c>
      <c r="K666" s="1">
        <v>46235</v>
      </c>
      <c r="L666" s="8">
        <v>89504</v>
      </c>
    </row>
    <row r="667" spans="1:12" x14ac:dyDescent="0.25">
      <c r="A667" t="s">
        <v>1143</v>
      </c>
      <c r="B667" t="s">
        <v>2199</v>
      </c>
      <c r="C667" t="s">
        <v>374</v>
      </c>
      <c r="D667" t="s">
        <v>1144</v>
      </c>
      <c r="E667" t="s">
        <v>1148</v>
      </c>
      <c r="F667">
        <v>4</v>
      </c>
      <c r="G667" t="s">
        <v>768</v>
      </c>
      <c r="H667" s="1">
        <v>46235</v>
      </c>
      <c r="I667" t="s">
        <v>386</v>
      </c>
      <c r="J667">
        <v>1</v>
      </c>
      <c r="K667" s="1">
        <v>46235</v>
      </c>
      <c r="L667" s="8">
        <v>110000</v>
      </c>
    </row>
    <row r="668" spans="1:12" x14ac:dyDescent="0.25">
      <c r="A668" t="s">
        <v>1143</v>
      </c>
      <c r="B668" t="s">
        <v>2199</v>
      </c>
      <c r="C668" t="s">
        <v>374</v>
      </c>
      <c r="D668" t="s">
        <v>1144</v>
      </c>
      <c r="E668" t="s">
        <v>1147</v>
      </c>
      <c r="F668">
        <v>4</v>
      </c>
      <c r="G668" t="s">
        <v>768</v>
      </c>
      <c r="H668" s="1">
        <v>46235</v>
      </c>
      <c r="I668" t="s">
        <v>386</v>
      </c>
      <c r="J668">
        <v>1</v>
      </c>
      <c r="K668" s="1">
        <v>46235</v>
      </c>
      <c r="L668" s="8">
        <v>25000</v>
      </c>
    </row>
    <row r="669" spans="1:12" x14ac:dyDescent="0.25">
      <c r="A669" t="s">
        <v>1143</v>
      </c>
      <c r="B669" t="s">
        <v>2199</v>
      </c>
      <c r="C669" t="s">
        <v>374</v>
      </c>
      <c r="D669" t="s">
        <v>1144</v>
      </c>
      <c r="E669" t="s">
        <v>1146</v>
      </c>
      <c r="F669">
        <v>4</v>
      </c>
      <c r="G669" t="s">
        <v>768</v>
      </c>
      <c r="H669" s="1">
        <v>46235</v>
      </c>
      <c r="I669" t="s">
        <v>386</v>
      </c>
      <c r="J669">
        <v>1</v>
      </c>
      <c r="K669" s="1">
        <v>46235</v>
      </c>
      <c r="L669" s="8">
        <v>25000</v>
      </c>
    </row>
    <row r="670" spans="1:12" x14ac:dyDescent="0.25">
      <c r="A670" t="s">
        <v>1149</v>
      </c>
      <c r="B670" t="s">
        <v>2199</v>
      </c>
      <c r="C670" t="s">
        <v>374</v>
      </c>
      <c r="D670" t="s">
        <v>1150</v>
      </c>
      <c r="E670" t="s">
        <v>831</v>
      </c>
      <c r="F670">
        <v>3</v>
      </c>
      <c r="G670" t="s">
        <v>1152</v>
      </c>
      <c r="H670" s="1">
        <v>46113</v>
      </c>
      <c r="I670" t="s">
        <v>1153</v>
      </c>
      <c r="J670">
        <v>1</v>
      </c>
      <c r="K670" s="1">
        <v>46113</v>
      </c>
      <c r="L670" s="8">
        <v>50000</v>
      </c>
    </row>
    <row r="671" spans="1:12" x14ac:dyDescent="0.25">
      <c r="A671" t="s">
        <v>1149</v>
      </c>
      <c r="B671" t="s">
        <v>2199</v>
      </c>
      <c r="C671" t="s">
        <v>374</v>
      </c>
      <c r="D671" t="s">
        <v>1150</v>
      </c>
      <c r="E671" t="s">
        <v>486</v>
      </c>
      <c r="F671">
        <v>3</v>
      </c>
      <c r="G671" t="s">
        <v>1152</v>
      </c>
      <c r="H671" s="1">
        <v>46113</v>
      </c>
      <c r="I671" t="s">
        <v>1153</v>
      </c>
      <c r="J671">
        <v>1</v>
      </c>
      <c r="K671" s="1">
        <v>46113</v>
      </c>
      <c r="L671" s="8">
        <v>352240</v>
      </c>
    </row>
    <row r="672" spans="1:12" x14ac:dyDescent="0.25">
      <c r="A672" t="s">
        <v>1149</v>
      </c>
      <c r="B672" t="s">
        <v>2199</v>
      </c>
      <c r="C672" t="s">
        <v>374</v>
      </c>
      <c r="D672" t="s">
        <v>1150</v>
      </c>
      <c r="E672" t="s">
        <v>602</v>
      </c>
      <c r="F672">
        <v>3</v>
      </c>
      <c r="G672" t="s">
        <v>1152</v>
      </c>
      <c r="H672" s="1">
        <v>46113</v>
      </c>
      <c r="I672" t="s">
        <v>1153</v>
      </c>
      <c r="J672">
        <v>1</v>
      </c>
      <c r="K672" s="1">
        <v>46113</v>
      </c>
      <c r="L672" s="8">
        <v>270000</v>
      </c>
    </row>
    <row r="673" spans="1:12" x14ac:dyDescent="0.25">
      <c r="A673" t="s">
        <v>1171</v>
      </c>
      <c r="B673" t="s">
        <v>2199</v>
      </c>
      <c r="C673" t="s">
        <v>374</v>
      </c>
      <c r="D673" t="s">
        <v>1172</v>
      </c>
      <c r="E673" t="s">
        <v>780</v>
      </c>
      <c r="F673">
        <v>4</v>
      </c>
      <c r="G673" t="s">
        <v>1152</v>
      </c>
      <c r="H673" s="1">
        <v>46174</v>
      </c>
      <c r="I673" t="s">
        <v>1153</v>
      </c>
      <c r="J673">
        <v>1</v>
      </c>
      <c r="K673" s="1">
        <v>46174</v>
      </c>
      <c r="L673" s="8">
        <v>50000</v>
      </c>
    </row>
    <row r="674" spans="1:12" x14ac:dyDescent="0.25">
      <c r="A674" t="s">
        <v>1171</v>
      </c>
      <c r="B674" t="s">
        <v>2199</v>
      </c>
      <c r="C674" t="s">
        <v>374</v>
      </c>
      <c r="D674" t="s">
        <v>1172</v>
      </c>
      <c r="E674" t="s">
        <v>1175</v>
      </c>
      <c r="F674">
        <v>4</v>
      </c>
      <c r="G674" t="s">
        <v>1152</v>
      </c>
      <c r="H674" s="1">
        <v>46174</v>
      </c>
      <c r="I674" t="s">
        <v>1153</v>
      </c>
      <c r="J674">
        <v>1</v>
      </c>
      <c r="K674" s="1">
        <v>46174</v>
      </c>
      <c r="L674" s="8">
        <v>580665</v>
      </c>
    </row>
    <row r="675" spans="1:12" x14ac:dyDescent="0.25">
      <c r="A675" t="s">
        <v>1171</v>
      </c>
      <c r="B675" t="s">
        <v>2199</v>
      </c>
      <c r="C675" t="s">
        <v>374</v>
      </c>
      <c r="D675" t="s">
        <v>1172</v>
      </c>
      <c r="E675" t="s">
        <v>1174</v>
      </c>
      <c r="F675">
        <v>4</v>
      </c>
      <c r="G675" t="s">
        <v>1152</v>
      </c>
      <c r="H675" s="1">
        <v>46174</v>
      </c>
      <c r="I675" t="s">
        <v>1153</v>
      </c>
      <c r="J675">
        <v>1</v>
      </c>
      <c r="K675" s="1">
        <v>46174</v>
      </c>
      <c r="L675" s="8">
        <v>994896</v>
      </c>
    </row>
    <row r="676" spans="1:12" x14ac:dyDescent="0.25">
      <c r="A676" t="s">
        <v>1171</v>
      </c>
      <c r="B676" t="s">
        <v>2199</v>
      </c>
      <c r="C676" t="s">
        <v>374</v>
      </c>
      <c r="D676" t="s">
        <v>1172</v>
      </c>
      <c r="E676" t="s">
        <v>874</v>
      </c>
      <c r="F676">
        <v>4</v>
      </c>
      <c r="G676" t="s">
        <v>1152</v>
      </c>
      <c r="H676" s="1">
        <v>46174</v>
      </c>
      <c r="I676" t="s">
        <v>1153</v>
      </c>
      <c r="J676">
        <v>1</v>
      </c>
      <c r="K676" s="1">
        <v>46174</v>
      </c>
      <c r="L676" s="8">
        <v>1350000</v>
      </c>
    </row>
    <row r="677" spans="1:12" x14ac:dyDescent="0.25">
      <c r="A677" t="s">
        <v>1193</v>
      </c>
      <c r="B677" t="s">
        <v>2199</v>
      </c>
      <c r="C677" t="s">
        <v>374</v>
      </c>
      <c r="D677" t="s">
        <v>1194</v>
      </c>
      <c r="E677" t="s">
        <v>602</v>
      </c>
      <c r="F677">
        <v>2</v>
      </c>
      <c r="G677" t="s">
        <v>733</v>
      </c>
      <c r="H677" s="1">
        <v>46204</v>
      </c>
      <c r="I677" t="s">
        <v>734</v>
      </c>
      <c r="J677">
        <v>1</v>
      </c>
      <c r="K677" s="1">
        <v>46204</v>
      </c>
      <c r="L677" s="8">
        <v>750000</v>
      </c>
    </row>
    <row r="678" spans="1:12" x14ac:dyDescent="0.25">
      <c r="A678" t="s">
        <v>1193</v>
      </c>
      <c r="B678" t="s">
        <v>2199</v>
      </c>
      <c r="C678" t="s">
        <v>374</v>
      </c>
      <c r="D678" t="s">
        <v>1194</v>
      </c>
      <c r="E678" t="s">
        <v>602</v>
      </c>
      <c r="F678">
        <v>2</v>
      </c>
      <c r="G678" t="s">
        <v>733</v>
      </c>
      <c r="H678" s="1">
        <v>46296</v>
      </c>
      <c r="I678" t="s">
        <v>734</v>
      </c>
      <c r="J678">
        <v>1</v>
      </c>
      <c r="K678" s="1">
        <v>46296</v>
      </c>
      <c r="L678" s="8">
        <v>750000</v>
      </c>
    </row>
    <row r="679" spans="1:12" x14ac:dyDescent="0.25">
      <c r="A679" t="s">
        <v>1264</v>
      </c>
      <c r="B679" t="s">
        <v>2199</v>
      </c>
      <c r="C679" t="s">
        <v>374</v>
      </c>
      <c r="D679" t="s">
        <v>1266</v>
      </c>
      <c r="E679" t="s">
        <v>1268</v>
      </c>
      <c r="F679">
        <v>3</v>
      </c>
      <c r="G679" t="s">
        <v>768</v>
      </c>
      <c r="H679" s="1">
        <v>46082</v>
      </c>
      <c r="I679" t="s">
        <v>386</v>
      </c>
      <c r="J679">
        <v>1</v>
      </c>
      <c r="K679" s="1">
        <v>46082</v>
      </c>
      <c r="L679" s="8">
        <v>15600</v>
      </c>
    </row>
    <row r="680" spans="1:12" x14ac:dyDescent="0.25">
      <c r="A680" t="s">
        <v>1264</v>
      </c>
      <c r="B680" t="s">
        <v>2199</v>
      </c>
      <c r="C680" t="s">
        <v>374</v>
      </c>
      <c r="D680" t="s">
        <v>1266</v>
      </c>
      <c r="E680" t="s">
        <v>786</v>
      </c>
      <c r="F680">
        <v>3</v>
      </c>
      <c r="G680" t="s">
        <v>768</v>
      </c>
      <c r="H680" s="1">
        <v>46082</v>
      </c>
      <c r="I680" t="s">
        <v>386</v>
      </c>
      <c r="J680">
        <v>1</v>
      </c>
      <c r="K680" s="1">
        <v>46082</v>
      </c>
      <c r="L680" s="8">
        <v>245531</v>
      </c>
    </row>
    <row r="681" spans="1:12" x14ac:dyDescent="0.25">
      <c r="A681" t="s">
        <v>1264</v>
      </c>
      <c r="B681" t="s">
        <v>2199</v>
      </c>
      <c r="C681" t="s">
        <v>374</v>
      </c>
      <c r="D681" t="s">
        <v>1266</v>
      </c>
      <c r="E681" t="s">
        <v>772</v>
      </c>
      <c r="F681">
        <v>3</v>
      </c>
      <c r="G681" t="s">
        <v>768</v>
      </c>
      <c r="H681" s="1">
        <v>46082</v>
      </c>
      <c r="I681" t="s">
        <v>386</v>
      </c>
      <c r="J681">
        <v>1</v>
      </c>
      <c r="K681" s="1">
        <v>46082</v>
      </c>
      <c r="L681" s="8">
        <v>16000</v>
      </c>
    </row>
    <row r="682" spans="1:12" x14ac:dyDescent="0.25">
      <c r="A682" t="s">
        <v>1280</v>
      </c>
      <c r="B682" t="s">
        <v>2199</v>
      </c>
      <c r="C682" t="s">
        <v>594</v>
      </c>
      <c r="D682" t="s">
        <v>1281</v>
      </c>
      <c r="E682" t="s">
        <v>807</v>
      </c>
      <c r="F682">
        <v>1</v>
      </c>
      <c r="G682" t="s">
        <v>624</v>
      </c>
      <c r="H682" s="1">
        <v>46296</v>
      </c>
      <c r="I682" t="s">
        <v>625</v>
      </c>
      <c r="J682">
        <v>1</v>
      </c>
      <c r="K682" s="1">
        <v>46296</v>
      </c>
      <c r="L682" s="8">
        <v>25000000</v>
      </c>
    </row>
    <row r="683" spans="1:12" x14ac:dyDescent="0.25">
      <c r="A683" t="s">
        <v>1283</v>
      </c>
      <c r="B683" t="s">
        <v>2199</v>
      </c>
      <c r="C683" t="s">
        <v>594</v>
      </c>
      <c r="D683" t="s">
        <v>1284</v>
      </c>
      <c r="E683" t="s">
        <v>807</v>
      </c>
      <c r="F683">
        <v>1</v>
      </c>
      <c r="G683" t="s">
        <v>624</v>
      </c>
      <c r="H683" s="1">
        <v>46327</v>
      </c>
      <c r="I683" t="s">
        <v>625</v>
      </c>
      <c r="J683">
        <v>1</v>
      </c>
      <c r="K683" s="1">
        <v>46327</v>
      </c>
      <c r="L683" s="8">
        <v>37000000</v>
      </c>
    </row>
    <row r="684" spans="1:12" x14ac:dyDescent="0.25">
      <c r="A684" t="s">
        <v>1286</v>
      </c>
      <c r="B684" t="s">
        <v>2199</v>
      </c>
      <c r="C684" t="s">
        <v>594</v>
      </c>
      <c r="D684" t="s">
        <v>1287</v>
      </c>
      <c r="E684" t="s">
        <v>807</v>
      </c>
      <c r="F684">
        <v>1</v>
      </c>
      <c r="G684" t="s">
        <v>624</v>
      </c>
      <c r="H684" s="1">
        <v>46235</v>
      </c>
      <c r="I684" t="s">
        <v>625</v>
      </c>
      <c r="J684">
        <v>1</v>
      </c>
      <c r="K684" s="1">
        <v>46235</v>
      </c>
      <c r="L684" s="8">
        <v>60000000</v>
      </c>
    </row>
    <row r="685" spans="1:12" x14ac:dyDescent="0.25">
      <c r="A685" t="s">
        <v>1355</v>
      </c>
      <c r="B685" t="s">
        <v>2199</v>
      </c>
      <c r="C685" t="s">
        <v>594</v>
      </c>
      <c r="D685" t="s">
        <v>1356</v>
      </c>
      <c r="E685" t="s">
        <v>1175</v>
      </c>
      <c r="F685">
        <v>2</v>
      </c>
      <c r="G685" t="s">
        <v>1299</v>
      </c>
      <c r="H685" s="1">
        <v>46204</v>
      </c>
      <c r="I685" t="s">
        <v>1300</v>
      </c>
      <c r="J685">
        <v>1</v>
      </c>
      <c r="K685" s="1">
        <v>46204</v>
      </c>
      <c r="L685" s="8">
        <v>9566000</v>
      </c>
    </row>
    <row r="686" spans="1:12" x14ac:dyDescent="0.25">
      <c r="A686" t="s">
        <v>1355</v>
      </c>
      <c r="B686" t="s">
        <v>2199</v>
      </c>
      <c r="C686" t="s">
        <v>594</v>
      </c>
      <c r="D686" t="s">
        <v>1356</v>
      </c>
      <c r="E686" t="s">
        <v>1303</v>
      </c>
      <c r="F686">
        <v>2</v>
      </c>
      <c r="G686" t="s">
        <v>1299</v>
      </c>
      <c r="H686" s="1">
        <v>46204</v>
      </c>
      <c r="I686" t="s">
        <v>1300</v>
      </c>
      <c r="J686">
        <v>1</v>
      </c>
      <c r="K686" s="1">
        <v>46204</v>
      </c>
      <c r="L686" s="8">
        <v>7621000</v>
      </c>
    </row>
    <row r="687" spans="1:12" x14ac:dyDescent="0.25">
      <c r="A687" t="s">
        <v>1357</v>
      </c>
      <c r="B687" t="s">
        <v>2199</v>
      </c>
      <c r="C687" t="s">
        <v>594</v>
      </c>
      <c r="D687" t="s">
        <v>1358</v>
      </c>
      <c r="E687" t="s">
        <v>1175</v>
      </c>
      <c r="F687">
        <v>2</v>
      </c>
      <c r="G687" t="s">
        <v>1299</v>
      </c>
      <c r="H687" s="1">
        <v>46174</v>
      </c>
      <c r="I687" t="s">
        <v>1300</v>
      </c>
      <c r="J687">
        <v>1</v>
      </c>
      <c r="K687" s="1">
        <v>46174</v>
      </c>
      <c r="L687" s="8">
        <v>97703000</v>
      </c>
    </row>
    <row r="688" spans="1:12" x14ac:dyDescent="0.25">
      <c r="A688" t="s">
        <v>1357</v>
      </c>
      <c r="B688" t="s">
        <v>2199</v>
      </c>
      <c r="C688" t="s">
        <v>594</v>
      </c>
      <c r="D688" t="s">
        <v>1358</v>
      </c>
      <c r="E688" t="s">
        <v>1303</v>
      </c>
      <c r="F688">
        <v>2</v>
      </c>
      <c r="G688" t="s">
        <v>1299</v>
      </c>
      <c r="H688" s="1">
        <v>46174</v>
      </c>
      <c r="I688" t="s">
        <v>1300</v>
      </c>
      <c r="J688">
        <v>1</v>
      </c>
      <c r="K688" s="1">
        <v>46174</v>
      </c>
      <c r="L688" s="8">
        <v>196076000</v>
      </c>
    </row>
    <row r="689" spans="1:12" x14ac:dyDescent="0.25">
      <c r="A689" t="s">
        <v>1360</v>
      </c>
      <c r="B689" t="s">
        <v>2199</v>
      </c>
      <c r="C689" t="s">
        <v>594</v>
      </c>
      <c r="D689" t="s">
        <v>1361</v>
      </c>
      <c r="E689" t="s">
        <v>807</v>
      </c>
      <c r="F689">
        <v>1</v>
      </c>
      <c r="G689" t="s">
        <v>624</v>
      </c>
      <c r="H689" s="1">
        <v>46266</v>
      </c>
      <c r="I689" t="s">
        <v>625</v>
      </c>
      <c r="J689">
        <v>1</v>
      </c>
      <c r="K689" s="1">
        <v>46266</v>
      </c>
      <c r="L689" s="8">
        <v>37000000</v>
      </c>
    </row>
    <row r="690" spans="1:12" x14ac:dyDescent="0.25">
      <c r="A690" t="s">
        <v>1363</v>
      </c>
      <c r="B690" t="s">
        <v>2199</v>
      </c>
      <c r="C690" t="s">
        <v>594</v>
      </c>
      <c r="D690" t="s">
        <v>1364</v>
      </c>
      <c r="E690" t="s">
        <v>1175</v>
      </c>
      <c r="F690">
        <v>2</v>
      </c>
      <c r="G690" t="s">
        <v>1299</v>
      </c>
      <c r="H690" s="1">
        <v>46143</v>
      </c>
      <c r="I690" t="s">
        <v>1300</v>
      </c>
      <c r="J690">
        <v>1</v>
      </c>
      <c r="K690" s="1">
        <v>46143</v>
      </c>
      <c r="L690" s="8">
        <v>44778000</v>
      </c>
    </row>
    <row r="691" spans="1:12" x14ac:dyDescent="0.25">
      <c r="A691" t="s">
        <v>1363</v>
      </c>
      <c r="B691" t="s">
        <v>2199</v>
      </c>
      <c r="C691" t="s">
        <v>594</v>
      </c>
      <c r="D691" t="s">
        <v>1364</v>
      </c>
      <c r="E691" t="s">
        <v>1303</v>
      </c>
      <c r="F691">
        <v>2</v>
      </c>
      <c r="G691" t="s">
        <v>1299</v>
      </c>
      <c r="H691" s="1">
        <v>46143</v>
      </c>
      <c r="I691" t="s">
        <v>1300</v>
      </c>
      <c r="J691">
        <v>1</v>
      </c>
      <c r="K691" s="1">
        <v>46143</v>
      </c>
      <c r="L691" s="8">
        <v>57632000</v>
      </c>
    </row>
    <row r="692" spans="1:12" x14ac:dyDescent="0.25">
      <c r="A692" t="s">
        <v>1366</v>
      </c>
      <c r="B692" t="s">
        <v>2199</v>
      </c>
      <c r="C692" t="s">
        <v>594</v>
      </c>
      <c r="D692" t="s">
        <v>1367</v>
      </c>
      <c r="E692" t="s">
        <v>807</v>
      </c>
      <c r="F692">
        <v>1</v>
      </c>
      <c r="G692" t="s">
        <v>624</v>
      </c>
      <c r="H692" s="1">
        <v>46266</v>
      </c>
      <c r="I692" t="s">
        <v>625</v>
      </c>
      <c r="J692">
        <v>1</v>
      </c>
      <c r="K692" s="1">
        <v>46266</v>
      </c>
      <c r="L692" s="8">
        <v>103000000</v>
      </c>
    </row>
    <row r="693" spans="1:12" x14ac:dyDescent="0.25">
      <c r="A693" t="s">
        <v>1382</v>
      </c>
      <c r="B693" t="s">
        <v>2199</v>
      </c>
      <c r="C693" t="s">
        <v>594</v>
      </c>
      <c r="D693" t="s">
        <v>1383</v>
      </c>
      <c r="E693" t="s">
        <v>1175</v>
      </c>
      <c r="F693">
        <v>1</v>
      </c>
      <c r="G693" t="s">
        <v>1299</v>
      </c>
      <c r="H693" s="1">
        <v>46113</v>
      </c>
      <c r="I693" t="s">
        <v>1300</v>
      </c>
      <c r="J693">
        <v>1</v>
      </c>
      <c r="K693" s="1">
        <v>46113</v>
      </c>
      <c r="L693" s="8">
        <v>6442000</v>
      </c>
    </row>
    <row r="694" spans="1:12" x14ac:dyDescent="0.25">
      <c r="A694" t="s">
        <v>1401</v>
      </c>
      <c r="B694" t="s">
        <v>2199</v>
      </c>
      <c r="C694" t="s">
        <v>594</v>
      </c>
      <c r="D694" t="s">
        <v>1402</v>
      </c>
      <c r="E694" t="s">
        <v>1175</v>
      </c>
      <c r="F694">
        <v>2</v>
      </c>
      <c r="G694" t="s">
        <v>1299</v>
      </c>
      <c r="H694" s="1">
        <v>46143</v>
      </c>
      <c r="I694" t="s">
        <v>1300</v>
      </c>
      <c r="J694">
        <v>1</v>
      </c>
      <c r="K694" s="1">
        <v>46143</v>
      </c>
      <c r="L694" s="8">
        <v>40289000</v>
      </c>
    </row>
    <row r="695" spans="1:12" x14ac:dyDescent="0.25">
      <c r="A695" t="s">
        <v>1401</v>
      </c>
      <c r="B695" t="s">
        <v>2199</v>
      </c>
      <c r="C695" t="s">
        <v>594</v>
      </c>
      <c r="D695" t="s">
        <v>1402</v>
      </c>
      <c r="E695" t="s">
        <v>1303</v>
      </c>
      <c r="F695">
        <v>2</v>
      </c>
      <c r="G695" t="s">
        <v>1299</v>
      </c>
      <c r="H695" s="1">
        <v>46143</v>
      </c>
      <c r="I695" t="s">
        <v>1300</v>
      </c>
      <c r="J695">
        <v>1</v>
      </c>
      <c r="K695" s="1">
        <v>46143</v>
      </c>
      <c r="L695" s="8">
        <v>316236000</v>
      </c>
    </row>
    <row r="696" spans="1:12" x14ac:dyDescent="0.25">
      <c r="A696" t="s">
        <v>1827</v>
      </c>
      <c r="B696" t="s">
        <v>2199</v>
      </c>
      <c r="C696" t="s">
        <v>594</v>
      </c>
      <c r="D696" t="s">
        <v>1828</v>
      </c>
      <c r="E696" t="s">
        <v>1830</v>
      </c>
      <c r="F696">
        <v>1</v>
      </c>
      <c r="G696" t="s">
        <v>1723</v>
      </c>
      <c r="H696" s="1">
        <v>46023</v>
      </c>
      <c r="I696" t="s">
        <v>1831</v>
      </c>
      <c r="J696">
        <v>1</v>
      </c>
      <c r="K696" s="1">
        <v>46023</v>
      </c>
      <c r="L696" s="8">
        <v>7200000</v>
      </c>
    </row>
    <row r="697" spans="1:12" x14ac:dyDescent="0.25">
      <c r="A697" t="s">
        <v>595</v>
      </c>
      <c r="B697" t="s">
        <v>2199</v>
      </c>
      <c r="C697" t="s">
        <v>594</v>
      </c>
      <c r="D697" t="s">
        <v>597</v>
      </c>
      <c r="E697" t="s">
        <v>600</v>
      </c>
      <c r="F697">
        <v>6</v>
      </c>
      <c r="G697" t="s">
        <v>590</v>
      </c>
      <c r="H697" s="1">
        <v>46143</v>
      </c>
      <c r="I697" t="s">
        <v>591</v>
      </c>
      <c r="J697">
        <v>1</v>
      </c>
      <c r="K697" s="1">
        <v>46143</v>
      </c>
      <c r="L697" s="8">
        <v>96000000</v>
      </c>
    </row>
    <row r="698" spans="1:12" x14ac:dyDescent="0.25">
      <c r="A698" t="s">
        <v>595</v>
      </c>
      <c r="B698" t="s">
        <v>2199</v>
      </c>
      <c r="C698" t="s">
        <v>594</v>
      </c>
      <c r="D698" t="s">
        <v>597</v>
      </c>
      <c r="E698" t="s">
        <v>601</v>
      </c>
      <c r="F698">
        <v>6</v>
      </c>
      <c r="G698" t="s">
        <v>590</v>
      </c>
      <c r="H698" s="1">
        <v>46082</v>
      </c>
      <c r="I698" t="s">
        <v>591</v>
      </c>
      <c r="J698">
        <v>1</v>
      </c>
      <c r="K698" s="1">
        <v>46082</v>
      </c>
      <c r="L698" s="8">
        <v>24115000</v>
      </c>
    </row>
    <row r="699" spans="1:12" x14ac:dyDescent="0.25">
      <c r="A699" t="s">
        <v>595</v>
      </c>
      <c r="B699" t="s">
        <v>2199</v>
      </c>
      <c r="C699" t="s">
        <v>594</v>
      </c>
      <c r="D699" t="s">
        <v>597</v>
      </c>
      <c r="E699" t="s">
        <v>604</v>
      </c>
      <c r="F699">
        <v>6</v>
      </c>
      <c r="G699" t="s">
        <v>590</v>
      </c>
      <c r="H699" s="1">
        <v>46143</v>
      </c>
      <c r="I699" t="s">
        <v>591</v>
      </c>
      <c r="J699">
        <v>1</v>
      </c>
      <c r="K699" s="1">
        <v>46143</v>
      </c>
      <c r="L699" s="8">
        <v>122000004</v>
      </c>
    </row>
    <row r="700" spans="1:12" x14ac:dyDescent="0.25">
      <c r="A700" t="s">
        <v>595</v>
      </c>
      <c r="B700" t="s">
        <v>2199</v>
      </c>
      <c r="C700" t="s">
        <v>594</v>
      </c>
      <c r="D700" t="s">
        <v>597</v>
      </c>
      <c r="E700" t="s">
        <v>603</v>
      </c>
      <c r="F700">
        <v>6</v>
      </c>
      <c r="G700" t="s">
        <v>590</v>
      </c>
      <c r="H700" s="1">
        <v>46143</v>
      </c>
      <c r="I700" t="s">
        <v>591</v>
      </c>
      <c r="J700">
        <v>1</v>
      </c>
      <c r="K700" s="1">
        <v>46143</v>
      </c>
      <c r="L700" s="8">
        <v>5000002</v>
      </c>
    </row>
    <row r="701" spans="1:12" x14ac:dyDescent="0.25">
      <c r="A701" t="s">
        <v>595</v>
      </c>
      <c r="B701" t="s">
        <v>2199</v>
      </c>
      <c r="C701" t="s">
        <v>594</v>
      </c>
      <c r="D701" t="s">
        <v>597</v>
      </c>
      <c r="E701" t="s">
        <v>602</v>
      </c>
      <c r="F701">
        <v>6</v>
      </c>
      <c r="G701" t="s">
        <v>590</v>
      </c>
      <c r="H701" s="1">
        <v>46266</v>
      </c>
      <c r="I701" t="s">
        <v>591</v>
      </c>
      <c r="J701">
        <v>1</v>
      </c>
      <c r="K701" s="1">
        <v>46266</v>
      </c>
      <c r="L701" s="8">
        <v>3500000</v>
      </c>
    </row>
    <row r="702" spans="1:12" x14ac:dyDescent="0.25">
      <c r="A702" t="s">
        <v>595</v>
      </c>
      <c r="B702" t="s">
        <v>2199</v>
      </c>
      <c r="C702" t="s">
        <v>594</v>
      </c>
      <c r="D702" t="s">
        <v>597</v>
      </c>
      <c r="E702" t="s">
        <v>599</v>
      </c>
      <c r="F702">
        <v>6</v>
      </c>
      <c r="G702" t="s">
        <v>590</v>
      </c>
      <c r="H702" s="1">
        <v>46143</v>
      </c>
      <c r="I702" t="s">
        <v>591</v>
      </c>
      <c r="J702">
        <v>1</v>
      </c>
      <c r="K702" s="1">
        <v>46143</v>
      </c>
      <c r="L702" s="8">
        <v>28000000</v>
      </c>
    </row>
    <row r="703" spans="1:12" x14ac:dyDescent="0.25">
      <c r="A703" t="s">
        <v>803</v>
      </c>
      <c r="B703" t="s">
        <v>2199</v>
      </c>
      <c r="C703" t="s">
        <v>594</v>
      </c>
      <c r="D703" t="s">
        <v>805</v>
      </c>
      <c r="E703" t="s">
        <v>807</v>
      </c>
      <c r="F703">
        <v>1</v>
      </c>
      <c r="G703" t="s">
        <v>624</v>
      </c>
      <c r="H703" s="1">
        <v>46266</v>
      </c>
      <c r="I703" t="s">
        <v>625</v>
      </c>
      <c r="J703">
        <v>1</v>
      </c>
      <c r="K703" s="1">
        <v>46266</v>
      </c>
      <c r="L703" s="8">
        <v>37000000</v>
      </c>
    </row>
    <row r="704" spans="1:12" x14ac:dyDescent="0.25">
      <c r="A704" t="s">
        <v>808</v>
      </c>
      <c r="B704" t="s">
        <v>2199</v>
      </c>
      <c r="C704" t="s">
        <v>594</v>
      </c>
      <c r="D704" t="s">
        <v>809</v>
      </c>
      <c r="E704" t="s">
        <v>807</v>
      </c>
      <c r="F704">
        <v>1</v>
      </c>
      <c r="G704" t="s">
        <v>624</v>
      </c>
      <c r="H704" s="1">
        <v>46296</v>
      </c>
      <c r="I704" t="s">
        <v>625</v>
      </c>
      <c r="J704">
        <v>1</v>
      </c>
      <c r="K704" s="1">
        <v>46296</v>
      </c>
      <c r="L704" s="8">
        <v>37000000</v>
      </c>
    </row>
    <row r="705" spans="1:12" x14ac:dyDescent="0.25">
      <c r="A705" t="s">
        <v>1196</v>
      </c>
      <c r="B705" t="s">
        <v>2199</v>
      </c>
      <c r="C705" t="s">
        <v>594</v>
      </c>
      <c r="D705" t="s">
        <v>1197</v>
      </c>
      <c r="E705" t="s">
        <v>1199</v>
      </c>
      <c r="F705">
        <v>1</v>
      </c>
      <c r="G705" t="s">
        <v>1200</v>
      </c>
      <c r="H705" s="1">
        <v>46357</v>
      </c>
      <c r="I705" t="s">
        <v>514</v>
      </c>
      <c r="J705">
        <v>1</v>
      </c>
      <c r="K705" s="1">
        <v>46357</v>
      </c>
      <c r="L705" s="8">
        <v>3430002</v>
      </c>
    </row>
    <row r="706" spans="1:12" x14ac:dyDescent="0.25">
      <c r="A706" t="s">
        <v>1204</v>
      </c>
      <c r="B706" t="s">
        <v>2199</v>
      </c>
      <c r="C706" t="s">
        <v>594</v>
      </c>
      <c r="D706" t="s">
        <v>1205</v>
      </c>
      <c r="E706" t="s">
        <v>807</v>
      </c>
      <c r="F706">
        <v>1</v>
      </c>
      <c r="G706" t="s">
        <v>624</v>
      </c>
      <c r="H706" s="1">
        <v>46327</v>
      </c>
      <c r="I706" t="s">
        <v>625</v>
      </c>
      <c r="J706">
        <v>1</v>
      </c>
      <c r="K706" s="1">
        <v>46327</v>
      </c>
      <c r="L706" s="8">
        <v>37000000</v>
      </c>
    </row>
    <row r="707" spans="1:12" x14ac:dyDescent="0.25">
      <c r="A707" t="s">
        <v>2198</v>
      </c>
      <c r="L707" s="8">
        <v>22142532917</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5B8F-0DD5-4E8C-86AC-CD333568F161}">
  <dimension ref="A1:I447"/>
  <sheetViews>
    <sheetView topLeftCell="F1" workbookViewId="0">
      <selection activeCell="H18" sqref="H18:I18"/>
      <pivotSelection pane="bottomRight" showHeader="1" extendable="1" axis="axisRow" dimension="7" start="16" min="16" max="17" activeRow="17" activeCol="7" previousRow="17" previousCol="7" click="8" r:id="rId1">
        <pivotArea dataOnly="0" outline="0" fieldPosition="0">
          <references count="8">
            <reference field="2" count="1" selected="0">
              <x v="23"/>
            </reference>
            <reference field="6" count="1" selected="0">
              <x v="137"/>
            </reference>
            <reference field="14" count="1" selected="0">
              <x v="12"/>
            </reference>
            <reference field="15" count="1">
              <x v="1"/>
            </reference>
            <reference field="16" count="1" selected="0">
              <x v="5"/>
            </reference>
            <reference field="17" count="1" selected="0">
              <x v="62"/>
            </reference>
            <reference field="27" count="1" selected="0">
              <x v="0"/>
            </reference>
            <reference field="28" count="1" selected="0">
              <x v="2"/>
            </reference>
          </references>
        </pivotArea>
      </pivotSelection>
    </sheetView>
  </sheetViews>
  <sheetFormatPr baseColWidth="10" defaultRowHeight="15" x14ac:dyDescent="0.25"/>
  <cols>
    <col min="1" max="1" width="19" bestFit="1" customWidth="1"/>
    <col min="2" max="2" width="27.7109375" customWidth="1"/>
    <col min="3" max="3" width="28.85546875" bestFit="1" customWidth="1"/>
    <col min="4" max="6" width="94.28515625" bestFit="1" customWidth="1"/>
    <col min="7" max="8" width="14.42578125" customWidth="1"/>
    <col min="9" max="9" width="30.42578125" bestFit="1" customWidth="1"/>
  </cols>
  <sheetData>
    <row r="1" spans="1:9" x14ac:dyDescent="0.25">
      <c r="A1" s="4" t="s">
        <v>2197</v>
      </c>
      <c r="B1" s="4" t="s">
        <v>2213</v>
      </c>
      <c r="C1" s="4" t="s">
        <v>2</v>
      </c>
      <c r="D1" s="4" t="s">
        <v>6</v>
      </c>
      <c r="E1" s="4" t="s">
        <v>16</v>
      </c>
      <c r="F1" s="4" t="s">
        <v>17</v>
      </c>
      <c r="G1" s="4" t="s">
        <v>14</v>
      </c>
      <c r="H1" s="4" t="s">
        <v>15</v>
      </c>
      <c r="I1" t="s">
        <v>2202</v>
      </c>
    </row>
    <row r="2" spans="1:9" x14ac:dyDescent="0.25">
      <c r="A2" t="s">
        <v>2196</v>
      </c>
      <c r="B2" t="s">
        <v>2196</v>
      </c>
      <c r="C2" t="s">
        <v>29</v>
      </c>
      <c r="D2" t="s">
        <v>33</v>
      </c>
      <c r="E2" t="s">
        <v>37</v>
      </c>
      <c r="F2" t="s">
        <v>38</v>
      </c>
      <c r="G2">
        <v>36</v>
      </c>
      <c r="H2" t="s">
        <v>36</v>
      </c>
      <c r="I2" s="8">
        <v>30000000</v>
      </c>
    </row>
    <row r="3" spans="1:9" x14ac:dyDescent="0.25">
      <c r="A3" t="s">
        <v>2196</v>
      </c>
      <c r="B3" t="s">
        <v>2196</v>
      </c>
      <c r="C3" t="s">
        <v>284</v>
      </c>
      <c r="D3" t="s">
        <v>286</v>
      </c>
      <c r="E3" t="s">
        <v>290</v>
      </c>
      <c r="F3" t="s">
        <v>291</v>
      </c>
      <c r="G3">
        <v>24</v>
      </c>
      <c r="H3" t="s">
        <v>289</v>
      </c>
      <c r="I3" s="8">
        <v>75000000</v>
      </c>
    </row>
    <row r="4" spans="1:9" x14ac:dyDescent="0.25">
      <c r="A4" t="s">
        <v>2196</v>
      </c>
      <c r="B4" t="s">
        <v>2196</v>
      </c>
      <c r="C4" t="s">
        <v>44</v>
      </c>
      <c r="D4" t="s">
        <v>46</v>
      </c>
      <c r="E4" t="s">
        <v>37</v>
      </c>
      <c r="F4" t="s">
        <v>49</v>
      </c>
      <c r="G4">
        <v>36</v>
      </c>
      <c r="H4" t="s">
        <v>36</v>
      </c>
      <c r="I4" s="8">
        <v>6711996</v>
      </c>
    </row>
    <row r="5" spans="1:9" x14ac:dyDescent="0.25">
      <c r="A5" t="s">
        <v>2196</v>
      </c>
      <c r="B5" t="s">
        <v>2196</v>
      </c>
      <c r="C5" t="s">
        <v>298</v>
      </c>
      <c r="D5" t="s">
        <v>300</v>
      </c>
      <c r="E5" t="s">
        <v>182</v>
      </c>
      <c r="F5" t="s">
        <v>302</v>
      </c>
      <c r="G5">
        <v>18</v>
      </c>
      <c r="H5" t="s">
        <v>206</v>
      </c>
      <c r="I5" s="8">
        <v>144000000</v>
      </c>
    </row>
    <row r="6" spans="1:9" x14ac:dyDescent="0.25">
      <c r="A6" t="s">
        <v>2196</v>
      </c>
      <c r="B6" t="s">
        <v>2196</v>
      </c>
      <c r="C6" t="s">
        <v>304</v>
      </c>
      <c r="D6" t="s">
        <v>305</v>
      </c>
      <c r="E6" t="s">
        <v>309</v>
      </c>
      <c r="F6" t="s">
        <v>310</v>
      </c>
      <c r="G6">
        <v>12</v>
      </c>
      <c r="H6" t="s">
        <v>308</v>
      </c>
      <c r="I6" s="8">
        <v>40833335</v>
      </c>
    </row>
    <row r="7" spans="1:9" x14ac:dyDescent="0.25">
      <c r="A7" t="s">
        <v>2196</v>
      </c>
      <c r="B7" t="s">
        <v>2196</v>
      </c>
      <c r="C7" t="s">
        <v>191</v>
      </c>
      <c r="D7" t="s">
        <v>201</v>
      </c>
      <c r="E7" t="s">
        <v>197</v>
      </c>
      <c r="F7" t="s">
        <v>198</v>
      </c>
      <c r="G7">
        <v>1</v>
      </c>
      <c r="H7" t="s">
        <v>196</v>
      </c>
      <c r="I7" s="8">
        <v>74068560</v>
      </c>
    </row>
    <row r="8" spans="1:9" x14ac:dyDescent="0.25">
      <c r="A8" t="s">
        <v>2196</v>
      </c>
      <c r="B8" t="s">
        <v>2196</v>
      </c>
      <c r="C8" t="s">
        <v>191</v>
      </c>
      <c r="D8" t="s">
        <v>193</v>
      </c>
      <c r="E8" t="s">
        <v>197</v>
      </c>
      <c r="F8" t="s">
        <v>198</v>
      </c>
      <c r="G8">
        <v>32</v>
      </c>
      <c r="H8" t="s">
        <v>196</v>
      </c>
      <c r="I8" s="8">
        <v>37034280</v>
      </c>
    </row>
    <row r="9" spans="1:9" x14ac:dyDescent="0.25">
      <c r="A9" t="s">
        <v>2196</v>
      </c>
      <c r="B9" t="s">
        <v>2196</v>
      </c>
      <c r="C9" t="s">
        <v>202</v>
      </c>
      <c r="D9" t="s">
        <v>203</v>
      </c>
      <c r="E9" t="s">
        <v>182</v>
      </c>
      <c r="F9" t="s">
        <v>183</v>
      </c>
      <c r="G9">
        <v>18</v>
      </c>
      <c r="H9" t="s">
        <v>206</v>
      </c>
      <c r="I9" s="8">
        <v>70333380</v>
      </c>
    </row>
    <row r="10" spans="1:9" x14ac:dyDescent="0.25">
      <c r="A10" t="s">
        <v>2196</v>
      </c>
      <c r="B10" t="s">
        <v>2196</v>
      </c>
      <c r="C10" t="s">
        <v>214</v>
      </c>
      <c r="D10" t="s">
        <v>216</v>
      </c>
      <c r="E10" t="s">
        <v>218</v>
      </c>
      <c r="F10" t="s">
        <v>219</v>
      </c>
      <c r="G10">
        <v>24</v>
      </c>
      <c r="H10" t="s">
        <v>73</v>
      </c>
      <c r="I10" s="8">
        <v>6255504</v>
      </c>
    </row>
    <row r="11" spans="1:9" x14ac:dyDescent="0.25">
      <c r="A11" t="s">
        <v>2196</v>
      </c>
      <c r="B11" t="s">
        <v>2196</v>
      </c>
      <c r="C11" t="s">
        <v>51</v>
      </c>
      <c r="D11" t="s">
        <v>52</v>
      </c>
      <c r="E11" t="s">
        <v>55</v>
      </c>
      <c r="F11" t="s">
        <v>56</v>
      </c>
      <c r="G11">
        <v>36</v>
      </c>
      <c r="H11" t="s">
        <v>36</v>
      </c>
      <c r="I11" s="8">
        <v>6712008</v>
      </c>
    </row>
    <row r="12" spans="1:9" x14ac:dyDescent="0.25">
      <c r="A12" t="s">
        <v>2196</v>
      </c>
      <c r="B12" t="s">
        <v>2196</v>
      </c>
      <c r="C12" t="s">
        <v>222</v>
      </c>
      <c r="D12" t="s">
        <v>224</v>
      </c>
      <c r="E12" t="s">
        <v>227</v>
      </c>
      <c r="F12" t="s">
        <v>228</v>
      </c>
      <c r="G12">
        <v>24</v>
      </c>
      <c r="H12" t="s">
        <v>73</v>
      </c>
      <c r="I12" s="8">
        <v>48115128</v>
      </c>
    </row>
    <row r="13" spans="1:9" x14ac:dyDescent="0.25">
      <c r="A13" t="s">
        <v>2196</v>
      </c>
      <c r="B13" t="s">
        <v>2196</v>
      </c>
      <c r="C13" t="s">
        <v>238</v>
      </c>
      <c r="D13" t="s">
        <v>239</v>
      </c>
      <c r="E13" t="s">
        <v>227</v>
      </c>
      <c r="F13" t="s">
        <v>228</v>
      </c>
      <c r="G13">
        <v>24</v>
      </c>
      <c r="H13" t="s">
        <v>73</v>
      </c>
      <c r="I13" s="8">
        <v>237155100</v>
      </c>
    </row>
    <row r="14" spans="1:9" x14ac:dyDescent="0.25">
      <c r="A14" t="s">
        <v>2196</v>
      </c>
      <c r="B14" t="s">
        <v>2196</v>
      </c>
      <c r="C14" t="s">
        <v>244</v>
      </c>
      <c r="D14" t="s">
        <v>245</v>
      </c>
      <c r="E14" t="s">
        <v>227</v>
      </c>
      <c r="F14" t="s">
        <v>228</v>
      </c>
      <c r="G14">
        <v>24</v>
      </c>
      <c r="H14" t="s">
        <v>73</v>
      </c>
      <c r="I14" s="8">
        <v>284700000</v>
      </c>
    </row>
    <row r="15" spans="1:9" x14ac:dyDescent="0.25">
      <c r="A15" t="s">
        <v>2196</v>
      </c>
      <c r="B15" t="s">
        <v>2196</v>
      </c>
      <c r="C15" t="s">
        <v>68</v>
      </c>
      <c r="D15" t="s">
        <v>70</v>
      </c>
      <c r="E15" t="s">
        <v>74</v>
      </c>
      <c r="F15" t="s">
        <v>75</v>
      </c>
      <c r="G15">
        <v>24</v>
      </c>
      <c r="H15" t="s">
        <v>73</v>
      </c>
      <c r="I15" s="8">
        <v>40432878</v>
      </c>
    </row>
    <row r="16" spans="1:9" x14ac:dyDescent="0.25">
      <c r="A16" t="s">
        <v>2196</v>
      </c>
      <c r="B16" t="s">
        <v>2196</v>
      </c>
      <c r="C16" t="s">
        <v>59</v>
      </c>
      <c r="D16" t="s">
        <v>60</v>
      </c>
      <c r="E16" t="s">
        <v>64</v>
      </c>
      <c r="F16" t="s">
        <v>65</v>
      </c>
      <c r="G16">
        <v>36</v>
      </c>
      <c r="H16" t="s">
        <v>63</v>
      </c>
      <c r="I16" s="8">
        <v>43333332</v>
      </c>
    </row>
    <row r="17" spans="1:9" x14ac:dyDescent="0.25">
      <c r="A17" t="s">
        <v>2196</v>
      </c>
      <c r="B17" t="s">
        <v>2196</v>
      </c>
      <c r="C17" t="s">
        <v>82</v>
      </c>
      <c r="D17" t="s">
        <v>83</v>
      </c>
      <c r="E17" t="s">
        <v>74</v>
      </c>
      <c r="F17" t="s">
        <v>85</v>
      </c>
      <c r="G17">
        <v>24</v>
      </c>
      <c r="H17" t="s">
        <v>73</v>
      </c>
      <c r="I17" s="8">
        <v>78361124</v>
      </c>
    </row>
    <row r="18" spans="1:9" x14ac:dyDescent="0.25">
      <c r="A18" t="s">
        <v>2196</v>
      </c>
      <c r="B18" t="s">
        <v>2196</v>
      </c>
      <c r="C18" t="s">
        <v>91</v>
      </c>
      <c r="D18" t="s">
        <v>92</v>
      </c>
      <c r="E18" t="s">
        <v>74</v>
      </c>
      <c r="F18" t="s">
        <v>85</v>
      </c>
      <c r="G18">
        <v>24</v>
      </c>
      <c r="H18" t="s">
        <v>73</v>
      </c>
      <c r="I18" s="8">
        <v>78361124</v>
      </c>
    </row>
    <row r="19" spans="1:9" x14ac:dyDescent="0.25">
      <c r="A19" t="s">
        <v>2196</v>
      </c>
      <c r="B19" t="s">
        <v>2196</v>
      </c>
      <c r="C19" t="s">
        <v>103</v>
      </c>
      <c r="D19" t="s">
        <v>105</v>
      </c>
      <c r="E19" t="s">
        <v>109</v>
      </c>
      <c r="F19" t="s">
        <v>110</v>
      </c>
      <c r="G19">
        <v>30</v>
      </c>
      <c r="H19" t="s">
        <v>108</v>
      </c>
      <c r="I19" s="8">
        <v>18060000</v>
      </c>
    </row>
    <row r="20" spans="1:9" x14ac:dyDescent="0.25">
      <c r="A20" t="s">
        <v>2196</v>
      </c>
      <c r="B20" t="s">
        <v>2196</v>
      </c>
      <c r="C20" t="s">
        <v>117</v>
      </c>
      <c r="D20" t="s">
        <v>119</v>
      </c>
      <c r="E20" t="s">
        <v>122</v>
      </c>
      <c r="F20" t="s">
        <v>123</v>
      </c>
      <c r="G20">
        <v>24</v>
      </c>
      <c r="H20" t="s">
        <v>73</v>
      </c>
      <c r="I20" s="8">
        <v>150000000</v>
      </c>
    </row>
    <row r="21" spans="1:9" x14ac:dyDescent="0.25">
      <c r="A21" t="s">
        <v>2196</v>
      </c>
      <c r="B21" t="s">
        <v>2196</v>
      </c>
      <c r="C21" t="s">
        <v>128</v>
      </c>
      <c r="D21" t="s">
        <v>130</v>
      </c>
      <c r="E21" t="s">
        <v>109</v>
      </c>
      <c r="F21" t="s">
        <v>133</v>
      </c>
      <c r="G21">
        <v>24</v>
      </c>
      <c r="H21" t="s">
        <v>73</v>
      </c>
      <c r="I21" s="8">
        <v>397359215</v>
      </c>
    </row>
    <row r="22" spans="1:9" x14ac:dyDescent="0.25">
      <c r="A22" t="s">
        <v>2196</v>
      </c>
      <c r="B22" t="s">
        <v>2196</v>
      </c>
      <c r="C22" t="s">
        <v>136</v>
      </c>
      <c r="D22" t="s">
        <v>138</v>
      </c>
      <c r="E22" t="s">
        <v>141</v>
      </c>
      <c r="F22" t="s">
        <v>142</v>
      </c>
      <c r="G22">
        <v>30</v>
      </c>
      <c r="H22" t="s">
        <v>108</v>
      </c>
      <c r="I22" s="8">
        <v>496977708</v>
      </c>
    </row>
    <row r="23" spans="1:9" x14ac:dyDescent="0.25">
      <c r="A23" t="s">
        <v>2196</v>
      </c>
      <c r="B23" t="s">
        <v>2196</v>
      </c>
      <c r="C23" t="s">
        <v>148</v>
      </c>
      <c r="D23" t="s">
        <v>150</v>
      </c>
      <c r="E23" t="s">
        <v>153</v>
      </c>
      <c r="F23" t="s">
        <v>154</v>
      </c>
      <c r="G23">
        <v>24</v>
      </c>
      <c r="H23" t="s">
        <v>73</v>
      </c>
      <c r="I23" s="8">
        <v>118000004</v>
      </c>
    </row>
    <row r="24" spans="1:9" x14ac:dyDescent="0.25">
      <c r="A24" t="s">
        <v>2196</v>
      </c>
      <c r="B24" t="s">
        <v>2196</v>
      </c>
      <c r="C24" t="s">
        <v>165</v>
      </c>
      <c r="D24" t="s">
        <v>167</v>
      </c>
      <c r="E24" t="s">
        <v>169</v>
      </c>
      <c r="F24" t="s">
        <v>65</v>
      </c>
      <c r="G24">
        <v>24</v>
      </c>
      <c r="H24" t="s">
        <v>73</v>
      </c>
      <c r="I24" s="8">
        <v>10000004</v>
      </c>
    </row>
    <row r="25" spans="1:9" x14ac:dyDescent="0.25">
      <c r="A25" t="s">
        <v>2196</v>
      </c>
      <c r="B25" t="s">
        <v>2196</v>
      </c>
      <c r="C25" t="s">
        <v>177</v>
      </c>
      <c r="D25" t="s">
        <v>179</v>
      </c>
      <c r="E25" t="s">
        <v>182</v>
      </c>
      <c r="F25" t="s">
        <v>183</v>
      </c>
      <c r="G25">
        <v>24</v>
      </c>
      <c r="H25" t="s">
        <v>73</v>
      </c>
      <c r="I25" s="8">
        <v>905196910</v>
      </c>
    </row>
    <row r="26" spans="1:9" x14ac:dyDescent="0.25">
      <c r="A26" t="s">
        <v>2196</v>
      </c>
      <c r="B26" t="s">
        <v>2196</v>
      </c>
      <c r="C26" t="s">
        <v>313</v>
      </c>
      <c r="D26" t="s">
        <v>315</v>
      </c>
      <c r="E26" t="s">
        <v>319</v>
      </c>
      <c r="F26" t="s">
        <v>320</v>
      </c>
      <c r="G26">
        <v>12</v>
      </c>
      <c r="H26" t="s">
        <v>318</v>
      </c>
      <c r="I26" s="8">
        <v>36208337</v>
      </c>
    </row>
    <row r="27" spans="1:9" x14ac:dyDescent="0.25">
      <c r="A27" t="s">
        <v>2196</v>
      </c>
      <c r="B27" t="s">
        <v>2196</v>
      </c>
      <c r="C27" t="s">
        <v>323</v>
      </c>
      <c r="D27" t="s">
        <v>324</v>
      </c>
      <c r="E27" t="s">
        <v>319</v>
      </c>
      <c r="F27" t="s">
        <v>320</v>
      </c>
      <c r="G27">
        <v>12</v>
      </c>
      <c r="H27" t="s">
        <v>318</v>
      </c>
      <c r="I27" s="8">
        <v>28875000</v>
      </c>
    </row>
    <row r="28" spans="1:9" x14ac:dyDescent="0.25">
      <c r="A28" t="s">
        <v>2196</v>
      </c>
      <c r="B28" t="s">
        <v>2196</v>
      </c>
      <c r="C28" t="s">
        <v>328</v>
      </c>
      <c r="D28" t="s">
        <v>329</v>
      </c>
      <c r="E28" t="s">
        <v>332</v>
      </c>
      <c r="F28" t="s">
        <v>333</v>
      </c>
      <c r="G28">
        <v>12</v>
      </c>
      <c r="H28" t="s">
        <v>308</v>
      </c>
      <c r="I28" s="8">
        <v>52500000</v>
      </c>
    </row>
    <row r="29" spans="1:9" x14ac:dyDescent="0.25">
      <c r="A29" t="s">
        <v>2196</v>
      </c>
      <c r="B29" t="s">
        <v>2196</v>
      </c>
      <c r="C29" t="s">
        <v>337</v>
      </c>
      <c r="D29" t="s">
        <v>338</v>
      </c>
      <c r="E29" t="s">
        <v>341</v>
      </c>
      <c r="F29" t="s">
        <v>342</v>
      </c>
      <c r="G29">
        <v>18</v>
      </c>
      <c r="H29" t="s">
        <v>206</v>
      </c>
      <c r="I29" s="8">
        <v>11000004</v>
      </c>
    </row>
    <row r="30" spans="1:9" x14ac:dyDescent="0.25">
      <c r="A30" t="s">
        <v>2196</v>
      </c>
      <c r="B30" t="s">
        <v>2196</v>
      </c>
      <c r="C30" t="s">
        <v>355</v>
      </c>
      <c r="D30" t="s">
        <v>357</v>
      </c>
      <c r="E30" t="s">
        <v>360</v>
      </c>
      <c r="F30" t="s">
        <v>361</v>
      </c>
      <c r="G30">
        <v>12</v>
      </c>
      <c r="H30" t="s">
        <v>318</v>
      </c>
      <c r="I30" s="8">
        <v>30250000</v>
      </c>
    </row>
    <row r="31" spans="1:9" x14ac:dyDescent="0.25">
      <c r="A31" t="s">
        <v>2196</v>
      </c>
      <c r="B31" t="s">
        <v>2196</v>
      </c>
      <c r="C31" t="s">
        <v>366</v>
      </c>
      <c r="D31" t="s">
        <v>368</v>
      </c>
      <c r="E31" t="s">
        <v>341</v>
      </c>
      <c r="F31" t="s">
        <v>372</v>
      </c>
      <c r="G31">
        <v>12</v>
      </c>
      <c r="H31" t="s">
        <v>371</v>
      </c>
      <c r="I31" s="8">
        <v>80000000</v>
      </c>
    </row>
    <row r="32" spans="1:9" x14ac:dyDescent="0.25">
      <c r="A32" t="s">
        <v>2196</v>
      </c>
      <c r="B32" t="s">
        <v>2196</v>
      </c>
      <c r="C32" t="s">
        <v>382</v>
      </c>
      <c r="D32" t="s">
        <v>383</v>
      </c>
      <c r="E32" t="s">
        <v>385</v>
      </c>
      <c r="F32" t="s">
        <v>386</v>
      </c>
      <c r="G32">
        <v>12</v>
      </c>
      <c r="H32" t="s">
        <v>318</v>
      </c>
      <c r="I32" s="8">
        <v>16041663</v>
      </c>
    </row>
    <row r="33" spans="1:9" x14ac:dyDescent="0.25">
      <c r="A33" t="s">
        <v>2196</v>
      </c>
      <c r="B33" t="s">
        <v>2196</v>
      </c>
      <c r="C33" t="s">
        <v>389</v>
      </c>
      <c r="D33" t="s">
        <v>390</v>
      </c>
      <c r="E33" t="s">
        <v>378</v>
      </c>
      <c r="F33" t="s">
        <v>361</v>
      </c>
      <c r="G33">
        <v>12</v>
      </c>
      <c r="H33" t="s">
        <v>318</v>
      </c>
      <c r="I33" s="8">
        <v>16500000</v>
      </c>
    </row>
    <row r="34" spans="1:9" x14ac:dyDescent="0.25">
      <c r="A34" t="s">
        <v>2196</v>
      </c>
      <c r="B34" t="s">
        <v>2196</v>
      </c>
      <c r="C34" t="s">
        <v>392</v>
      </c>
      <c r="D34" t="s">
        <v>393</v>
      </c>
      <c r="E34" t="s">
        <v>395</v>
      </c>
      <c r="F34" t="s">
        <v>396</v>
      </c>
      <c r="G34">
        <v>12</v>
      </c>
      <c r="H34" t="s">
        <v>318</v>
      </c>
      <c r="I34" s="8">
        <v>17416663</v>
      </c>
    </row>
    <row r="35" spans="1:9" x14ac:dyDescent="0.25">
      <c r="A35" t="s">
        <v>2196</v>
      </c>
      <c r="B35" t="s">
        <v>2196</v>
      </c>
      <c r="C35" t="s">
        <v>399</v>
      </c>
      <c r="D35" t="s">
        <v>400</v>
      </c>
      <c r="E35" t="s">
        <v>402</v>
      </c>
      <c r="F35" t="s">
        <v>320</v>
      </c>
      <c r="G35">
        <v>12</v>
      </c>
      <c r="H35" t="s">
        <v>318</v>
      </c>
      <c r="I35" s="8">
        <v>28875000</v>
      </c>
    </row>
    <row r="36" spans="1:9" x14ac:dyDescent="0.25">
      <c r="A36" t="s">
        <v>2196</v>
      </c>
      <c r="B36" t="s">
        <v>2196</v>
      </c>
      <c r="C36" t="s">
        <v>405</v>
      </c>
      <c r="D36" t="s">
        <v>406</v>
      </c>
      <c r="E36" t="s">
        <v>360</v>
      </c>
      <c r="F36" t="s">
        <v>361</v>
      </c>
      <c r="G36">
        <v>12</v>
      </c>
      <c r="H36" t="s">
        <v>318</v>
      </c>
      <c r="I36" s="8">
        <v>23833337</v>
      </c>
    </row>
    <row r="37" spans="1:9" x14ac:dyDescent="0.25">
      <c r="A37" t="s">
        <v>2196</v>
      </c>
      <c r="B37" t="s">
        <v>2196</v>
      </c>
      <c r="C37" t="s">
        <v>408</v>
      </c>
      <c r="D37" t="s">
        <v>410</v>
      </c>
      <c r="E37" t="s">
        <v>414</v>
      </c>
      <c r="F37" t="s">
        <v>415</v>
      </c>
      <c r="G37">
        <v>12</v>
      </c>
      <c r="H37" t="s">
        <v>413</v>
      </c>
      <c r="I37" s="8">
        <v>500000000</v>
      </c>
    </row>
    <row r="38" spans="1:9" x14ac:dyDescent="0.25">
      <c r="A38" t="s">
        <v>2196</v>
      </c>
      <c r="B38" t="s">
        <v>2196</v>
      </c>
      <c r="C38" t="s">
        <v>418</v>
      </c>
      <c r="D38" t="s">
        <v>419</v>
      </c>
      <c r="E38" t="s">
        <v>422</v>
      </c>
      <c r="F38" t="s">
        <v>423</v>
      </c>
      <c r="G38">
        <v>12</v>
      </c>
      <c r="H38" t="s">
        <v>318</v>
      </c>
      <c r="I38" s="8">
        <v>87524976</v>
      </c>
    </row>
    <row r="39" spans="1:9" x14ac:dyDescent="0.25">
      <c r="A39" t="s">
        <v>2196</v>
      </c>
      <c r="B39" t="s">
        <v>2196</v>
      </c>
      <c r="C39" t="s">
        <v>426</v>
      </c>
      <c r="D39" t="s">
        <v>428</v>
      </c>
      <c r="E39" t="s">
        <v>430</v>
      </c>
      <c r="F39" t="s">
        <v>431</v>
      </c>
      <c r="G39">
        <v>12</v>
      </c>
      <c r="H39" t="s">
        <v>318</v>
      </c>
      <c r="I39" s="8">
        <v>48583326</v>
      </c>
    </row>
    <row r="40" spans="1:9" x14ac:dyDescent="0.25">
      <c r="A40" t="s">
        <v>2196</v>
      </c>
      <c r="B40" t="s">
        <v>2196</v>
      </c>
      <c r="C40" t="s">
        <v>434</v>
      </c>
      <c r="D40" t="s">
        <v>435</v>
      </c>
      <c r="E40" t="s">
        <v>319</v>
      </c>
      <c r="F40" t="s">
        <v>320</v>
      </c>
      <c r="G40">
        <v>12</v>
      </c>
      <c r="H40" t="s">
        <v>318</v>
      </c>
      <c r="I40" s="8">
        <v>73333326</v>
      </c>
    </row>
    <row r="41" spans="1:9" x14ac:dyDescent="0.25">
      <c r="A41" t="s">
        <v>2196</v>
      </c>
      <c r="B41" t="s">
        <v>2196</v>
      </c>
      <c r="C41" t="s">
        <v>438</v>
      </c>
      <c r="D41" t="s">
        <v>440</v>
      </c>
      <c r="E41" t="s">
        <v>360</v>
      </c>
      <c r="F41" t="s">
        <v>361</v>
      </c>
      <c r="G41">
        <v>12</v>
      </c>
      <c r="H41" t="s">
        <v>413</v>
      </c>
      <c r="I41" s="8">
        <v>6417500</v>
      </c>
    </row>
    <row r="42" spans="1:9" x14ac:dyDescent="0.25">
      <c r="A42" t="s">
        <v>2196</v>
      </c>
      <c r="B42" t="s">
        <v>2196</v>
      </c>
      <c r="C42" t="s">
        <v>444</v>
      </c>
      <c r="D42" t="s">
        <v>445</v>
      </c>
      <c r="E42" t="s">
        <v>37</v>
      </c>
      <c r="F42" t="s">
        <v>449</v>
      </c>
      <c r="G42">
        <v>32</v>
      </c>
      <c r="H42" t="s">
        <v>448</v>
      </c>
      <c r="I42" s="8">
        <v>89478000</v>
      </c>
    </row>
    <row r="43" spans="1:9" x14ac:dyDescent="0.25">
      <c r="A43" t="s">
        <v>2196</v>
      </c>
      <c r="B43" t="s">
        <v>2196</v>
      </c>
      <c r="C43" t="s">
        <v>452</v>
      </c>
      <c r="D43" t="s">
        <v>454</v>
      </c>
      <c r="E43" t="s">
        <v>457</v>
      </c>
      <c r="F43" t="s">
        <v>458</v>
      </c>
      <c r="G43">
        <v>12</v>
      </c>
      <c r="H43" t="s">
        <v>318</v>
      </c>
      <c r="I43" s="8">
        <v>189933326</v>
      </c>
    </row>
    <row r="44" spans="1:9" x14ac:dyDescent="0.25">
      <c r="A44" t="s">
        <v>2196</v>
      </c>
      <c r="B44" t="s">
        <v>2196</v>
      </c>
      <c r="C44" t="s">
        <v>461</v>
      </c>
      <c r="D44" t="s">
        <v>462</v>
      </c>
      <c r="E44" t="s">
        <v>465</v>
      </c>
      <c r="F44" t="s">
        <v>466</v>
      </c>
      <c r="G44">
        <v>12</v>
      </c>
      <c r="H44" t="s">
        <v>413</v>
      </c>
      <c r="I44" s="8">
        <v>246357600</v>
      </c>
    </row>
    <row r="45" spans="1:9" x14ac:dyDescent="0.25">
      <c r="A45" t="s">
        <v>2196</v>
      </c>
      <c r="B45" t="s">
        <v>2196</v>
      </c>
      <c r="C45" t="s">
        <v>476</v>
      </c>
      <c r="D45" t="s">
        <v>477</v>
      </c>
      <c r="E45" t="s">
        <v>227</v>
      </c>
      <c r="F45" t="s">
        <v>480</v>
      </c>
      <c r="G45">
        <v>12</v>
      </c>
      <c r="H45" t="s">
        <v>413</v>
      </c>
      <c r="I45" s="8">
        <v>114626790</v>
      </c>
    </row>
    <row r="46" spans="1:9" x14ac:dyDescent="0.25">
      <c r="A46" t="s">
        <v>2196</v>
      </c>
      <c r="B46" t="s">
        <v>2196</v>
      </c>
      <c r="C46" t="s">
        <v>482</v>
      </c>
      <c r="D46" t="s">
        <v>484</v>
      </c>
      <c r="E46" t="s">
        <v>487</v>
      </c>
      <c r="F46" t="s">
        <v>488</v>
      </c>
      <c r="G46">
        <v>12</v>
      </c>
      <c r="H46" t="s">
        <v>308</v>
      </c>
      <c r="I46" s="8">
        <v>16817500</v>
      </c>
    </row>
    <row r="47" spans="1:9" x14ac:dyDescent="0.25">
      <c r="A47" t="s">
        <v>2196</v>
      </c>
      <c r="B47" t="s">
        <v>2196</v>
      </c>
      <c r="C47" t="s">
        <v>493</v>
      </c>
      <c r="D47" t="s">
        <v>494</v>
      </c>
      <c r="E47" t="s">
        <v>497</v>
      </c>
      <c r="F47" t="s">
        <v>302</v>
      </c>
      <c r="G47">
        <v>24</v>
      </c>
      <c r="H47" t="s">
        <v>278</v>
      </c>
      <c r="I47" s="8">
        <v>72999996</v>
      </c>
    </row>
    <row r="48" spans="1:9" x14ac:dyDescent="0.25">
      <c r="A48" t="s">
        <v>2196</v>
      </c>
      <c r="B48" t="s">
        <v>2196</v>
      </c>
      <c r="C48" t="s">
        <v>499</v>
      </c>
      <c r="D48" t="s">
        <v>501</v>
      </c>
      <c r="E48" t="s">
        <v>505</v>
      </c>
      <c r="F48" t="s">
        <v>506</v>
      </c>
      <c r="G48">
        <v>16</v>
      </c>
      <c r="H48" t="s">
        <v>504</v>
      </c>
      <c r="I48" s="8">
        <v>56250000</v>
      </c>
    </row>
    <row r="49" spans="1:9" x14ac:dyDescent="0.25">
      <c r="A49" t="s">
        <v>2196</v>
      </c>
      <c r="B49" t="s">
        <v>2196</v>
      </c>
      <c r="C49" t="s">
        <v>509</v>
      </c>
      <c r="D49" t="s">
        <v>510</v>
      </c>
      <c r="E49" t="s">
        <v>513</v>
      </c>
      <c r="F49" t="s">
        <v>514</v>
      </c>
      <c r="G49">
        <v>12</v>
      </c>
      <c r="H49" t="s">
        <v>413</v>
      </c>
      <c r="I49" s="8">
        <v>83594337</v>
      </c>
    </row>
    <row r="50" spans="1:9" x14ac:dyDescent="0.25">
      <c r="A50" t="s">
        <v>2196</v>
      </c>
      <c r="B50" t="s">
        <v>2196</v>
      </c>
      <c r="C50" t="s">
        <v>517</v>
      </c>
      <c r="D50" t="s">
        <v>518</v>
      </c>
      <c r="E50" t="s">
        <v>522</v>
      </c>
      <c r="F50" t="s">
        <v>523</v>
      </c>
      <c r="G50">
        <v>15</v>
      </c>
      <c r="H50" t="s">
        <v>521</v>
      </c>
      <c r="I50" s="8">
        <v>10192001</v>
      </c>
    </row>
    <row r="51" spans="1:9" x14ac:dyDescent="0.25">
      <c r="A51" t="s">
        <v>2196</v>
      </c>
      <c r="B51" t="s">
        <v>2196</v>
      </c>
      <c r="C51" t="s">
        <v>527</v>
      </c>
      <c r="D51" t="s">
        <v>528</v>
      </c>
      <c r="E51" t="s">
        <v>531</v>
      </c>
      <c r="F51" t="s">
        <v>532</v>
      </c>
      <c r="G51">
        <v>12</v>
      </c>
      <c r="H51" t="s">
        <v>413</v>
      </c>
      <c r="I51" s="8">
        <v>40000000</v>
      </c>
    </row>
    <row r="52" spans="1:9" x14ac:dyDescent="0.25">
      <c r="A52" t="s">
        <v>2196</v>
      </c>
      <c r="B52" t="s">
        <v>2196</v>
      </c>
      <c r="C52" t="s">
        <v>535</v>
      </c>
      <c r="D52" t="s">
        <v>537</v>
      </c>
      <c r="E52" t="s">
        <v>531</v>
      </c>
      <c r="F52" t="s">
        <v>532</v>
      </c>
      <c r="G52">
        <v>12</v>
      </c>
      <c r="H52" t="s">
        <v>413</v>
      </c>
      <c r="I52" s="8">
        <v>80000000</v>
      </c>
    </row>
    <row r="53" spans="1:9" x14ac:dyDescent="0.25">
      <c r="A53" t="s">
        <v>2196</v>
      </c>
      <c r="B53" t="s">
        <v>2196</v>
      </c>
      <c r="C53" t="s">
        <v>539</v>
      </c>
      <c r="D53" t="s">
        <v>541</v>
      </c>
      <c r="E53" t="s">
        <v>55</v>
      </c>
      <c r="F53" t="s">
        <v>544</v>
      </c>
      <c r="G53">
        <v>24</v>
      </c>
      <c r="H53" t="s">
        <v>278</v>
      </c>
      <c r="I53" s="8">
        <v>39999996</v>
      </c>
    </row>
    <row r="54" spans="1:9" x14ac:dyDescent="0.25">
      <c r="A54" t="s">
        <v>2196</v>
      </c>
      <c r="B54" t="s">
        <v>2196</v>
      </c>
      <c r="C54" t="s">
        <v>548</v>
      </c>
      <c r="D54" t="s">
        <v>550</v>
      </c>
      <c r="E54" t="s">
        <v>55</v>
      </c>
      <c r="F54" t="s">
        <v>544</v>
      </c>
      <c r="G54">
        <v>12</v>
      </c>
      <c r="H54" t="s">
        <v>413</v>
      </c>
      <c r="I54" s="8">
        <v>96100000</v>
      </c>
    </row>
    <row r="55" spans="1:9" x14ac:dyDescent="0.25">
      <c r="A55" t="s">
        <v>2196</v>
      </c>
      <c r="B55" t="s">
        <v>2196</v>
      </c>
      <c r="C55" t="s">
        <v>552</v>
      </c>
      <c r="D55" t="s">
        <v>553</v>
      </c>
      <c r="E55" t="s">
        <v>122</v>
      </c>
      <c r="F55" t="s">
        <v>555</v>
      </c>
      <c r="G55">
        <v>24</v>
      </c>
      <c r="H55" t="s">
        <v>278</v>
      </c>
      <c r="I55" s="8">
        <v>100200000</v>
      </c>
    </row>
    <row r="56" spans="1:9" x14ac:dyDescent="0.25">
      <c r="A56" t="s">
        <v>2196</v>
      </c>
      <c r="B56" t="s">
        <v>2196</v>
      </c>
      <c r="C56" t="s">
        <v>557</v>
      </c>
      <c r="D56" t="s">
        <v>558</v>
      </c>
      <c r="E56" t="s">
        <v>122</v>
      </c>
      <c r="F56" t="s">
        <v>555</v>
      </c>
      <c r="G56">
        <v>12</v>
      </c>
      <c r="H56" t="s">
        <v>413</v>
      </c>
      <c r="I56" s="8">
        <v>30000000</v>
      </c>
    </row>
    <row r="57" spans="1:9" x14ac:dyDescent="0.25">
      <c r="A57" t="s">
        <v>2196</v>
      </c>
      <c r="B57" t="s">
        <v>2196</v>
      </c>
      <c r="C57" t="s">
        <v>560</v>
      </c>
      <c r="D57" t="s">
        <v>562</v>
      </c>
      <c r="E57" t="s">
        <v>169</v>
      </c>
      <c r="F57" t="s">
        <v>65</v>
      </c>
      <c r="G57">
        <v>32</v>
      </c>
      <c r="H57" t="s">
        <v>196</v>
      </c>
      <c r="I57" s="8">
        <v>69333336</v>
      </c>
    </row>
    <row r="58" spans="1:9" x14ac:dyDescent="0.25">
      <c r="A58" t="s">
        <v>2196</v>
      </c>
      <c r="B58" t="s">
        <v>2196</v>
      </c>
      <c r="C58" t="s">
        <v>251</v>
      </c>
      <c r="D58" t="s">
        <v>253</v>
      </c>
      <c r="E58" t="s">
        <v>257</v>
      </c>
      <c r="F58" t="s">
        <v>258</v>
      </c>
      <c r="G58">
        <v>2</v>
      </c>
      <c r="H58" t="s">
        <v>282</v>
      </c>
      <c r="I58" s="8">
        <v>225000</v>
      </c>
    </row>
    <row r="59" spans="1:9" x14ac:dyDescent="0.25">
      <c r="A59" t="s">
        <v>2196</v>
      </c>
      <c r="B59" t="s">
        <v>2196</v>
      </c>
      <c r="C59" t="s">
        <v>251</v>
      </c>
      <c r="D59" t="s">
        <v>253</v>
      </c>
      <c r="E59" t="s">
        <v>257</v>
      </c>
      <c r="F59" t="s">
        <v>258</v>
      </c>
      <c r="G59">
        <v>2</v>
      </c>
      <c r="H59" t="s">
        <v>266</v>
      </c>
      <c r="I59" s="8">
        <v>45150000</v>
      </c>
    </row>
    <row r="60" spans="1:9" x14ac:dyDescent="0.25">
      <c r="A60" t="s">
        <v>2196</v>
      </c>
      <c r="B60" t="s">
        <v>2196</v>
      </c>
      <c r="C60" t="s">
        <v>251</v>
      </c>
      <c r="D60" t="s">
        <v>253</v>
      </c>
      <c r="E60" t="s">
        <v>257</v>
      </c>
      <c r="F60" t="s">
        <v>258</v>
      </c>
      <c r="G60">
        <v>2</v>
      </c>
      <c r="H60" t="s">
        <v>264</v>
      </c>
      <c r="I60" s="8">
        <v>7000000</v>
      </c>
    </row>
    <row r="61" spans="1:9" x14ac:dyDescent="0.25">
      <c r="A61" t="s">
        <v>2196</v>
      </c>
      <c r="B61" t="s">
        <v>2196</v>
      </c>
      <c r="C61" t="s">
        <v>251</v>
      </c>
      <c r="D61" t="s">
        <v>253</v>
      </c>
      <c r="E61" t="s">
        <v>257</v>
      </c>
      <c r="F61" t="s">
        <v>258</v>
      </c>
      <c r="G61">
        <v>4</v>
      </c>
      <c r="H61" t="s">
        <v>268</v>
      </c>
      <c r="I61" s="8">
        <v>24820000</v>
      </c>
    </row>
    <row r="62" spans="1:9" x14ac:dyDescent="0.25">
      <c r="A62" t="s">
        <v>2196</v>
      </c>
      <c r="B62" t="s">
        <v>2196</v>
      </c>
      <c r="C62" t="s">
        <v>251</v>
      </c>
      <c r="D62" t="s">
        <v>253</v>
      </c>
      <c r="E62" t="s">
        <v>257</v>
      </c>
      <c r="F62" t="s">
        <v>258</v>
      </c>
      <c r="G62">
        <v>4</v>
      </c>
      <c r="H62" t="s">
        <v>262</v>
      </c>
      <c r="I62" s="8">
        <v>71900000</v>
      </c>
    </row>
    <row r="63" spans="1:9" x14ac:dyDescent="0.25">
      <c r="A63" t="s">
        <v>2196</v>
      </c>
      <c r="B63" t="s">
        <v>2196</v>
      </c>
      <c r="C63" t="s">
        <v>251</v>
      </c>
      <c r="D63" t="s">
        <v>253</v>
      </c>
      <c r="E63" t="s">
        <v>257</v>
      </c>
      <c r="F63" t="s">
        <v>258</v>
      </c>
      <c r="G63">
        <v>4</v>
      </c>
      <c r="H63" t="s">
        <v>256</v>
      </c>
      <c r="I63" s="8">
        <v>81500000</v>
      </c>
    </row>
    <row r="64" spans="1:9" x14ac:dyDescent="0.25">
      <c r="A64" t="s">
        <v>2196</v>
      </c>
      <c r="B64" t="s">
        <v>2196</v>
      </c>
      <c r="C64" t="s">
        <v>251</v>
      </c>
      <c r="D64" t="s">
        <v>253</v>
      </c>
      <c r="E64" t="s">
        <v>257</v>
      </c>
      <c r="F64" t="s">
        <v>258</v>
      </c>
      <c r="G64">
        <v>6</v>
      </c>
      <c r="H64" t="s">
        <v>270</v>
      </c>
      <c r="I64" s="8">
        <v>23200001</v>
      </c>
    </row>
    <row r="65" spans="1:9" x14ac:dyDescent="0.25">
      <c r="A65" t="s">
        <v>2196</v>
      </c>
      <c r="B65" t="s">
        <v>2196</v>
      </c>
      <c r="C65" t="s">
        <v>251</v>
      </c>
      <c r="D65" t="s">
        <v>253</v>
      </c>
      <c r="E65" t="s">
        <v>257</v>
      </c>
      <c r="F65" t="s">
        <v>258</v>
      </c>
      <c r="G65">
        <v>7</v>
      </c>
      <c r="H65" t="s">
        <v>256</v>
      </c>
      <c r="I65" s="8">
        <v>20800000</v>
      </c>
    </row>
    <row r="66" spans="1:9" x14ac:dyDescent="0.25">
      <c r="A66" t="s">
        <v>2196</v>
      </c>
      <c r="B66" t="s">
        <v>2196</v>
      </c>
      <c r="C66" t="s">
        <v>251</v>
      </c>
      <c r="D66" t="s">
        <v>253</v>
      </c>
      <c r="E66" t="s">
        <v>257</v>
      </c>
      <c r="F66" t="s">
        <v>258</v>
      </c>
      <c r="G66">
        <v>8</v>
      </c>
      <c r="H66" t="s">
        <v>276</v>
      </c>
      <c r="I66" s="8">
        <v>45800000</v>
      </c>
    </row>
    <row r="67" spans="1:9" x14ac:dyDescent="0.25">
      <c r="A67" t="s">
        <v>2196</v>
      </c>
      <c r="B67" t="s">
        <v>2196</v>
      </c>
      <c r="C67" t="s">
        <v>251</v>
      </c>
      <c r="D67" t="s">
        <v>253</v>
      </c>
      <c r="E67" t="s">
        <v>257</v>
      </c>
      <c r="F67" t="s">
        <v>258</v>
      </c>
      <c r="G67">
        <v>8</v>
      </c>
      <c r="H67" t="s">
        <v>273</v>
      </c>
      <c r="I67" s="8">
        <v>13950000</v>
      </c>
    </row>
    <row r="68" spans="1:9" x14ac:dyDescent="0.25">
      <c r="A68" t="s">
        <v>2196</v>
      </c>
      <c r="B68" t="s">
        <v>2196</v>
      </c>
      <c r="C68" t="s">
        <v>251</v>
      </c>
      <c r="D68" t="s">
        <v>253</v>
      </c>
      <c r="E68" t="s">
        <v>257</v>
      </c>
      <c r="F68" t="s">
        <v>258</v>
      </c>
      <c r="G68">
        <v>24</v>
      </c>
      <c r="H68" t="s">
        <v>278</v>
      </c>
      <c r="I68" s="8">
        <v>21279996</v>
      </c>
    </row>
    <row r="69" spans="1:9" x14ac:dyDescent="0.25">
      <c r="A69" t="s">
        <v>2196</v>
      </c>
      <c r="B69" t="s">
        <v>2196</v>
      </c>
      <c r="C69" t="s">
        <v>375</v>
      </c>
      <c r="D69" t="s">
        <v>376</v>
      </c>
      <c r="E69" t="s">
        <v>378</v>
      </c>
      <c r="F69" t="s">
        <v>361</v>
      </c>
      <c r="G69">
        <v>12</v>
      </c>
      <c r="H69" t="s">
        <v>318</v>
      </c>
      <c r="I69" s="8">
        <v>17416663</v>
      </c>
    </row>
    <row r="70" spans="1:9" x14ac:dyDescent="0.25">
      <c r="A70" t="s">
        <v>2196</v>
      </c>
      <c r="B70" t="s">
        <v>2196</v>
      </c>
      <c r="C70" t="s">
        <v>468</v>
      </c>
      <c r="D70" t="s">
        <v>470</v>
      </c>
      <c r="E70" t="s">
        <v>473</v>
      </c>
      <c r="F70" t="s">
        <v>474</v>
      </c>
      <c r="G70">
        <v>12</v>
      </c>
      <c r="H70" t="s">
        <v>413</v>
      </c>
      <c r="I70" s="8">
        <v>394362600</v>
      </c>
    </row>
    <row r="71" spans="1:9" x14ac:dyDescent="0.25">
      <c r="A71" t="s">
        <v>2196</v>
      </c>
      <c r="B71" t="s">
        <v>2196</v>
      </c>
      <c r="C71" t="s">
        <v>545</v>
      </c>
      <c r="D71" t="s">
        <v>546</v>
      </c>
      <c r="E71" t="s">
        <v>414</v>
      </c>
      <c r="F71" t="s">
        <v>415</v>
      </c>
      <c r="G71">
        <v>12</v>
      </c>
      <c r="H71" t="s">
        <v>318</v>
      </c>
      <c r="I71" s="8">
        <v>30800000</v>
      </c>
    </row>
    <row r="72" spans="1:9" x14ac:dyDescent="0.25">
      <c r="A72" t="s">
        <v>2199</v>
      </c>
      <c r="B72" t="s">
        <v>1238</v>
      </c>
      <c r="C72" t="s">
        <v>1369</v>
      </c>
      <c r="D72" t="s">
        <v>1370</v>
      </c>
      <c r="E72" t="s">
        <v>1299</v>
      </c>
      <c r="F72" t="s">
        <v>1300</v>
      </c>
      <c r="G72">
        <v>1</v>
      </c>
      <c r="H72" s="1">
        <v>46113</v>
      </c>
      <c r="I72" s="8">
        <v>1578831000</v>
      </c>
    </row>
    <row r="73" spans="1:9" x14ac:dyDescent="0.25">
      <c r="A73" t="s">
        <v>2199</v>
      </c>
      <c r="B73" t="s">
        <v>1238</v>
      </c>
      <c r="C73" t="s">
        <v>1385</v>
      </c>
      <c r="D73" t="s">
        <v>1386</v>
      </c>
      <c r="E73" t="s">
        <v>1299</v>
      </c>
      <c r="F73" t="s">
        <v>1300</v>
      </c>
      <c r="G73">
        <v>1</v>
      </c>
      <c r="H73" s="1">
        <v>46113</v>
      </c>
      <c r="I73" s="8">
        <v>1969068000</v>
      </c>
    </row>
    <row r="74" spans="1:9" x14ac:dyDescent="0.25">
      <c r="A74" t="s">
        <v>2199</v>
      </c>
      <c r="B74" t="s">
        <v>1238</v>
      </c>
      <c r="C74" t="s">
        <v>1387</v>
      </c>
      <c r="D74" t="s">
        <v>1388</v>
      </c>
      <c r="E74" t="s">
        <v>1299</v>
      </c>
      <c r="F74" t="s">
        <v>1300</v>
      </c>
      <c r="G74">
        <v>1</v>
      </c>
      <c r="H74" s="1">
        <v>46113</v>
      </c>
      <c r="I74" s="8">
        <v>18632000</v>
      </c>
    </row>
    <row r="75" spans="1:9" x14ac:dyDescent="0.25">
      <c r="A75" t="s">
        <v>2199</v>
      </c>
      <c r="B75" t="s">
        <v>1238</v>
      </c>
      <c r="C75" t="s">
        <v>1393</v>
      </c>
      <c r="D75" t="s">
        <v>1394</v>
      </c>
      <c r="E75" t="s">
        <v>1299</v>
      </c>
      <c r="F75" t="s">
        <v>1300</v>
      </c>
      <c r="G75">
        <v>1</v>
      </c>
      <c r="H75" s="1">
        <v>46113</v>
      </c>
      <c r="I75" s="8">
        <v>280000000</v>
      </c>
    </row>
    <row r="76" spans="1:9" x14ac:dyDescent="0.25">
      <c r="A76" t="s">
        <v>2199</v>
      </c>
      <c r="B76" t="s">
        <v>1238</v>
      </c>
      <c r="C76" t="s">
        <v>1398</v>
      </c>
      <c r="D76" t="s">
        <v>1399</v>
      </c>
      <c r="E76" t="s">
        <v>1299</v>
      </c>
      <c r="F76" t="s">
        <v>1300</v>
      </c>
      <c r="G76">
        <v>1</v>
      </c>
      <c r="H76" s="1">
        <v>46143</v>
      </c>
      <c r="I76" s="8">
        <v>61000000</v>
      </c>
    </row>
    <row r="77" spans="1:9" x14ac:dyDescent="0.25">
      <c r="A77" t="s">
        <v>2199</v>
      </c>
      <c r="B77" t="s">
        <v>1238</v>
      </c>
      <c r="C77" t="s">
        <v>1464</v>
      </c>
      <c r="D77" t="s">
        <v>1465</v>
      </c>
      <c r="E77" t="s">
        <v>1075</v>
      </c>
      <c r="F77" t="s">
        <v>1076</v>
      </c>
      <c r="G77">
        <v>1</v>
      </c>
      <c r="H77" s="1">
        <v>46023</v>
      </c>
      <c r="I77" s="8">
        <v>1000000</v>
      </c>
    </row>
    <row r="78" spans="1:9" x14ac:dyDescent="0.25">
      <c r="A78" t="s">
        <v>2199</v>
      </c>
      <c r="B78" t="s">
        <v>1238</v>
      </c>
      <c r="C78" t="s">
        <v>1485</v>
      </c>
      <c r="D78" t="s">
        <v>1486</v>
      </c>
      <c r="E78" t="s">
        <v>1211</v>
      </c>
      <c r="F78" t="s">
        <v>320</v>
      </c>
      <c r="G78">
        <v>1</v>
      </c>
      <c r="H78" s="1">
        <v>46054</v>
      </c>
      <c r="I78" s="8">
        <v>250000</v>
      </c>
    </row>
    <row r="79" spans="1:9" x14ac:dyDescent="0.25">
      <c r="A79" t="s">
        <v>2199</v>
      </c>
      <c r="B79" t="s">
        <v>1238</v>
      </c>
      <c r="C79" t="s">
        <v>1624</v>
      </c>
      <c r="D79" t="s">
        <v>1621</v>
      </c>
      <c r="E79" t="s">
        <v>1608</v>
      </c>
      <c r="F79" t="s">
        <v>361</v>
      </c>
      <c r="G79">
        <v>1</v>
      </c>
      <c r="H79" s="1">
        <v>46023</v>
      </c>
      <c r="I79" s="8">
        <v>780000</v>
      </c>
    </row>
    <row r="80" spans="1:9" x14ac:dyDescent="0.25">
      <c r="A80" t="s">
        <v>2199</v>
      </c>
      <c r="B80" t="s">
        <v>1238</v>
      </c>
      <c r="C80" t="s">
        <v>1673</v>
      </c>
      <c r="D80" t="s">
        <v>1674</v>
      </c>
      <c r="E80" t="s">
        <v>1299</v>
      </c>
      <c r="F80" t="s">
        <v>1300</v>
      </c>
      <c r="G80">
        <v>1</v>
      </c>
      <c r="H80" s="1">
        <v>46113</v>
      </c>
      <c r="I80" s="8">
        <v>6773000</v>
      </c>
    </row>
    <row r="81" spans="1:9" x14ac:dyDescent="0.25">
      <c r="A81" t="s">
        <v>2199</v>
      </c>
      <c r="B81" t="s">
        <v>1238</v>
      </c>
      <c r="C81" t="s">
        <v>2037</v>
      </c>
      <c r="D81" t="s">
        <v>1658</v>
      </c>
      <c r="E81" t="s">
        <v>2039</v>
      </c>
      <c r="F81" t="s">
        <v>1661</v>
      </c>
      <c r="G81">
        <v>1</v>
      </c>
      <c r="H81" s="1">
        <v>46174</v>
      </c>
      <c r="I81" s="8">
        <v>19000000</v>
      </c>
    </row>
    <row r="82" spans="1:9" x14ac:dyDescent="0.25">
      <c r="A82" t="s">
        <v>2199</v>
      </c>
      <c r="B82" t="s">
        <v>1238</v>
      </c>
      <c r="C82" t="s">
        <v>2063</v>
      </c>
      <c r="D82" t="s">
        <v>2064</v>
      </c>
      <c r="E82" t="s">
        <v>768</v>
      </c>
      <c r="F82" t="s">
        <v>966</v>
      </c>
      <c r="G82">
        <v>1</v>
      </c>
      <c r="H82" s="1">
        <v>46023</v>
      </c>
      <c r="I82" s="8">
        <v>300000</v>
      </c>
    </row>
    <row r="83" spans="1:9" x14ac:dyDescent="0.25">
      <c r="A83" t="s">
        <v>2199</v>
      </c>
      <c r="B83" t="s">
        <v>1238</v>
      </c>
      <c r="C83" t="s">
        <v>2102</v>
      </c>
      <c r="D83" t="s">
        <v>2103</v>
      </c>
      <c r="E83" t="s">
        <v>1759</v>
      </c>
      <c r="F83" t="s">
        <v>1760</v>
      </c>
      <c r="G83">
        <v>1</v>
      </c>
      <c r="H83" s="1">
        <v>46082</v>
      </c>
      <c r="I83" s="8">
        <v>16000000</v>
      </c>
    </row>
    <row r="84" spans="1:9" x14ac:dyDescent="0.25">
      <c r="A84" t="s">
        <v>2199</v>
      </c>
      <c r="B84" t="s">
        <v>1238</v>
      </c>
      <c r="C84" t="s">
        <v>2140</v>
      </c>
      <c r="D84" t="s">
        <v>2141</v>
      </c>
      <c r="E84" t="s">
        <v>768</v>
      </c>
      <c r="F84" t="s">
        <v>966</v>
      </c>
      <c r="G84">
        <v>1</v>
      </c>
      <c r="H84" s="1">
        <v>46054</v>
      </c>
      <c r="I84" s="8">
        <v>250000</v>
      </c>
    </row>
    <row r="85" spans="1:9" x14ac:dyDescent="0.25">
      <c r="A85" t="s">
        <v>2199</v>
      </c>
      <c r="B85" t="s">
        <v>1238</v>
      </c>
      <c r="C85" t="s">
        <v>1239</v>
      </c>
      <c r="D85" t="s">
        <v>1241</v>
      </c>
      <c r="E85" t="s">
        <v>122</v>
      </c>
      <c r="F85" t="s">
        <v>544</v>
      </c>
      <c r="G85">
        <v>1</v>
      </c>
      <c r="H85" s="1">
        <v>46113</v>
      </c>
      <c r="I85" s="8">
        <v>108183000</v>
      </c>
    </row>
    <row r="86" spans="1:9" x14ac:dyDescent="0.25">
      <c r="A86" t="s">
        <v>2199</v>
      </c>
      <c r="B86" t="s">
        <v>1238</v>
      </c>
      <c r="C86" t="s">
        <v>1289</v>
      </c>
      <c r="D86" t="s">
        <v>1291</v>
      </c>
      <c r="E86" t="s">
        <v>768</v>
      </c>
      <c r="F86" t="s">
        <v>386</v>
      </c>
      <c r="G86">
        <v>1</v>
      </c>
      <c r="H86" s="1">
        <v>46023</v>
      </c>
      <c r="I86" s="8">
        <v>4000005</v>
      </c>
    </row>
    <row r="87" spans="1:9" x14ac:dyDescent="0.25">
      <c r="A87" t="s">
        <v>2199</v>
      </c>
      <c r="B87" t="s">
        <v>1238</v>
      </c>
      <c r="C87" t="s">
        <v>1295</v>
      </c>
      <c r="D87" t="s">
        <v>1297</v>
      </c>
      <c r="E87" t="s">
        <v>1299</v>
      </c>
      <c r="F87" t="s">
        <v>1300</v>
      </c>
      <c r="G87">
        <v>1</v>
      </c>
      <c r="H87" s="1">
        <v>46113</v>
      </c>
      <c r="I87" s="8">
        <v>142663000</v>
      </c>
    </row>
    <row r="88" spans="1:9" x14ac:dyDescent="0.25">
      <c r="A88" t="s">
        <v>2199</v>
      </c>
      <c r="B88" t="s">
        <v>1238</v>
      </c>
      <c r="C88" t="s">
        <v>1349</v>
      </c>
      <c r="D88" t="s">
        <v>1350</v>
      </c>
      <c r="E88" t="s">
        <v>1299</v>
      </c>
      <c r="F88" t="s">
        <v>1300</v>
      </c>
      <c r="G88">
        <v>1</v>
      </c>
      <c r="H88" s="1">
        <v>46113</v>
      </c>
      <c r="I88" s="8">
        <v>210000000</v>
      </c>
    </row>
    <row r="89" spans="1:9" x14ac:dyDescent="0.25">
      <c r="A89" t="s">
        <v>2199</v>
      </c>
      <c r="B89" t="s">
        <v>1238</v>
      </c>
      <c r="C89" t="s">
        <v>1352</v>
      </c>
      <c r="D89" t="s">
        <v>1353</v>
      </c>
      <c r="E89" t="s">
        <v>1299</v>
      </c>
      <c r="F89" t="s">
        <v>1300</v>
      </c>
      <c r="G89">
        <v>1</v>
      </c>
      <c r="H89" s="1">
        <v>46204</v>
      </c>
      <c r="I89" s="8">
        <v>129075000</v>
      </c>
    </row>
    <row r="90" spans="1:9" x14ac:dyDescent="0.25">
      <c r="A90" t="s">
        <v>2199</v>
      </c>
      <c r="B90" t="s">
        <v>374</v>
      </c>
      <c r="C90" t="s">
        <v>1590</v>
      </c>
      <c r="D90" t="s">
        <v>1591</v>
      </c>
      <c r="E90" t="s">
        <v>761</v>
      </c>
      <c r="F90" t="s">
        <v>762</v>
      </c>
      <c r="G90">
        <v>1</v>
      </c>
      <c r="H90" s="1">
        <v>46143</v>
      </c>
      <c r="I90" s="8">
        <v>295000</v>
      </c>
    </row>
    <row r="91" spans="1:9" x14ac:dyDescent="0.25">
      <c r="A91" t="s">
        <v>2199</v>
      </c>
      <c r="B91" t="s">
        <v>374</v>
      </c>
      <c r="C91" t="s">
        <v>1575</v>
      </c>
      <c r="D91" t="s">
        <v>1576</v>
      </c>
      <c r="E91" t="s">
        <v>761</v>
      </c>
      <c r="F91" t="s">
        <v>762</v>
      </c>
      <c r="G91">
        <v>1</v>
      </c>
      <c r="H91" s="1">
        <v>46054</v>
      </c>
      <c r="I91" s="8">
        <v>6590000</v>
      </c>
    </row>
    <row r="92" spans="1:9" x14ac:dyDescent="0.25">
      <c r="A92" t="s">
        <v>2199</v>
      </c>
      <c r="B92" t="s">
        <v>374</v>
      </c>
      <c r="C92" t="s">
        <v>1575</v>
      </c>
      <c r="D92" t="s">
        <v>1576</v>
      </c>
      <c r="E92" t="s">
        <v>761</v>
      </c>
      <c r="F92" t="s">
        <v>762</v>
      </c>
      <c r="G92">
        <v>1</v>
      </c>
      <c r="H92" s="1">
        <v>46143</v>
      </c>
      <c r="I92" s="8">
        <v>120000</v>
      </c>
    </row>
    <row r="93" spans="1:9" x14ac:dyDescent="0.25">
      <c r="A93" t="s">
        <v>2199</v>
      </c>
      <c r="B93" t="s">
        <v>374</v>
      </c>
      <c r="C93" t="s">
        <v>1595</v>
      </c>
      <c r="D93" t="s">
        <v>1597</v>
      </c>
      <c r="E93" t="s">
        <v>761</v>
      </c>
      <c r="F93" t="s">
        <v>762</v>
      </c>
      <c r="G93">
        <v>1</v>
      </c>
      <c r="H93" s="1">
        <v>46054</v>
      </c>
      <c r="I93" s="8">
        <v>360000</v>
      </c>
    </row>
    <row r="94" spans="1:9" x14ac:dyDescent="0.25">
      <c r="A94" t="s">
        <v>2199</v>
      </c>
      <c r="B94" t="s">
        <v>374</v>
      </c>
      <c r="C94" t="s">
        <v>1645</v>
      </c>
      <c r="D94" t="s">
        <v>1646</v>
      </c>
      <c r="E94" t="s">
        <v>1649</v>
      </c>
      <c r="F94" t="s">
        <v>762</v>
      </c>
      <c r="G94">
        <v>1</v>
      </c>
      <c r="H94" s="1">
        <v>46235</v>
      </c>
      <c r="I94" s="8">
        <v>4160004</v>
      </c>
    </row>
    <row r="95" spans="1:9" x14ac:dyDescent="0.25">
      <c r="A95" t="s">
        <v>2199</v>
      </c>
      <c r="B95" t="s">
        <v>374</v>
      </c>
      <c r="C95" t="s">
        <v>1650</v>
      </c>
      <c r="D95" t="s">
        <v>1651</v>
      </c>
      <c r="E95" t="s">
        <v>761</v>
      </c>
      <c r="F95" t="s">
        <v>762</v>
      </c>
      <c r="G95">
        <v>1</v>
      </c>
      <c r="H95" s="1">
        <v>46143</v>
      </c>
      <c r="I95" s="8">
        <v>200004</v>
      </c>
    </row>
    <row r="96" spans="1:9" x14ac:dyDescent="0.25">
      <c r="A96" t="s">
        <v>2199</v>
      </c>
      <c r="B96" t="s">
        <v>374</v>
      </c>
      <c r="C96" t="s">
        <v>1654</v>
      </c>
      <c r="D96" t="s">
        <v>1655</v>
      </c>
      <c r="E96" t="s">
        <v>761</v>
      </c>
      <c r="F96" t="s">
        <v>762</v>
      </c>
      <c r="G96">
        <v>1</v>
      </c>
      <c r="H96" s="1">
        <v>46143</v>
      </c>
      <c r="I96" s="8">
        <v>280000</v>
      </c>
    </row>
    <row r="97" spans="1:9" x14ac:dyDescent="0.25">
      <c r="A97" t="s">
        <v>2199</v>
      </c>
      <c r="B97" t="s">
        <v>374</v>
      </c>
      <c r="C97" t="s">
        <v>1657</v>
      </c>
      <c r="D97" t="s">
        <v>1658</v>
      </c>
      <c r="E97" t="s">
        <v>1660</v>
      </c>
      <c r="F97" t="s">
        <v>1661</v>
      </c>
      <c r="G97">
        <v>1</v>
      </c>
      <c r="H97" s="1">
        <v>46235</v>
      </c>
      <c r="I97" s="8">
        <v>4600000</v>
      </c>
    </row>
    <row r="98" spans="1:9" x14ac:dyDescent="0.25">
      <c r="A98" t="s">
        <v>2199</v>
      </c>
      <c r="B98" t="s">
        <v>374</v>
      </c>
      <c r="C98" t="s">
        <v>1657</v>
      </c>
      <c r="D98" t="s">
        <v>1658</v>
      </c>
      <c r="E98" t="s">
        <v>1660</v>
      </c>
      <c r="F98" t="s">
        <v>1661</v>
      </c>
      <c r="G98">
        <v>1</v>
      </c>
      <c r="H98" s="1">
        <v>46266</v>
      </c>
      <c r="I98" s="8">
        <v>14110018</v>
      </c>
    </row>
    <row r="99" spans="1:9" x14ac:dyDescent="0.25">
      <c r="A99" t="s">
        <v>2199</v>
      </c>
      <c r="B99" t="s">
        <v>374</v>
      </c>
      <c r="C99" t="s">
        <v>1967</v>
      </c>
      <c r="D99" t="s">
        <v>1969</v>
      </c>
      <c r="E99" t="s">
        <v>768</v>
      </c>
      <c r="F99" t="s">
        <v>1972</v>
      </c>
      <c r="G99">
        <v>1</v>
      </c>
      <c r="H99" s="1">
        <v>46054</v>
      </c>
      <c r="I99" s="8">
        <v>207409</v>
      </c>
    </row>
    <row r="100" spans="1:9" x14ac:dyDescent="0.25">
      <c r="A100" t="s">
        <v>2199</v>
      </c>
      <c r="B100" t="s">
        <v>374</v>
      </c>
      <c r="C100" t="s">
        <v>2028</v>
      </c>
      <c r="D100" t="s">
        <v>2029</v>
      </c>
      <c r="E100" t="s">
        <v>2032</v>
      </c>
      <c r="F100" t="s">
        <v>2033</v>
      </c>
      <c r="G100">
        <v>1</v>
      </c>
      <c r="H100" s="1">
        <v>46082</v>
      </c>
      <c r="I100" s="8">
        <v>7584540</v>
      </c>
    </row>
    <row r="101" spans="1:9" x14ac:dyDescent="0.25">
      <c r="A101" t="s">
        <v>2199</v>
      </c>
      <c r="B101" t="s">
        <v>374</v>
      </c>
      <c r="C101" t="s">
        <v>2080</v>
      </c>
      <c r="D101" t="s">
        <v>2081</v>
      </c>
      <c r="E101" t="s">
        <v>768</v>
      </c>
      <c r="F101" t="s">
        <v>386</v>
      </c>
      <c r="G101">
        <v>1</v>
      </c>
      <c r="H101" s="1">
        <v>46082</v>
      </c>
      <c r="I101" s="8">
        <v>350280</v>
      </c>
    </row>
    <row r="102" spans="1:9" x14ac:dyDescent="0.25">
      <c r="A102" t="s">
        <v>2199</v>
      </c>
      <c r="B102" t="s">
        <v>374</v>
      </c>
      <c r="C102" t="s">
        <v>2086</v>
      </c>
      <c r="D102" t="s">
        <v>2087</v>
      </c>
      <c r="E102" t="s">
        <v>768</v>
      </c>
      <c r="F102" t="s">
        <v>386</v>
      </c>
      <c r="G102">
        <v>1</v>
      </c>
      <c r="H102" s="1">
        <v>46082</v>
      </c>
      <c r="I102" s="8">
        <v>506160</v>
      </c>
    </row>
    <row r="103" spans="1:9" x14ac:dyDescent="0.25">
      <c r="A103" t="s">
        <v>2199</v>
      </c>
      <c r="B103" t="s">
        <v>374</v>
      </c>
      <c r="C103" t="s">
        <v>2110</v>
      </c>
      <c r="D103" t="s">
        <v>2111</v>
      </c>
      <c r="E103" t="s">
        <v>768</v>
      </c>
      <c r="F103" t="s">
        <v>386</v>
      </c>
      <c r="G103">
        <v>1</v>
      </c>
      <c r="H103" s="1">
        <v>46023</v>
      </c>
      <c r="I103" s="8">
        <v>1303030</v>
      </c>
    </row>
    <row r="104" spans="1:9" x14ac:dyDescent="0.25">
      <c r="A104" t="s">
        <v>2199</v>
      </c>
      <c r="B104" t="s">
        <v>374</v>
      </c>
      <c r="C104" t="s">
        <v>2159</v>
      </c>
      <c r="D104" t="s">
        <v>2160</v>
      </c>
      <c r="E104" t="s">
        <v>761</v>
      </c>
      <c r="F104" t="s">
        <v>762</v>
      </c>
      <c r="G104">
        <v>1</v>
      </c>
      <c r="H104" s="1">
        <v>46054</v>
      </c>
      <c r="I104" s="8">
        <v>3960016</v>
      </c>
    </row>
    <row r="105" spans="1:9" x14ac:dyDescent="0.25">
      <c r="A105" t="s">
        <v>2199</v>
      </c>
      <c r="B105" t="s">
        <v>374</v>
      </c>
      <c r="C105" t="s">
        <v>2159</v>
      </c>
      <c r="D105" t="s">
        <v>2160</v>
      </c>
      <c r="E105" t="s">
        <v>761</v>
      </c>
      <c r="F105" t="s">
        <v>762</v>
      </c>
      <c r="G105">
        <v>1</v>
      </c>
      <c r="H105" s="1">
        <v>46174</v>
      </c>
      <c r="I105" s="8">
        <v>3850009</v>
      </c>
    </row>
    <row r="106" spans="1:9" x14ac:dyDescent="0.25">
      <c r="A106" t="s">
        <v>2199</v>
      </c>
      <c r="B106" t="s">
        <v>374</v>
      </c>
      <c r="C106" t="s">
        <v>2181</v>
      </c>
      <c r="D106" t="s">
        <v>2182</v>
      </c>
      <c r="E106" t="s">
        <v>761</v>
      </c>
      <c r="F106" t="s">
        <v>762</v>
      </c>
      <c r="G106">
        <v>1</v>
      </c>
      <c r="H106" s="1">
        <v>46143</v>
      </c>
      <c r="I106" s="8">
        <v>280008</v>
      </c>
    </row>
    <row r="107" spans="1:9" x14ac:dyDescent="0.25">
      <c r="A107" t="s">
        <v>2199</v>
      </c>
      <c r="B107" t="s">
        <v>374</v>
      </c>
      <c r="C107" t="s">
        <v>584</v>
      </c>
      <c r="D107" t="s">
        <v>586</v>
      </c>
      <c r="E107" t="s">
        <v>590</v>
      </c>
      <c r="F107" t="s">
        <v>591</v>
      </c>
      <c r="G107">
        <v>10</v>
      </c>
      <c r="H107" t="s">
        <v>589</v>
      </c>
      <c r="I107" s="8">
        <v>56320000</v>
      </c>
    </row>
    <row r="108" spans="1:9" x14ac:dyDescent="0.25">
      <c r="A108" t="s">
        <v>2199</v>
      </c>
      <c r="B108" t="s">
        <v>374</v>
      </c>
      <c r="C108" t="s">
        <v>605</v>
      </c>
      <c r="D108" t="s">
        <v>607</v>
      </c>
      <c r="E108" t="s">
        <v>609</v>
      </c>
      <c r="F108" t="s">
        <v>610</v>
      </c>
      <c r="G108">
        <v>1</v>
      </c>
      <c r="H108" s="1">
        <v>46113</v>
      </c>
      <c r="I108" s="8">
        <v>30000000</v>
      </c>
    </row>
    <row r="109" spans="1:9" x14ac:dyDescent="0.25">
      <c r="A109" t="s">
        <v>2199</v>
      </c>
      <c r="B109" t="s">
        <v>374</v>
      </c>
      <c r="C109" t="s">
        <v>605</v>
      </c>
      <c r="D109" t="s">
        <v>607</v>
      </c>
      <c r="E109" t="s">
        <v>609</v>
      </c>
      <c r="F109" t="s">
        <v>610</v>
      </c>
      <c r="G109">
        <v>1</v>
      </c>
      <c r="H109" s="1">
        <v>46143</v>
      </c>
      <c r="I109" s="8">
        <v>30000000</v>
      </c>
    </row>
    <row r="110" spans="1:9" x14ac:dyDescent="0.25">
      <c r="A110" t="s">
        <v>2199</v>
      </c>
      <c r="B110" t="s">
        <v>374</v>
      </c>
      <c r="C110" t="s">
        <v>614</v>
      </c>
      <c r="D110" t="s">
        <v>616</v>
      </c>
      <c r="E110" t="s">
        <v>590</v>
      </c>
      <c r="F110" t="s">
        <v>591</v>
      </c>
      <c r="G110">
        <v>1</v>
      </c>
      <c r="H110" s="1">
        <v>46082</v>
      </c>
      <c r="I110" s="8">
        <v>410000</v>
      </c>
    </row>
    <row r="111" spans="1:9" x14ac:dyDescent="0.25">
      <c r="A111" t="s">
        <v>2199</v>
      </c>
      <c r="B111" t="s">
        <v>374</v>
      </c>
      <c r="C111" t="s">
        <v>683</v>
      </c>
      <c r="D111" t="s">
        <v>684</v>
      </c>
      <c r="E111" t="s">
        <v>657</v>
      </c>
      <c r="F111" t="s">
        <v>658</v>
      </c>
      <c r="G111">
        <v>1</v>
      </c>
      <c r="H111" s="1">
        <v>46235</v>
      </c>
      <c r="I111" s="8">
        <v>225000</v>
      </c>
    </row>
    <row r="112" spans="1:9" x14ac:dyDescent="0.25">
      <c r="A112" t="s">
        <v>2199</v>
      </c>
      <c r="B112" t="s">
        <v>374</v>
      </c>
      <c r="C112" t="s">
        <v>693</v>
      </c>
      <c r="D112" t="s">
        <v>694</v>
      </c>
      <c r="E112" t="s">
        <v>657</v>
      </c>
      <c r="F112" t="s">
        <v>658</v>
      </c>
      <c r="G112">
        <v>1</v>
      </c>
      <c r="H112" s="1">
        <v>46054</v>
      </c>
      <c r="I112" s="8">
        <v>260000</v>
      </c>
    </row>
    <row r="113" spans="1:9" x14ac:dyDescent="0.25">
      <c r="A113" t="s">
        <v>2199</v>
      </c>
      <c r="B113" t="s">
        <v>374</v>
      </c>
      <c r="C113" t="s">
        <v>699</v>
      </c>
      <c r="D113" t="s">
        <v>700</v>
      </c>
      <c r="E113" t="s">
        <v>657</v>
      </c>
      <c r="F113" t="s">
        <v>658</v>
      </c>
      <c r="G113">
        <v>1</v>
      </c>
      <c r="H113" s="1">
        <v>46174</v>
      </c>
      <c r="I113" s="8">
        <v>450000</v>
      </c>
    </row>
    <row r="114" spans="1:9" x14ac:dyDescent="0.25">
      <c r="A114" t="s">
        <v>2199</v>
      </c>
      <c r="B114" t="s">
        <v>374</v>
      </c>
      <c r="C114" t="s">
        <v>699</v>
      </c>
      <c r="D114" t="s">
        <v>700</v>
      </c>
      <c r="E114" t="s">
        <v>657</v>
      </c>
      <c r="F114" t="s">
        <v>658</v>
      </c>
      <c r="G114">
        <v>1</v>
      </c>
      <c r="H114" s="1">
        <v>46357</v>
      </c>
      <c r="I114" s="8">
        <v>450000</v>
      </c>
    </row>
    <row r="115" spans="1:9" x14ac:dyDescent="0.25">
      <c r="A115" t="s">
        <v>2199</v>
      </c>
      <c r="B115" t="s">
        <v>374</v>
      </c>
      <c r="C115" t="s">
        <v>702</v>
      </c>
      <c r="D115" t="s">
        <v>703</v>
      </c>
      <c r="E115" t="s">
        <v>657</v>
      </c>
      <c r="F115" t="s">
        <v>658</v>
      </c>
      <c r="G115">
        <v>1</v>
      </c>
      <c r="H115" s="1">
        <v>46266</v>
      </c>
      <c r="I115" s="8">
        <v>625000</v>
      </c>
    </row>
    <row r="116" spans="1:9" x14ac:dyDescent="0.25">
      <c r="A116" t="s">
        <v>2199</v>
      </c>
      <c r="B116" t="s">
        <v>374</v>
      </c>
      <c r="C116" t="s">
        <v>709</v>
      </c>
      <c r="D116" t="s">
        <v>710</v>
      </c>
      <c r="E116" t="s">
        <v>590</v>
      </c>
      <c r="F116" t="s">
        <v>591</v>
      </c>
      <c r="G116">
        <v>1</v>
      </c>
      <c r="H116" s="1">
        <v>46082</v>
      </c>
      <c r="I116" s="8">
        <v>150000</v>
      </c>
    </row>
    <row r="117" spans="1:9" x14ac:dyDescent="0.25">
      <c r="A117" t="s">
        <v>2199</v>
      </c>
      <c r="B117" t="s">
        <v>374</v>
      </c>
      <c r="C117" t="s">
        <v>737</v>
      </c>
      <c r="D117" t="s">
        <v>738</v>
      </c>
      <c r="E117" t="s">
        <v>657</v>
      </c>
      <c r="F117" t="s">
        <v>658</v>
      </c>
      <c r="G117">
        <v>1</v>
      </c>
      <c r="H117" s="1">
        <v>46023</v>
      </c>
      <c r="I117" s="8">
        <v>2772880</v>
      </c>
    </row>
    <row r="118" spans="1:9" x14ac:dyDescent="0.25">
      <c r="A118" t="s">
        <v>2199</v>
      </c>
      <c r="B118" t="s">
        <v>374</v>
      </c>
      <c r="C118" t="s">
        <v>741</v>
      </c>
      <c r="D118" t="s">
        <v>742</v>
      </c>
      <c r="E118" t="s">
        <v>657</v>
      </c>
      <c r="F118" t="s">
        <v>658</v>
      </c>
      <c r="G118">
        <v>1</v>
      </c>
      <c r="H118" s="1">
        <v>46082</v>
      </c>
      <c r="I118" s="8">
        <v>1468231</v>
      </c>
    </row>
    <row r="119" spans="1:9" x14ac:dyDescent="0.25">
      <c r="A119" t="s">
        <v>2199</v>
      </c>
      <c r="B119" t="s">
        <v>374</v>
      </c>
      <c r="C119" t="s">
        <v>749</v>
      </c>
      <c r="D119" t="s">
        <v>750</v>
      </c>
      <c r="E119" t="s">
        <v>657</v>
      </c>
      <c r="F119" t="s">
        <v>658</v>
      </c>
      <c r="G119">
        <v>1</v>
      </c>
      <c r="H119" s="1">
        <v>46113</v>
      </c>
      <c r="I119" s="8">
        <v>350000</v>
      </c>
    </row>
    <row r="120" spans="1:9" x14ac:dyDescent="0.25">
      <c r="A120" t="s">
        <v>2199</v>
      </c>
      <c r="B120" t="s">
        <v>374</v>
      </c>
      <c r="C120" t="s">
        <v>753</v>
      </c>
      <c r="D120" t="s">
        <v>754</v>
      </c>
      <c r="E120" t="s">
        <v>657</v>
      </c>
      <c r="F120" t="s">
        <v>658</v>
      </c>
      <c r="G120">
        <v>1</v>
      </c>
      <c r="H120" s="1">
        <v>46082</v>
      </c>
      <c r="I120" s="8">
        <v>1287890</v>
      </c>
    </row>
    <row r="121" spans="1:9" x14ac:dyDescent="0.25">
      <c r="A121" t="s">
        <v>2199</v>
      </c>
      <c r="B121" t="s">
        <v>374</v>
      </c>
      <c r="C121" t="s">
        <v>765</v>
      </c>
      <c r="D121" t="s">
        <v>766</v>
      </c>
      <c r="E121" t="s">
        <v>768</v>
      </c>
      <c r="F121" t="s">
        <v>386</v>
      </c>
      <c r="G121">
        <v>1</v>
      </c>
      <c r="H121" s="1">
        <v>46082</v>
      </c>
      <c r="I121" s="8">
        <v>283834</v>
      </c>
    </row>
    <row r="122" spans="1:9" x14ac:dyDescent="0.25">
      <c r="A122" t="s">
        <v>2199</v>
      </c>
      <c r="B122" t="s">
        <v>374</v>
      </c>
      <c r="C122" t="s">
        <v>782</v>
      </c>
      <c r="D122" t="s">
        <v>784</v>
      </c>
      <c r="E122" t="s">
        <v>768</v>
      </c>
      <c r="F122" t="s">
        <v>386</v>
      </c>
      <c r="G122">
        <v>1</v>
      </c>
      <c r="H122" s="1">
        <v>46023</v>
      </c>
      <c r="I122" s="8">
        <v>266424</v>
      </c>
    </row>
    <row r="123" spans="1:9" x14ac:dyDescent="0.25">
      <c r="A123" t="s">
        <v>2199</v>
      </c>
      <c r="B123" t="s">
        <v>374</v>
      </c>
      <c r="C123" t="s">
        <v>794</v>
      </c>
      <c r="D123" t="s">
        <v>795</v>
      </c>
      <c r="E123" t="s">
        <v>768</v>
      </c>
      <c r="F123" t="s">
        <v>386</v>
      </c>
      <c r="G123">
        <v>1</v>
      </c>
      <c r="H123" s="1">
        <v>46023</v>
      </c>
      <c r="I123" s="8">
        <v>503080</v>
      </c>
    </row>
    <row r="124" spans="1:9" x14ac:dyDescent="0.25">
      <c r="A124" t="s">
        <v>2199</v>
      </c>
      <c r="B124" t="s">
        <v>374</v>
      </c>
      <c r="C124" t="s">
        <v>799</v>
      </c>
      <c r="D124" t="s">
        <v>801</v>
      </c>
      <c r="E124" t="s">
        <v>768</v>
      </c>
      <c r="F124" t="s">
        <v>386</v>
      </c>
      <c r="G124">
        <v>1</v>
      </c>
      <c r="H124" s="1">
        <v>46054</v>
      </c>
      <c r="I124" s="8">
        <v>85670</v>
      </c>
    </row>
    <row r="125" spans="1:9" x14ac:dyDescent="0.25">
      <c r="A125" t="s">
        <v>2199</v>
      </c>
      <c r="B125" t="s">
        <v>374</v>
      </c>
      <c r="C125" t="s">
        <v>822</v>
      </c>
      <c r="D125" t="s">
        <v>823</v>
      </c>
      <c r="E125" t="s">
        <v>768</v>
      </c>
      <c r="F125" t="s">
        <v>386</v>
      </c>
      <c r="G125">
        <v>1</v>
      </c>
      <c r="H125" s="1">
        <v>46023</v>
      </c>
      <c r="I125" s="8">
        <v>450012</v>
      </c>
    </row>
    <row r="126" spans="1:9" x14ac:dyDescent="0.25">
      <c r="A126" t="s">
        <v>2199</v>
      </c>
      <c r="B126" t="s">
        <v>374</v>
      </c>
      <c r="C126" t="s">
        <v>841</v>
      </c>
      <c r="D126" t="s">
        <v>843</v>
      </c>
      <c r="E126" t="s">
        <v>768</v>
      </c>
      <c r="F126" t="s">
        <v>386</v>
      </c>
      <c r="G126">
        <v>1</v>
      </c>
      <c r="H126" s="1">
        <v>46023</v>
      </c>
      <c r="I126" s="8">
        <v>150000</v>
      </c>
    </row>
    <row r="127" spans="1:9" x14ac:dyDescent="0.25">
      <c r="A127" t="s">
        <v>2199</v>
      </c>
      <c r="B127" t="s">
        <v>374</v>
      </c>
      <c r="C127" t="s">
        <v>847</v>
      </c>
      <c r="D127" t="s">
        <v>848</v>
      </c>
      <c r="E127" t="s">
        <v>768</v>
      </c>
      <c r="F127" t="s">
        <v>386</v>
      </c>
      <c r="G127">
        <v>1</v>
      </c>
      <c r="H127" s="1">
        <v>46204</v>
      </c>
      <c r="I127" s="8">
        <v>72793</v>
      </c>
    </row>
    <row r="128" spans="1:9" x14ac:dyDescent="0.25">
      <c r="A128" t="s">
        <v>2199</v>
      </c>
      <c r="B128" t="s">
        <v>374</v>
      </c>
      <c r="C128" t="s">
        <v>851</v>
      </c>
      <c r="D128" t="s">
        <v>852</v>
      </c>
      <c r="E128" t="s">
        <v>768</v>
      </c>
      <c r="F128" t="s">
        <v>386</v>
      </c>
      <c r="G128">
        <v>1</v>
      </c>
      <c r="H128" s="1">
        <v>46235</v>
      </c>
      <c r="I128" s="8">
        <v>589022</v>
      </c>
    </row>
    <row r="129" spans="1:9" x14ac:dyDescent="0.25">
      <c r="A129" t="s">
        <v>2199</v>
      </c>
      <c r="B129" t="s">
        <v>374</v>
      </c>
      <c r="C129" t="s">
        <v>856</v>
      </c>
      <c r="D129" t="s">
        <v>857</v>
      </c>
      <c r="E129" t="s">
        <v>768</v>
      </c>
      <c r="F129" t="s">
        <v>386</v>
      </c>
      <c r="G129">
        <v>1</v>
      </c>
      <c r="H129" s="1">
        <v>46082</v>
      </c>
      <c r="I129" s="8">
        <v>300000</v>
      </c>
    </row>
    <row r="130" spans="1:9" x14ac:dyDescent="0.25">
      <c r="A130" t="s">
        <v>2199</v>
      </c>
      <c r="B130" t="s">
        <v>374</v>
      </c>
      <c r="C130" t="s">
        <v>915</v>
      </c>
      <c r="D130" t="s">
        <v>916</v>
      </c>
      <c r="E130" t="s">
        <v>768</v>
      </c>
      <c r="F130" t="s">
        <v>386</v>
      </c>
      <c r="G130">
        <v>1</v>
      </c>
      <c r="H130" s="1">
        <v>46327</v>
      </c>
      <c r="I130" s="8">
        <v>399870</v>
      </c>
    </row>
    <row r="131" spans="1:9" x14ac:dyDescent="0.25">
      <c r="A131" t="s">
        <v>2199</v>
      </c>
      <c r="B131" t="s">
        <v>374</v>
      </c>
      <c r="C131" t="s">
        <v>919</v>
      </c>
      <c r="D131" t="s">
        <v>920</v>
      </c>
      <c r="E131" t="s">
        <v>768</v>
      </c>
      <c r="F131" t="s">
        <v>386</v>
      </c>
      <c r="G131">
        <v>1</v>
      </c>
      <c r="H131" s="1">
        <v>46023</v>
      </c>
      <c r="I131" s="8">
        <v>159016</v>
      </c>
    </row>
    <row r="132" spans="1:9" x14ac:dyDescent="0.25">
      <c r="A132" t="s">
        <v>2199</v>
      </c>
      <c r="B132" t="s">
        <v>374</v>
      </c>
      <c r="C132" t="s">
        <v>927</v>
      </c>
      <c r="D132" t="s">
        <v>928</v>
      </c>
      <c r="E132" t="s">
        <v>768</v>
      </c>
      <c r="F132" t="s">
        <v>386</v>
      </c>
      <c r="G132">
        <v>1</v>
      </c>
      <c r="H132" s="1">
        <v>46054</v>
      </c>
      <c r="I132" s="8">
        <v>1131791</v>
      </c>
    </row>
    <row r="133" spans="1:9" x14ac:dyDescent="0.25">
      <c r="A133" t="s">
        <v>2199</v>
      </c>
      <c r="B133" t="s">
        <v>374</v>
      </c>
      <c r="C133" t="s">
        <v>1030</v>
      </c>
      <c r="D133" t="s">
        <v>1032</v>
      </c>
      <c r="E133" t="s">
        <v>1035</v>
      </c>
      <c r="F133" t="s">
        <v>1036</v>
      </c>
      <c r="G133">
        <v>1</v>
      </c>
      <c r="H133" s="1">
        <v>46082</v>
      </c>
      <c r="I133" s="8">
        <v>30400000</v>
      </c>
    </row>
    <row r="134" spans="1:9" x14ac:dyDescent="0.25">
      <c r="A134" t="s">
        <v>2199</v>
      </c>
      <c r="B134" t="s">
        <v>374</v>
      </c>
      <c r="C134" t="s">
        <v>1052</v>
      </c>
      <c r="D134" t="s">
        <v>1053</v>
      </c>
      <c r="E134" t="s">
        <v>768</v>
      </c>
      <c r="F134" t="s">
        <v>386</v>
      </c>
      <c r="G134">
        <v>1</v>
      </c>
      <c r="H134" s="1">
        <v>46082</v>
      </c>
      <c r="I134" s="8">
        <v>211860</v>
      </c>
    </row>
    <row r="135" spans="1:9" x14ac:dyDescent="0.25">
      <c r="A135" t="s">
        <v>2199</v>
      </c>
      <c r="B135" t="s">
        <v>374</v>
      </c>
      <c r="C135" t="s">
        <v>1055</v>
      </c>
      <c r="D135" t="s">
        <v>1056</v>
      </c>
      <c r="E135" t="s">
        <v>768</v>
      </c>
      <c r="F135" t="s">
        <v>386</v>
      </c>
      <c r="G135">
        <v>1</v>
      </c>
      <c r="H135" s="1">
        <v>46082</v>
      </c>
      <c r="I135" s="8">
        <v>263860</v>
      </c>
    </row>
    <row r="136" spans="1:9" x14ac:dyDescent="0.25">
      <c r="A136" t="s">
        <v>2199</v>
      </c>
      <c r="B136" t="s">
        <v>374</v>
      </c>
      <c r="C136" t="s">
        <v>1066</v>
      </c>
      <c r="D136" t="s">
        <v>1067</v>
      </c>
      <c r="E136" t="s">
        <v>790</v>
      </c>
      <c r="F136" t="s">
        <v>791</v>
      </c>
      <c r="G136">
        <v>1</v>
      </c>
      <c r="H136" s="1">
        <v>46296</v>
      </c>
      <c r="I136" s="8">
        <v>1750000</v>
      </c>
    </row>
    <row r="137" spans="1:9" x14ac:dyDescent="0.25">
      <c r="A137" t="s">
        <v>2199</v>
      </c>
      <c r="B137" t="s">
        <v>374</v>
      </c>
      <c r="C137" t="s">
        <v>1143</v>
      </c>
      <c r="D137" t="s">
        <v>1144</v>
      </c>
      <c r="E137" t="s">
        <v>768</v>
      </c>
      <c r="F137" t="s">
        <v>386</v>
      </c>
      <c r="G137">
        <v>1</v>
      </c>
      <c r="H137" s="1">
        <v>46235</v>
      </c>
      <c r="I137" s="8">
        <v>249504</v>
      </c>
    </row>
    <row r="138" spans="1:9" x14ac:dyDescent="0.25">
      <c r="A138" t="s">
        <v>2199</v>
      </c>
      <c r="B138" t="s">
        <v>374</v>
      </c>
      <c r="C138" t="s">
        <v>1149</v>
      </c>
      <c r="D138" t="s">
        <v>1150</v>
      </c>
      <c r="E138" t="s">
        <v>1152</v>
      </c>
      <c r="F138" t="s">
        <v>1153</v>
      </c>
      <c r="G138">
        <v>1</v>
      </c>
      <c r="H138" s="1">
        <v>46113</v>
      </c>
      <c r="I138" s="8">
        <v>672240</v>
      </c>
    </row>
    <row r="139" spans="1:9" x14ac:dyDescent="0.25">
      <c r="A139" t="s">
        <v>2199</v>
      </c>
      <c r="B139" t="s">
        <v>374</v>
      </c>
      <c r="C139" t="s">
        <v>1171</v>
      </c>
      <c r="D139" t="s">
        <v>1172</v>
      </c>
      <c r="E139" t="s">
        <v>1152</v>
      </c>
      <c r="F139" t="s">
        <v>1153</v>
      </c>
      <c r="G139">
        <v>1</v>
      </c>
      <c r="H139" s="1">
        <v>46174</v>
      </c>
      <c r="I139" s="8">
        <v>2975561</v>
      </c>
    </row>
    <row r="140" spans="1:9" x14ac:dyDescent="0.25">
      <c r="A140" t="s">
        <v>2199</v>
      </c>
      <c r="B140" t="s">
        <v>374</v>
      </c>
      <c r="C140" t="s">
        <v>1193</v>
      </c>
      <c r="D140" t="s">
        <v>1194</v>
      </c>
      <c r="E140" t="s">
        <v>733</v>
      </c>
      <c r="F140" t="s">
        <v>734</v>
      </c>
      <c r="G140">
        <v>1</v>
      </c>
      <c r="H140" s="1">
        <v>46204</v>
      </c>
      <c r="I140" s="8">
        <v>750000</v>
      </c>
    </row>
    <row r="141" spans="1:9" x14ac:dyDescent="0.25">
      <c r="A141" t="s">
        <v>2199</v>
      </c>
      <c r="B141" t="s">
        <v>374</v>
      </c>
      <c r="C141" t="s">
        <v>1193</v>
      </c>
      <c r="D141" t="s">
        <v>1194</v>
      </c>
      <c r="E141" t="s">
        <v>733</v>
      </c>
      <c r="F141" t="s">
        <v>734</v>
      </c>
      <c r="G141">
        <v>1</v>
      </c>
      <c r="H141" s="1">
        <v>46296</v>
      </c>
      <c r="I141" s="8">
        <v>750000</v>
      </c>
    </row>
    <row r="142" spans="1:9" x14ac:dyDescent="0.25">
      <c r="A142" t="s">
        <v>2199</v>
      </c>
      <c r="B142" t="s">
        <v>374</v>
      </c>
      <c r="C142" t="s">
        <v>1264</v>
      </c>
      <c r="D142" t="s">
        <v>1266</v>
      </c>
      <c r="E142" t="s">
        <v>768</v>
      </c>
      <c r="F142" t="s">
        <v>386</v>
      </c>
      <c r="G142">
        <v>1</v>
      </c>
      <c r="H142" s="1">
        <v>46082</v>
      </c>
      <c r="I142" s="8">
        <v>277131</v>
      </c>
    </row>
    <row r="143" spans="1:9" x14ac:dyDescent="0.25">
      <c r="A143" t="s">
        <v>2199</v>
      </c>
      <c r="B143" t="s">
        <v>28</v>
      </c>
      <c r="C143" t="s">
        <v>619</v>
      </c>
      <c r="D143" t="s">
        <v>621</v>
      </c>
      <c r="E143" t="s">
        <v>624</v>
      </c>
      <c r="F143" t="s">
        <v>625</v>
      </c>
      <c r="G143">
        <v>1</v>
      </c>
      <c r="H143" s="1">
        <v>46266</v>
      </c>
      <c r="I143" s="8">
        <v>1250000</v>
      </c>
    </row>
    <row r="144" spans="1:9" x14ac:dyDescent="0.25">
      <c r="A144" t="s">
        <v>2199</v>
      </c>
      <c r="B144" t="s">
        <v>28</v>
      </c>
      <c r="C144" t="s">
        <v>628</v>
      </c>
      <c r="D144" t="s">
        <v>629</v>
      </c>
      <c r="E144" t="s">
        <v>624</v>
      </c>
      <c r="F144" t="s">
        <v>625</v>
      </c>
      <c r="G144">
        <v>1</v>
      </c>
      <c r="H144" s="1">
        <v>46174</v>
      </c>
      <c r="I144" s="8">
        <v>300000</v>
      </c>
    </row>
    <row r="145" spans="1:9" x14ac:dyDescent="0.25">
      <c r="A145" t="s">
        <v>2199</v>
      </c>
      <c r="B145" t="s">
        <v>28</v>
      </c>
      <c r="C145" t="s">
        <v>632</v>
      </c>
      <c r="D145" t="s">
        <v>634</v>
      </c>
      <c r="E145" t="s">
        <v>624</v>
      </c>
      <c r="F145" t="s">
        <v>625</v>
      </c>
      <c r="G145">
        <v>1</v>
      </c>
      <c r="H145" s="1">
        <v>46204</v>
      </c>
      <c r="I145" s="8">
        <v>1320000</v>
      </c>
    </row>
    <row r="146" spans="1:9" x14ac:dyDescent="0.25">
      <c r="A146" t="s">
        <v>2199</v>
      </c>
      <c r="B146" t="s">
        <v>28</v>
      </c>
      <c r="C146" t="s">
        <v>637</v>
      </c>
      <c r="D146" t="s">
        <v>638</v>
      </c>
      <c r="E146" t="s">
        <v>640</v>
      </c>
      <c r="F146" t="s">
        <v>641</v>
      </c>
      <c r="G146">
        <v>1</v>
      </c>
      <c r="H146" s="1">
        <v>46082</v>
      </c>
      <c r="I146" s="8">
        <v>2000700</v>
      </c>
    </row>
    <row r="147" spans="1:9" x14ac:dyDescent="0.25">
      <c r="A147" t="s">
        <v>2199</v>
      </c>
      <c r="B147" t="s">
        <v>28</v>
      </c>
      <c r="C147" t="s">
        <v>644</v>
      </c>
      <c r="D147" t="s">
        <v>646</v>
      </c>
      <c r="E147" t="s">
        <v>640</v>
      </c>
      <c r="F147" t="s">
        <v>641</v>
      </c>
      <c r="G147">
        <v>1</v>
      </c>
      <c r="H147" s="1">
        <v>46082</v>
      </c>
      <c r="I147" s="8">
        <v>1510005</v>
      </c>
    </row>
    <row r="148" spans="1:9" x14ac:dyDescent="0.25">
      <c r="A148" t="s">
        <v>2199</v>
      </c>
      <c r="B148" t="s">
        <v>28</v>
      </c>
      <c r="C148" t="s">
        <v>649</v>
      </c>
      <c r="D148" t="s">
        <v>650</v>
      </c>
      <c r="E148" t="s">
        <v>640</v>
      </c>
      <c r="F148" t="s">
        <v>641</v>
      </c>
      <c r="G148">
        <v>1</v>
      </c>
      <c r="H148" s="1">
        <v>46082</v>
      </c>
      <c r="I148" s="8">
        <v>872500</v>
      </c>
    </row>
    <row r="149" spans="1:9" x14ac:dyDescent="0.25">
      <c r="A149" t="s">
        <v>2199</v>
      </c>
      <c r="B149" t="s">
        <v>28</v>
      </c>
      <c r="C149" t="s">
        <v>653</v>
      </c>
      <c r="D149" t="s">
        <v>655</v>
      </c>
      <c r="E149" t="s">
        <v>657</v>
      </c>
      <c r="F149" t="s">
        <v>658</v>
      </c>
      <c r="G149">
        <v>1</v>
      </c>
      <c r="H149" s="1">
        <v>46327</v>
      </c>
      <c r="I149" s="8">
        <v>540000</v>
      </c>
    </row>
    <row r="150" spans="1:9" x14ac:dyDescent="0.25">
      <c r="A150" t="s">
        <v>2199</v>
      </c>
      <c r="B150" t="s">
        <v>28</v>
      </c>
      <c r="C150" t="s">
        <v>661</v>
      </c>
      <c r="D150" t="s">
        <v>662</v>
      </c>
      <c r="E150" t="s">
        <v>657</v>
      </c>
      <c r="F150" t="s">
        <v>658</v>
      </c>
      <c r="G150">
        <v>1</v>
      </c>
      <c r="H150" s="1">
        <v>46113</v>
      </c>
      <c r="I150" s="8">
        <v>270000</v>
      </c>
    </row>
    <row r="151" spans="1:9" x14ac:dyDescent="0.25">
      <c r="A151" t="s">
        <v>2199</v>
      </c>
      <c r="B151" t="s">
        <v>28</v>
      </c>
      <c r="C151" t="s">
        <v>661</v>
      </c>
      <c r="D151" t="s">
        <v>662</v>
      </c>
      <c r="E151" t="s">
        <v>657</v>
      </c>
      <c r="F151" t="s">
        <v>658</v>
      </c>
      <c r="G151">
        <v>1</v>
      </c>
      <c r="H151" s="1">
        <v>46204</v>
      </c>
      <c r="I151" s="8">
        <v>135000</v>
      </c>
    </row>
    <row r="152" spans="1:9" x14ac:dyDescent="0.25">
      <c r="A152" t="s">
        <v>2199</v>
      </c>
      <c r="B152" t="s">
        <v>28</v>
      </c>
      <c r="C152" t="s">
        <v>661</v>
      </c>
      <c r="D152" t="s">
        <v>662</v>
      </c>
      <c r="E152" t="s">
        <v>657</v>
      </c>
      <c r="F152" t="s">
        <v>658</v>
      </c>
      <c r="G152">
        <v>1</v>
      </c>
      <c r="H152" s="1">
        <v>46266</v>
      </c>
      <c r="I152" s="8">
        <v>135000</v>
      </c>
    </row>
    <row r="153" spans="1:9" x14ac:dyDescent="0.25">
      <c r="A153" t="s">
        <v>2199</v>
      </c>
      <c r="B153" t="s">
        <v>28</v>
      </c>
      <c r="C153" t="s">
        <v>661</v>
      </c>
      <c r="D153" t="s">
        <v>662</v>
      </c>
      <c r="E153" t="s">
        <v>657</v>
      </c>
      <c r="F153" t="s">
        <v>658</v>
      </c>
      <c r="G153">
        <v>1</v>
      </c>
      <c r="H153" s="1">
        <v>46357</v>
      </c>
      <c r="I153" s="8">
        <v>135000</v>
      </c>
    </row>
    <row r="154" spans="1:9" x14ac:dyDescent="0.25">
      <c r="A154" t="s">
        <v>2199</v>
      </c>
      <c r="B154" t="s">
        <v>28</v>
      </c>
      <c r="C154" t="s">
        <v>661</v>
      </c>
      <c r="D154" t="s">
        <v>662</v>
      </c>
      <c r="E154" t="s">
        <v>657</v>
      </c>
      <c r="F154" t="s">
        <v>658</v>
      </c>
      <c r="G154">
        <v>3</v>
      </c>
      <c r="H154" t="s">
        <v>664</v>
      </c>
      <c r="I154" s="8">
        <v>405000</v>
      </c>
    </row>
    <row r="155" spans="1:9" x14ac:dyDescent="0.25">
      <c r="A155" t="s">
        <v>2199</v>
      </c>
      <c r="B155" t="s">
        <v>28</v>
      </c>
      <c r="C155" t="s">
        <v>665</v>
      </c>
      <c r="D155" t="s">
        <v>667</v>
      </c>
      <c r="E155" t="s">
        <v>657</v>
      </c>
      <c r="F155" t="s">
        <v>658</v>
      </c>
      <c r="G155">
        <v>1</v>
      </c>
      <c r="H155" s="1">
        <v>46082</v>
      </c>
      <c r="I155" s="8">
        <v>1500000</v>
      </c>
    </row>
    <row r="156" spans="1:9" x14ac:dyDescent="0.25">
      <c r="A156" t="s">
        <v>2199</v>
      </c>
      <c r="B156" t="s">
        <v>28</v>
      </c>
      <c r="C156" t="s">
        <v>670</v>
      </c>
      <c r="D156" t="s">
        <v>671</v>
      </c>
      <c r="E156" t="s">
        <v>657</v>
      </c>
      <c r="F156" t="s">
        <v>658</v>
      </c>
      <c r="G156">
        <v>1</v>
      </c>
      <c r="H156" s="1">
        <v>46023</v>
      </c>
      <c r="I156" s="8">
        <v>850000</v>
      </c>
    </row>
    <row r="157" spans="1:9" x14ac:dyDescent="0.25">
      <c r="A157" t="s">
        <v>2199</v>
      </c>
      <c r="B157" t="s">
        <v>28</v>
      </c>
      <c r="C157" t="s">
        <v>674</v>
      </c>
      <c r="D157" t="s">
        <v>675</v>
      </c>
      <c r="E157" t="s">
        <v>657</v>
      </c>
      <c r="F157" t="s">
        <v>658</v>
      </c>
      <c r="G157">
        <v>1</v>
      </c>
      <c r="H157" s="1">
        <v>46143</v>
      </c>
      <c r="I157" s="8">
        <v>900000</v>
      </c>
    </row>
    <row r="158" spans="1:9" x14ac:dyDescent="0.25">
      <c r="A158" t="s">
        <v>2199</v>
      </c>
      <c r="B158" t="s">
        <v>28</v>
      </c>
      <c r="C158" t="s">
        <v>677</v>
      </c>
      <c r="D158" t="s">
        <v>678</v>
      </c>
      <c r="E158" t="s">
        <v>657</v>
      </c>
      <c r="F158" t="s">
        <v>658</v>
      </c>
      <c r="G158">
        <v>1</v>
      </c>
      <c r="H158" s="1">
        <v>46174</v>
      </c>
      <c r="I158" s="8">
        <v>630000</v>
      </c>
    </row>
    <row r="159" spans="1:9" x14ac:dyDescent="0.25">
      <c r="A159" t="s">
        <v>2199</v>
      </c>
      <c r="B159" t="s">
        <v>28</v>
      </c>
      <c r="C159" t="s">
        <v>680</v>
      </c>
      <c r="D159" t="s">
        <v>681</v>
      </c>
      <c r="E159" t="s">
        <v>657</v>
      </c>
      <c r="F159" t="s">
        <v>658</v>
      </c>
      <c r="G159">
        <v>1</v>
      </c>
      <c r="H159" s="1">
        <v>46235</v>
      </c>
      <c r="I159" s="8">
        <v>135000</v>
      </c>
    </row>
    <row r="160" spans="1:9" x14ac:dyDescent="0.25">
      <c r="A160" t="s">
        <v>2199</v>
      </c>
      <c r="B160" t="s">
        <v>28</v>
      </c>
      <c r="C160" t="s">
        <v>686</v>
      </c>
      <c r="D160" t="s">
        <v>687</v>
      </c>
      <c r="E160" t="s">
        <v>227</v>
      </c>
      <c r="F160" t="s">
        <v>480</v>
      </c>
      <c r="G160">
        <v>12</v>
      </c>
      <c r="H160" t="s">
        <v>690</v>
      </c>
      <c r="I160" s="8">
        <v>101193519</v>
      </c>
    </row>
    <row r="161" spans="1:9" x14ac:dyDescent="0.25">
      <c r="A161" t="s">
        <v>2199</v>
      </c>
      <c r="B161" t="s">
        <v>28</v>
      </c>
      <c r="C161" t="s">
        <v>696</v>
      </c>
      <c r="D161" t="s">
        <v>697</v>
      </c>
      <c r="E161" t="s">
        <v>657</v>
      </c>
      <c r="F161" t="s">
        <v>658</v>
      </c>
      <c r="G161">
        <v>1</v>
      </c>
      <c r="H161" s="1">
        <v>46143</v>
      </c>
      <c r="I161" s="8">
        <v>675000</v>
      </c>
    </row>
    <row r="162" spans="1:9" x14ac:dyDescent="0.25">
      <c r="A162" t="s">
        <v>2199</v>
      </c>
      <c r="B162" t="s">
        <v>28</v>
      </c>
      <c r="C162" t="s">
        <v>706</v>
      </c>
      <c r="D162" t="s">
        <v>707</v>
      </c>
      <c r="E162" t="s">
        <v>590</v>
      </c>
      <c r="F162" t="s">
        <v>591</v>
      </c>
      <c r="G162">
        <v>1</v>
      </c>
      <c r="H162" s="1">
        <v>46082</v>
      </c>
      <c r="I162" s="8">
        <v>190000</v>
      </c>
    </row>
    <row r="163" spans="1:9" x14ac:dyDescent="0.25">
      <c r="A163" t="s">
        <v>2199</v>
      </c>
      <c r="B163" t="s">
        <v>28</v>
      </c>
      <c r="C163" t="s">
        <v>713</v>
      </c>
      <c r="D163" t="s">
        <v>714</v>
      </c>
      <c r="E163" t="s">
        <v>227</v>
      </c>
      <c r="F163" t="s">
        <v>480</v>
      </c>
      <c r="G163">
        <v>24</v>
      </c>
      <c r="H163" t="s">
        <v>717</v>
      </c>
      <c r="I163" s="8">
        <v>49483210</v>
      </c>
    </row>
    <row r="164" spans="1:9" x14ac:dyDescent="0.25">
      <c r="A164" t="s">
        <v>2199</v>
      </c>
      <c r="B164" t="s">
        <v>28</v>
      </c>
      <c r="C164" t="s">
        <v>718</v>
      </c>
      <c r="D164" t="s">
        <v>719</v>
      </c>
      <c r="E164" t="s">
        <v>657</v>
      </c>
      <c r="F164" t="s">
        <v>658</v>
      </c>
      <c r="G164">
        <v>1</v>
      </c>
      <c r="H164" s="1">
        <v>46023</v>
      </c>
      <c r="I164" s="8">
        <v>430010</v>
      </c>
    </row>
    <row r="165" spans="1:9" x14ac:dyDescent="0.25">
      <c r="A165" t="s">
        <v>2199</v>
      </c>
      <c r="B165" t="s">
        <v>28</v>
      </c>
      <c r="C165" t="s">
        <v>721</v>
      </c>
      <c r="D165" t="s">
        <v>722</v>
      </c>
      <c r="E165" t="s">
        <v>227</v>
      </c>
      <c r="F165" t="s">
        <v>480</v>
      </c>
      <c r="G165">
        <v>12</v>
      </c>
      <c r="H165" t="s">
        <v>690</v>
      </c>
      <c r="I165" s="8">
        <v>247689000</v>
      </c>
    </row>
    <row r="166" spans="1:9" x14ac:dyDescent="0.25">
      <c r="A166" t="s">
        <v>2199</v>
      </c>
      <c r="B166" t="s">
        <v>28</v>
      </c>
      <c r="C166" t="s">
        <v>724</v>
      </c>
      <c r="D166" t="s">
        <v>726</v>
      </c>
      <c r="E166" t="s">
        <v>657</v>
      </c>
      <c r="F166" t="s">
        <v>658</v>
      </c>
      <c r="G166">
        <v>1</v>
      </c>
      <c r="H166" s="1">
        <v>46082</v>
      </c>
      <c r="I166" s="8">
        <v>990002</v>
      </c>
    </row>
    <row r="167" spans="1:9" x14ac:dyDescent="0.25">
      <c r="A167" t="s">
        <v>2199</v>
      </c>
      <c r="B167" t="s">
        <v>28</v>
      </c>
      <c r="C167" t="s">
        <v>729</v>
      </c>
      <c r="D167" t="s">
        <v>731</v>
      </c>
      <c r="E167" t="s">
        <v>733</v>
      </c>
      <c r="F167" t="s">
        <v>734</v>
      </c>
      <c r="G167">
        <v>1</v>
      </c>
      <c r="H167" s="1">
        <v>46082</v>
      </c>
      <c r="I167" s="8">
        <v>1352694</v>
      </c>
    </row>
    <row r="168" spans="1:9" x14ac:dyDescent="0.25">
      <c r="A168" t="s">
        <v>2199</v>
      </c>
      <c r="B168" t="s">
        <v>28</v>
      </c>
      <c r="C168" t="s">
        <v>744</v>
      </c>
      <c r="D168" t="s">
        <v>746</v>
      </c>
      <c r="E168" t="s">
        <v>657</v>
      </c>
      <c r="F168" t="s">
        <v>658</v>
      </c>
      <c r="G168">
        <v>1</v>
      </c>
      <c r="H168" s="1">
        <v>46023</v>
      </c>
      <c r="I168" s="8">
        <v>300000</v>
      </c>
    </row>
    <row r="169" spans="1:9" x14ac:dyDescent="0.25">
      <c r="A169" t="s">
        <v>2199</v>
      </c>
      <c r="B169" t="s">
        <v>28</v>
      </c>
      <c r="C169" t="s">
        <v>756</v>
      </c>
      <c r="D169" t="s">
        <v>758</v>
      </c>
      <c r="E169" t="s">
        <v>761</v>
      </c>
      <c r="F169" t="s">
        <v>762</v>
      </c>
      <c r="G169">
        <v>1</v>
      </c>
      <c r="H169" s="1">
        <v>46296</v>
      </c>
      <c r="I169" s="8">
        <v>800000</v>
      </c>
    </row>
    <row r="170" spans="1:9" x14ac:dyDescent="0.25">
      <c r="A170" t="s">
        <v>2199</v>
      </c>
      <c r="B170" t="s">
        <v>28</v>
      </c>
      <c r="C170" t="s">
        <v>773</v>
      </c>
      <c r="D170" t="s">
        <v>774</v>
      </c>
      <c r="E170" t="s">
        <v>768</v>
      </c>
      <c r="F170" t="s">
        <v>386</v>
      </c>
      <c r="G170">
        <v>1</v>
      </c>
      <c r="H170" s="1">
        <v>46054</v>
      </c>
      <c r="I170" s="8">
        <v>1166048</v>
      </c>
    </row>
    <row r="171" spans="1:9" x14ac:dyDescent="0.25">
      <c r="A171" t="s">
        <v>2199</v>
      </c>
      <c r="B171" t="s">
        <v>28</v>
      </c>
      <c r="C171" t="s">
        <v>787</v>
      </c>
      <c r="D171" t="s">
        <v>788</v>
      </c>
      <c r="E171" t="s">
        <v>790</v>
      </c>
      <c r="F171" t="s">
        <v>791</v>
      </c>
      <c r="G171">
        <v>1</v>
      </c>
      <c r="H171" s="1">
        <v>46082</v>
      </c>
      <c r="I171" s="8">
        <v>1007461</v>
      </c>
    </row>
    <row r="172" spans="1:9" x14ac:dyDescent="0.25">
      <c r="A172" t="s">
        <v>2199</v>
      </c>
      <c r="B172" t="s">
        <v>28</v>
      </c>
      <c r="C172" t="s">
        <v>811</v>
      </c>
      <c r="D172" t="s">
        <v>813</v>
      </c>
      <c r="E172" t="s">
        <v>790</v>
      </c>
      <c r="F172" t="s">
        <v>791</v>
      </c>
      <c r="G172">
        <v>1</v>
      </c>
      <c r="H172" s="1">
        <v>46082</v>
      </c>
      <c r="I172" s="8">
        <v>400000</v>
      </c>
    </row>
    <row r="173" spans="1:9" x14ac:dyDescent="0.25">
      <c r="A173" t="s">
        <v>2199</v>
      </c>
      <c r="B173" t="s">
        <v>28</v>
      </c>
      <c r="C173" t="s">
        <v>816</v>
      </c>
      <c r="D173" t="s">
        <v>817</v>
      </c>
      <c r="E173" t="s">
        <v>768</v>
      </c>
      <c r="F173" t="s">
        <v>386</v>
      </c>
      <c r="G173">
        <v>1</v>
      </c>
      <c r="H173" s="1">
        <v>46023</v>
      </c>
      <c r="I173" s="8">
        <v>1854004</v>
      </c>
    </row>
    <row r="174" spans="1:9" x14ac:dyDescent="0.25">
      <c r="A174" t="s">
        <v>2199</v>
      </c>
      <c r="B174" t="s">
        <v>28</v>
      </c>
      <c r="C174" t="s">
        <v>816</v>
      </c>
      <c r="D174" t="s">
        <v>817</v>
      </c>
      <c r="E174" t="s">
        <v>768</v>
      </c>
      <c r="F174" t="s">
        <v>386</v>
      </c>
      <c r="G174">
        <v>1</v>
      </c>
      <c r="H174" s="1">
        <v>46082</v>
      </c>
      <c r="I174" s="8">
        <v>1900044</v>
      </c>
    </row>
    <row r="175" spans="1:9" x14ac:dyDescent="0.25">
      <c r="A175" t="s">
        <v>2199</v>
      </c>
      <c r="B175" t="s">
        <v>28</v>
      </c>
      <c r="C175" t="s">
        <v>816</v>
      </c>
      <c r="D175" t="s">
        <v>817</v>
      </c>
      <c r="E175" t="s">
        <v>768</v>
      </c>
      <c r="F175" t="s">
        <v>386</v>
      </c>
      <c r="G175">
        <v>1</v>
      </c>
      <c r="H175" s="1">
        <v>46113</v>
      </c>
      <c r="I175" s="8">
        <v>1450010</v>
      </c>
    </row>
    <row r="176" spans="1:9" x14ac:dyDescent="0.25">
      <c r="A176" t="s">
        <v>2199</v>
      </c>
      <c r="B176" t="s">
        <v>28</v>
      </c>
      <c r="C176" t="s">
        <v>827</v>
      </c>
      <c r="D176" t="s">
        <v>828</v>
      </c>
      <c r="E176" t="s">
        <v>761</v>
      </c>
      <c r="F176" t="s">
        <v>762</v>
      </c>
      <c r="G176">
        <v>1</v>
      </c>
      <c r="H176" s="1">
        <v>46023</v>
      </c>
      <c r="I176" s="8">
        <v>150000</v>
      </c>
    </row>
    <row r="177" spans="1:9" x14ac:dyDescent="0.25">
      <c r="A177" t="s">
        <v>2199</v>
      </c>
      <c r="B177" t="s">
        <v>28</v>
      </c>
      <c r="C177" t="s">
        <v>827</v>
      </c>
      <c r="D177" t="s">
        <v>828</v>
      </c>
      <c r="E177" t="s">
        <v>761</v>
      </c>
      <c r="F177" t="s">
        <v>762</v>
      </c>
      <c r="G177">
        <v>1</v>
      </c>
      <c r="H177" s="1">
        <v>46082</v>
      </c>
      <c r="I177" s="8">
        <v>1547066</v>
      </c>
    </row>
    <row r="178" spans="1:9" x14ac:dyDescent="0.25">
      <c r="A178" t="s">
        <v>2199</v>
      </c>
      <c r="B178" t="s">
        <v>28</v>
      </c>
      <c r="C178" t="s">
        <v>834</v>
      </c>
      <c r="D178" t="s">
        <v>835</v>
      </c>
      <c r="E178" t="s">
        <v>790</v>
      </c>
      <c r="F178" t="s">
        <v>791</v>
      </c>
      <c r="G178">
        <v>1</v>
      </c>
      <c r="H178" s="1">
        <v>46204</v>
      </c>
      <c r="I178" s="8">
        <v>400000</v>
      </c>
    </row>
    <row r="179" spans="1:9" x14ac:dyDescent="0.25">
      <c r="A179" t="s">
        <v>2199</v>
      </c>
      <c r="B179" t="s">
        <v>28</v>
      </c>
      <c r="C179" t="s">
        <v>837</v>
      </c>
      <c r="D179" t="s">
        <v>838</v>
      </c>
      <c r="E179" t="s">
        <v>768</v>
      </c>
      <c r="F179" t="s">
        <v>386</v>
      </c>
      <c r="G179">
        <v>1</v>
      </c>
      <c r="H179" s="1">
        <v>46023</v>
      </c>
      <c r="I179" s="8">
        <v>130000</v>
      </c>
    </row>
    <row r="180" spans="1:9" x14ac:dyDescent="0.25">
      <c r="A180" t="s">
        <v>2199</v>
      </c>
      <c r="B180" t="s">
        <v>28</v>
      </c>
      <c r="C180" t="s">
        <v>860</v>
      </c>
      <c r="D180" t="s">
        <v>861</v>
      </c>
      <c r="E180" t="s">
        <v>864</v>
      </c>
      <c r="F180" t="s">
        <v>865</v>
      </c>
      <c r="G180">
        <v>1</v>
      </c>
      <c r="H180" s="1">
        <v>46023</v>
      </c>
      <c r="I180" s="8">
        <v>370107</v>
      </c>
    </row>
    <row r="181" spans="1:9" x14ac:dyDescent="0.25">
      <c r="A181" t="s">
        <v>2199</v>
      </c>
      <c r="B181" t="s">
        <v>28</v>
      </c>
      <c r="C181" t="s">
        <v>868</v>
      </c>
      <c r="D181" t="s">
        <v>869</v>
      </c>
      <c r="E181" t="s">
        <v>624</v>
      </c>
      <c r="F181" t="s">
        <v>625</v>
      </c>
      <c r="G181">
        <v>1</v>
      </c>
      <c r="H181" s="1">
        <v>46143</v>
      </c>
      <c r="I181" s="8">
        <v>3000000</v>
      </c>
    </row>
    <row r="182" spans="1:9" x14ac:dyDescent="0.25">
      <c r="A182" t="s">
        <v>2199</v>
      </c>
      <c r="B182" t="s">
        <v>28</v>
      </c>
      <c r="C182" t="s">
        <v>871</v>
      </c>
      <c r="D182" t="s">
        <v>872</v>
      </c>
      <c r="E182" t="s">
        <v>761</v>
      </c>
      <c r="F182" t="s">
        <v>762</v>
      </c>
      <c r="G182">
        <v>1</v>
      </c>
      <c r="H182" s="1">
        <v>46204</v>
      </c>
      <c r="I182" s="8">
        <v>472004</v>
      </c>
    </row>
    <row r="183" spans="1:9" x14ac:dyDescent="0.25">
      <c r="A183" t="s">
        <v>2199</v>
      </c>
      <c r="B183" t="s">
        <v>28</v>
      </c>
      <c r="C183" t="s">
        <v>875</v>
      </c>
      <c r="D183" t="s">
        <v>876</v>
      </c>
      <c r="E183" t="s">
        <v>761</v>
      </c>
      <c r="F183" t="s">
        <v>762</v>
      </c>
      <c r="G183">
        <v>1</v>
      </c>
      <c r="H183" s="1">
        <v>46082</v>
      </c>
      <c r="I183" s="8">
        <v>600000</v>
      </c>
    </row>
    <row r="184" spans="1:9" x14ac:dyDescent="0.25">
      <c r="A184" t="s">
        <v>2199</v>
      </c>
      <c r="B184" t="s">
        <v>28</v>
      </c>
      <c r="C184" t="s">
        <v>879</v>
      </c>
      <c r="D184" t="s">
        <v>880</v>
      </c>
      <c r="E184" t="s">
        <v>761</v>
      </c>
      <c r="F184" t="s">
        <v>762</v>
      </c>
      <c r="G184">
        <v>1</v>
      </c>
      <c r="H184" s="1">
        <v>46143</v>
      </c>
      <c r="I184" s="8">
        <v>6100024</v>
      </c>
    </row>
    <row r="185" spans="1:9" x14ac:dyDescent="0.25">
      <c r="A185" t="s">
        <v>2199</v>
      </c>
      <c r="B185" t="s">
        <v>28</v>
      </c>
      <c r="C185" t="s">
        <v>884</v>
      </c>
      <c r="D185" t="s">
        <v>885</v>
      </c>
      <c r="E185" t="s">
        <v>761</v>
      </c>
      <c r="F185" t="s">
        <v>762</v>
      </c>
      <c r="G185">
        <v>1</v>
      </c>
      <c r="H185" s="1">
        <v>46023</v>
      </c>
      <c r="I185" s="8">
        <v>900000</v>
      </c>
    </row>
    <row r="186" spans="1:9" x14ac:dyDescent="0.25">
      <c r="A186" t="s">
        <v>2199</v>
      </c>
      <c r="B186" t="s">
        <v>28</v>
      </c>
      <c r="C186" t="s">
        <v>884</v>
      </c>
      <c r="D186" t="s">
        <v>885</v>
      </c>
      <c r="E186" t="s">
        <v>761</v>
      </c>
      <c r="F186" t="s">
        <v>762</v>
      </c>
      <c r="G186">
        <v>1</v>
      </c>
      <c r="H186" s="1">
        <v>46113</v>
      </c>
      <c r="I186" s="8">
        <v>1030006</v>
      </c>
    </row>
    <row r="187" spans="1:9" x14ac:dyDescent="0.25">
      <c r="A187" t="s">
        <v>2199</v>
      </c>
      <c r="B187" t="s">
        <v>28</v>
      </c>
      <c r="C187" t="s">
        <v>884</v>
      </c>
      <c r="D187" t="s">
        <v>885</v>
      </c>
      <c r="E187" t="s">
        <v>761</v>
      </c>
      <c r="F187" t="s">
        <v>762</v>
      </c>
      <c r="G187">
        <v>1</v>
      </c>
      <c r="H187" s="1">
        <v>46174</v>
      </c>
      <c r="I187" s="8">
        <v>800000</v>
      </c>
    </row>
    <row r="188" spans="1:9" x14ac:dyDescent="0.25">
      <c r="A188" t="s">
        <v>2199</v>
      </c>
      <c r="B188" t="s">
        <v>28</v>
      </c>
      <c r="C188" t="s">
        <v>888</v>
      </c>
      <c r="D188" t="s">
        <v>889</v>
      </c>
      <c r="E188" t="s">
        <v>309</v>
      </c>
      <c r="F188" t="s">
        <v>893</v>
      </c>
      <c r="G188">
        <v>12</v>
      </c>
      <c r="H188" t="s">
        <v>892</v>
      </c>
      <c r="I188" s="8">
        <v>31250000</v>
      </c>
    </row>
    <row r="189" spans="1:9" x14ac:dyDescent="0.25">
      <c r="A189" t="s">
        <v>2199</v>
      </c>
      <c r="B189" t="s">
        <v>28</v>
      </c>
      <c r="C189" t="s">
        <v>895</v>
      </c>
      <c r="D189" t="s">
        <v>896</v>
      </c>
      <c r="E189" t="s">
        <v>899</v>
      </c>
      <c r="F189" t="s">
        <v>900</v>
      </c>
      <c r="G189">
        <v>1</v>
      </c>
      <c r="H189" s="1">
        <v>46082</v>
      </c>
      <c r="I189" s="8">
        <v>200000</v>
      </c>
    </row>
    <row r="190" spans="1:9" x14ac:dyDescent="0.25">
      <c r="A190" t="s">
        <v>2199</v>
      </c>
      <c r="B190" t="s">
        <v>28</v>
      </c>
      <c r="C190" t="s">
        <v>903</v>
      </c>
      <c r="D190" t="s">
        <v>904</v>
      </c>
      <c r="E190" t="s">
        <v>906</v>
      </c>
      <c r="F190" t="s">
        <v>907</v>
      </c>
      <c r="G190">
        <v>1</v>
      </c>
      <c r="H190" s="1">
        <v>46054</v>
      </c>
      <c r="I190" s="8">
        <v>132000</v>
      </c>
    </row>
    <row r="191" spans="1:9" x14ac:dyDescent="0.25">
      <c r="A191" t="s">
        <v>2199</v>
      </c>
      <c r="B191" t="s">
        <v>28</v>
      </c>
      <c r="C191" t="s">
        <v>903</v>
      </c>
      <c r="D191" t="s">
        <v>904</v>
      </c>
      <c r="E191" t="s">
        <v>906</v>
      </c>
      <c r="F191" t="s">
        <v>907</v>
      </c>
      <c r="G191">
        <v>1</v>
      </c>
      <c r="H191" s="1">
        <v>46143</v>
      </c>
      <c r="I191" s="8">
        <v>46425001</v>
      </c>
    </row>
    <row r="192" spans="1:9" x14ac:dyDescent="0.25">
      <c r="A192" t="s">
        <v>2199</v>
      </c>
      <c r="B192" t="s">
        <v>28</v>
      </c>
      <c r="C192" t="s">
        <v>903</v>
      </c>
      <c r="D192" t="s">
        <v>904</v>
      </c>
      <c r="E192" t="s">
        <v>906</v>
      </c>
      <c r="F192" t="s">
        <v>907</v>
      </c>
      <c r="G192">
        <v>1</v>
      </c>
      <c r="H192" s="1">
        <v>46327</v>
      </c>
      <c r="I192" s="8">
        <v>120000</v>
      </c>
    </row>
    <row r="193" spans="1:9" x14ac:dyDescent="0.25">
      <c r="A193" t="s">
        <v>2199</v>
      </c>
      <c r="B193" t="s">
        <v>28</v>
      </c>
      <c r="C193" t="s">
        <v>922</v>
      </c>
      <c r="D193" t="s">
        <v>923</v>
      </c>
      <c r="E193" t="s">
        <v>926</v>
      </c>
      <c r="F193" t="s">
        <v>893</v>
      </c>
      <c r="G193">
        <v>12</v>
      </c>
      <c r="H193" t="s">
        <v>925</v>
      </c>
      <c r="I193" s="8">
        <v>23333328</v>
      </c>
    </row>
    <row r="194" spans="1:9" x14ac:dyDescent="0.25">
      <c r="A194" t="s">
        <v>2199</v>
      </c>
      <c r="B194" t="s">
        <v>28</v>
      </c>
      <c r="C194" t="s">
        <v>930</v>
      </c>
      <c r="D194" t="s">
        <v>931</v>
      </c>
      <c r="E194" t="s">
        <v>934</v>
      </c>
      <c r="F194" t="s">
        <v>935</v>
      </c>
      <c r="G194">
        <v>1</v>
      </c>
      <c r="H194" s="1">
        <v>46023</v>
      </c>
      <c r="I194" s="8">
        <v>681264</v>
      </c>
    </row>
    <row r="195" spans="1:9" x14ac:dyDescent="0.25">
      <c r="A195" t="s">
        <v>2199</v>
      </c>
      <c r="B195" t="s">
        <v>28</v>
      </c>
      <c r="C195" t="s">
        <v>938</v>
      </c>
      <c r="D195" t="s">
        <v>939</v>
      </c>
      <c r="E195" t="s">
        <v>942</v>
      </c>
      <c r="F195" t="s">
        <v>943</v>
      </c>
      <c r="G195">
        <v>1</v>
      </c>
      <c r="H195" s="1">
        <v>46113</v>
      </c>
      <c r="I195" s="8">
        <v>12003336</v>
      </c>
    </row>
    <row r="196" spans="1:9" x14ac:dyDescent="0.25">
      <c r="A196" t="s">
        <v>2199</v>
      </c>
      <c r="B196" t="s">
        <v>28</v>
      </c>
      <c r="C196" t="s">
        <v>947</v>
      </c>
      <c r="D196" t="s">
        <v>948</v>
      </c>
      <c r="E196" t="s">
        <v>950</v>
      </c>
      <c r="F196" t="s">
        <v>951</v>
      </c>
      <c r="G196">
        <v>1</v>
      </c>
      <c r="H196" s="1">
        <v>46082</v>
      </c>
      <c r="I196" s="8">
        <v>557936</v>
      </c>
    </row>
    <row r="197" spans="1:9" x14ac:dyDescent="0.25">
      <c r="A197" t="s">
        <v>2199</v>
      </c>
      <c r="B197" t="s">
        <v>28</v>
      </c>
      <c r="C197" t="s">
        <v>954</v>
      </c>
      <c r="D197" t="s">
        <v>955</v>
      </c>
      <c r="E197" t="s">
        <v>958</v>
      </c>
      <c r="F197" t="s">
        <v>959</v>
      </c>
      <c r="G197">
        <v>1</v>
      </c>
      <c r="H197" s="1">
        <v>46235</v>
      </c>
      <c r="I197" s="8">
        <v>675200</v>
      </c>
    </row>
    <row r="198" spans="1:9" x14ac:dyDescent="0.25">
      <c r="A198" t="s">
        <v>2199</v>
      </c>
      <c r="B198" t="s">
        <v>28</v>
      </c>
      <c r="C198" t="s">
        <v>963</v>
      </c>
      <c r="D198" t="s">
        <v>964</v>
      </c>
      <c r="E198" t="s">
        <v>768</v>
      </c>
      <c r="F198" t="s">
        <v>966</v>
      </c>
      <c r="G198">
        <v>1</v>
      </c>
      <c r="H198" s="1">
        <v>46054</v>
      </c>
      <c r="I198" s="8">
        <v>700002</v>
      </c>
    </row>
    <row r="199" spans="1:9" x14ac:dyDescent="0.25">
      <c r="A199" t="s">
        <v>2199</v>
      </c>
      <c r="B199" t="s">
        <v>28</v>
      </c>
      <c r="C199" t="s">
        <v>969</v>
      </c>
      <c r="D199" t="s">
        <v>970</v>
      </c>
      <c r="E199" t="s">
        <v>768</v>
      </c>
      <c r="F199" t="s">
        <v>966</v>
      </c>
      <c r="G199">
        <v>1</v>
      </c>
      <c r="H199" s="1">
        <v>46054</v>
      </c>
      <c r="I199" s="8">
        <v>7000008</v>
      </c>
    </row>
    <row r="200" spans="1:9" x14ac:dyDescent="0.25">
      <c r="A200" t="s">
        <v>2199</v>
      </c>
      <c r="B200" t="s">
        <v>28</v>
      </c>
      <c r="C200" t="s">
        <v>972</v>
      </c>
      <c r="D200" t="s">
        <v>973</v>
      </c>
      <c r="E200" t="s">
        <v>768</v>
      </c>
      <c r="F200" t="s">
        <v>966</v>
      </c>
      <c r="G200">
        <v>1</v>
      </c>
      <c r="H200" s="1">
        <v>46082</v>
      </c>
      <c r="I200" s="8">
        <v>800000</v>
      </c>
    </row>
    <row r="201" spans="1:9" x14ac:dyDescent="0.25">
      <c r="A201" t="s">
        <v>2199</v>
      </c>
      <c r="B201" t="s">
        <v>28</v>
      </c>
      <c r="C201" t="s">
        <v>975</v>
      </c>
      <c r="D201" t="s">
        <v>976</v>
      </c>
      <c r="E201" t="s">
        <v>768</v>
      </c>
      <c r="F201" t="s">
        <v>966</v>
      </c>
      <c r="G201">
        <v>1</v>
      </c>
      <c r="H201" s="1">
        <v>46054</v>
      </c>
      <c r="I201" s="8">
        <v>3500000</v>
      </c>
    </row>
    <row r="202" spans="1:9" x14ac:dyDescent="0.25">
      <c r="A202" t="s">
        <v>2199</v>
      </c>
      <c r="B202" t="s">
        <v>28</v>
      </c>
      <c r="C202" t="s">
        <v>978</v>
      </c>
      <c r="D202" t="s">
        <v>979</v>
      </c>
      <c r="E202" t="s">
        <v>768</v>
      </c>
      <c r="F202" t="s">
        <v>966</v>
      </c>
      <c r="G202">
        <v>1</v>
      </c>
      <c r="H202" s="1">
        <v>46082</v>
      </c>
      <c r="I202" s="8">
        <v>2000000</v>
      </c>
    </row>
    <row r="203" spans="1:9" x14ac:dyDescent="0.25">
      <c r="A203" t="s">
        <v>2199</v>
      </c>
      <c r="B203" t="s">
        <v>28</v>
      </c>
      <c r="C203" t="s">
        <v>981</v>
      </c>
      <c r="D203" t="s">
        <v>982</v>
      </c>
      <c r="E203" t="s">
        <v>768</v>
      </c>
      <c r="F203" t="s">
        <v>966</v>
      </c>
      <c r="G203">
        <v>1</v>
      </c>
      <c r="H203" s="1">
        <v>46113</v>
      </c>
      <c r="I203" s="8">
        <v>800004</v>
      </c>
    </row>
    <row r="204" spans="1:9" x14ac:dyDescent="0.25">
      <c r="A204" t="s">
        <v>2199</v>
      </c>
      <c r="B204" t="s">
        <v>28</v>
      </c>
      <c r="C204" t="s">
        <v>984</v>
      </c>
      <c r="D204" t="s">
        <v>985</v>
      </c>
      <c r="E204" t="s">
        <v>768</v>
      </c>
      <c r="F204" t="s">
        <v>966</v>
      </c>
      <c r="G204">
        <v>1</v>
      </c>
      <c r="H204" s="1">
        <v>46023</v>
      </c>
      <c r="I204" s="8">
        <v>600000</v>
      </c>
    </row>
    <row r="205" spans="1:9" x14ac:dyDescent="0.25">
      <c r="A205" t="s">
        <v>2199</v>
      </c>
      <c r="B205" t="s">
        <v>28</v>
      </c>
      <c r="C205" t="s">
        <v>987</v>
      </c>
      <c r="D205" t="s">
        <v>988</v>
      </c>
      <c r="E205" t="s">
        <v>768</v>
      </c>
      <c r="F205" t="s">
        <v>966</v>
      </c>
      <c r="G205">
        <v>1</v>
      </c>
      <c r="H205" s="1">
        <v>46204</v>
      </c>
      <c r="I205" s="8">
        <v>4000000</v>
      </c>
    </row>
    <row r="206" spans="1:9" x14ac:dyDescent="0.25">
      <c r="A206" t="s">
        <v>2199</v>
      </c>
      <c r="B206" t="s">
        <v>28</v>
      </c>
      <c r="C206" t="s">
        <v>990</v>
      </c>
      <c r="D206" t="s">
        <v>991</v>
      </c>
      <c r="E206" t="s">
        <v>768</v>
      </c>
      <c r="F206" t="s">
        <v>966</v>
      </c>
      <c r="G206">
        <v>1</v>
      </c>
      <c r="H206" s="1">
        <v>46082</v>
      </c>
      <c r="I206" s="8">
        <v>5500000</v>
      </c>
    </row>
    <row r="207" spans="1:9" x14ac:dyDescent="0.25">
      <c r="A207" t="s">
        <v>2199</v>
      </c>
      <c r="B207" t="s">
        <v>28</v>
      </c>
      <c r="C207" t="s">
        <v>993</v>
      </c>
      <c r="D207" t="s">
        <v>994</v>
      </c>
      <c r="E207" t="s">
        <v>768</v>
      </c>
      <c r="F207" t="s">
        <v>966</v>
      </c>
      <c r="G207">
        <v>1</v>
      </c>
      <c r="H207" s="1">
        <v>46113</v>
      </c>
      <c r="I207" s="8">
        <v>3000000</v>
      </c>
    </row>
    <row r="208" spans="1:9" x14ac:dyDescent="0.25">
      <c r="A208" t="s">
        <v>2199</v>
      </c>
      <c r="B208" t="s">
        <v>28</v>
      </c>
      <c r="C208" t="s">
        <v>996</v>
      </c>
      <c r="D208" t="s">
        <v>997</v>
      </c>
      <c r="E208" t="s">
        <v>934</v>
      </c>
      <c r="F208" t="s">
        <v>935</v>
      </c>
      <c r="G208">
        <v>1</v>
      </c>
      <c r="H208" s="1">
        <v>46023</v>
      </c>
      <c r="I208" s="8">
        <v>60000</v>
      </c>
    </row>
    <row r="209" spans="1:9" x14ac:dyDescent="0.25">
      <c r="A209" t="s">
        <v>2199</v>
      </c>
      <c r="B209" t="s">
        <v>28</v>
      </c>
      <c r="C209" t="s">
        <v>1000</v>
      </c>
      <c r="D209" t="s">
        <v>1001</v>
      </c>
      <c r="E209" t="s">
        <v>768</v>
      </c>
      <c r="F209" t="s">
        <v>966</v>
      </c>
      <c r="G209">
        <v>1</v>
      </c>
      <c r="H209" s="1">
        <v>46174</v>
      </c>
      <c r="I209" s="8">
        <v>1500000</v>
      </c>
    </row>
    <row r="210" spans="1:9" x14ac:dyDescent="0.25">
      <c r="A210" t="s">
        <v>2199</v>
      </c>
      <c r="B210" t="s">
        <v>28</v>
      </c>
      <c r="C210" t="s">
        <v>1003</v>
      </c>
      <c r="D210" t="s">
        <v>1004</v>
      </c>
      <c r="E210" t="s">
        <v>768</v>
      </c>
      <c r="F210" t="s">
        <v>966</v>
      </c>
      <c r="G210">
        <v>4</v>
      </c>
      <c r="H210" t="s">
        <v>1007</v>
      </c>
      <c r="I210" s="8">
        <v>17500000</v>
      </c>
    </row>
    <row r="211" spans="1:9" x14ac:dyDescent="0.25">
      <c r="A211" t="s">
        <v>2199</v>
      </c>
      <c r="B211" t="s">
        <v>28</v>
      </c>
      <c r="C211" t="s">
        <v>1008</v>
      </c>
      <c r="D211" t="s">
        <v>1010</v>
      </c>
      <c r="E211" t="s">
        <v>768</v>
      </c>
      <c r="F211" t="s">
        <v>966</v>
      </c>
      <c r="G211">
        <v>1</v>
      </c>
      <c r="H211" s="1">
        <v>46143</v>
      </c>
      <c r="I211" s="8">
        <v>1820000</v>
      </c>
    </row>
    <row r="212" spans="1:9" x14ac:dyDescent="0.25">
      <c r="A212" t="s">
        <v>2199</v>
      </c>
      <c r="B212" t="s">
        <v>28</v>
      </c>
      <c r="C212" t="s">
        <v>1013</v>
      </c>
      <c r="D212" t="s">
        <v>1014</v>
      </c>
      <c r="E212" t="s">
        <v>768</v>
      </c>
      <c r="F212" t="s">
        <v>966</v>
      </c>
      <c r="G212">
        <v>1</v>
      </c>
      <c r="H212" s="1">
        <v>46082</v>
      </c>
      <c r="I212" s="8">
        <v>1200000</v>
      </c>
    </row>
    <row r="213" spans="1:9" x14ac:dyDescent="0.25">
      <c r="A213" t="s">
        <v>2199</v>
      </c>
      <c r="B213" t="s">
        <v>28</v>
      </c>
      <c r="C213" t="s">
        <v>1016</v>
      </c>
      <c r="D213" t="s">
        <v>1017</v>
      </c>
      <c r="E213" t="s">
        <v>768</v>
      </c>
      <c r="F213" t="s">
        <v>966</v>
      </c>
      <c r="G213">
        <v>1</v>
      </c>
      <c r="H213" s="1">
        <v>46174</v>
      </c>
      <c r="I213" s="8">
        <v>2500020</v>
      </c>
    </row>
    <row r="214" spans="1:9" x14ac:dyDescent="0.25">
      <c r="A214" t="s">
        <v>2199</v>
      </c>
      <c r="B214" t="s">
        <v>28</v>
      </c>
      <c r="C214" t="s">
        <v>1019</v>
      </c>
      <c r="D214" t="s">
        <v>1020</v>
      </c>
      <c r="E214" t="s">
        <v>768</v>
      </c>
      <c r="F214" t="s">
        <v>966</v>
      </c>
      <c r="G214">
        <v>1</v>
      </c>
      <c r="H214" s="1">
        <v>46235</v>
      </c>
      <c r="I214" s="8">
        <v>2500000</v>
      </c>
    </row>
    <row r="215" spans="1:9" x14ac:dyDescent="0.25">
      <c r="A215" t="s">
        <v>2199</v>
      </c>
      <c r="B215" t="s">
        <v>28</v>
      </c>
      <c r="C215" t="s">
        <v>1022</v>
      </c>
      <c r="D215" t="s">
        <v>1023</v>
      </c>
      <c r="E215" t="s">
        <v>768</v>
      </c>
      <c r="F215" t="s">
        <v>966</v>
      </c>
      <c r="G215">
        <v>1</v>
      </c>
      <c r="H215" s="1">
        <v>46235</v>
      </c>
      <c r="I215" s="8">
        <v>2500000</v>
      </c>
    </row>
    <row r="216" spans="1:9" x14ac:dyDescent="0.25">
      <c r="A216" t="s">
        <v>2199</v>
      </c>
      <c r="B216" t="s">
        <v>28</v>
      </c>
      <c r="C216" t="s">
        <v>1025</v>
      </c>
      <c r="D216" t="s">
        <v>1026</v>
      </c>
      <c r="E216" t="s">
        <v>768</v>
      </c>
      <c r="F216" t="s">
        <v>386</v>
      </c>
      <c r="G216">
        <v>12</v>
      </c>
      <c r="H216" t="s">
        <v>1029</v>
      </c>
      <c r="I216" s="8">
        <v>0</v>
      </c>
    </row>
    <row r="217" spans="1:9" x14ac:dyDescent="0.25">
      <c r="A217" t="s">
        <v>2199</v>
      </c>
      <c r="B217" t="s">
        <v>28</v>
      </c>
      <c r="C217" t="s">
        <v>1039</v>
      </c>
      <c r="D217" t="s">
        <v>1040</v>
      </c>
      <c r="E217" t="s">
        <v>768</v>
      </c>
      <c r="F217" t="s">
        <v>386</v>
      </c>
      <c r="G217">
        <v>1</v>
      </c>
      <c r="H217" s="1">
        <v>46082</v>
      </c>
      <c r="I217" s="8">
        <v>816730</v>
      </c>
    </row>
    <row r="218" spans="1:9" x14ac:dyDescent="0.25">
      <c r="A218" t="s">
        <v>2199</v>
      </c>
      <c r="B218" t="s">
        <v>28</v>
      </c>
      <c r="C218" t="s">
        <v>1042</v>
      </c>
      <c r="D218" t="s">
        <v>1044</v>
      </c>
      <c r="E218" t="s">
        <v>531</v>
      </c>
      <c r="F218" t="s">
        <v>532</v>
      </c>
      <c r="G218">
        <v>12</v>
      </c>
      <c r="H218" t="s">
        <v>413</v>
      </c>
      <c r="I218" s="8">
        <v>60000000</v>
      </c>
    </row>
    <row r="219" spans="1:9" x14ac:dyDescent="0.25">
      <c r="A219" t="s">
        <v>2199</v>
      </c>
      <c r="B219" t="s">
        <v>28</v>
      </c>
      <c r="C219" t="s">
        <v>1047</v>
      </c>
      <c r="D219" t="s">
        <v>1049</v>
      </c>
      <c r="E219" t="s">
        <v>531</v>
      </c>
      <c r="F219" t="s">
        <v>1051</v>
      </c>
      <c r="G219">
        <v>12</v>
      </c>
      <c r="H219" t="s">
        <v>413</v>
      </c>
      <c r="I219" s="8">
        <v>11000000</v>
      </c>
    </row>
    <row r="220" spans="1:9" x14ac:dyDescent="0.25">
      <c r="A220" t="s">
        <v>2199</v>
      </c>
      <c r="B220" t="s">
        <v>28</v>
      </c>
      <c r="C220" t="s">
        <v>1059</v>
      </c>
      <c r="D220" t="s">
        <v>1060</v>
      </c>
      <c r="E220" t="s">
        <v>790</v>
      </c>
      <c r="F220" t="s">
        <v>791</v>
      </c>
      <c r="G220">
        <v>1</v>
      </c>
      <c r="H220" s="1">
        <v>46296</v>
      </c>
      <c r="I220" s="8">
        <v>510006</v>
      </c>
    </row>
    <row r="221" spans="1:9" x14ac:dyDescent="0.25">
      <c r="A221" t="s">
        <v>2199</v>
      </c>
      <c r="B221" t="s">
        <v>28</v>
      </c>
      <c r="C221" t="s">
        <v>1063</v>
      </c>
      <c r="D221" t="s">
        <v>1064</v>
      </c>
      <c r="E221" t="s">
        <v>790</v>
      </c>
      <c r="F221" t="s">
        <v>791</v>
      </c>
      <c r="G221">
        <v>1</v>
      </c>
      <c r="H221" s="1">
        <v>46296</v>
      </c>
      <c r="I221" s="8">
        <v>450000</v>
      </c>
    </row>
    <row r="222" spans="1:9" x14ac:dyDescent="0.25">
      <c r="A222" t="s">
        <v>2199</v>
      </c>
      <c r="B222" t="s">
        <v>28</v>
      </c>
      <c r="C222" t="s">
        <v>1069</v>
      </c>
      <c r="D222" t="s">
        <v>1070</v>
      </c>
      <c r="E222" t="s">
        <v>934</v>
      </c>
      <c r="F222" t="s">
        <v>935</v>
      </c>
      <c r="G222">
        <v>1</v>
      </c>
      <c r="H222" s="1">
        <v>46023</v>
      </c>
      <c r="I222" s="8">
        <v>450000</v>
      </c>
    </row>
    <row r="223" spans="1:9" x14ac:dyDescent="0.25">
      <c r="A223" t="s">
        <v>2199</v>
      </c>
      <c r="B223" t="s">
        <v>28</v>
      </c>
      <c r="C223" t="s">
        <v>1072</v>
      </c>
      <c r="D223" t="s">
        <v>1073</v>
      </c>
      <c r="E223" t="s">
        <v>1075</v>
      </c>
      <c r="F223" t="s">
        <v>1076</v>
      </c>
      <c r="G223">
        <v>1</v>
      </c>
      <c r="H223" s="1">
        <v>46054</v>
      </c>
      <c r="I223" s="8">
        <v>169000</v>
      </c>
    </row>
    <row r="224" spans="1:9" x14ac:dyDescent="0.25">
      <c r="A224" t="s">
        <v>2199</v>
      </c>
      <c r="B224" t="s">
        <v>28</v>
      </c>
      <c r="C224" t="s">
        <v>1079</v>
      </c>
      <c r="D224" t="s">
        <v>1081</v>
      </c>
      <c r="E224" t="s">
        <v>1075</v>
      </c>
      <c r="F224" t="s">
        <v>1076</v>
      </c>
      <c r="G224">
        <v>1</v>
      </c>
      <c r="H224" s="1">
        <v>46082</v>
      </c>
      <c r="I224" s="8">
        <v>100000</v>
      </c>
    </row>
    <row r="225" spans="1:9" x14ac:dyDescent="0.25">
      <c r="A225" t="s">
        <v>2199</v>
      </c>
      <c r="B225" t="s">
        <v>28</v>
      </c>
      <c r="C225" t="s">
        <v>1085</v>
      </c>
      <c r="D225" t="s">
        <v>1086</v>
      </c>
      <c r="E225" t="s">
        <v>934</v>
      </c>
      <c r="F225" t="s">
        <v>935</v>
      </c>
      <c r="G225">
        <v>1</v>
      </c>
      <c r="H225" s="1">
        <v>46023</v>
      </c>
      <c r="I225" s="8">
        <v>352600</v>
      </c>
    </row>
    <row r="226" spans="1:9" x14ac:dyDescent="0.25">
      <c r="A226" t="s">
        <v>2199</v>
      </c>
      <c r="B226" t="s">
        <v>28</v>
      </c>
      <c r="C226" t="s">
        <v>1089</v>
      </c>
      <c r="D226" t="s">
        <v>1090</v>
      </c>
      <c r="E226" t="s">
        <v>934</v>
      </c>
      <c r="F226" t="s">
        <v>935</v>
      </c>
      <c r="G226">
        <v>1</v>
      </c>
      <c r="H226" s="1">
        <v>46054</v>
      </c>
      <c r="I226" s="8">
        <v>50004</v>
      </c>
    </row>
    <row r="227" spans="1:9" x14ac:dyDescent="0.25">
      <c r="A227" t="s">
        <v>2199</v>
      </c>
      <c r="B227" t="s">
        <v>28</v>
      </c>
      <c r="C227" t="s">
        <v>1092</v>
      </c>
      <c r="D227" t="s">
        <v>1093</v>
      </c>
      <c r="E227" t="s">
        <v>1095</v>
      </c>
      <c r="F227" t="s">
        <v>1096</v>
      </c>
      <c r="G227">
        <v>1</v>
      </c>
      <c r="H227" s="1">
        <v>46296</v>
      </c>
      <c r="I227" s="8">
        <v>624234</v>
      </c>
    </row>
    <row r="228" spans="1:9" x14ac:dyDescent="0.25">
      <c r="A228" t="s">
        <v>2199</v>
      </c>
      <c r="B228" t="s">
        <v>28</v>
      </c>
      <c r="C228" t="s">
        <v>1099</v>
      </c>
      <c r="D228" t="s">
        <v>1100</v>
      </c>
      <c r="E228" t="s">
        <v>457</v>
      </c>
      <c r="F228" t="s">
        <v>458</v>
      </c>
      <c r="G228">
        <v>1</v>
      </c>
      <c r="H228" s="1">
        <v>46174</v>
      </c>
      <c r="I228" s="8">
        <v>183238</v>
      </c>
    </row>
    <row r="229" spans="1:9" x14ac:dyDescent="0.25">
      <c r="A229" t="s">
        <v>2199</v>
      </c>
      <c r="B229" t="s">
        <v>28</v>
      </c>
      <c r="C229" t="s">
        <v>1103</v>
      </c>
      <c r="D229" t="s">
        <v>1104</v>
      </c>
      <c r="E229" t="s">
        <v>1106</v>
      </c>
      <c r="F229" t="s">
        <v>1107</v>
      </c>
      <c r="G229">
        <v>1</v>
      </c>
      <c r="H229" s="1">
        <v>46296</v>
      </c>
      <c r="I229" s="8">
        <v>5696005</v>
      </c>
    </row>
    <row r="230" spans="1:9" x14ac:dyDescent="0.25">
      <c r="A230" t="s">
        <v>2199</v>
      </c>
      <c r="B230" t="s">
        <v>28</v>
      </c>
      <c r="C230" t="s">
        <v>1110</v>
      </c>
      <c r="D230" t="s">
        <v>1111</v>
      </c>
      <c r="E230" t="s">
        <v>457</v>
      </c>
      <c r="F230" t="s">
        <v>458</v>
      </c>
      <c r="G230">
        <v>1</v>
      </c>
      <c r="H230" s="1">
        <v>46204</v>
      </c>
      <c r="I230" s="8">
        <v>225046</v>
      </c>
    </row>
    <row r="231" spans="1:9" x14ac:dyDescent="0.25">
      <c r="A231" t="s">
        <v>2199</v>
      </c>
      <c r="B231" t="s">
        <v>28</v>
      </c>
      <c r="C231" t="s">
        <v>1113</v>
      </c>
      <c r="D231" t="s">
        <v>1115</v>
      </c>
      <c r="E231" t="s">
        <v>309</v>
      </c>
      <c r="F231" t="s">
        <v>893</v>
      </c>
      <c r="G231">
        <v>32</v>
      </c>
      <c r="H231" t="s">
        <v>1118</v>
      </c>
      <c r="I231" s="8">
        <v>371161848</v>
      </c>
    </row>
    <row r="232" spans="1:9" x14ac:dyDescent="0.25">
      <c r="A232" t="s">
        <v>2199</v>
      </c>
      <c r="B232" t="s">
        <v>28</v>
      </c>
      <c r="C232" t="s">
        <v>1119</v>
      </c>
      <c r="D232" t="s">
        <v>1120</v>
      </c>
      <c r="E232" t="s">
        <v>1122</v>
      </c>
      <c r="F232" t="s">
        <v>1123</v>
      </c>
      <c r="G232">
        <v>1</v>
      </c>
      <c r="H232" s="1">
        <v>46082</v>
      </c>
      <c r="I232" s="8">
        <v>600000</v>
      </c>
    </row>
    <row r="233" spans="1:9" x14ac:dyDescent="0.25">
      <c r="A233" t="s">
        <v>2199</v>
      </c>
      <c r="B233" t="s">
        <v>28</v>
      </c>
      <c r="C233" t="s">
        <v>1126</v>
      </c>
      <c r="D233" t="s">
        <v>1127</v>
      </c>
      <c r="E233" t="s">
        <v>1122</v>
      </c>
      <c r="F233" t="s">
        <v>1123</v>
      </c>
      <c r="G233">
        <v>1</v>
      </c>
      <c r="H233" s="1">
        <v>46082</v>
      </c>
      <c r="I233" s="8">
        <v>1700000</v>
      </c>
    </row>
    <row r="234" spans="1:9" x14ac:dyDescent="0.25">
      <c r="A234" t="s">
        <v>2199</v>
      </c>
      <c r="B234" t="s">
        <v>28</v>
      </c>
      <c r="C234" t="s">
        <v>1130</v>
      </c>
      <c r="D234" t="s">
        <v>1131</v>
      </c>
      <c r="E234" t="s">
        <v>1122</v>
      </c>
      <c r="F234" t="s">
        <v>1123</v>
      </c>
      <c r="G234">
        <v>1</v>
      </c>
      <c r="H234" s="1">
        <v>46082</v>
      </c>
      <c r="I234" s="8">
        <v>1670016</v>
      </c>
    </row>
    <row r="235" spans="1:9" x14ac:dyDescent="0.25">
      <c r="A235" t="s">
        <v>2199</v>
      </c>
      <c r="B235" t="s">
        <v>28</v>
      </c>
      <c r="C235" t="s">
        <v>1134</v>
      </c>
      <c r="D235" t="s">
        <v>1135</v>
      </c>
      <c r="E235" t="s">
        <v>1122</v>
      </c>
      <c r="F235" t="s">
        <v>1123</v>
      </c>
      <c r="G235">
        <v>1</v>
      </c>
      <c r="H235" s="1">
        <v>46082</v>
      </c>
      <c r="I235" s="8">
        <v>900000</v>
      </c>
    </row>
    <row r="236" spans="1:9" x14ac:dyDescent="0.25">
      <c r="A236" t="s">
        <v>2199</v>
      </c>
      <c r="B236" t="s">
        <v>28</v>
      </c>
      <c r="C236" t="s">
        <v>1138</v>
      </c>
      <c r="D236" t="s">
        <v>1140</v>
      </c>
      <c r="E236" t="s">
        <v>1122</v>
      </c>
      <c r="F236" t="s">
        <v>1123</v>
      </c>
      <c r="G236">
        <v>1</v>
      </c>
      <c r="H236" s="1">
        <v>46082</v>
      </c>
      <c r="I236" s="8">
        <v>3500010</v>
      </c>
    </row>
    <row r="237" spans="1:9" x14ac:dyDescent="0.25">
      <c r="A237" t="s">
        <v>2199</v>
      </c>
      <c r="B237" t="s">
        <v>28</v>
      </c>
      <c r="C237" t="s">
        <v>1156</v>
      </c>
      <c r="D237" t="s">
        <v>1158</v>
      </c>
      <c r="E237" t="s">
        <v>1162</v>
      </c>
      <c r="F237" t="s">
        <v>258</v>
      </c>
      <c r="G237">
        <v>1</v>
      </c>
      <c r="H237" s="1">
        <v>46174</v>
      </c>
      <c r="I237" s="8">
        <v>13300002</v>
      </c>
    </row>
    <row r="238" spans="1:9" x14ac:dyDescent="0.25">
      <c r="A238" t="s">
        <v>2199</v>
      </c>
      <c r="B238" t="s">
        <v>28</v>
      </c>
      <c r="C238" t="s">
        <v>1156</v>
      </c>
      <c r="D238" t="s">
        <v>1158</v>
      </c>
      <c r="E238" t="s">
        <v>1162</v>
      </c>
      <c r="F238" t="s">
        <v>258</v>
      </c>
      <c r="G238">
        <v>3</v>
      </c>
      <c r="H238" t="s">
        <v>1161</v>
      </c>
      <c r="I238" s="8">
        <v>4450000</v>
      </c>
    </row>
    <row r="239" spans="1:9" x14ac:dyDescent="0.25">
      <c r="A239" t="s">
        <v>2199</v>
      </c>
      <c r="B239" t="s">
        <v>28</v>
      </c>
      <c r="C239" t="s">
        <v>1168</v>
      </c>
      <c r="D239" t="s">
        <v>1169</v>
      </c>
      <c r="E239" t="s">
        <v>1162</v>
      </c>
      <c r="F239" t="s">
        <v>258</v>
      </c>
      <c r="G239">
        <v>12</v>
      </c>
      <c r="H239" t="s">
        <v>1029</v>
      </c>
      <c r="I239" s="8">
        <v>0</v>
      </c>
    </row>
    <row r="240" spans="1:9" x14ac:dyDescent="0.25">
      <c r="A240" t="s">
        <v>2199</v>
      </c>
      <c r="B240" t="s">
        <v>28</v>
      </c>
      <c r="C240" t="s">
        <v>1176</v>
      </c>
      <c r="D240" t="s">
        <v>1177</v>
      </c>
      <c r="E240" t="s">
        <v>1180</v>
      </c>
      <c r="F240" t="s">
        <v>1181</v>
      </c>
      <c r="G240">
        <v>1</v>
      </c>
      <c r="H240" s="1">
        <v>46082</v>
      </c>
      <c r="I240" s="8">
        <v>696000</v>
      </c>
    </row>
    <row r="241" spans="1:9" x14ac:dyDescent="0.25">
      <c r="A241" t="s">
        <v>2199</v>
      </c>
      <c r="B241" t="s">
        <v>28</v>
      </c>
      <c r="C241" t="s">
        <v>1183</v>
      </c>
      <c r="D241" t="s">
        <v>1185</v>
      </c>
      <c r="E241" t="s">
        <v>790</v>
      </c>
      <c r="F241" t="s">
        <v>791</v>
      </c>
      <c r="G241">
        <v>1</v>
      </c>
      <c r="H241" s="1">
        <v>46143</v>
      </c>
      <c r="I241" s="8">
        <v>2885085</v>
      </c>
    </row>
    <row r="242" spans="1:9" x14ac:dyDescent="0.25">
      <c r="A242" t="s">
        <v>2199</v>
      </c>
      <c r="B242" t="s">
        <v>28</v>
      </c>
      <c r="C242" t="s">
        <v>1188</v>
      </c>
      <c r="D242" t="s">
        <v>1189</v>
      </c>
      <c r="E242" t="s">
        <v>790</v>
      </c>
      <c r="F242" t="s">
        <v>791</v>
      </c>
      <c r="G242">
        <v>1</v>
      </c>
      <c r="H242" s="1">
        <v>46296</v>
      </c>
      <c r="I242" s="8">
        <v>2997268</v>
      </c>
    </row>
    <row r="243" spans="1:9" x14ac:dyDescent="0.25">
      <c r="A243" t="s">
        <v>2199</v>
      </c>
      <c r="B243" t="s">
        <v>28</v>
      </c>
      <c r="C243" t="s">
        <v>1207</v>
      </c>
      <c r="D243" t="s">
        <v>1208</v>
      </c>
      <c r="E243" t="s">
        <v>1211</v>
      </c>
      <c r="F243" t="s">
        <v>320</v>
      </c>
      <c r="G243">
        <v>1</v>
      </c>
      <c r="H243" s="1">
        <v>46113</v>
      </c>
      <c r="I243" s="8">
        <v>198030</v>
      </c>
    </row>
    <row r="244" spans="1:9" x14ac:dyDescent="0.25">
      <c r="A244" t="s">
        <v>2199</v>
      </c>
      <c r="B244" t="s">
        <v>28</v>
      </c>
      <c r="C244" t="s">
        <v>1213</v>
      </c>
      <c r="D244" t="s">
        <v>1214</v>
      </c>
      <c r="E244" t="s">
        <v>395</v>
      </c>
      <c r="F244" t="s">
        <v>1217</v>
      </c>
      <c r="G244">
        <v>1</v>
      </c>
      <c r="H244" s="1">
        <v>46023</v>
      </c>
      <c r="I244" s="8">
        <v>126581</v>
      </c>
    </row>
    <row r="245" spans="1:9" x14ac:dyDescent="0.25">
      <c r="A245" t="s">
        <v>2199</v>
      </c>
      <c r="B245" t="s">
        <v>28</v>
      </c>
      <c r="C245" t="s">
        <v>1219</v>
      </c>
      <c r="D245" t="s">
        <v>1220</v>
      </c>
      <c r="E245" t="s">
        <v>395</v>
      </c>
      <c r="F245" t="s">
        <v>1217</v>
      </c>
      <c r="G245">
        <v>1</v>
      </c>
      <c r="H245" s="1">
        <v>46023</v>
      </c>
      <c r="I245" s="8">
        <v>172000</v>
      </c>
    </row>
    <row r="246" spans="1:9" x14ac:dyDescent="0.25">
      <c r="A246" t="s">
        <v>2199</v>
      </c>
      <c r="B246" t="s">
        <v>28</v>
      </c>
      <c r="C246" t="s">
        <v>1224</v>
      </c>
      <c r="D246" t="s">
        <v>1225</v>
      </c>
      <c r="E246" t="s">
        <v>1211</v>
      </c>
      <c r="F246" t="s">
        <v>320</v>
      </c>
      <c r="G246">
        <v>1</v>
      </c>
      <c r="H246" s="1">
        <v>46113</v>
      </c>
      <c r="I246" s="8">
        <v>715014</v>
      </c>
    </row>
    <row r="247" spans="1:9" x14ac:dyDescent="0.25">
      <c r="A247" t="s">
        <v>2199</v>
      </c>
      <c r="B247" t="s">
        <v>28</v>
      </c>
      <c r="C247" t="s">
        <v>1228</v>
      </c>
      <c r="D247" t="s">
        <v>1229</v>
      </c>
      <c r="E247" t="s">
        <v>64</v>
      </c>
      <c r="F247" t="s">
        <v>65</v>
      </c>
      <c r="G247">
        <v>1</v>
      </c>
      <c r="H247" s="1">
        <v>46023</v>
      </c>
      <c r="I247" s="8">
        <v>930000</v>
      </c>
    </row>
    <row r="248" spans="1:9" x14ac:dyDescent="0.25">
      <c r="A248" t="s">
        <v>2199</v>
      </c>
      <c r="B248" t="s">
        <v>28</v>
      </c>
      <c r="C248" t="s">
        <v>1234</v>
      </c>
      <c r="D248" t="s">
        <v>1235</v>
      </c>
      <c r="E248" t="s">
        <v>64</v>
      </c>
      <c r="F248" t="s">
        <v>65</v>
      </c>
      <c r="G248">
        <v>1</v>
      </c>
      <c r="H248" s="1">
        <v>46054</v>
      </c>
      <c r="I248" s="8">
        <v>1400000</v>
      </c>
    </row>
    <row r="249" spans="1:9" x14ac:dyDescent="0.25">
      <c r="A249" t="s">
        <v>2199</v>
      </c>
      <c r="B249" t="s">
        <v>28</v>
      </c>
      <c r="C249" t="s">
        <v>1245</v>
      </c>
      <c r="D249" t="s">
        <v>1247</v>
      </c>
      <c r="E249" t="s">
        <v>122</v>
      </c>
      <c r="F249" t="s">
        <v>544</v>
      </c>
      <c r="G249">
        <v>1</v>
      </c>
      <c r="H249" s="1">
        <v>46054</v>
      </c>
      <c r="I249" s="8">
        <v>610000</v>
      </c>
    </row>
    <row r="250" spans="1:9" x14ac:dyDescent="0.25">
      <c r="A250" t="s">
        <v>2199</v>
      </c>
      <c r="B250" t="s">
        <v>28</v>
      </c>
      <c r="C250" t="s">
        <v>1252</v>
      </c>
      <c r="D250" t="s">
        <v>1253</v>
      </c>
      <c r="E250" t="s">
        <v>1255</v>
      </c>
      <c r="F250" t="s">
        <v>1256</v>
      </c>
      <c r="G250">
        <v>1</v>
      </c>
      <c r="H250" s="1">
        <v>46054</v>
      </c>
      <c r="I250" s="8">
        <v>52000</v>
      </c>
    </row>
    <row r="251" spans="1:9" x14ac:dyDescent="0.25">
      <c r="A251" t="s">
        <v>2199</v>
      </c>
      <c r="B251" t="s">
        <v>28</v>
      </c>
      <c r="C251" t="s">
        <v>1259</v>
      </c>
      <c r="D251" t="s">
        <v>1260</v>
      </c>
      <c r="E251" t="s">
        <v>395</v>
      </c>
      <c r="F251" t="s">
        <v>1217</v>
      </c>
      <c r="G251">
        <v>1</v>
      </c>
      <c r="H251" s="1">
        <v>46023</v>
      </c>
      <c r="I251" s="8">
        <v>370100</v>
      </c>
    </row>
    <row r="252" spans="1:9" x14ac:dyDescent="0.25">
      <c r="A252" t="s">
        <v>2199</v>
      </c>
      <c r="B252" t="s">
        <v>28</v>
      </c>
      <c r="C252" t="s">
        <v>1269</v>
      </c>
      <c r="D252" t="s">
        <v>1270</v>
      </c>
      <c r="E252" t="s">
        <v>1273</v>
      </c>
      <c r="F252" t="s">
        <v>514</v>
      </c>
      <c r="G252">
        <v>1</v>
      </c>
      <c r="H252" s="1">
        <v>46023</v>
      </c>
      <c r="I252" s="8">
        <v>304000</v>
      </c>
    </row>
    <row r="253" spans="1:9" x14ac:dyDescent="0.25">
      <c r="A253" t="s">
        <v>2199</v>
      </c>
      <c r="B253" t="s">
        <v>28</v>
      </c>
      <c r="C253" t="s">
        <v>1269</v>
      </c>
      <c r="D253" t="s">
        <v>1270</v>
      </c>
      <c r="E253" t="s">
        <v>1273</v>
      </c>
      <c r="F253" t="s">
        <v>514</v>
      </c>
      <c r="G253">
        <v>1</v>
      </c>
      <c r="H253" s="1">
        <v>46082</v>
      </c>
      <c r="I253" s="8">
        <v>299000</v>
      </c>
    </row>
    <row r="254" spans="1:9" x14ac:dyDescent="0.25">
      <c r="A254" t="s">
        <v>2199</v>
      </c>
      <c r="B254" t="s">
        <v>28</v>
      </c>
      <c r="C254" t="s">
        <v>1345</v>
      </c>
      <c r="D254" t="s">
        <v>1347</v>
      </c>
      <c r="E254" t="s">
        <v>1299</v>
      </c>
      <c r="F254" t="s">
        <v>1300</v>
      </c>
      <c r="G254">
        <v>1</v>
      </c>
      <c r="H254" s="1">
        <v>46113</v>
      </c>
      <c r="I254" s="8">
        <v>150000</v>
      </c>
    </row>
    <row r="255" spans="1:9" x14ac:dyDescent="0.25">
      <c r="A255" t="s">
        <v>2199</v>
      </c>
      <c r="B255" t="s">
        <v>28</v>
      </c>
      <c r="C255" t="s">
        <v>1395</v>
      </c>
      <c r="D255" t="s">
        <v>1396</v>
      </c>
      <c r="E255" t="s">
        <v>64</v>
      </c>
      <c r="F255" t="s">
        <v>65</v>
      </c>
      <c r="G255">
        <v>1</v>
      </c>
      <c r="H255" s="1">
        <v>46054</v>
      </c>
      <c r="I255" s="8">
        <v>500004</v>
      </c>
    </row>
    <row r="256" spans="1:9" x14ac:dyDescent="0.25">
      <c r="A256" t="s">
        <v>2199</v>
      </c>
      <c r="B256" t="s">
        <v>28</v>
      </c>
      <c r="C256" t="s">
        <v>1403</v>
      </c>
      <c r="D256" t="s">
        <v>1404</v>
      </c>
      <c r="E256" t="s">
        <v>1035</v>
      </c>
      <c r="F256" t="s">
        <v>1036</v>
      </c>
      <c r="G256">
        <v>1</v>
      </c>
      <c r="H256" s="1">
        <v>46327</v>
      </c>
      <c r="I256" s="8">
        <v>173624</v>
      </c>
    </row>
    <row r="257" spans="1:9" x14ac:dyDescent="0.25">
      <c r="A257" t="s">
        <v>2199</v>
      </c>
      <c r="B257" t="s">
        <v>28</v>
      </c>
      <c r="C257" t="s">
        <v>1407</v>
      </c>
      <c r="D257" t="s">
        <v>1408</v>
      </c>
      <c r="E257" t="s">
        <v>590</v>
      </c>
      <c r="F257" t="s">
        <v>591</v>
      </c>
      <c r="G257">
        <v>1</v>
      </c>
      <c r="H257" s="1">
        <v>46082</v>
      </c>
      <c r="I257" s="8">
        <v>80000</v>
      </c>
    </row>
    <row r="258" spans="1:9" x14ac:dyDescent="0.25">
      <c r="A258" t="s">
        <v>2199</v>
      </c>
      <c r="B258" t="s">
        <v>28</v>
      </c>
      <c r="C258" t="s">
        <v>1411</v>
      </c>
      <c r="D258" t="s">
        <v>1413</v>
      </c>
      <c r="E258" t="s">
        <v>1415</v>
      </c>
      <c r="F258" t="s">
        <v>514</v>
      </c>
      <c r="G258">
        <v>1</v>
      </c>
      <c r="H258" s="1">
        <v>46174</v>
      </c>
      <c r="I258" s="8">
        <v>2000000</v>
      </c>
    </row>
    <row r="259" spans="1:9" x14ac:dyDescent="0.25">
      <c r="A259" t="s">
        <v>2199</v>
      </c>
      <c r="B259" t="s">
        <v>28</v>
      </c>
      <c r="C259" t="s">
        <v>1416</v>
      </c>
      <c r="D259" t="s">
        <v>1417</v>
      </c>
      <c r="E259" t="s">
        <v>1415</v>
      </c>
      <c r="F259" t="s">
        <v>514</v>
      </c>
      <c r="G259">
        <v>1</v>
      </c>
      <c r="H259" s="1">
        <v>46357</v>
      </c>
      <c r="I259" s="8">
        <v>6000000</v>
      </c>
    </row>
    <row r="260" spans="1:9" x14ac:dyDescent="0.25">
      <c r="A260" t="s">
        <v>2199</v>
      </c>
      <c r="B260" t="s">
        <v>28</v>
      </c>
      <c r="C260" t="s">
        <v>1419</v>
      </c>
      <c r="D260" t="s">
        <v>1420</v>
      </c>
      <c r="E260" t="s">
        <v>1415</v>
      </c>
      <c r="F260" t="s">
        <v>514</v>
      </c>
      <c r="G260">
        <v>12</v>
      </c>
      <c r="H260" t="s">
        <v>1029</v>
      </c>
      <c r="I260" s="8">
        <v>0</v>
      </c>
    </row>
    <row r="261" spans="1:9" x14ac:dyDescent="0.25">
      <c r="A261" t="s">
        <v>2199</v>
      </c>
      <c r="B261" t="s">
        <v>28</v>
      </c>
      <c r="C261" t="s">
        <v>1422</v>
      </c>
      <c r="D261" t="s">
        <v>1423</v>
      </c>
      <c r="E261" t="s">
        <v>1415</v>
      </c>
      <c r="F261" t="s">
        <v>514</v>
      </c>
      <c r="G261">
        <v>1</v>
      </c>
      <c r="H261" s="1">
        <v>46327</v>
      </c>
      <c r="I261" s="8">
        <v>25000000</v>
      </c>
    </row>
    <row r="262" spans="1:9" x14ac:dyDescent="0.25">
      <c r="A262" t="s">
        <v>2199</v>
      </c>
      <c r="B262" t="s">
        <v>28</v>
      </c>
      <c r="C262" t="s">
        <v>1426</v>
      </c>
      <c r="D262" t="s">
        <v>1427</v>
      </c>
      <c r="E262" t="s">
        <v>1415</v>
      </c>
      <c r="F262" t="s">
        <v>514</v>
      </c>
      <c r="G262">
        <v>1</v>
      </c>
      <c r="H262" s="1">
        <v>46327</v>
      </c>
      <c r="I262" s="8">
        <v>10000000</v>
      </c>
    </row>
    <row r="263" spans="1:9" x14ac:dyDescent="0.25">
      <c r="A263" t="s">
        <v>2199</v>
      </c>
      <c r="B263" t="s">
        <v>28</v>
      </c>
      <c r="C263" t="s">
        <v>1429</v>
      </c>
      <c r="D263" t="s">
        <v>1430</v>
      </c>
      <c r="E263" t="s">
        <v>1432</v>
      </c>
      <c r="F263" t="s">
        <v>1433</v>
      </c>
      <c r="G263">
        <v>1</v>
      </c>
      <c r="H263" s="1">
        <v>46296</v>
      </c>
      <c r="I263" s="8">
        <v>35304528</v>
      </c>
    </row>
    <row r="264" spans="1:9" x14ac:dyDescent="0.25">
      <c r="A264" t="s">
        <v>2199</v>
      </c>
      <c r="B264" t="s">
        <v>28</v>
      </c>
      <c r="C264" t="s">
        <v>1436</v>
      </c>
      <c r="D264" t="s">
        <v>1438</v>
      </c>
      <c r="E264" t="s">
        <v>64</v>
      </c>
      <c r="F264" t="s">
        <v>65</v>
      </c>
      <c r="G264">
        <v>1</v>
      </c>
      <c r="H264" s="1">
        <v>46235</v>
      </c>
      <c r="I264" s="8">
        <v>500000</v>
      </c>
    </row>
    <row r="265" spans="1:9" x14ac:dyDescent="0.25">
      <c r="A265" t="s">
        <v>2199</v>
      </c>
      <c r="B265" t="s">
        <v>28</v>
      </c>
      <c r="C265" t="s">
        <v>1442</v>
      </c>
      <c r="D265" t="s">
        <v>1443</v>
      </c>
      <c r="E265" t="s">
        <v>1445</v>
      </c>
      <c r="F265" t="s">
        <v>1446</v>
      </c>
      <c r="G265">
        <v>1</v>
      </c>
      <c r="H265" s="1">
        <v>46054</v>
      </c>
      <c r="I265" s="8">
        <v>299940</v>
      </c>
    </row>
    <row r="266" spans="1:9" x14ac:dyDescent="0.25">
      <c r="A266" t="s">
        <v>2199</v>
      </c>
      <c r="B266" t="s">
        <v>28</v>
      </c>
      <c r="C266" t="s">
        <v>1449</v>
      </c>
      <c r="D266" t="s">
        <v>1450</v>
      </c>
      <c r="E266" t="s">
        <v>1075</v>
      </c>
      <c r="F266" t="s">
        <v>1076</v>
      </c>
      <c r="G266">
        <v>1</v>
      </c>
      <c r="H266" s="1">
        <v>46023</v>
      </c>
      <c r="I266" s="8">
        <v>160000</v>
      </c>
    </row>
    <row r="267" spans="1:9" x14ac:dyDescent="0.25">
      <c r="A267" t="s">
        <v>2199</v>
      </c>
      <c r="B267" t="s">
        <v>28</v>
      </c>
      <c r="C267" t="s">
        <v>1449</v>
      </c>
      <c r="D267" t="s">
        <v>1450</v>
      </c>
      <c r="E267" t="s">
        <v>1075</v>
      </c>
      <c r="F267" t="s">
        <v>1076</v>
      </c>
      <c r="G267">
        <v>1</v>
      </c>
      <c r="H267" s="1">
        <v>46082</v>
      </c>
      <c r="I267" s="8">
        <v>230000</v>
      </c>
    </row>
    <row r="268" spans="1:9" x14ac:dyDescent="0.25">
      <c r="A268" t="s">
        <v>2199</v>
      </c>
      <c r="B268" t="s">
        <v>28</v>
      </c>
      <c r="C268" t="s">
        <v>1453</v>
      </c>
      <c r="D268" t="s">
        <v>1454</v>
      </c>
      <c r="E268" t="s">
        <v>1445</v>
      </c>
      <c r="F268" t="s">
        <v>1446</v>
      </c>
      <c r="G268">
        <v>1</v>
      </c>
      <c r="H268" s="1">
        <v>46113</v>
      </c>
      <c r="I268" s="8">
        <v>720000</v>
      </c>
    </row>
    <row r="269" spans="1:9" x14ac:dyDescent="0.25">
      <c r="A269" t="s">
        <v>2199</v>
      </c>
      <c r="B269" t="s">
        <v>28</v>
      </c>
      <c r="C269" t="s">
        <v>1456</v>
      </c>
      <c r="D269" t="s">
        <v>1457</v>
      </c>
      <c r="E269" t="s">
        <v>1211</v>
      </c>
      <c r="F269" t="s">
        <v>320</v>
      </c>
      <c r="G269">
        <v>1</v>
      </c>
      <c r="H269" s="1">
        <v>46054</v>
      </c>
      <c r="I269" s="8">
        <v>170001</v>
      </c>
    </row>
    <row r="270" spans="1:9" x14ac:dyDescent="0.25">
      <c r="A270" t="s">
        <v>2199</v>
      </c>
      <c r="B270" t="s">
        <v>28</v>
      </c>
      <c r="C270" t="s">
        <v>1460</v>
      </c>
      <c r="D270" t="s">
        <v>1461</v>
      </c>
      <c r="E270" t="s">
        <v>1075</v>
      </c>
      <c r="F270" t="s">
        <v>1076</v>
      </c>
      <c r="G270">
        <v>1</v>
      </c>
      <c r="H270" s="1">
        <v>46023</v>
      </c>
      <c r="I270" s="8">
        <v>8196174</v>
      </c>
    </row>
    <row r="271" spans="1:9" x14ac:dyDescent="0.25">
      <c r="A271" t="s">
        <v>2199</v>
      </c>
      <c r="B271" t="s">
        <v>28</v>
      </c>
      <c r="C271" t="s">
        <v>1466</v>
      </c>
      <c r="D271" t="s">
        <v>1467</v>
      </c>
      <c r="E271" t="s">
        <v>1469</v>
      </c>
      <c r="F271" t="s">
        <v>1470</v>
      </c>
      <c r="G271">
        <v>1</v>
      </c>
      <c r="H271" s="1">
        <v>46054</v>
      </c>
      <c r="I271" s="8">
        <v>5000001</v>
      </c>
    </row>
    <row r="272" spans="1:9" x14ac:dyDescent="0.25">
      <c r="A272" t="s">
        <v>2199</v>
      </c>
      <c r="B272" t="s">
        <v>28</v>
      </c>
      <c r="C272" t="s">
        <v>1473</v>
      </c>
      <c r="D272" t="s">
        <v>1474</v>
      </c>
      <c r="E272" t="s">
        <v>1477</v>
      </c>
      <c r="F272" t="s">
        <v>219</v>
      </c>
      <c r="G272">
        <v>1</v>
      </c>
      <c r="H272" s="1">
        <v>46023</v>
      </c>
      <c r="I272" s="8">
        <v>300006</v>
      </c>
    </row>
    <row r="273" spans="1:9" x14ac:dyDescent="0.25">
      <c r="A273" t="s">
        <v>2199</v>
      </c>
      <c r="B273" t="s">
        <v>28</v>
      </c>
      <c r="C273" t="s">
        <v>1479</v>
      </c>
      <c r="D273" t="s">
        <v>1480</v>
      </c>
      <c r="E273" t="s">
        <v>1445</v>
      </c>
      <c r="F273" t="s">
        <v>1446</v>
      </c>
      <c r="G273">
        <v>1</v>
      </c>
      <c r="H273" s="1">
        <v>46143</v>
      </c>
      <c r="I273" s="8">
        <v>220000</v>
      </c>
    </row>
    <row r="274" spans="1:9" x14ac:dyDescent="0.25">
      <c r="A274" t="s">
        <v>2199</v>
      </c>
      <c r="B274" t="s">
        <v>28</v>
      </c>
      <c r="C274" t="s">
        <v>1482</v>
      </c>
      <c r="D274" t="s">
        <v>1483</v>
      </c>
      <c r="E274" t="s">
        <v>1477</v>
      </c>
      <c r="F274" t="s">
        <v>219</v>
      </c>
      <c r="G274">
        <v>1</v>
      </c>
      <c r="H274" s="1">
        <v>46023</v>
      </c>
      <c r="I274" s="8">
        <v>1500018</v>
      </c>
    </row>
    <row r="275" spans="1:9" x14ac:dyDescent="0.25">
      <c r="A275" t="s">
        <v>2199</v>
      </c>
      <c r="B275" t="s">
        <v>28</v>
      </c>
      <c r="C275" t="s">
        <v>1489</v>
      </c>
      <c r="D275" t="s">
        <v>1490</v>
      </c>
      <c r="E275" t="s">
        <v>1211</v>
      </c>
      <c r="F275" t="s">
        <v>320</v>
      </c>
      <c r="G275">
        <v>1</v>
      </c>
      <c r="H275" s="1">
        <v>46113</v>
      </c>
      <c r="I275" s="8">
        <v>218020</v>
      </c>
    </row>
    <row r="276" spans="1:9" x14ac:dyDescent="0.25">
      <c r="A276" t="s">
        <v>2199</v>
      </c>
      <c r="B276" t="s">
        <v>28</v>
      </c>
      <c r="C276" t="s">
        <v>1492</v>
      </c>
      <c r="D276" t="s">
        <v>1494</v>
      </c>
      <c r="E276" t="s">
        <v>590</v>
      </c>
      <c r="F276" t="s">
        <v>591</v>
      </c>
      <c r="G276">
        <v>1</v>
      </c>
      <c r="H276" s="1">
        <v>46082</v>
      </c>
      <c r="I276" s="8">
        <v>100000</v>
      </c>
    </row>
    <row r="277" spans="1:9" x14ac:dyDescent="0.25">
      <c r="A277" t="s">
        <v>2199</v>
      </c>
      <c r="B277" t="s">
        <v>28</v>
      </c>
      <c r="C277" t="s">
        <v>1497</v>
      </c>
      <c r="D277" t="s">
        <v>1498</v>
      </c>
      <c r="E277" t="s">
        <v>1075</v>
      </c>
      <c r="F277" t="s">
        <v>1076</v>
      </c>
      <c r="G277">
        <v>1</v>
      </c>
      <c r="H277" s="1">
        <v>46082</v>
      </c>
      <c r="I277" s="8">
        <v>335005</v>
      </c>
    </row>
    <row r="278" spans="1:9" x14ac:dyDescent="0.25">
      <c r="A278" t="s">
        <v>2199</v>
      </c>
      <c r="B278" t="s">
        <v>28</v>
      </c>
      <c r="C278" t="s">
        <v>1501</v>
      </c>
      <c r="D278" t="s">
        <v>1502</v>
      </c>
      <c r="E278" t="s">
        <v>1505</v>
      </c>
      <c r="F278" t="s">
        <v>423</v>
      </c>
      <c r="G278">
        <v>12</v>
      </c>
      <c r="H278" t="s">
        <v>413</v>
      </c>
      <c r="I278" s="8">
        <v>2400000</v>
      </c>
    </row>
    <row r="279" spans="1:9" x14ac:dyDescent="0.25">
      <c r="A279" t="s">
        <v>2199</v>
      </c>
      <c r="B279" t="s">
        <v>28</v>
      </c>
      <c r="C279" t="s">
        <v>1509</v>
      </c>
      <c r="D279" t="s">
        <v>1510</v>
      </c>
      <c r="E279" t="s">
        <v>590</v>
      </c>
      <c r="F279" t="s">
        <v>591</v>
      </c>
      <c r="G279">
        <v>1</v>
      </c>
      <c r="H279" s="1">
        <v>46113</v>
      </c>
      <c r="I279" s="8">
        <v>300090</v>
      </c>
    </row>
    <row r="280" spans="1:9" x14ac:dyDescent="0.25">
      <c r="A280" t="s">
        <v>2199</v>
      </c>
      <c r="B280" t="s">
        <v>28</v>
      </c>
      <c r="C280" t="s">
        <v>1514</v>
      </c>
      <c r="D280" t="s">
        <v>1515</v>
      </c>
      <c r="E280" t="s">
        <v>1075</v>
      </c>
      <c r="F280" t="s">
        <v>1076</v>
      </c>
      <c r="G280">
        <v>1</v>
      </c>
      <c r="H280" s="1">
        <v>46266</v>
      </c>
      <c r="I280" s="8">
        <v>150000</v>
      </c>
    </row>
    <row r="281" spans="1:9" x14ac:dyDescent="0.25">
      <c r="A281" t="s">
        <v>2199</v>
      </c>
      <c r="B281" t="s">
        <v>28</v>
      </c>
      <c r="C281" t="s">
        <v>1518</v>
      </c>
      <c r="D281" t="s">
        <v>1520</v>
      </c>
      <c r="E281" t="s">
        <v>761</v>
      </c>
      <c r="F281" t="s">
        <v>762</v>
      </c>
      <c r="G281">
        <v>1</v>
      </c>
      <c r="H281" s="1">
        <v>46143</v>
      </c>
      <c r="I281" s="8">
        <v>1660004</v>
      </c>
    </row>
    <row r="282" spans="1:9" x14ac:dyDescent="0.25">
      <c r="A282" t="s">
        <v>2199</v>
      </c>
      <c r="B282" t="s">
        <v>28</v>
      </c>
      <c r="C282" t="s">
        <v>1525</v>
      </c>
      <c r="D282" t="s">
        <v>1502</v>
      </c>
      <c r="E282" t="s">
        <v>1505</v>
      </c>
      <c r="F282" t="s">
        <v>423</v>
      </c>
      <c r="G282">
        <v>1</v>
      </c>
      <c r="H282" s="1">
        <v>46023</v>
      </c>
      <c r="I282" s="8">
        <v>3861900</v>
      </c>
    </row>
    <row r="283" spans="1:9" x14ac:dyDescent="0.25">
      <c r="A283" t="s">
        <v>2199</v>
      </c>
      <c r="B283" t="s">
        <v>28</v>
      </c>
      <c r="C283" t="s">
        <v>1528</v>
      </c>
      <c r="D283" t="s">
        <v>1529</v>
      </c>
      <c r="E283" t="s">
        <v>1075</v>
      </c>
      <c r="F283" t="s">
        <v>1076</v>
      </c>
      <c r="G283">
        <v>1</v>
      </c>
      <c r="H283" s="1">
        <v>46143</v>
      </c>
      <c r="I283" s="8">
        <v>36000</v>
      </c>
    </row>
    <row r="284" spans="1:9" x14ac:dyDescent="0.25">
      <c r="A284" t="s">
        <v>2199</v>
      </c>
      <c r="B284" t="s">
        <v>28</v>
      </c>
      <c r="C284" t="s">
        <v>1532</v>
      </c>
      <c r="D284" t="s">
        <v>1533</v>
      </c>
      <c r="E284" t="s">
        <v>761</v>
      </c>
      <c r="F284" t="s">
        <v>762</v>
      </c>
      <c r="G284">
        <v>1</v>
      </c>
      <c r="H284" s="1">
        <v>46143</v>
      </c>
      <c r="I284" s="8">
        <v>2740091</v>
      </c>
    </row>
    <row r="285" spans="1:9" x14ac:dyDescent="0.25">
      <c r="A285" t="s">
        <v>2199</v>
      </c>
      <c r="B285" t="s">
        <v>28</v>
      </c>
      <c r="C285" t="s">
        <v>1539</v>
      </c>
      <c r="D285" t="s">
        <v>1540</v>
      </c>
      <c r="E285" t="s">
        <v>1211</v>
      </c>
      <c r="F285" t="s">
        <v>320</v>
      </c>
      <c r="G285">
        <v>1</v>
      </c>
      <c r="H285" s="1">
        <v>46327</v>
      </c>
      <c r="I285" s="8">
        <v>400000</v>
      </c>
    </row>
    <row r="286" spans="1:9" x14ac:dyDescent="0.25">
      <c r="A286" t="s">
        <v>2199</v>
      </c>
      <c r="B286" t="s">
        <v>28</v>
      </c>
      <c r="C286" t="s">
        <v>1542</v>
      </c>
      <c r="D286" t="s">
        <v>1543</v>
      </c>
      <c r="E286" t="s">
        <v>1075</v>
      </c>
      <c r="F286" t="s">
        <v>1076</v>
      </c>
      <c r="G286">
        <v>1</v>
      </c>
      <c r="H286" s="1">
        <v>46204</v>
      </c>
      <c r="I286" s="8">
        <v>800000</v>
      </c>
    </row>
    <row r="287" spans="1:9" x14ac:dyDescent="0.25">
      <c r="A287" t="s">
        <v>2199</v>
      </c>
      <c r="B287" t="s">
        <v>28</v>
      </c>
      <c r="C287" t="s">
        <v>1546</v>
      </c>
      <c r="D287" t="s">
        <v>1548</v>
      </c>
      <c r="E287" t="s">
        <v>761</v>
      </c>
      <c r="F287" t="s">
        <v>762</v>
      </c>
      <c r="G287">
        <v>1</v>
      </c>
      <c r="H287" s="1">
        <v>46143</v>
      </c>
      <c r="I287" s="8">
        <v>1322042</v>
      </c>
    </row>
    <row r="288" spans="1:9" x14ac:dyDescent="0.25">
      <c r="A288" t="s">
        <v>2199</v>
      </c>
      <c r="B288" t="s">
        <v>28</v>
      </c>
      <c r="C288" t="s">
        <v>1551</v>
      </c>
      <c r="D288" t="s">
        <v>1553</v>
      </c>
      <c r="E288" t="s">
        <v>761</v>
      </c>
      <c r="F288" t="s">
        <v>762</v>
      </c>
      <c r="G288">
        <v>1</v>
      </c>
      <c r="H288" s="1">
        <v>46143</v>
      </c>
      <c r="I288" s="8">
        <v>334061</v>
      </c>
    </row>
    <row r="289" spans="1:9" x14ac:dyDescent="0.25">
      <c r="A289" t="s">
        <v>2199</v>
      </c>
      <c r="B289" t="s">
        <v>28</v>
      </c>
      <c r="C289" t="s">
        <v>1555</v>
      </c>
      <c r="D289" t="s">
        <v>1556</v>
      </c>
      <c r="E289" t="s">
        <v>1559</v>
      </c>
      <c r="F289" t="s">
        <v>1560</v>
      </c>
      <c r="G289">
        <v>1</v>
      </c>
      <c r="H289" s="1">
        <v>46113</v>
      </c>
      <c r="I289" s="8">
        <v>14500000</v>
      </c>
    </row>
    <row r="290" spans="1:9" x14ac:dyDescent="0.25">
      <c r="A290" t="s">
        <v>2199</v>
      </c>
      <c r="B290" t="s">
        <v>28</v>
      </c>
      <c r="C290" t="s">
        <v>1563</v>
      </c>
      <c r="D290" t="s">
        <v>1404</v>
      </c>
      <c r="E290" t="s">
        <v>1035</v>
      </c>
      <c r="F290" t="s">
        <v>1036</v>
      </c>
      <c r="G290">
        <v>1</v>
      </c>
      <c r="H290" s="1">
        <v>46327</v>
      </c>
      <c r="I290" s="8">
        <v>460000</v>
      </c>
    </row>
    <row r="291" spans="1:9" x14ac:dyDescent="0.25">
      <c r="A291" t="s">
        <v>2199</v>
      </c>
      <c r="B291" t="s">
        <v>28</v>
      </c>
      <c r="C291" t="s">
        <v>1566</v>
      </c>
      <c r="D291" t="s">
        <v>1567</v>
      </c>
      <c r="E291" t="s">
        <v>1211</v>
      </c>
      <c r="F291" t="s">
        <v>320</v>
      </c>
      <c r="G291">
        <v>1</v>
      </c>
      <c r="H291" s="1">
        <v>46054</v>
      </c>
      <c r="I291" s="8">
        <v>120000</v>
      </c>
    </row>
    <row r="292" spans="1:9" x14ac:dyDescent="0.25">
      <c r="A292" t="s">
        <v>2199</v>
      </c>
      <c r="B292" t="s">
        <v>28</v>
      </c>
      <c r="C292" t="s">
        <v>1569</v>
      </c>
      <c r="D292" t="s">
        <v>1570</v>
      </c>
      <c r="E292" t="s">
        <v>1572</v>
      </c>
      <c r="F292" t="s">
        <v>1573</v>
      </c>
      <c r="G292">
        <v>1</v>
      </c>
      <c r="H292" s="1">
        <v>46082</v>
      </c>
      <c r="I292" s="8">
        <v>7000000</v>
      </c>
    </row>
    <row r="293" spans="1:9" x14ac:dyDescent="0.25">
      <c r="A293" t="s">
        <v>2199</v>
      </c>
      <c r="B293" t="s">
        <v>28</v>
      </c>
      <c r="C293" t="s">
        <v>1585</v>
      </c>
      <c r="D293" t="s">
        <v>1587</v>
      </c>
      <c r="E293" t="s">
        <v>1572</v>
      </c>
      <c r="F293" t="s">
        <v>1573</v>
      </c>
      <c r="G293">
        <v>1</v>
      </c>
      <c r="H293" s="1">
        <v>46082</v>
      </c>
      <c r="I293" s="8">
        <v>1428000</v>
      </c>
    </row>
    <row r="294" spans="1:9" x14ac:dyDescent="0.25">
      <c r="A294" t="s">
        <v>2199</v>
      </c>
      <c r="B294" t="s">
        <v>28</v>
      </c>
      <c r="C294" t="s">
        <v>1600</v>
      </c>
      <c r="D294" t="s">
        <v>1601</v>
      </c>
      <c r="E294" t="s">
        <v>1572</v>
      </c>
      <c r="F294" t="s">
        <v>1573</v>
      </c>
      <c r="G294">
        <v>1</v>
      </c>
      <c r="H294" s="1">
        <v>46235</v>
      </c>
      <c r="I294" s="8">
        <v>1428000</v>
      </c>
    </row>
    <row r="295" spans="1:9" x14ac:dyDescent="0.25">
      <c r="A295" t="s">
        <v>2199</v>
      </c>
      <c r="B295" t="s">
        <v>28</v>
      </c>
      <c r="C295" t="s">
        <v>1604</v>
      </c>
      <c r="D295" t="s">
        <v>1605</v>
      </c>
      <c r="E295" t="s">
        <v>1608</v>
      </c>
      <c r="F295" t="s">
        <v>361</v>
      </c>
      <c r="G295">
        <v>1</v>
      </c>
      <c r="H295" s="1">
        <v>46023</v>
      </c>
      <c r="I295" s="8">
        <v>1160000</v>
      </c>
    </row>
    <row r="296" spans="1:9" x14ac:dyDescent="0.25">
      <c r="A296" t="s">
        <v>2199</v>
      </c>
      <c r="B296" t="s">
        <v>28</v>
      </c>
      <c r="C296" t="s">
        <v>1610</v>
      </c>
      <c r="D296" t="s">
        <v>1611</v>
      </c>
      <c r="E296" t="s">
        <v>1613</v>
      </c>
      <c r="F296" t="s">
        <v>1614</v>
      </c>
      <c r="G296">
        <v>1</v>
      </c>
      <c r="H296" s="1">
        <v>46023</v>
      </c>
      <c r="I296" s="8">
        <v>50932000</v>
      </c>
    </row>
    <row r="297" spans="1:9" x14ac:dyDescent="0.25">
      <c r="A297" t="s">
        <v>2199</v>
      </c>
      <c r="B297" t="s">
        <v>28</v>
      </c>
      <c r="C297" t="s">
        <v>1610</v>
      </c>
      <c r="D297" t="s">
        <v>1611</v>
      </c>
      <c r="E297" t="s">
        <v>1613</v>
      </c>
      <c r="F297" t="s">
        <v>1614</v>
      </c>
      <c r="G297">
        <v>1</v>
      </c>
      <c r="H297" s="1">
        <v>46054</v>
      </c>
      <c r="I297" s="8">
        <v>6500001</v>
      </c>
    </row>
    <row r="298" spans="1:9" x14ac:dyDescent="0.25">
      <c r="A298" t="s">
        <v>2199</v>
      </c>
      <c r="B298" t="s">
        <v>28</v>
      </c>
      <c r="C298" t="s">
        <v>1610</v>
      </c>
      <c r="D298" t="s">
        <v>1611</v>
      </c>
      <c r="E298" t="s">
        <v>1613</v>
      </c>
      <c r="F298" t="s">
        <v>1614</v>
      </c>
      <c r="G298">
        <v>1</v>
      </c>
      <c r="H298" s="1">
        <v>46082</v>
      </c>
      <c r="I298" s="8">
        <v>5000001</v>
      </c>
    </row>
    <row r="299" spans="1:9" x14ac:dyDescent="0.25">
      <c r="A299" t="s">
        <v>2199</v>
      </c>
      <c r="B299" t="s">
        <v>28</v>
      </c>
      <c r="C299" t="s">
        <v>1620</v>
      </c>
      <c r="D299" t="s">
        <v>1621</v>
      </c>
      <c r="E299" t="s">
        <v>1608</v>
      </c>
      <c r="F299" t="s">
        <v>361</v>
      </c>
      <c r="G299">
        <v>1</v>
      </c>
      <c r="H299" s="1">
        <v>46023</v>
      </c>
      <c r="I299" s="8">
        <v>600000</v>
      </c>
    </row>
    <row r="300" spans="1:9" x14ac:dyDescent="0.25">
      <c r="A300" t="s">
        <v>2199</v>
      </c>
      <c r="B300" t="s">
        <v>28</v>
      </c>
      <c r="C300" t="s">
        <v>1626</v>
      </c>
      <c r="D300" t="s">
        <v>1627</v>
      </c>
      <c r="E300" t="s">
        <v>1572</v>
      </c>
      <c r="F300" t="s">
        <v>1573</v>
      </c>
      <c r="G300">
        <v>1</v>
      </c>
      <c r="H300" s="1">
        <v>46113</v>
      </c>
      <c r="I300" s="8">
        <v>5580820</v>
      </c>
    </row>
    <row r="301" spans="1:9" x14ac:dyDescent="0.25">
      <c r="A301" t="s">
        <v>2199</v>
      </c>
      <c r="B301" t="s">
        <v>28</v>
      </c>
      <c r="C301" t="s">
        <v>1632</v>
      </c>
      <c r="D301" t="s">
        <v>1633</v>
      </c>
      <c r="E301" t="s">
        <v>934</v>
      </c>
      <c r="F301" t="s">
        <v>935</v>
      </c>
      <c r="G301">
        <v>1</v>
      </c>
      <c r="H301" s="1">
        <v>46204</v>
      </c>
      <c r="I301" s="8">
        <v>440000</v>
      </c>
    </row>
    <row r="302" spans="1:9" x14ac:dyDescent="0.25">
      <c r="A302" t="s">
        <v>2199</v>
      </c>
      <c r="B302" t="s">
        <v>28</v>
      </c>
      <c r="C302" t="s">
        <v>1637</v>
      </c>
      <c r="D302" t="s">
        <v>1177</v>
      </c>
      <c r="E302" t="s">
        <v>1180</v>
      </c>
      <c r="F302" t="s">
        <v>1181</v>
      </c>
      <c r="G302">
        <v>1</v>
      </c>
      <c r="H302" s="1">
        <v>46082</v>
      </c>
      <c r="I302" s="8">
        <v>115003</v>
      </c>
    </row>
    <row r="303" spans="1:9" x14ac:dyDescent="0.25">
      <c r="A303" t="s">
        <v>2199</v>
      </c>
      <c r="B303" t="s">
        <v>28</v>
      </c>
      <c r="C303" t="s">
        <v>1638</v>
      </c>
      <c r="D303" t="s">
        <v>1639</v>
      </c>
      <c r="E303" t="s">
        <v>1642</v>
      </c>
      <c r="F303" t="s">
        <v>1643</v>
      </c>
      <c r="G303">
        <v>1</v>
      </c>
      <c r="H303" s="1">
        <v>46082</v>
      </c>
      <c r="I303" s="8">
        <v>405000</v>
      </c>
    </row>
    <row r="304" spans="1:9" x14ac:dyDescent="0.25">
      <c r="A304" t="s">
        <v>2199</v>
      </c>
      <c r="B304" t="s">
        <v>28</v>
      </c>
      <c r="C304" t="s">
        <v>1667</v>
      </c>
      <c r="D304" t="s">
        <v>1668</v>
      </c>
      <c r="E304" t="s">
        <v>64</v>
      </c>
      <c r="F304" t="s">
        <v>65</v>
      </c>
      <c r="G304">
        <v>1</v>
      </c>
      <c r="H304" s="1">
        <v>46054</v>
      </c>
      <c r="I304" s="8">
        <v>175017</v>
      </c>
    </row>
    <row r="305" spans="1:9" x14ac:dyDescent="0.25">
      <c r="A305" t="s">
        <v>2199</v>
      </c>
      <c r="B305" t="s">
        <v>28</v>
      </c>
      <c r="C305" t="s">
        <v>1667</v>
      </c>
      <c r="D305" t="s">
        <v>1668</v>
      </c>
      <c r="E305" t="s">
        <v>64</v>
      </c>
      <c r="F305" t="s">
        <v>65</v>
      </c>
      <c r="G305">
        <v>4</v>
      </c>
      <c r="H305" t="s">
        <v>1672</v>
      </c>
      <c r="I305" s="8">
        <v>367136</v>
      </c>
    </row>
    <row r="306" spans="1:9" x14ac:dyDescent="0.25">
      <c r="A306" t="s">
        <v>2199</v>
      </c>
      <c r="B306" t="s">
        <v>28</v>
      </c>
      <c r="C306" t="s">
        <v>1675</v>
      </c>
      <c r="D306" t="s">
        <v>1658</v>
      </c>
      <c r="E306" t="s">
        <v>1660</v>
      </c>
      <c r="F306" t="s">
        <v>1661</v>
      </c>
      <c r="G306">
        <v>1</v>
      </c>
      <c r="H306" s="1">
        <v>46174</v>
      </c>
      <c r="I306" s="8">
        <v>2502600</v>
      </c>
    </row>
    <row r="307" spans="1:9" x14ac:dyDescent="0.25">
      <c r="A307" t="s">
        <v>2199</v>
      </c>
      <c r="B307" t="s">
        <v>28</v>
      </c>
      <c r="C307" t="s">
        <v>1679</v>
      </c>
      <c r="D307" t="s">
        <v>1680</v>
      </c>
      <c r="E307" t="s">
        <v>457</v>
      </c>
      <c r="F307" t="s">
        <v>1682</v>
      </c>
      <c r="G307">
        <v>1</v>
      </c>
      <c r="H307" s="1">
        <v>46023</v>
      </c>
      <c r="I307" s="8">
        <v>222014</v>
      </c>
    </row>
    <row r="308" spans="1:9" x14ac:dyDescent="0.25">
      <c r="A308" t="s">
        <v>2199</v>
      </c>
      <c r="B308" t="s">
        <v>28</v>
      </c>
      <c r="C308" t="s">
        <v>1684</v>
      </c>
      <c r="D308" t="s">
        <v>1685</v>
      </c>
      <c r="E308" t="s">
        <v>1642</v>
      </c>
      <c r="F308" t="s">
        <v>1643</v>
      </c>
      <c r="G308">
        <v>1</v>
      </c>
      <c r="H308" s="1">
        <v>46054</v>
      </c>
      <c r="I308" s="8">
        <v>200000</v>
      </c>
    </row>
    <row r="309" spans="1:9" x14ac:dyDescent="0.25">
      <c r="A309" t="s">
        <v>2199</v>
      </c>
      <c r="B309" t="s">
        <v>28</v>
      </c>
      <c r="C309" t="s">
        <v>1687</v>
      </c>
      <c r="D309" t="s">
        <v>1688</v>
      </c>
      <c r="E309" t="s">
        <v>1690</v>
      </c>
      <c r="F309" t="s">
        <v>865</v>
      </c>
      <c r="G309">
        <v>1</v>
      </c>
      <c r="H309" s="1">
        <v>46082</v>
      </c>
      <c r="I309" s="8">
        <v>2026009</v>
      </c>
    </row>
    <row r="310" spans="1:9" x14ac:dyDescent="0.25">
      <c r="A310" t="s">
        <v>2199</v>
      </c>
      <c r="B310" t="s">
        <v>28</v>
      </c>
      <c r="C310" t="s">
        <v>1694</v>
      </c>
      <c r="D310" t="s">
        <v>1695</v>
      </c>
      <c r="E310" t="s">
        <v>414</v>
      </c>
      <c r="F310" t="s">
        <v>1697</v>
      </c>
      <c r="G310">
        <v>1</v>
      </c>
      <c r="H310" s="1">
        <v>46143</v>
      </c>
      <c r="I310" s="8">
        <v>2500008</v>
      </c>
    </row>
    <row r="311" spans="1:9" x14ac:dyDescent="0.25">
      <c r="A311" t="s">
        <v>2199</v>
      </c>
      <c r="B311" t="s">
        <v>28</v>
      </c>
      <c r="C311" t="s">
        <v>1699</v>
      </c>
      <c r="D311" t="s">
        <v>1658</v>
      </c>
      <c r="E311" t="s">
        <v>1660</v>
      </c>
      <c r="F311" t="s">
        <v>1661</v>
      </c>
      <c r="G311">
        <v>1</v>
      </c>
      <c r="H311" s="1">
        <v>46174</v>
      </c>
      <c r="I311" s="8">
        <v>500115</v>
      </c>
    </row>
    <row r="312" spans="1:9" x14ac:dyDescent="0.25">
      <c r="A312" t="s">
        <v>2199</v>
      </c>
      <c r="B312" t="s">
        <v>28</v>
      </c>
      <c r="C312" t="s">
        <v>1700</v>
      </c>
      <c r="D312" t="s">
        <v>1701</v>
      </c>
      <c r="E312" t="s">
        <v>1704</v>
      </c>
      <c r="F312" t="s">
        <v>1705</v>
      </c>
      <c r="G312">
        <v>1</v>
      </c>
      <c r="H312" s="1">
        <v>46143</v>
      </c>
      <c r="I312" s="8">
        <v>4059825</v>
      </c>
    </row>
    <row r="313" spans="1:9" x14ac:dyDescent="0.25">
      <c r="A313" t="s">
        <v>2199</v>
      </c>
      <c r="B313" t="s">
        <v>28</v>
      </c>
      <c r="C313" t="s">
        <v>1708</v>
      </c>
      <c r="D313" t="s">
        <v>1709</v>
      </c>
      <c r="E313" t="s">
        <v>958</v>
      </c>
      <c r="F313" t="s">
        <v>959</v>
      </c>
      <c r="G313">
        <v>1</v>
      </c>
      <c r="H313" s="1">
        <v>46023</v>
      </c>
      <c r="I313" s="8">
        <v>550000</v>
      </c>
    </row>
    <row r="314" spans="1:9" x14ac:dyDescent="0.25">
      <c r="A314" t="s">
        <v>2199</v>
      </c>
      <c r="B314" t="s">
        <v>28</v>
      </c>
      <c r="C314" t="s">
        <v>1712</v>
      </c>
      <c r="D314" t="s">
        <v>1713</v>
      </c>
      <c r="E314" t="s">
        <v>1572</v>
      </c>
      <c r="F314" t="s">
        <v>1573</v>
      </c>
      <c r="G314">
        <v>1</v>
      </c>
      <c r="H314" s="1">
        <v>46082</v>
      </c>
      <c r="I314" s="8">
        <v>783090</v>
      </c>
    </row>
    <row r="315" spans="1:9" x14ac:dyDescent="0.25">
      <c r="A315" t="s">
        <v>2199</v>
      </c>
      <c r="B315" t="s">
        <v>28</v>
      </c>
      <c r="C315" t="s">
        <v>1715</v>
      </c>
      <c r="D315" t="s">
        <v>1716</v>
      </c>
      <c r="E315" t="s">
        <v>958</v>
      </c>
      <c r="F315" t="s">
        <v>959</v>
      </c>
      <c r="G315">
        <v>1</v>
      </c>
      <c r="H315" s="1">
        <v>46023</v>
      </c>
      <c r="I315" s="8">
        <v>60000</v>
      </c>
    </row>
    <row r="316" spans="1:9" x14ac:dyDescent="0.25">
      <c r="A316" t="s">
        <v>2199</v>
      </c>
      <c r="B316" t="s">
        <v>28</v>
      </c>
      <c r="C316" t="s">
        <v>1718</v>
      </c>
      <c r="D316" t="s">
        <v>1719</v>
      </c>
      <c r="E316" t="s">
        <v>1723</v>
      </c>
      <c r="F316" t="s">
        <v>154</v>
      </c>
      <c r="G316">
        <v>24</v>
      </c>
      <c r="H316" t="s">
        <v>1722</v>
      </c>
      <c r="I316" s="8">
        <v>0</v>
      </c>
    </row>
    <row r="317" spans="1:9" x14ac:dyDescent="0.25">
      <c r="A317" t="s">
        <v>2199</v>
      </c>
      <c r="B317" t="s">
        <v>28</v>
      </c>
      <c r="C317" t="s">
        <v>1725</v>
      </c>
      <c r="D317" t="s">
        <v>1726</v>
      </c>
      <c r="E317" t="s">
        <v>1211</v>
      </c>
      <c r="F317" t="s">
        <v>320</v>
      </c>
      <c r="G317">
        <v>1</v>
      </c>
      <c r="H317" s="1">
        <v>46143</v>
      </c>
      <c r="I317" s="8">
        <v>900000</v>
      </c>
    </row>
    <row r="318" spans="1:9" x14ac:dyDescent="0.25">
      <c r="A318" t="s">
        <v>2199</v>
      </c>
      <c r="B318" t="s">
        <v>28</v>
      </c>
      <c r="C318" t="s">
        <v>1728</v>
      </c>
      <c r="D318" t="s">
        <v>1729</v>
      </c>
      <c r="E318" t="s">
        <v>1211</v>
      </c>
      <c r="F318" t="s">
        <v>320</v>
      </c>
      <c r="G318">
        <v>1</v>
      </c>
      <c r="H318" s="1">
        <v>46357</v>
      </c>
      <c r="I318" s="8">
        <v>1500000</v>
      </c>
    </row>
    <row r="319" spans="1:9" x14ac:dyDescent="0.25">
      <c r="A319" t="s">
        <v>2199</v>
      </c>
      <c r="B319" t="s">
        <v>28</v>
      </c>
      <c r="C319" t="s">
        <v>1731</v>
      </c>
      <c r="D319" t="s">
        <v>1732</v>
      </c>
      <c r="E319" t="s">
        <v>1572</v>
      </c>
      <c r="F319" t="s">
        <v>1573</v>
      </c>
      <c r="G319">
        <v>1</v>
      </c>
      <c r="H319" s="1">
        <v>46082</v>
      </c>
      <c r="I319" s="8">
        <v>726450</v>
      </c>
    </row>
    <row r="320" spans="1:9" x14ac:dyDescent="0.25">
      <c r="A320" t="s">
        <v>2199</v>
      </c>
      <c r="B320" t="s">
        <v>28</v>
      </c>
      <c r="C320" t="s">
        <v>1734</v>
      </c>
      <c r="D320" t="s">
        <v>1736</v>
      </c>
      <c r="E320" t="s">
        <v>624</v>
      </c>
      <c r="F320" t="s">
        <v>625</v>
      </c>
      <c r="G320">
        <v>1</v>
      </c>
      <c r="H320" s="1">
        <v>46143</v>
      </c>
      <c r="I320" s="8">
        <v>5000000</v>
      </c>
    </row>
    <row r="321" spans="1:9" x14ac:dyDescent="0.25">
      <c r="A321" t="s">
        <v>2199</v>
      </c>
      <c r="B321" t="s">
        <v>28</v>
      </c>
      <c r="C321" t="s">
        <v>1738</v>
      </c>
      <c r="D321" t="s">
        <v>1739</v>
      </c>
      <c r="E321" t="s">
        <v>1723</v>
      </c>
      <c r="F321" t="s">
        <v>154</v>
      </c>
      <c r="G321">
        <v>1</v>
      </c>
      <c r="H321" s="1">
        <v>46113</v>
      </c>
      <c r="I321" s="8">
        <v>500000</v>
      </c>
    </row>
    <row r="322" spans="1:9" x14ac:dyDescent="0.25">
      <c r="A322" t="s">
        <v>2199</v>
      </c>
      <c r="B322" t="s">
        <v>28</v>
      </c>
      <c r="C322" t="s">
        <v>1741</v>
      </c>
      <c r="D322" t="s">
        <v>1742</v>
      </c>
      <c r="E322" t="s">
        <v>1744</v>
      </c>
      <c r="F322" t="s">
        <v>1745</v>
      </c>
      <c r="G322">
        <v>1</v>
      </c>
      <c r="H322" s="1">
        <v>46082</v>
      </c>
      <c r="I322" s="8">
        <v>316013</v>
      </c>
    </row>
    <row r="323" spans="1:9" x14ac:dyDescent="0.25">
      <c r="A323" t="s">
        <v>2199</v>
      </c>
      <c r="B323" t="s">
        <v>28</v>
      </c>
      <c r="C323" t="s">
        <v>1748</v>
      </c>
      <c r="D323" t="s">
        <v>1749</v>
      </c>
      <c r="E323" t="s">
        <v>1752</v>
      </c>
      <c r="F323" t="s">
        <v>1753</v>
      </c>
      <c r="G323">
        <v>1</v>
      </c>
      <c r="H323" s="1">
        <v>46023</v>
      </c>
      <c r="I323" s="8">
        <v>10000000</v>
      </c>
    </row>
    <row r="324" spans="1:9" x14ac:dyDescent="0.25">
      <c r="A324" t="s">
        <v>2199</v>
      </c>
      <c r="B324" t="s">
        <v>28</v>
      </c>
      <c r="C324" t="s">
        <v>1756</v>
      </c>
      <c r="D324" t="s">
        <v>1757</v>
      </c>
      <c r="E324" t="s">
        <v>1759</v>
      </c>
      <c r="F324" t="s">
        <v>1760</v>
      </c>
      <c r="G324">
        <v>1</v>
      </c>
      <c r="H324" s="1">
        <v>46266</v>
      </c>
      <c r="I324" s="8">
        <v>15000018</v>
      </c>
    </row>
    <row r="325" spans="1:9" x14ac:dyDescent="0.25">
      <c r="A325" t="s">
        <v>2199</v>
      </c>
      <c r="B325" t="s">
        <v>28</v>
      </c>
      <c r="C325" t="s">
        <v>1763</v>
      </c>
      <c r="D325" t="s">
        <v>1764</v>
      </c>
      <c r="E325" t="s">
        <v>1759</v>
      </c>
      <c r="F325" t="s">
        <v>1760</v>
      </c>
      <c r="G325">
        <v>1</v>
      </c>
      <c r="H325" s="1">
        <v>46204</v>
      </c>
      <c r="I325" s="8">
        <v>30000000</v>
      </c>
    </row>
    <row r="326" spans="1:9" x14ac:dyDescent="0.25">
      <c r="A326" t="s">
        <v>2199</v>
      </c>
      <c r="B326" t="s">
        <v>28</v>
      </c>
      <c r="C326" t="s">
        <v>1767</v>
      </c>
      <c r="D326" t="s">
        <v>1768</v>
      </c>
      <c r="E326" t="s">
        <v>1642</v>
      </c>
      <c r="F326" t="s">
        <v>1643</v>
      </c>
      <c r="G326">
        <v>1</v>
      </c>
      <c r="H326" s="1">
        <v>46082</v>
      </c>
      <c r="I326" s="8">
        <v>280000</v>
      </c>
    </row>
    <row r="327" spans="1:9" x14ac:dyDescent="0.25">
      <c r="A327" t="s">
        <v>2199</v>
      </c>
      <c r="B327" t="s">
        <v>28</v>
      </c>
      <c r="C327" t="s">
        <v>1770</v>
      </c>
      <c r="D327" t="s">
        <v>1771</v>
      </c>
      <c r="E327" t="s">
        <v>1773</v>
      </c>
      <c r="F327" t="s">
        <v>1774</v>
      </c>
      <c r="G327">
        <v>1</v>
      </c>
      <c r="H327" s="1">
        <v>46113</v>
      </c>
      <c r="I327" s="8">
        <v>7000000</v>
      </c>
    </row>
    <row r="328" spans="1:9" x14ac:dyDescent="0.25">
      <c r="A328" t="s">
        <v>2199</v>
      </c>
      <c r="B328" t="s">
        <v>28</v>
      </c>
      <c r="C328" t="s">
        <v>1777</v>
      </c>
      <c r="D328" t="s">
        <v>1778</v>
      </c>
      <c r="E328" t="s">
        <v>1744</v>
      </c>
      <c r="F328" t="s">
        <v>1745</v>
      </c>
      <c r="G328">
        <v>1</v>
      </c>
      <c r="H328" s="1">
        <v>46143</v>
      </c>
      <c r="I328" s="8">
        <v>1200000</v>
      </c>
    </row>
    <row r="329" spans="1:9" x14ac:dyDescent="0.25">
      <c r="A329" t="s">
        <v>2199</v>
      </c>
      <c r="B329" t="s">
        <v>28</v>
      </c>
      <c r="C329" t="s">
        <v>1780</v>
      </c>
      <c r="D329" t="s">
        <v>1781</v>
      </c>
      <c r="E329" t="s">
        <v>1744</v>
      </c>
      <c r="F329" t="s">
        <v>1745</v>
      </c>
      <c r="G329">
        <v>1</v>
      </c>
      <c r="H329" s="1">
        <v>46082</v>
      </c>
      <c r="I329" s="8">
        <v>150100</v>
      </c>
    </row>
    <row r="330" spans="1:9" x14ac:dyDescent="0.25">
      <c r="A330" t="s">
        <v>2199</v>
      </c>
      <c r="B330" t="s">
        <v>28</v>
      </c>
      <c r="C330" t="s">
        <v>1783</v>
      </c>
      <c r="D330" t="s">
        <v>1784</v>
      </c>
      <c r="E330" t="s">
        <v>1773</v>
      </c>
      <c r="F330" t="s">
        <v>1774</v>
      </c>
      <c r="G330">
        <v>1</v>
      </c>
      <c r="H330" s="1">
        <v>46082</v>
      </c>
      <c r="I330" s="8">
        <v>1500000</v>
      </c>
    </row>
    <row r="331" spans="1:9" x14ac:dyDescent="0.25">
      <c r="A331" t="s">
        <v>2199</v>
      </c>
      <c r="B331" t="s">
        <v>28</v>
      </c>
      <c r="C331" t="s">
        <v>1787</v>
      </c>
      <c r="D331" t="s">
        <v>1788</v>
      </c>
      <c r="E331" t="s">
        <v>1642</v>
      </c>
      <c r="F331" t="s">
        <v>1643</v>
      </c>
      <c r="G331">
        <v>1</v>
      </c>
      <c r="H331" s="1">
        <v>46266</v>
      </c>
      <c r="I331" s="8">
        <v>118548</v>
      </c>
    </row>
    <row r="332" spans="1:9" x14ac:dyDescent="0.25">
      <c r="A332" t="s">
        <v>2199</v>
      </c>
      <c r="B332" t="s">
        <v>28</v>
      </c>
      <c r="C332" t="s">
        <v>1790</v>
      </c>
      <c r="D332" t="s">
        <v>1791</v>
      </c>
      <c r="E332" t="s">
        <v>1773</v>
      </c>
      <c r="F332" t="s">
        <v>1774</v>
      </c>
      <c r="G332">
        <v>1</v>
      </c>
      <c r="H332" s="1">
        <v>46054</v>
      </c>
      <c r="I332" s="8">
        <v>1000000</v>
      </c>
    </row>
    <row r="333" spans="1:9" x14ac:dyDescent="0.25">
      <c r="A333" t="s">
        <v>2199</v>
      </c>
      <c r="B333" t="s">
        <v>28</v>
      </c>
      <c r="C333" t="s">
        <v>1793</v>
      </c>
      <c r="D333" t="s">
        <v>1794</v>
      </c>
      <c r="E333" t="s">
        <v>1797</v>
      </c>
      <c r="F333" t="s">
        <v>1798</v>
      </c>
      <c r="G333">
        <v>1</v>
      </c>
      <c r="H333" s="1">
        <v>46023</v>
      </c>
      <c r="I333" s="8">
        <v>110000</v>
      </c>
    </row>
    <row r="334" spans="1:9" x14ac:dyDescent="0.25">
      <c r="A334" t="s">
        <v>2199</v>
      </c>
      <c r="B334" t="s">
        <v>28</v>
      </c>
      <c r="C334" t="s">
        <v>1802</v>
      </c>
      <c r="D334" t="s">
        <v>1803</v>
      </c>
      <c r="E334" t="s">
        <v>1805</v>
      </c>
      <c r="F334" t="s">
        <v>523</v>
      </c>
      <c r="G334">
        <v>1</v>
      </c>
      <c r="H334" s="1">
        <v>46054</v>
      </c>
      <c r="I334" s="8">
        <v>600000</v>
      </c>
    </row>
    <row r="335" spans="1:9" x14ac:dyDescent="0.25">
      <c r="A335" t="s">
        <v>2199</v>
      </c>
      <c r="B335" t="s">
        <v>28</v>
      </c>
      <c r="C335" t="s">
        <v>1807</v>
      </c>
      <c r="D335" t="s">
        <v>1808</v>
      </c>
      <c r="E335" t="s">
        <v>1752</v>
      </c>
      <c r="F335" t="s">
        <v>1753</v>
      </c>
      <c r="G335">
        <v>1</v>
      </c>
      <c r="H335" s="1">
        <v>46023</v>
      </c>
      <c r="I335" s="8">
        <v>10000000</v>
      </c>
    </row>
    <row r="336" spans="1:9" x14ac:dyDescent="0.25">
      <c r="A336" t="s">
        <v>2199</v>
      </c>
      <c r="B336" t="s">
        <v>28</v>
      </c>
      <c r="C336" t="s">
        <v>1811</v>
      </c>
      <c r="D336" t="s">
        <v>1812</v>
      </c>
      <c r="E336" t="s">
        <v>1797</v>
      </c>
      <c r="F336" t="s">
        <v>1798</v>
      </c>
      <c r="G336">
        <v>1</v>
      </c>
      <c r="H336" s="1">
        <v>46023</v>
      </c>
      <c r="I336" s="8">
        <v>500000</v>
      </c>
    </row>
    <row r="337" spans="1:9" x14ac:dyDescent="0.25">
      <c r="A337" t="s">
        <v>2199</v>
      </c>
      <c r="B337" t="s">
        <v>28</v>
      </c>
      <c r="C337" t="s">
        <v>1815</v>
      </c>
      <c r="D337" t="s">
        <v>1816</v>
      </c>
      <c r="E337" t="s">
        <v>1642</v>
      </c>
      <c r="F337" t="s">
        <v>1643</v>
      </c>
      <c r="G337">
        <v>1</v>
      </c>
      <c r="H337" s="1">
        <v>46113</v>
      </c>
      <c r="I337" s="8">
        <v>450008</v>
      </c>
    </row>
    <row r="338" spans="1:9" x14ac:dyDescent="0.25">
      <c r="A338" t="s">
        <v>2199</v>
      </c>
      <c r="B338" t="s">
        <v>28</v>
      </c>
      <c r="C338" t="s">
        <v>1818</v>
      </c>
      <c r="D338" t="s">
        <v>1819</v>
      </c>
      <c r="E338" t="s">
        <v>1723</v>
      </c>
      <c r="F338" t="s">
        <v>154</v>
      </c>
      <c r="G338">
        <v>1</v>
      </c>
      <c r="H338" s="1">
        <v>46174</v>
      </c>
      <c r="I338" s="8">
        <v>700000</v>
      </c>
    </row>
    <row r="339" spans="1:9" x14ac:dyDescent="0.25">
      <c r="A339" t="s">
        <v>2199</v>
      </c>
      <c r="B339" t="s">
        <v>28</v>
      </c>
      <c r="C339" t="s">
        <v>1821</v>
      </c>
      <c r="D339" t="s">
        <v>1822</v>
      </c>
      <c r="E339" t="s">
        <v>1723</v>
      </c>
      <c r="F339" t="s">
        <v>154</v>
      </c>
      <c r="G339">
        <v>1</v>
      </c>
      <c r="H339" s="1">
        <v>46113</v>
      </c>
      <c r="I339" s="8">
        <v>2000160</v>
      </c>
    </row>
    <row r="340" spans="1:9" x14ac:dyDescent="0.25">
      <c r="A340" t="s">
        <v>2199</v>
      </c>
      <c r="B340" t="s">
        <v>28</v>
      </c>
      <c r="C340" t="s">
        <v>1824</v>
      </c>
      <c r="D340" t="s">
        <v>1825</v>
      </c>
      <c r="E340" t="s">
        <v>1805</v>
      </c>
      <c r="F340" t="s">
        <v>523</v>
      </c>
      <c r="G340">
        <v>1</v>
      </c>
      <c r="H340" s="1">
        <v>46113</v>
      </c>
      <c r="I340" s="8">
        <v>420000</v>
      </c>
    </row>
    <row r="341" spans="1:9" x14ac:dyDescent="0.25">
      <c r="A341" t="s">
        <v>2199</v>
      </c>
      <c r="B341" t="s">
        <v>28</v>
      </c>
      <c r="C341" t="s">
        <v>1832</v>
      </c>
      <c r="D341" t="s">
        <v>1833</v>
      </c>
      <c r="E341" t="s">
        <v>1642</v>
      </c>
      <c r="F341" t="s">
        <v>1643</v>
      </c>
      <c r="G341">
        <v>1</v>
      </c>
      <c r="H341" s="1">
        <v>46174</v>
      </c>
      <c r="I341" s="8">
        <v>1000000</v>
      </c>
    </row>
    <row r="342" spans="1:9" x14ac:dyDescent="0.25">
      <c r="A342" t="s">
        <v>2199</v>
      </c>
      <c r="B342" t="s">
        <v>28</v>
      </c>
      <c r="C342" t="s">
        <v>1835</v>
      </c>
      <c r="D342" t="s">
        <v>1836</v>
      </c>
      <c r="E342" t="s">
        <v>1642</v>
      </c>
      <c r="F342" t="s">
        <v>1643</v>
      </c>
      <c r="G342">
        <v>1</v>
      </c>
      <c r="H342" s="1">
        <v>46235</v>
      </c>
      <c r="I342" s="8">
        <v>440040</v>
      </c>
    </row>
    <row r="343" spans="1:9" x14ac:dyDescent="0.25">
      <c r="A343" t="s">
        <v>2199</v>
      </c>
      <c r="B343" t="s">
        <v>28</v>
      </c>
      <c r="C343" t="s">
        <v>1839</v>
      </c>
      <c r="D343" t="s">
        <v>1840</v>
      </c>
      <c r="E343" t="s">
        <v>1572</v>
      </c>
      <c r="F343" t="s">
        <v>1573</v>
      </c>
      <c r="G343">
        <v>1</v>
      </c>
      <c r="H343" s="1">
        <v>46113</v>
      </c>
      <c r="I343" s="8">
        <v>2578000</v>
      </c>
    </row>
    <row r="344" spans="1:9" x14ac:dyDescent="0.25">
      <c r="A344" t="s">
        <v>2199</v>
      </c>
      <c r="B344" t="s">
        <v>28</v>
      </c>
      <c r="C344" t="s">
        <v>1842</v>
      </c>
      <c r="D344" t="s">
        <v>1843</v>
      </c>
      <c r="E344" t="s">
        <v>122</v>
      </c>
      <c r="F344" t="s">
        <v>544</v>
      </c>
      <c r="G344">
        <v>1</v>
      </c>
      <c r="H344" s="1">
        <v>46143</v>
      </c>
      <c r="I344" s="8">
        <v>3000000</v>
      </c>
    </row>
    <row r="345" spans="1:9" x14ac:dyDescent="0.25">
      <c r="A345" t="s">
        <v>2199</v>
      </c>
      <c r="B345" t="s">
        <v>28</v>
      </c>
      <c r="C345" t="s">
        <v>1845</v>
      </c>
      <c r="D345" t="s">
        <v>1846</v>
      </c>
      <c r="E345" t="s">
        <v>1572</v>
      </c>
      <c r="F345" t="s">
        <v>1573</v>
      </c>
      <c r="G345">
        <v>1</v>
      </c>
      <c r="H345" s="1">
        <v>46266</v>
      </c>
      <c r="I345" s="8">
        <v>1428000</v>
      </c>
    </row>
    <row r="346" spans="1:9" x14ac:dyDescent="0.25">
      <c r="A346" t="s">
        <v>2199</v>
      </c>
      <c r="B346" t="s">
        <v>28</v>
      </c>
      <c r="C346" t="s">
        <v>1848</v>
      </c>
      <c r="D346" t="s">
        <v>1849</v>
      </c>
      <c r="E346" t="s">
        <v>414</v>
      </c>
      <c r="F346" t="s">
        <v>1852</v>
      </c>
      <c r="G346">
        <v>1</v>
      </c>
      <c r="H346" s="1">
        <v>46082</v>
      </c>
      <c r="I346" s="8">
        <v>9000000</v>
      </c>
    </row>
    <row r="347" spans="1:9" x14ac:dyDescent="0.25">
      <c r="A347" t="s">
        <v>2199</v>
      </c>
      <c r="B347" t="s">
        <v>28</v>
      </c>
      <c r="C347" t="s">
        <v>1853</v>
      </c>
      <c r="D347" t="s">
        <v>1854</v>
      </c>
      <c r="E347" t="s">
        <v>1445</v>
      </c>
      <c r="F347" t="s">
        <v>1446</v>
      </c>
      <c r="G347">
        <v>1</v>
      </c>
      <c r="H347" s="1">
        <v>46054</v>
      </c>
      <c r="I347" s="8">
        <v>3000000</v>
      </c>
    </row>
    <row r="348" spans="1:9" x14ac:dyDescent="0.25">
      <c r="A348" t="s">
        <v>2199</v>
      </c>
      <c r="B348" t="s">
        <v>28</v>
      </c>
      <c r="C348" t="s">
        <v>1856</v>
      </c>
      <c r="D348" t="s">
        <v>1857</v>
      </c>
      <c r="E348" t="s">
        <v>761</v>
      </c>
      <c r="F348" t="s">
        <v>762</v>
      </c>
      <c r="G348">
        <v>1</v>
      </c>
      <c r="H348" s="1">
        <v>46174</v>
      </c>
      <c r="I348" s="8">
        <v>1250000</v>
      </c>
    </row>
    <row r="349" spans="1:9" x14ac:dyDescent="0.25">
      <c r="A349" t="s">
        <v>2199</v>
      </c>
      <c r="B349" t="s">
        <v>28</v>
      </c>
      <c r="C349" t="s">
        <v>1860</v>
      </c>
      <c r="D349" t="s">
        <v>1861</v>
      </c>
      <c r="E349" t="s">
        <v>1797</v>
      </c>
      <c r="F349" t="s">
        <v>1798</v>
      </c>
      <c r="G349">
        <v>1</v>
      </c>
      <c r="H349" s="1">
        <v>46054</v>
      </c>
      <c r="I349" s="8">
        <v>449086</v>
      </c>
    </row>
    <row r="350" spans="1:9" x14ac:dyDescent="0.25">
      <c r="A350" t="s">
        <v>2199</v>
      </c>
      <c r="B350" t="s">
        <v>28</v>
      </c>
      <c r="C350" t="s">
        <v>1865</v>
      </c>
      <c r="D350" t="s">
        <v>1866</v>
      </c>
      <c r="E350" t="s">
        <v>1868</v>
      </c>
      <c r="F350" t="s">
        <v>1869</v>
      </c>
      <c r="G350">
        <v>1</v>
      </c>
      <c r="H350" s="1">
        <v>46023</v>
      </c>
      <c r="I350" s="8">
        <v>506850</v>
      </c>
    </row>
    <row r="351" spans="1:9" x14ac:dyDescent="0.25">
      <c r="A351" t="s">
        <v>2199</v>
      </c>
      <c r="B351" t="s">
        <v>28</v>
      </c>
      <c r="C351" t="s">
        <v>1872</v>
      </c>
      <c r="D351" t="s">
        <v>1873</v>
      </c>
      <c r="E351" t="s">
        <v>1875</v>
      </c>
      <c r="F351" t="s">
        <v>1876</v>
      </c>
      <c r="G351">
        <v>1</v>
      </c>
      <c r="H351" s="1">
        <v>46082</v>
      </c>
      <c r="I351" s="8">
        <v>505068</v>
      </c>
    </row>
    <row r="352" spans="1:9" x14ac:dyDescent="0.25">
      <c r="A352" t="s">
        <v>2199</v>
      </c>
      <c r="B352" t="s">
        <v>28</v>
      </c>
      <c r="C352" t="s">
        <v>1879</v>
      </c>
      <c r="D352" t="s">
        <v>1880</v>
      </c>
      <c r="E352" t="s">
        <v>768</v>
      </c>
      <c r="F352" t="s">
        <v>966</v>
      </c>
      <c r="G352">
        <v>1</v>
      </c>
      <c r="H352" s="1">
        <v>46235</v>
      </c>
      <c r="I352" s="8">
        <v>12000000</v>
      </c>
    </row>
    <row r="353" spans="1:9" x14ac:dyDescent="0.25">
      <c r="A353" t="s">
        <v>2199</v>
      </c>
      <c r="B353" t="s">
        <v>28</v>
      </c>
      <c r="C353" t="s">
        <v>1883</v>
      </c>
      <c r="D353" t="s">
        <v>1884</v>
      </c>
      <c r="E353" t="s">
        <v>1759</v>
      </c>
      <c r="F353" t="s">
        <v>1760</v>
      </c>
      <c r="G353">
        <v>1</v>
      </c>
      <c r="H353" s="1">
        <v>46082</v>
      </c>
      <c r="I353" s="8">
        <v>3550000</v>
      </c>
    </row>
    <row r="354" spans="1:9" x14ac:dyDescent="0.25">
      <c r="A354" t="s">
        <v>2199</v>
      </c>
      <c r="B354" t="s">
        <v>28</v>
      </c>
      <c r="C354" t="s">
        <v>1890</v>
      </c>
      <c r="D354" t="s">
        <v>1891</v>
      </c>
      <c r="E354" t="s">
        <v>1893</v>
      </c>
      <c r="F354" t="s">
        <v>1894</v>
      </c>
      <c r="G354">
        <v>1</v>
      </c>
      <c r="H354" s="1">
        <v>46023</v>
      </c>
      <c r="I354" s="8">
        <v>70000</v>
      </c>
    </row>
    <row r="355" spans="1:9" x14ac:dyDescent="0.25">
      <c r="A355" t="s">
        <v>2199</v>
      </c>
      <c r="B355" t="s">
        <v>28</v>
      </c>
      <c r="C355" t="s">
        <v>1897</v>
      </c>
      <c r="D355" t="s">
        <v>1898</v>
      </c>
      <c r="E355" t="s">
        <v>1797</v>
      </c>
      <c r="F355" t="s">
        <v>1798</v>
      </c>
      <c r="G355">
        <v>1</v>
      </c>
      <c r="H355" s="1">
        <v>46023</v>
      </c>
      <c r="I355" s="8">
        <v>335000</v>
      </c>
    </row>
    <row r="356" spans="1:9" x14ac:dyDescent="0.25">
      <c r="A356" t="s">
        <v>2199</v>
      </c>
      <c r="B356" t="s">
        <v>28</v>
      </c>
      <c r="C356" t="s">
        <v>1901</v>
      </c>
      <c r="D356" t="s">
        <v>1903</v>
      </c>
      <c r="E356" t="s">
        <v>761</v>
      </c>
      <c r="F356" t="s">
        <v>762</v>
      </c>
      <c r="G356">
        <v>1</v>
      </c>
      <c r="H356" s="1">
        <v>46054</v>
      </c>
      <c r="I356" s="8">
        <v>6517038</v>
      </c>
    </row>
    <row r="357" spans="1:9" x14ac:dyDescent="0.25">
      <c r="A357" t="s">
        <v>2199</v>
      </c>
      <c r="B357" t="s">
        <v>28</v>
      </c>
      <c r="C357" t="s">
        <v>1908</v>
      </c>
      <c r="D357" t="s">
        <v>1909</v>
      </c>
      <c r="E357" t="s">
        <v>1797</v>
      </c>
      <c r="F357" t="s">
        <v>1798</v>
      </c>
      <c r="G357">
        <v>1</v>
      </c>
      <c r="H357" s="1">
        <v>46023</v>
      </c>
      <c r="I357" s="8">
        <v>170000</v>
      </c>
    </row>
    <row r="358" spans="1:9" x14ac:dyDescent="0.25">
      <c r="A358" t="s">
        <v>2199</v>
      </c>
      <c r="B358" t="s">
        <v>28</v>
      </c>
      <c r="C358" t="s">
        <v>1911</v>
      </c>
      <c r="D358" t="s">
        <v>1912</v>
      </c>
      <c r="E358" t="s">
        <v>1893</v>
      </c>
      <c r="F358" t="s">
        <v>1894</v>
      </c>
      <c r="G358">
        <v>1</v>
      </c>
      <c r="H358" s="1">
        <v>46023</v>
      </c>
      <c r="I358" s="8">
        <v>100000</v>
      </c>
    </row>
    <row r="359" spans="1:9" x14ac:dyDescent="0.25">
      <c r="A359" t="s">
        <v>2199</v>
      </c>
      <c r="B359" t="s">
        <v>28</v>
      </c>
      <c r="C359" t="s">
        <v>1914</v>
      </c>
      <c r="D359" t="s">
        <v>1916</v>
      </c>
      <c r="E359" t="s">
        <v>1445</v>
      </c>
      <c r="F359" t="s">
        <v>1446</v>
      </c>
      <c r="G359">
        <v>1</v>
      </c>
      <c r="H359" s="1">
        <v>46082</v>
      </c>
      <c r="I359" s="8">
        <v>220000</v>
      </c>
    </row>
    <row r="360" spans="1:9" x14ac:dyDescent="0.25">
      <c r="A360" t="s">
        <v>2199</v>
      </c>
      <c r="B360" t="s">
        <v>28</v>
      </c>
      <c r="C360" t="s">
        <v>1921</v>
      </c>
      <c r="D360" t="s">
        <v>1922</v>
      </c>
      <c r="E360" t="s">
        <v>1924</v>
      </c>
      <c r="F360" t="s">
        <v>1869</v>
      </c>
      <c r="G360">
        <v>1</v>
      </c>
      <c r="H360" s="1">
        <v>46023</v>
      </c>
      <c r="I360" s="8">
        <v>511508</v>
      </c>
    </row>
    <row r="361" spans="1:9" x14ac:dyDescent="0.25">
      <c r="A361" t="s">
        <v>2199</v>
      </c>
      <c r="B361" t="s">
        <v>28</v>
      </c>
      <c r="C361" t="s">
        <v>1927</v>
      </c>
      <c r="D361" t="s">
        <v>1928</v>
      </c>
      <c r="E361" t="s">
        <v>1931</v>
      </c>
      <c r="F361" t="s">
        <v>1932</v>
      </c>
      <c r="G361">
        <v>1</v>
      </c>
      <c r="H361" s="1">
        <v>46204</v>
      </c>
      <c r="I361" s="8">
        <v>200908160</v>
      </c>
    </row>
    <row r="362" spans="1:9" x14ac:dyDescent="0.25">
      <c r="A362" t="s">
        <v>2199</v>
      </c>
      <c r="B362" t="s">
        <v>28</v>
      </c>
      <c r="C362" t="s">
        <v>1927</v>
      </c>
      <c r="D362" t="s">
        <v>1928</v>
      </c>
      <c r="E362" t="s">
        <v>1931</v>
      </c>
      <c r="F362" t="s">
        <v>1932</v>
      </c>
      <c r="G362">
        <v>1</v>
      </c>
      <c r="H362" s="1">
        <v>46266</v>
      </c>
      <c r="I362" s="8">
        <v>6900000</v>
      </c>
    </row>
    <row r="363" spans="1:9" x14ac:dyDescent="0.25">
      <c r="A363" t="s">
        <v>2199</v>
      </c>
      <c r="B363" t="s">
        <v>28</v>
      </c>
      <c r="C363" t="s">
        <v>1942</v>
      </c>
      <c r="D363" t="s">
        <v>1943</v>
      </c>
      <c r="E363" t="s">
        <v>761</v>
      </c>
      <c r="F363" t="s">
        <v>762</v>
      </c>
      <c r="G363">
        <v>1</v>
      </c>
      <c r="H363" s="1">
        <v>46204</v>
      </c>
      <c r="I363" s="8">
        <v>1793388</v>
      </c>
    </row>
    <row r="364" spans="1:9" x14ac:dyDescent="0.25">
      <c r="A364" t="s">
        <v>2199</v>
      </c>
      <c r="B364" t="s">
        <v>28</v>
      </c>
      <c r="C364" t="s">
        <v>1948</v>
      </c>
      <c r="D364" t="s">
        <v>1949</v>
      </c>
      <c r="E364" t="s">
        <v>414</v>
      </c>
      <c r="F364" t="s">
        <v>1852</v>
      </c>
      <c r="G364">
        <v>1</v>
      </c>
      <c r="H364" s="1">
        <v>46082</v>
      </c>
      <c r="I364" s="8">
        <v>10002100</v>
      </c>
    </row>
    <row r="365" spans="1:9" x14ac:dyDescent="0.25">
      <c r="A365" t="s">
        <v>2199</v>
      </c>
      <c r="B365" t="s">
        <v>28</v>
      </c>
      <c r="C365" t="s">
        <v>1951</v>
      </c>
      <c r="D365" t="s">
        <v>1952</v>
      </c>
      <c r="E365" t="s">
        <v>761</v>
      </c>
      <c r="F365" t="s">
        <v>762</v>
      </c>
      <c r="G365">
        <v>1</v>
      </c>
      <c r="H365" s="1">
        <v>46113</v>
      </c>
      <c r="I365" s="8">
        <v>1149277</v>
      </c>
    </row>
    <row r="366" spans="1:9" x14ac:dyDescent="0.25">
      <c r="A366" t="s">
        <v>2199</v>
      </c>
      <c r="B366" t="s">
        <v>28</v>
      </c>
      <c r="C366" t="s">
        <v>1955</v>
      </c>
      <c r="D366" t="s">
        <v>1956</v>
      </c>
      <c r="E366" t="s">
        <v>414</v>
      </c>
      <c r="F366" t="s">
        <v>1852</v>
      </c>
      <c r="G366">
        <v>1</v>
      </c>
      <c r="H366" s="1">
        <v>46082</v>
      </c>
      <c r="I366" s="8">
        <v>5560000</v>
      </c>
    </row>
    <row r="367" spans="1:9" x14ac:dyDescent="0.25">
      <c r="A367" t="s">
        <v>2199</v>
      </c>
      <c r="B367" t="s">
        <v>28</v>
      </c>
      <c r="C367" t="s">
        <v>1960</v>
      </c>
      <c r="D367" t="s">
        <v>1961</v>
      </c>
      <c r="E367" t="s">
        <v>1963</v>
      </c>
      <c r="F367" t="s">
        <v>1964</v>
      </c>
      <c r="G367">
        <v>1</v>
      </c>
      <c r="H367" s="1">
        <v>46266</v>
      </c>
      <c r="I367" s="8">
        <v>920000</v>
      </c>
    </row>
    <row r="368" spans="1:9" x14ac:dyDescent="0.25">
      <c r="A368" t="s">
        <v>2199</v>
      </c>
      <c r="B368" t="s">
        <v>28</v>
      </c>
      <c r="C368" t="s">
        <v>1976</v>
      </c>
      <c r="D368" t="s">
        <v>1977</v>
      </c>
      <c r="E368" t="s">
        <v>1660</v>
      </c>
      <c r="F368" t="s">
        <v>1980</v>
      </c>
      <c r="G368">
        <v>1</v>
      </c>
      <c r="H368" s="1">
        <v>46113</v>
      </c>
      <c r="I368" s="8">
        <v>15984280</v>
      </c>
    </row>
    <row r="369" spans="1:9" x14ac:dyDescent="0.25">
      <c r="A369" t="s">
        <v>2199</v>
      </c>
      <c r="B369" t="s">
        <v>28</v>
      </c>
      <c r="C369" t="s">
        <v>1981</v>
      </c>
      <c r="D369" t="s">
        <v>1982</v>
      </c>
      <c r="E369" t="s">
        <v>1985</v>
      </c>
      <c r="F369" t="s">
        <v>1986</v>
      </c>
      <c r="G369">
        <v>1</v>
      </c>
      <c r="H369" s="1">
        <v>46023</v>
      </c>
      <c r="I369" s="8">
        <v>901000</v>
      </c>
    </row>
    <row r="370" spans="1:9" x14ac:dyDescent="0.25">
      <c r="A370" t="s">
        <v>2199</v>
      </c>
      <c r="B370" t="s">
        <v>28</v>
      </c>
      <c r="C370" t="s">
        <v>1990</v>
      </c>
      <c r="D370" t="s">
        <v>1991</v>
      </c>
      <c r="E370" t="s">
        <v>414</v>
      </c>
      <c r="F370" t="s">
        <v>1852</v>
      </c>
      <c r="G370">
        <v>1</v>
      </c>
      <c r="H370" s="1">
        <v>46113</v>
      </c>
      <c r="I370" s="8">
        <v>3500000</v>
      </c>
    </row>
    <row r="371" spans="1:9" x14ac:dyDescent="0.25">
      <c r="A371" t="s">
        <v>2199</v>
      </c>
      <c r="B371" t="s">
        <v>28</v>
      </c>
      <c r="C371" t="s">
        <v>1993</v>
      </c>
      <c r="D371" t="s">
        <v>1994</v>
      </c>
      <c r="E371" t="s">
        <v>414</v>
      </c>
      <c r="F371" t="s">
        <v>1996</v>
      </c>
      <c r="G371">
        <v>1</v>
      </c>
      <c r="H371" s="1">
        <v>46082</v>
      </c>
      <c r="I371" s="8">
        <v>15135390</v>
      </c>
    </row>
    <row r="372" spans="1:9" x14ac:dyDescent="0.25">
      <c r="A372" t="s">
        <v>2199</v>
      </c>
      <c r="B372" t="s">
        <v>28</v>
      </c>
      <c r="C372" t="s">
        <v>1997</v>
      </c>
      <c r="D372" t="s">
        <v>1998</v>
      </c>
      <c r="E372" t="s">
        <v>1985</v>
      </c>
      <c r="F372" t="s">
        <v>1986</v>
      </c>
      <c r="G372">
        <v>1</v>
      </c>
      <c r="H372" s="1">
        <v>46113</v>
      </c>
      <c r="I372" s="8">
        <v>1200000</v>
      </c>
    </row>
    <row r="373" spans="1:9" x14ac:dyDescent="0.25">
      <c r="A373" t="s">
        <v>2199</v>
      </c>
      <c r="B373" t="s">
        <v>28</v>
      </c>
      <c r="C373" t="s">
        <v>2000</v>
      </c>
      <c r="D373" t="s">
        <v>2001</v>
      </c>
      <c r="E373" t="s">
        <v>1985</v>
      </c>
      <c r="F373" t="s">
        <v>1986</v>
      </c>
      <c r="G373">
        <v>12</v>
      </c>
      <c r="H373" t="s">
        <v>413</v>
      </c>
      <c r="I373" s="8">
        <v>20000000</v>
      </c>
    </row>
    <row r="374" spans="1:9" x14ac:dyDescent="0.25">
      <c r="A374" t="s">
        <v>2199</v>
      </c>
      <c r="B374" t="s">
        <v>28</v>
      </c>
      <c r="C374" t="s">
        <v>2005</v>
      </c>
      <c r="D374" t="s">
        <v>2006</v>
      </c>
      <c r="E374" t="s">
        <v>1469</v>
      </c>
      <c r="F374" t="s">
        <v>2008</v>
      </c>
      <c r="G374">
        <v>1</v>
      </c>
      <c r="H374" s="1">
        <v>46082</v>
      </c>
      <c r="I374" s="8">
        <v>729076</v>
      </c>
    </row>
    <row r="375" spans="1:9" x14ac:dyDescent="0.25">
      <c r="A375" t="s">
        <v>2199</v>
      </c>
      <c r="B375" t="s">
        <v>28</v>
      </c>
      <c r="C375" t="s">
        <v>2005</v>
      </c>
      <c r="D375" t="s">
        <v>2006</v>
      </c>
      <c r="E375" t="s">
        <v>1469</v>
      </c>
      <c r="F375" t="s">
        <v>2008</v>
      </c>
      <c r="G375">
        <v>1</v>
      </c>
      <c r="H375" s="1">
        <v>46113</v>
      </c>
      <c r="I375" s="8">
        <v>158235</v>
      </c>
    </row>
    <row r="376" spans="1:9" x14ac:dyDescent="0.25">
      <c r="A376" t="s">
        <v>2199</v>
      </c>
      <c r="B376" t="s">
        <v>28</v>
      </c>
      <c r="C376" t="s">
        <v>2005</v>
      </c>
      <c r="D376" t="s">
        <v>2006</v>
      </c>
      <c r="E376" t="s">
        <v>1469</v>
      </c>
      <c r="F376" t="s">
        <v>2008</v>
      </c>
      <c r="G376">
        <v>1</v>
      </c>
      <c r="H376" s="1">
        <v>46174</v>
      </c>
      <c r="I376" s="8">
        <v>24000</v>
      </c>
    </row>
    <row r="377" spans="1:9" x14ac:dyDescent="0.25">
      <c r="A377" t="s">
        <v>2199</v>
      </c>
      <c r="B377" t="s">
        <v>28</v>
      </c>
      <c r="C377" t="s">
        <v>2011</v>
      </c>
      <c r="D377" t="s">
        <v>2012</v>
      </c>
      <c r="E377" t="s">
        <v>1985</v>
      </c>
      <c r="F377" t="s">
        <v>1986</v>
      </c>
      <c r="G377">
        <v>12</v>
      </c>
      <c r="H377" t="s">
        <v>413</v>
      </c>
      <c r="I377" s="8">
        <v>50008000</v>
      </c>
    </row>
    <row r="378" spans="1:9" x14ac:dyDescent="0.25">
      <c r="A378" t="s">
        <v>2199</v>
      </c>
      <c r="B378" t="s">
        <v>28</v>
      </c>
      <c r="C378" t="s">
        <v>2016</v>
      </c>
      <c r="D378" t="s">
        <v>2017</v>
      </c>
      <c r="E378" t="s">
        <v>1963</v>
      </c>
      <c r="F378" t="s">
        <v>1964</v>
      </c>
      <c r="G378">
        <v>1</v>
      </c>
      <c r="H378" s="1">
        <v>46082</v>
      </c>
      <c r="I378" s="8">
        <v>230032</v>
      </c>
    </row>
    <row r="379" spans="1:9" x14ac:dyDescent="0.25">
      <c r="A379" t="s">
        <v>2199</v>
      </c>
      <c r="B379" t="s">
        <v>28</v>
      </c>
      <c r="C379" t="s">
        <v>2020</v>
      </c>
      <c r="D379" t="s">
        <v>2021</v>
      </c>
      <c r="E379" t="s">
        <v>1985</v>
      </c>
      <c r="F379" t="s">
        <v>1986</v>
      </c>
      <c r="G379">
        <v>1</v>
      </c>
      <c r="H379" s="1">
        <v>46023</v>
      </c>
      <c r="I379" s="8">
        <v>700005</v>
      </c>
    </row>
    <row r="380" spans="1:9" x14ac:dyDescent="0.25">
      <c r="A380" t="s">
        <v>2199</v>
      </c>
      <c r="B380" t="s">
        <v>28</v>
      </c>
      <c r="C380" t="s">
        <v>2024</v>
      </c>
      <c r="D380" t="s">
        <v>2025</v>
      </c>
      <c r="E380" t="s">
        <v>1985</v>
      </c>
      <c r="F380" t="s">
        <v>1986</v>
      </c>
      <c r="G380">
        <v>12</v>
      </c>
      <c r="H380" t="s">
        <v>413</v>
      </c>
      <c r="I380" s="8">
        <v>10000000</v>
      </c>
    </row>
    <row r="381" spans="1:9" x14ac:dyDescent="0.25">
      <c r="A381" t="s">
        <v>2199</v>
      </c>
      <c r="B381" t="s">
        <v>28</v>
      </c>
      <c r="C381" t="s">
        <v>2041</v>
      </c>
      <c r="D381" t="s">
        <v>2042</v>
      </c>
      <c r="E381" t="s">
        <v>657</v>
      </c>
      <c r="F381" t="s">
        <v>658</v>
      </c>
      <c r="G381">
        <v>1</v>
      </c>
      <c r="H381" s="1">
        <v>46023</v>
      </c>
      <c r="I381" s="8">
        <v>2638010</v>
      </c>
    </row>
    <row r="382" spans="1:9" x14ac:dyDescent="0.25">
      <c r="A382" t="s">
        <v>2199</v>
      </c>
      <c r="B382" t="s">
        <v>28</v>
      </c>
      <c r="C382" t="s">
        <v>2047</v>
      </c>
      <c r="D382" t="s">
        <v>2048</v>
      </c>
      <c r="E382" t="s">
        <v>2051</v>
      </c>
      <c r="F382" t="s">
        <v>2052</v>
      </c>
      <c r="G382">
        <v>1</v>
      </c>
      <c r="H382" s="1">
        <v>46174</v>
      </c>
      <c r="I382" s="8">
        <v>1248835</v>
      </c>
    </row>
    <row r="383" spans="1:9" x14ac:dyDescent="0.25">
      <c r="A383" t="s">
        <v>2199</v>
      </c>
      <c r="B383" t="s">
        <v>28</v>
      </c>
      <c r="C383" t="s">
        <v>2056</v>
      </c>
      <c r="D383" t="s">
        <v>2057</v>
      </c>
      <c r="E383" t="s">
        <v>1642</v>
      </c>
      <c r="F383" t="s">
        <v>1643</v>
      </c>
      <c r="G383">
        <v>1</v>
      </c>
      <c r="H383" s="1">
        <v>46113</v>
      </c>
      <c r="I383" s="8">
        <v>708024</v>
      </c>
    </row>
    <row r="384" spans="1:9" x14ac:dyDescent="0.25">
      <c r="A384" t="s">
        <v>2199</v>
      </c>
      <c r="B384" t="s">
        <v>28</v>
      </c>
      <c r="C384" t="s">
        <v>2056</v>
      </c>
      <c r="D384" t="s">
        <v>2057</v>
      </c>
      <c r="E384" t="s">
        <v>1642</v>
      </c>
      <c r="F384" t="s">
        <v>1643</v>
      </c>
      <c r="G384">
        <v>1</v>
      </c>
      <c r="H384" s="1">
        <v>46204</v>
      </c>
      <c r="I384" s="8">
        <v>175014</v>
      </c>
    </row>
    <row r="385" spans="1:9" x14ac:dyDescent="0.25">
      <c r="A385" t="s">
        <v>2199</v>
      </c>
      <c r="B385" t="s">
        <v>28</v>
      </c>
      <c r="C385" t="s">
        <v>2067</v>
      </c>
      <c r="D385" t="s">
        <v>2068</v>
      </c>
      <c r="E385" t="s">
        <v>590</v>
      </c>
      <c r="F385" t="s">
        <v>591</v>
      </c>
      <c r="G385">
        <v>1</v>
      </c>
      <c r="H385" s="1">
        <v>46082</v>
      </c>
      <c r="I385" s="8">
        <v>490280</v>
      </c>
    </row>
    <row r="386" spans="1:9" x14ac:dyDescent="0.25">
      <c r="A386" t="s">
        <v>2199</v>
      </c>
      <c r="B386" t="s">
        <v>28</v>
      </c>
      <c r="C386" t="s">
        <v>2070</v>
      </c>
      <c r="D386" t="s">
        <v>2071</v>
      </c>
      <c r="E386" t="s">
        <v>1642</v>
      </c>
      <c r="F386" t="s">
        <v>1643</v>
      </c>
      <c r="G386">
        <v>1</v>
      </c>
      <c r="H386" s="1">
        <v>46143</v>
      </c>
      <c r="I386" s="8">
        <v>70000</v>
      </c>
    </row>
    <row r="387" spans="1:9" x14ac:dyDescent="0.25">
      <c r="A387" t="s">
        <v>2199</v>
      </c>
      <c r="B387" t="s">
        <v>28</v>
      </c>
      <c r="C387" t="s">
        <v>2074</v>
      </c>
      <c r="D387" t="s">
        <v>788</v>
      </c>
      <c r="E387" t="s">
        <v>2076</v>
      </c>
      <c r="F387" t="s">
        <v>2077</v>
      </c>
      <c r="G387">
        <v>1</v>
      </c>
      <c r="H387" s="1">
        <v>46082</v>
      </c>
      <c r="I387" s="8">
        <v>2473910</v>
      </c>
    </row>
    <row r="388" spans="1:9" x14ac:dyDescent="0.25">
      <c r="A388" t="s">
        <v>2199</v>
      </c>
      <c r="B388" t="s">
        <v>28</v>
      </c>
      <c r="C388" t="s">
        <v>2083</v>
      </c>
      <c r="D388" t="s">
        <v>1916</v>
      </c>
      <c r="E388" t="s">
        <v>1445</v>
      </c>
      <c r="F388" t="s">
        <v>1446</v>
      </c>
      <c r="G388">
        <v>1</v>
      </c>
      <c r="H388" s="1">
        <v>46082</v>
      </c>
      <c r="I388" s="8">
        <v>200000</v>
      </c>
    </row>
    <row r="389" spans="1:9" x14ac:dyDescent="0.25">
      <c r="A389" t="s">
        <v>2199</v>
      </c>
      <c r="B389" t="s">
        <v>28</v>
      </c>
      <c r="C389" t="s">
        <v>2089</v>
      </c>
      <c r="D389" t="s">
        <v>2090</v>
      </c>
      <c r="E389" t="s">
        <v>761</v>
      </c>
      <c r="F389" t="s">
        <v>762</v>
      </c>
      <c r="G389">
        <v>1</v>
      </c>
      <c r="H389" s="1">
        <v>46143</v>
      </c>
      <c r="I389" s="8">
        <v>3287930</v>
      </c>
    </row>
    <row r="390" spans="1:9" x14ac:dyDescent="0.25">
      <c r="A390" t="s">
        <v>2199</v>
      </c>
      <c r="B390" t="s">
        <v>28</v>
      </c>
      <c r="C390" t="s">
        <v>2097</v>
      </c>
      <c r="D390" t="s">
        <v>2098</v>
      </c>
      <c r="E390" t="s">
        <v>590</v>
      </c>
      <c r="F390" t="s">
        <v>591</v>
      </c>
      <c r="G390">
        <v>1</v>
      </c>
      <c r="H390" s="1">
        <v>46113</v>
      </c>
      <c r="I390" s="8">
        <v>464009</v>
      </c>
    </row>
    <row r="391" spans="1:9" x14ac:dyDescent="0.25">
      <c r="A391" t="s">
        <v>2199</v>
      </c>
      <c r="B391" t="s">
        <v>28</v>
      </c>
      <c r="C391" t="s">
        <v>2097</v>
      </c>
      <c r="D391" t="s">
        <v>2098</v>
      </c>
      <c r="E391" t="s">
        <v>590</v>
      </c>
      <c r="F391" t="s">
        <v>591</v>
      </c>
      <c r="G391">
        <v>1</v>
      </c>
      <c r="H391" s="1">
        <v>46143</v>
      </c>
      <c r="I391" s="8">
        <v>1709097</v>
      </c>
    </row>
    <row r="392" spans="1:9" x14ac:dyDescent="0.25">
      <c r="A392" t="s">
        <v>2199</v>
      </c>
      <c r="B392" t="s">
        <v>28</v>
      </c>
      <c r="C392" t="s">
        <v>2107</v>
      </c>
      <c r="D392" t="s">
        <v>2108</v>
      </c>
      <c r="E392" t="s">
        <v>761</v>
      </c>
      <c r="F392" t="s">
        <v>762</v>
      </c>
      <c r="G392">
        <v>1</v>
      </c>
      <c r="H392" s="1">
        <v>46054</v>
      </c>
      <c r="I392" s="8">
        <v>2525004</v>
      </c>
    </row>
    <row r="393" spans="1:9" x14ac:dyDescent="0.25">
      <c r="A393" t="s">
        <v>2199</v>
      </c>
      <c r="B393" t="s">
        <v>28</v>
      </c>
      <c r="C393" t="s">
        <v>2115</v>
      </c>
      <c r="D393" t="s">
        <v>2116</v>
      </c>
      <c r="E393" t="s">
        <v>761</v>
      </c>
      <c r="F393" t="s">
        <v>762</v>
      </c>
      <c r="G393">
        <v>1</v>
      </c>
      <c r="H393" s="1">
        <v>46266</v>
      </c>
      <c r="I393" s="8">
        <v>2225980</v>
      </c>
    </row>
    <row r="394" spans="1:9" x14ac:dyDescent="0.25">
      <c r="A394" t="s">
        <v>2199</v>
      </c>
      <c r="B394" t="s">
        <v>28</v>
      </c>
      <c r="C394" t="s">
        <v>2121</v>
      </c>
      <c r="D394" t="s">
        <v>2122</v>
      </c>
      <c r="E394" t="s">
        <v>2124</v>
      </c>
      <c r="F394" t="s">
        <v>1217</v>
      </c>
      <c r="G394">
        <v>1</v>
      </c>
      <c r="H394" s="1">
        <v>46113</v>
      </c>
      <c r="I394" s="8">
        <v>5429170</v>
      </c>
    </row>
    <row r="395" spans="1:9" x14ac:dyDescent="0.25">
      <c r="A395" t="s">
        <v>2199</v>
      </c>
      <c r="B395" t="s">
        <v>28</v>
      </c>
      <c r="C395" t="s">
        <v>2121</v>
      </c>
      <c r="D395" t="s">
        <v>2122</v>
      </c>
      <c r="E395" t="s">
        <v>2124</v>
      </c>
      <c r="F395" t="s">
        <v>1217</v>
      </c>
      <c r="G395">
        <v>1</v>
      </c>
      <c r="H395" s="1">
        <v>46143</v>
      </c>
      <c r="I395" s="8">
        <v>9000000</v>
      </c>
    </row>
    <row r="396" spans="1:9" x14ac:dyDescent="0.25">
      <c r="A396" t="s">
        <v>2199</v>
      </c>
      <c r="B396" t="s">
        <v>28</v>
      </c>
      <c r="C396" t="s">
        <v>2121</v>
      </c>
      <c r="D396" t="s">
        <v>2122</v>
      </c>
      <c r="E396" t="s">
        <v>2124</v>
      </c>
      <c r="F396" t="s">
        <v>1217</v>
      </c>
      <c r="G396">
        <v>1</v>
      </c>
      <c r="H396" s="1">
        <v>46174</v>
      </c>
      <c r="I396" s="8">
        <v>9000000</v>
      </c>
    </row>
    <row r="397" spans="1:9" x14ac:dyDescent="0.25">
      <c r="A397" t="s">
        <v>2199</v>
      </c>
      <c r="B397" t="s">
        <v>28</v>
      </c>
      <c r="C397" t="s">
        <v>2121</v>
      </c>
      <c r="D397" t="s">
        <v>2122</v>
      </c>
      <c r="E397" t="s">
        <v>2124</v>
      </c>
      <c r="F397" t="s">
        <v>1217</v>
      </c>
      <c r="G397">
        <v>3</v>
      </c>
      <c r="H397" t="s">
        <v>2129</v>
      </c>
      <c r="I397" s="8">
        <v>5000000</v>
      </c>
    </row>
    <row r="398" spans="1:9" x14ac:dyDescent="0.25">
      <c r="A398" t="s">
        <v>2199</v>
      </c>
      <c r="B398" t="s">
        <v>28</v>
      </c>
      <c r="C398" t="s">
        <v>2121</v>
      </c>
      <c r="D398" t="s">
        <v>2122</v>
      </c>
      <c r="E398" t="s">
        <v>2124</v>
      </c>
      <c r="F398" t="s">
        <v>1217</v>
      </c>
      <c r="G398">
        <v>4</v>
      </c>
      <c r="H398" t="s">
        <v>2133</v>
      </c>
      <c r="I398" s="8">
        <v>600000</v>
      </c>
    </row>
    <row r="399" spans="1:9" x14ac:dyDescent="0.25">
      <c r="A399" t="s">
        <v>2199</v>
      </c>
      <c r="B399" t="s">
        <v>28</v>
      </c>
      <c r="C399" t="s">
        <v>2144</v>
      </c>
      <c r="D399" t="s">
        <v>2145</v>
      </c>
      <c r="E399" t="s">
        <v>64</v>
      </c>
      <c r="F399" t="s">
        <v>65</v>
      </c>
      <c r="G399">
        <v>1</v>
      </c>
      <c r="H399" s="1">
        <v>46113</v>
      </c>
      <c r="I399" s="8">
        <v>1953508</v>
      </c>
    </row>
    <row r="400" spans="1:9" x14ac:dyDescent="0.25">
      <c r="A400" t="s">
        <v>2199</v>
      </c>
      <c r="B400" t="s">
        <v>28</v>
      </c>
      <c r="C400" t="s">
        <v>2149</v>
      </c>
      <c r="D400" t="s">
        <v>2150</v>
      </c>
      <c r="E400" t="s">
        <v>2152</v>
      </c>
      <c r="F400" t="s">
        <v>2153</v>
      </c>
      <c r="G400">
        <v>1</v>
      </c>
      <c r="H400" s="1">
        <v>46054</v>
      </c>
      <c r="I400" s="8">
        <v>6587696</v>
      </c>
    </row>
    <row r="401" spans="1:9" x14ac:dyDescent="0.25">
      <c r="A401" t="s">
        <v>2199</v>
      </c>
      <c r="B401" t="s">
        <v>28</v>
      </c>
      <c r="C401" t="s">
        <v>2156</v>
      </c>
      <c r="D401" t="s">
        <v>2157</v>
      </c>
      <c r="E401" t="s">
        <v>395</v>
      </c>
      <c r="F401" t="s">
        <v>1217</v>
      </c>
      <c r="G401">
        <v>1</v>
      </c>
      <c r="H401" s="1">
        <v>46023</v>
      </c>
      <c r="I401" s="8">
        <v>821208</v>
      </c>
    </row>
    <row r="402" spans="1:9" x14ac:dyDescent="0.25">
      <c r="A402" t="s">
        <v>2199</v>
      </c>
      <c r="B402" t="s">
        <v>28</v>
      </c>
      <c r="C402" t="s">
        <v>2166</v>
      </c>
      <c r="D402" t="s">
        <v>2167</v>
      </c>
      <c r="E402" t="s">
        <v>64</v>
      </c>
      <c r="F402" t="s">
        <v>65</v>
      </c>
      <c r="G402">
        <v>1</v>
      </c>
      <c r="H402" s="1">
        <v>46054</v>
      </c>
      <c r="I402" s="8">
        <v>395496</v>
      </c>
    </row>
    <row r="403" spans="1:9" x14ac:dyDescent="0.25">
      <c r="A403" t="s">
        <v>2199</v>
      </c>
      <c r="B403" t="s">
        <v>28</v>
      </c>
      <c r="C403" t="s">
        <v>2169</v>
      </c>
      <c r="D403" t="s">
        <v>2170</v>
      </c>
      <c r="E403" t="s">
        <v>2171</v>
      </c>
      <c r="F403" t="s">
        <v>2172</v>
      </c>
      <c r="G403">
        <v>1</v>
      </c>
      <c r="H403" s="1">
        <v>46054</v>
      </c>
      <c r="I403" s="8">
        <v>1527348</v>
      </c>
    </row>
    <row r="404" spans="1:9" x14ac:dyDescent="0.25">
      <c r="A404" t="s">
        <v>2199</v>
      </c>
      <c r="B404" t="s">
        <v>28</v>
      </c>
      <c r="C404" t="s">
        <v>2174</v>
      </c>
      <c r="D404" t="s">
        <v>2175</v>
      </c>
      <c r="E404" t="s">
        <v>1893</v>
      </c>
      <c r="F404" t="s">
        <v>2177</v>
      </c>
      <c r="G404">
        <v>1</v>
      </c>
      <c r="H404" s="1">
        <v>46023</v>
      </c>
      <c r="I404" s="8">
        <v>489000</v>
      </c>
    </row>
    <row r="405" spans="1:9" x14ac:dyDescent="0.25">
      <c r="A405" t="s">
        <v>2199</v>
      </c>
      <c r="B405" t="s">
        <v>28</v>
      </c>
      <c r="C405" t="s">
        <v>2178</v>
      </c>
      <c r="D405" t="s">
        <v>2179</v>
      </c>
      <c r="E405" t="s">
        <v>950</v>
      </c>
      <c r="F405" t="s">
        <v>951</v>
      </c>
      <c r="G405">
        <v>1</v>
      </c>
      <c r="H405" s="1">
        <v>46113</v>
      </c>
      <c r="I405" s="8">
        <v>57500000</v>
      </c>
    </row>
    <row r="406" spans="1:9" x14ac:dyDescent="0.25">
      <c r="A406" t="s">
        <v>2199</v>
      </c>
      <c r="B406" t="s">
        <v>28</v>
      </c>
      <c r="C406" t="s">
        <v>2183</v>
      </c>
      <c r="D406" t="s">
        <v>2184</v>
      </c>
      <c r="E406" t="s">
        <v>761</v>
      </c>
      <c r="F406" t="s">
        <v>762</v>
      </c>
      <c r="G406">
        <v>1</v>
      </c>
      <c r="H406" s="1">
        <v>46143</v>
      </c>
      <c r="I406" s="8">
        <v>11310771</v>
      </c>
    </row>
    <row r="407" spans="1:9" x14ac:dyDescent="0.25">
      <c r="A407" t="s">
        <v>2199</v>
      </c>
      <c r="B407" t="s">
        <v>567</v>
      </c>
      <c r="C407" t="s">
        <v>568</v>
      </c>
      <c r="D407" t="s">
        <v>570</v>
      </c>
      <c r="E407" t="s">
        <v>573</v>
      </c>
      <c r="F407" t="s">
        <v>574</v>
      </c>
      <c r="G407">
        <v>1</v>
      </c>
      <c r="H407" s="1">
        <v>46113</v>
      </c>
      <c r="I407" s="8">
        <v>40000000</v>
      </c>
    </row>
    <row r="408" spans="1:9" x14ac:dyDescent="0.25">
      <c r="A408" t="s">
        <v>2199</v>
      </c>
      <c r="B408" t="s">
        <v>567</v>
      </c>
      <c r="C408" t="s">
        <v>568</v>
      </c>
      <c r="D408" t="s">
        <v>570</v>
      </c>
      <c r="E408" t="s">
        <v>573</v>
      </c>
      <c r="F408" t="s">
        <v>574</v>
      </c>
      <c r="G408">
        <v>1</v>
      </c>
      <c r="H408" s="1">
        <v>46174</v>
      </c>
      <c r="I408" s="8">
        <v>3000000</v>
      </c>
    </row>
    <row r="409" spans="1:9" x14ac:dyDescent="0.25">
      <c r="A409" t="s">
        <v>2199</v>
      </c>
      <c r="B409" t="s">
        <v>567</v>
      </c>
      <c r="C409" t="s">
        <v>568</v>
      </c>
      <c r="D409" t="s">
        <v>570</v>
      </c>
      <c r="E409" t="s">
        <v>573</v>
      </c>
      <c r="F409" t="s">
        <v>574</v>
      </c>
      <c r="G409">
        <v>1</v>
      </c>
      <c r="H409" s="1">
        <v>46266</v>
      </c>
      <c r="I409" s="8">
        <v>25000000</v>
      </c>
    </row>
    <row r="410" spans="1:9" x14ac:dyDescent="0.25">
      <c r="A410" t="s">
        <v>2199</v>
      </c>
      <c r="B410" t="s">
        <v>567</v>
      </c>
      <c r="C410" t="s">
        <v>568</v>
      </c>
      <c r="D410" t="s">
        <v>570</v>
      </c>
      <c r="E410" t="s">
        <v>573</v>
      </c>
      <c r="F410" t="s">
        <v>574</v>
      </c>
      <c r="G410">
        <v>1</v>
      </c>
      <c r="H410" s="1">
        <v>46296</v>
      </c>
      <c r="I410" s="8">
        <v>35000000</v>
      </c>
    </row>
    <row r="411" spans="1:9" x14ac:dyDescent="0.25">
      <c r="A411" t="s">
        <v>2199</v>
      </c>
      <c r="B411" t="s">
        <v>567</v>
      </c>
      <c r="C411" t="s">
        <v>568</v>
      </c>
      <c r="D411" t="s">
        <v>570</v>
      </c>
      <c r="E411" t="s">
        <v>573</v>
      </c>
      <c r="F411" t="s">
        <v>574</v>
      </c>
      <c r="G411">
        <v>1</v>
      </c>
      <c r="H411" s="1">
        <v>46327</v>
      </c>
      <c r="I411" s="8">
        <v>15000000</v>
      </c>
    </row>
    <row r="412" spans="1:9" x14ac:dyDescent="0.25">
      <c r="A412" t="s">
        <v>2199</v>
      </c>
      <c r="B412" t="s">
        <v>567</v>
      </c>
      <c r="C412" t="s">
        <v>568</v>
      </c>
      <c r="D412" t="s">
        <v>570</v>
      </c>
      <c r="E412" t="s">
        <v>573</v>
      </c>
      <c r="F412" t="s">
        <v>574</v>
      </c>
      <c r="G412">
        <v>1</v>
      </c>
      <c r="H412" s="1">
        <v>46357</v>
      </c>
      <c r="I412" s="8">
        <v>38000000</v>
      </c>
    </row>
    <row r="413" spans="1:9" x14ac:dyDescent="0.25">
      <c r="A413" t="s">
        <v>2199</v>
      </c>
      <c r="B413" t="s">
        <v>594</v>
      </c>
      <c r="C413" t="s">
        <v>1280</v>
      </c>
      <c r="D413" t="s">
        <v>1281</v>
      </c>
      <c r="E413" t="s">
        <v>624</v>
      </c>
      <c r="F413" t="s">
        <v>625</v>
      </c>
      <c r="G413">
        <v>1</v>
      </c>
      <c r="H413" s="1">
        <v>46296</v>
      </c>
      <c r="I413" s="8">
        <v>25000000</v>
      </c>
    </row>
    <row r="414" spans="1:9" x14ac:dyDescent="0.25">
      <c r="A414" t="s">
        <v>2199</v>
      </c>
      <c r="B414" t="s">
        <v>594</v>
      </c>
      <c r="C414" t="s">
        <v>1283</v>
      </c>
      <c r="D414" t="s">
        <v>1284</v>
      </c>
      <c r="E414" t="s">
        <v>624</v>
      </c>
      <c r="F414" t="s">
        <v>625</v>
      </c>
      <c r="G414">
        <v>1</v>
      </c>
      <c r="H414" s="1">
        <v>46327</v>
      </c>
      <c r="I414" s="8">
        <v>37000000</v>
      </c>
    </row>
    <row r="415" spans="1:9" x14ac:dyDescent="0.25">
      <c r="A415" t="s">
        <v>2199</v>
      </c>
      <c r="B415" t="s">
        <v>594</v>
      </c>
      <c r="C415" t="s">
        <v>1286</v>
      </c>
      <c r="D415" t="s">
        <v>1287</v>
      </c>
      <c r="E415" t="s">
        <v>624</v>
      </c>
      <c r="F415" t="s">
        <v>625</v>
      </c>
      <c r="G415">
        <v>1</v>
      </c>
      <c r="H415" s="1">
        <v>46235</v>
      </c>
      <c r="I415" s="8">
        <v>60000000</v>
      </c>
    </row>
    <row r="416" spans="1:9" x14ac:dyDescent="0.25">
      <c r="A416" t="s">
        <v>2199</v>
      </c>
      <c r="B416" t="s">
        <v>594</v>
      </c>
      <c r="C416" t="s">
        <v>1355</v>
      </c>
      <c r="D416" t="s">
        <v>1356</v>
      </c>
      <c r="E416" t="s">
        <v>1299</v>
      </c>
      <c r="F416" t="s">
        <v>1300</v>
      </c>
      <c r="G416">
        <v>1</v>
      </c>
      <c r="H416" s="1">
        <v>46204</v>
      </c>
      <c r="I416" s="8">
        <v>17187000</v>
      </c>
    </row>
    <row r="417" spans="1:9" x14ac:dyDescent="0.25">
      <c r="A417" t="s">
        <v>2199</v>
      </c>
      <c r="B417" t="s">
        <v>594</v>
      </c>
      <c r="C417" t="s">
        <v>1357</v>
      </c>
      <c r="D417" t="s">
        <v>1358</v>
      </c>
      <c r="E417" t="s">
        <v>1299</v>
      </c>
      <c r="F417" t="s">
        <v>1300</v>
      </c>
      <c r="G417">
        <v>1</v>
      </c>
      <c r="H417" s="1">
        <v>46174</v>
      </c>
      <c r="I417" s="8">
        <v>293779000</v>
      </c>
    </row>
    <row r="418" spans="1:9" x14ac:dyDescent="0.25">
      <c r="A418" t="s">
        <v>2199</v>
      </c>
      <c r="B418" t="s">
        <v>594</v>
      </c>
      <c r="C418" t="s">
        <v>1360</v>
      </c>
      <c r="D418" t="s">
        <v>1361</v>
      </c>
      <c r="E418" t="s">
        <v>624</v>
      </c>
      <c r="F418" t="s">
        <v>625</v>
      </c>
      <c r="G418">
        <v>1</v>
      </c>
      <c r="H418" s="1">
        <v>46266</v>
      </c>
      <c r="I418" s="8">
        <v>37000000</v>
      </c>
    </row>
    <row r="419" spans="1:9" x14ac:dyDescent="0.25">
      <c r="A419" t="s">
        <v>2199</v>
      </c>
      <c r="B419" t="s">
        <v>594</v>
      </c>
      <c r="C419" t="s">
        <v>1363</v>
      </c>
      <c r="D419" t="s">
        <v>1364</v>
      </c>
      <c r="E419" t="s">
        <v>1299</v>
      </c>
      <c r="F419" t="s">
        <v>1300</v>
      </c>
      <c r="G419">
        <v>1</v>
      </c>
      <c r="H419" s="1">
        <v>46143</v>
      </c>
      <c r="I419" s="8">
        <v>102410000</v>
      </c>
    </row>
    <row r="420" spans="1:9" x14ac:dyDescent="0.25">
      <c r="A420" t="s">
        <v>2199</v>
      </c>
      <c r="B420" t="s">
        <v>594</v>
      </c>
      <c r="C420" t="s">
        <v>1366</v>
      </c>
      <c r="D420" t="s">
        <v>1367</v>
      </c>
      <c r="E420" t="s">
        <v>624</v>
      </c>
      <c r="F420" t="s">
        <v>625</v>
      </c>
      <c r="G420">
        <v>1</v>
      </c>
      <c r="H420" s="1">
        <v>46266</v>
      </c>
      <c r="I420" s="8">
        <v>103000000</v>
      </c>
    </row>
    <row r="421" spans="1:9" x14ac:dyDescent="0.25">
      <c r="A421" t="s">
        <v>2199</v>
      </c>
      <c r="B421" t="s">
        <v>594</v>
      </c>
      <c r="C421" t="s">
        <v>1382</v>
      </c>
      <c r="D421" t="s">
        <v>1383</v>
      </c>
      <c r="E421" t="s">
        <v>1299</v>
      </c>
      <c r="F421" t="s">
        <v>1300</v>
      </c>
      <c r="G421">
        <v>1</v>
      </c>
      <c r="H421" s="1">
        <v>46113</v>
      </c>
      <c r="I421" s="8">
        <v>6442000</v>
      </c>
    </row>
    <row r="422" spans="1:9" x14ac:dyDescent="0.25">
      <c r="A422" t="s">
        <v>2199</v>
      </c>
      <c r="B422" t="s">
        <v>594</v>
      </c>
      <c r="C422" t="s">
        <v>1401</v>
      </c>
      <c r="D422" t="s">
        <v>1402</v>
      </c>
      <c r="E422" t="s">
        <v>1299</v>
      </c>
      <c r="F422" t="s">
        <v>1300</v>
      </c>
      <c r="G422">
        <v>1</v>
      </c>
      <c r="H422" s="1">
        <v>46143</v>
      </c>
      <c r="I422" s="8">
        <v>356525000</v>
      </c>
    </row>
    <row r="423" spans="1:9" x14ac:dyDescent="0.25">
      <c r="A423" t="s">
        <v>2199</v>
      </c>
      <c r="B423" t="s">
        <v>594</v>
      </c>
      <c r="C423" t="s">
        <v>1827</v>
      </c>
      <c r="D423" t="s">
        <v>1828</v>
      </c>
      <c r="E423" t="s">
        <v>1723</v>
      </c>
      <c r="F423" t="s">
        <v>1831</v>
      </c>
      <c r="G423">
        <v>1</v>
      </c>
      <c r="H423" s="1">
        <v>46023</v>
      </c>
      <c r="I423" s="8">
        <v>7200000</v>
      </c>
    </row>
    <row r="424" spans="1:9" x14ac:dyDescent="0.25">
      <c r="A424" t="s">
        <v>2199</v>
      </c>
      <c r="B424" t="s">
        <v>594</v>
      </c>
      <c r="C424" t="s">
        <v>595</v>
      </c>
      <c r="D424" t="s">
        <v>597</v>
      </c>
      <c r="E424" t="s">
        <v>590</v>
      </c>
      <c r="F424" t="s">
        <v>591</v>
      </c>
      <c r="G424">
        <v>1</v>
      </c>
      <c r="H424" s="1">
        <v>46082</v>
      </c>
      <c r="I424" s="8">
        <v>24115000</v>
      </c>
    </row>
    <row r="425" spans="1:9" x14ac:dyDescent="0.25">
      <c r="A425" t="s">
        <v>2199</v>
      </c>
      <c r="B425" t="s">
        <v>594</v>
      </c>
      <c r="C425" t="s">
        <v>595</v>
      </c>
      <c r="D425" t="s">
        <v>597</v>
      </c>
      <c r="E425" t="s">
        <v>590</v>
      </c>
      <c r="F425" t="s">
        <v>591</v>
      </c>
      <c r="G425">
        <v>1</v>
      </c>
      <c r="H425" s="1">
        <v>46143</v>
      </c>
      <c r="I425" s="8">
        <v>251000006</v>
      </c>
    </row>
    <row r="426" spans="1:9" x14ac:dyDescent="0.25">
      <c r="A426" t="s">
        <v>2199</v>
      </c>
      <c r="B426" t="s">
        <v>594</v>
      </c>
      <c r="C426" t="s">
        <v>595</v>
      </c>
      <c r="D426" t="s">
        <v>597</v>
      </c>
      <c r="E426" t="s">
        <v>590</v>
      </c>
      <c r="F426" t="s">
        <v>591</v>
      </c>
      <c r="G426">
        <v>1</v>
      </c>
      <c r="H426" s="1">
        <v>46266</v>
      </c>
      <c r="I426" s="8">
        <v>3500000</v>
      </c>
    </row>
    <row r="427" spans="1:9" x14ac:dyDescent="0.25">
      <c r="A427" t="s">
        <v>2199</v>
      </c>
      <c r="B427" t="s">
        <v>594</v>
      </c>
      <c r="C427" t="s">
        <v>803</v>
      </c>
      <c r="D427" t="s">
        <v>805</v>
      </c>
      <c r="E427" t="s">
        <v>624</v>
      </c>
      <c r="F427" t="s">
        <v>625</v>
      </c>
      <c r="G427">
        <v>1</v>
      </c>
      <c r="H427" s="1">
        <v>46266</v>
      </c>
      <c r="I427" s="8">
        <v>37000000</v>
      </c>
    </row>
    <row r="428" spans="1:9" x14ac:dyDescent="0.25">
      <c r="A428" t="s">
        <v>2199</v>
      </c>
      <c r="B428" t="s">
        <v>594</v>
      </c>
      <c r="C428" t="s">
        <v>808</v>
      </c>
      <c r="D428" t="s">
        <v>809</v>
      </c>
      <c r="E428" t="s">
        <v>624</v>
      </c>
      <c r="F428" t="s">
        <v>625</v>
      </c>
      <c r="G428">
        <v>1</v>
      </c>
      <c r="H428" s="1">
        <v>46296</v>
      </c>
      <c r="I428" s="8">
        <v>37000000</v>
      </c>
    </row>
    <row r="429" spans="1:9" x14ac:dyDescent="0.25">
      <c r="A429" t="s">
        <v>2199</v>
      </c>
      <c r="B429" t="s">
        <v>594</v>
      </c>
      <c r="C429" t="s">
        <v>1196</v>
      </c>
      <c r="D429" t="s">
        <v>1197</v>
      </c>
      <c r="E429" t="s">
        <v>1200</v>
      </c>
      <c r="F429" t="s">
        <v>514</v>
      </c>
      <c r="G429">
        <v>1</v>
      </c>
      <c r="H429" s="1">
        <v>46357</v>
      </c>
      <c r="I429" s="8">
        <v>3430002</v>
      </c>
    </row>
    <row r="430" spans="1:9" x14ac:dyDescent="0.25">
      <c r="A430" t="s">
        <v>2199</v>
      </c>
      <c r="B430" t="s">
        <v>594</v>
      </c>
      <c r="C430" t="s">
        <v>1204</v>
      </c>
      <c r="D430" t="s">
        <v>1205</v>
      </c>
      <c r="E430" t="s">
        <v>624</v>
      </c>
      <c r="F430" t="s">
        <v>625</v>
      </c>
      <c r="G430">
        <v>1</v>
      </c>
      <c r="H430" s="1">
        <v>46327</v>
      </c>
      <c r="I430" s="8">
        <v>37000000</v>
      </c>
    </row>
    <row r="431" spans="1:9" x14ac:dyDescent="0.25">
      <c r="A431" t="s">
        <v>2199</v>
      </c>
      <c r="B431" t="s">
        <v>1304</v>
      </c>
      <c r="C431" t="s">
        <v>1339</v>
      </c>
      <c r="D431" t="s">
        <v>1340</v>
      </c>
      <c r="E431" t="s">
        <v>1342</v>
      </c>
      <c r="F431" t="s">
        <v>1343</v>
      </c>
      <c r="G431">
        <v>1</v>
      </c>
      <c r="H431" s="1">
        <v>46174</v>
      </c>
      <c r="I431" s="8">
        <v>525000</v>
      </c>
    </row>
    <row r="432" spans="1:9" x14ac:dyDescent="0.25">
      <c r="A432" t="s">
        <v>2199</v>
      </c>
      <c r="B432" t="s">
        <v>1304</v>
      </c>
      <c r="C432" t="s">
        <v>1371</v>
      </c>
      <c r="D432" t="s">
        <v>1373</v>
      </c>
      <c r="E432" t="s">
        <v>1200</v>
      </c>
      <c r="F432" t="s">
        <v>514</v>
      </c>
      <c r="G432">
        <v>1</v>
      </c>
      <c r="H432" s="1">
        <v>46174</v>
      </c>
      <c r="I432" s="8">
        <v>1058222000</v>
      </c>
    </row>
    <row r="433" spans="1:9" x14ac:dyDescent="0.25">
      <c r="A433" t="s">
        <v>2199</v>
      </c>
      <c r="B433" t="s">
        <v>1304</v>
      </c>
      <c r="C433" t="s">
        <v>1376</v>
      </c>
      <c r="D433" t="s">
        <v>1377</v>
      </c>
      <c r="E433" t="s">
        <v>1200</v>
      </c>
      <c r="F433" t="s">
        <v>514</v>
      </c>
      <c r="G433">
        <v>1</v>
      </c>
      <c r="H433" s="1">
        <v>46174</v>
      </c>
      <c r="I433" s="8">
        <v>916961000</v>
      </c>
    </row>
    <row r="434" spans="1:9" x14ac:dyDescent="0.25">
      <c r="A434" t="s">
        <v>2199</v>
      </c>
      <c r="B434" t="s">
        <v>1304</v>
      </c>
      <c r="C434" t="s">
        <v>1379</v>
      </c>
      <c r="D434" t="s">
        <v>1380</v>
      </c>
      <c r="E434" t="s">
        <v>1200</v>
      </c>
      <c r="F434" t="s">
        <v>514</v>
      </c>
      <c r="G434">
        <v>1</v>
      </c>
      <c r="H434" s="1">
        <v>46113</v>
      </c>
      <c r="I434" s="8">
        <v>888441000</v>
      </c>
    </row>
    <row r="435" spans="1:9" x14ac:dyDescent="0.25">
      <c r="A435" t="s">
        <v>2199</v>
      </c>
      <c r="B435" t="s">
        <v>1304</v>
      </c>
      <c r="C435" t="s">
        <v>1389</v>
      </c>
      <c r="D435" t="s">
        <v>1390</v>
      </c>
      <c r="E435" t="s">
        <v>1342</v>
      </c>
      <c r="F435" t="s">
        <v>1392</v>
      </c>
      <c r="G435">
        <v>1</v>
      </c>
      <c r="H435" s="1">
        <v>46174</v>
      </c>
      <c r="I435" s="8">
        <v>630000</v>
      </c>
    </row>
    <row r="436" spans="1:9" x14ac:dyDescent="0.25">
      <c r="A436" t="s">
        <v>2199</v>
      </c>
      <c r="B436" t="s">
        <v>1304</v>
      </c>
      <c r="C436" t="s">
        <v>1887</v>
      </c>
      <c r="D436" t="s">
        <v>1888</v>
      </c>
      <c r="E436" t="s">
        <v>1200</v>
      </c>
      <c r="F436" t="s">
        <v>514</v>
      </c>
      <c r="G436">
        <v>1</v>
      </c>
      <c r="H436" s="1">
        <v>46082</v>
      </c>
      <c r="I436" s="8">
        <v>493463899</v>
      </c>
    </row>
    <row r="437" spans="1:9" x14ac:dyDescent="0.25">
      <c r="A437" t="s">
        <v>2199</v>
      </c>
      <c r="B437" t="s">
        <v>1304</v>
      </c>
      <c r="C437" t="s">
        <v>1887</v>
      </c>
      <c r="D437" t="s">
        <v>1888</v>
      </c>
      <c r="E437" t="s">
        <v>1200</v>
      </c>
      <c r="F437" t="s">
        <v>514</v>
      </c>
      <c r="G437">
        <v>1</v>
      </c>
      <c r="H437" s="1">
        <v>46113</v>
      </c>
      <c r="I437" s="8">
        <v>424384098</v>
      </c>
    </row>
    <row r="438" spans="1:9" x14ac:dyDescent="0.25">
      <c r="A438" t="s">
        <v>2199</v>
      </c>
      <c r="B438" t="s">
        <v>1304</v>
      </c>
      <c r="C438" t="s">
        <v>1887</v>
      </c>
      <c r="D438" t="s">
        <v>1888</v>
      </c>
      <c r="E438" t="s">
        <v>1200</v>
      </c>
      <c r="F438" t="s">
        <v>514</v>
      </c>
      <c r="G438">
        <v>1</v>
      </c>
      <c r="H438" s="1">
        <v>46357</v>
      </c>
      <c r="I438" s="8">
        <v>1157231542</v>
      </c>
    </row>
    <row r="439" spans="1:9" x14ac:dyDescent="0.25">
      <c r="A439" t="s">
        <v>2199</v>
      </c>
      <c r="B439" t="s">
        <v>1304</v>
      </c>
      <c r="C439" t="s">
        <v>1305</v>
      </c>
      <c r="D439" t="s">
        <v>1306</v>
      </c>
      <c r="E439" t="s">
        <v>624</v>
      </c>
      <c r="F439" t="s">
        <v>625</v>
      </c>
      <c r="G439">
        <v>1</v>
      </c>
      <c r="H439" s="1">
        <v>46327</v>
      </c>
      <c r="I439" s="8">
        <v>1680000000</v>
      </c>
    </row>
    <row r="440" spans="1:9" x14ac:dyDescent="0.25">
      <c r="A440" t="s">
        <v>2199</v>
      </c>
      <c r="B440" t="s">
        <v>1304</v>
      </c>
      <c r="C440" t="s">
        <v>1308</v>
      </c>
      <c r="D440" t="s">
        <v>1309</v>
      </c>
      <c r="E440" t="s">
        <v>624</v>
      </c>
      <c r="F440" t="s">
        <v>625</v>
      </c>
      <c r="G440">
        <v>1</v>
      </c>
      <c r="H440" s="1">
        <v>46327</v>
      </c>
      <c r="I440" s="8">
        <v>80000000</v>
      </c>
    </row>
    <row r="441" spans="1:9" x14ac:dyDescent="0.25">
      <c r="A441" t="s">
        <v>2199</v>
      </c>
      <c r="B441" t="s">
        <v>1304</v>
      </c>
      <c r="C441" t="s">
        <v>1311</v>
      </c>
      <c r="D441" t="s">
        <v>1313</v>
      </c>
      <c r="E441" t="s">
        <v>1315</v>
      </c>
      <c r="F441" t="s">
        <v>1316</v>
      </c>
      <c r="G441">
        <v>1</v>
      </c>
      <c r="H441" s="1">
        <v>46327</v>
      </c>
      <c r="I441" s="8">
        <v>250000000</v>
      </c>
    </row>
    <row r="442" spans="1:9" x14ac:dyDescent="0.25">
      <c r="A442" t="s">
        <v>2199</v>
      </c>
      <c r="B442" t="s">
        <v>1304</v>
      </c>
      <c r="C442" t="s">
        <v>1319</v>
      </c>
      <c r="D442" t="s">
        <v>1320</v>
      </c>
      <c r="E442" t="s">
        <v>624</v>
      </c>
      <c r="F442" t="s">
        <v>625</v>
      </c>
      <c r="G442">
        <v>1</v>
      </c>
      <c r="H442" s="1">
        <v>46266</v>
      </c>
      <c r="I442" s="8">
        <v>55000000</v>
      </c>
    </row>
    <row r="443" spans="1:9" x14ac:dyDescent="0.25">
      <c r="A443" t="s">
        <v>2199</v>
      </c>
      <c r="B443" t="s">
        <v>1304</v>
      </c>
      <c r="C443" t="s">
        <v>1322</v>
      </c>
      <c r="D443" t="s">
        <v>1323</v>
      </c>
      <c r="E443" t="s">
        <v>1325</v>
      </c>
      <c r="F443" t="s">
        <v>1326</v>
      </c>
      <c r="G443">
        <v>1</v>
      </c>
      <c r="H443" s="1">
        <v>46296</v>
      </c>
      <c r="I443" s="8">
        <v>80000000</v>
      </c>
    </row>
    <row r="444" spans="1:9" x14ac:dyDescent="0.25">
      <c r="A444" t="s">
        <v>2199</v>
      </c>
      <c r="B444" t="s">
        <v>1304</v>
      </c>
      <c r="C444" t="s">
        <v>1328</v>
      </c>
      <c r="D444" t="s">
        <v>1329</v>
      </c>
      <c r="E444" t="s">
        <v>1325</v>
      </c>
      <c r="F444" t="s">
        <v>1326</v>
      </c>
      <c r="G444">
        <v>1</v>
      </c>
      <c r="H444" s="1">
        <v>46296</v>
      </c>
      <c r="I444" s="8">
        <v>80000000</v>
      </c>
    </row>
    <row r="445" spans="1:9" x14ac:dyDescent="0.25">
      <c r="A445" t="s">
        <v>2199</v>
      </c>
      <c r="B445" t="s">
        <v>1304</v>
      </c>
      <c r="C445" t="s">
        <v>1331</v>
      </c>
      <c r="D445" t="s">
        <v>1332</v>
      </c>
      <c r="E445" t="s">
        <v>624</v>
      </c>
      <c r="F445" t="s">
        <v>625</v>
      </c>
      <c r="G445">
        <v>1</v>
      </c>
      <c r="H445" s="1">
        <v>46296</v>
      </c>
      <c r="I445" s="8">
        <v>90000000</v>
      </c>
    </row>
    <row r="446" spans="1:9" x14ac:dyDescent="0.25">
      <c r="A446" t="s">
        <v>2199</v>
      </c>
      <c r="B446" t="s">
        <v>1304</v>
      </c>
      <c r="C446" t="s">
        <v>1334</v>
      </c>
      <c r="D446" t="s">
        <v>1335</v>
      </c>
      <c r="E446" t="s">
        <v>1337</v>
      </c>
      <c r="F446" t="s">
        <v>1107</v>
      </c>
      <c r="G446">
        <v>1</v>
      </c>
      <c r="H446" s="1">
        <v>46357</v>
      </c>
      <c r="I446" s="8">
        <v>9814756</v>
      </c>
    </row>
    <row r="447" spans="1:9" x14ac:dyDescent="0.25">
      <c r="A447" t="s">
        <v>2198</v>
      </c>
      <c r="I447" s="8">
        <v>22142532917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848C-ADA3-48AE-88F8-53AB7B54C1B9}">
  <dimension ref="A3:C11"/>
  <sheetViews>
    <sheetView workbookViewId="0">
      <selection activeCell="B31" sqref="B31"/>
    </sheetView>
  </sheetViews>
  <sheetFormatPr baseColWidth="10" defaultRowHeight="15" x14ac:dyDescent="0.25"/>
  <cols>
    <col min="1" max="1" width="41.5703125" bestFit="1" customWidth="1"/>
    <col min="2" max="2" width="14.42578125" bestFit="1" customWidth="1"/>
    <col min="3" max="3" width="15.5703125" bestFit="1" customWidth="1"/>
  </cols>
  <sheetData>
    <row r="3" spans="1:3" x14ac:dyDescent="0.25">
      <c r="A3" s="4" t="s">
        <v>1</v>
      </c>
      <c r="B3" s="3" t="s">
        <v>2214</v>
      </c>
      <c r="C3" s="3" t="s">
        <v>2200</v>
      </c>
    </row>
    <row r="4" spans="1:3" x14ac:dyDescent="0.25">
      <c r="A4" s="5" t="s">
        <v>28</v>
      </c>
      <c r="B4" s="3">
        <v>238</v>
      </c>
      <c r="C4" s="48">
        <v>1932801598</v>
      </c>
    </row>
    <row r="5" spans="1:3" x14ac:dyDescent="0.25">
      <c r="A5" s="5" t="s">
        <v>1238</v>
      </c>
      <c r="B5" s="3">
        <v>18</v>
      </c>
      <c r="C5" s="48">
        <v>4545805005</v>
      </c>
    </row>
    <row r="6" spans="1:3" x14ac:dyDescent="0.25">
      <c r="A6" s="5" t="s">
        <v>374</v>
      </c>
      <c r="B6" s="3">
        <v>47</v>
      </c>
      <c r="C6" s="48">
        <v>216217147</v>
      </c>
    </row>
    <row r="7" spans="1:3" x14ac:dyDescent="0.25">
      <c r="A7" s="5" t="s">
        <v>567</v>
      </c>
      <c r="B7" s="3">
        <v>1</v>
      </c>
      <c r="C7" s="48">
        <v>156000000</v>
      </c>
    </row>
    <row r="8" spans="1:3" x14ac:dyDescent="0.25">
      <c r="A8" s="5" t="s">
        <v>594</v>
      </c>
      <c r="B8" s="3">
        <v>16</v>
      </c>
      <c r="C8" s="48">
        <v>1438588008</v>
      </c>
    </row>
    <row r="9" spans="1:3" x14ac:dyDescent="0.25">
      <c r="A9" s="5" t="s">
        <v>1304</v>
      </c>
      <c r="B9" s="3">
        <v>14</v>
      </c>
      <c r="C9" s="48">
        <v>7264673295</v>
      </c>
    </row>
    <row r="10" spans="1:3" x14ac:dyDescent="0.25">
      <c r="A10" s="5" t="s">
        <v>2212</v>
      </c>
      <c r="B10" s="3">
        <v>59</v>
      </c>
      <c r="C10" s="48">
        <v>6588447864</v>
      </c>
    </row>
    <row r="11" spans="1:3" x14ac:dyDescent="0.25">
      <c r="A11" s="5" t="s">
        <v>2198</v>
      </c>
      <c r="B11" s="3">
        <v>393</v>
      </c>
      <c r="C11" s="48">
        <v>22142532917</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CFDBB-3738-4BAE-9CE7-FF4DD4ECB14C}">
  <dimension ref="A1:G394"/>
  <sheetViews>
    <sheetView topLeftCell="D1" workbookViewId="0">
      <selection activeCell="C4" sqref="C4"/>
    </sheetView>
  </sheetViews>
  <sheetFormatPr baseColWidth="10" defaultRowHeight="15" x14ac:dyDescent="0.25"/>
  <cols>
    <col min="3" max="3" width="24.85546875" customWidth="1"/>
    <col min="4" max="4" width="87.140625" customWidth="1"/>
    <col min="7" max="7" width="15.5703125" style="2" bestFit="1" customWidth="1"/>
  </cols>
  <sheetData>
    <row r="1" spans="1:7" x14ac:dyDescent="0.25">
      <c r="A1" s="9" t="s">
        <v>2197</v>
      </c>
      <c r="B1" s="9" t="s">
        <v>2213</v>
      </c>
      <c r="C1" s="9" t="s">
        <v>2</v>
      </c>
      <c r="D1" s="9" t="s">
        <v>6</v>
      </c>
      <c r="E1" s="9" t="s">
        <v>16</v>
      </c>
      <c r="F1" s="9" t="s">
        <v>17</v>
      </c>
      <c r="G1" s="33" t="s">
        <v>2202</v>
      </c>
    </row>
    <row r="2" spans="1:7" x14ac:dyDescent="0.25">
      <c r="A2" t="s">
        <v>2196</v>
      </c>
      <c r="B2" t="s">
        <v>2196</v>
      </c>
      <c r="C2" t="s">
        <v>29</v>
      </c>
      <c r="D2" t="s">
        <v>33</v>
      </c>
      <c r="E2" t="s">
        <v>37</v>
      </c>
      <c r="F2" t="s">
        <v>38</v>
      </c>
      <c r="G2" s="2">
        <v>30000000</v>
      </c>
    </row>
    <row r="3" spans="1:7" x14ac:dyDescent="0.25">
      <c r="A3" t="s">
        <v>2196</v>
      </c>
      <c r="B3" t="s">
        <v>2196</v>
      </c>
      <c r="C3" t="s">
        <v>284</v>
      </c>
      <c r="D3" t="s">
        <v>286</v>
      </c>
      <c r="E3" t="s">
        <v>290</v>
      </c>
      <c r="F3" t="s">
        <v>291</v>
      </c>
      <c r="G3" s="2">
        <v>75000000</v>
      </c>
    </row>
    <row r="4" spans="1:7" x14ac:dyDescent="0.25">
      <c r="A4" t="s">
        <v>2196</v>
      </c>
      <c r="B4" t="s">
        <v>2196</v>
      </c>
      <c r="C4" t="s">
        <v>44</v>
      </c>
      <c r="D4" t="s">
        <v>46</v>
      </c>
      <c r="E4" t="s">
        <v>37</v>
      </c>
      <c r="F4" t="s">
        <v>49</v>
      </c>
      <c r="G4" s="2">
        <v>6711996</v>
      </c>
    </row>
    <row r="5" spans="1:7" x14ac:dyDescent="0.25">
      <c r="A5" t="s">
        <v>2196</v>
      </c>
      <c r="B5" t="s">
        <v>2196</v>
      </c>
      <c r="C5" t="s">
        <v>298</v>
      </c>
      <c r="D5" t="s">
        <v>300</v>
      </c>
      <c r="E5" t="s">
        <v>182</v>
      </c>
      <c r="F5" t="s">
        <v>302</v>
      </c>
      <c r="G5" s="2">
        <v>144000000</v>
      </c>
    </row>
    <row r="6" spans="1:7" x14ac:dyDescent="0.25">
      <c r="A6" t="s">
        <v>2196</v>
      </c>
      <c r="B6" t="s">
        <v>2196</v>
      </c>
      <c r="C6" t="s">
        <v>304</v>
      </c>
      <c r="D6" t="s">
        <v>305</v>
      </c>
      <c r="E6" t="s">
        <v>309</v>
      </c>
      <c r="F6" t="s">
        <v>310</v>
      </c>
      <c r="G6" s="2">
        <v>40833335</v>
      </c>
    </row>
    <row r="7" spans="1:7" x14ac:dyDescent="0.25">
      <c r="A7" t="s">
        <v>2196</v>
      </c>
      <c r="B7" t="s">
        <v>2196</v>
      </c>
      <c r="C7" t="s">
        <v>191</v>
      </c>
      <c r="D7" t="s">
        <v>201</v>
      </c>
      <c r="E7" t="s">
        <v>197</v>
      </c>
      <c r="F7" t="s">
        <v>198</v>
      </c>
      <c r="G7" s="8">
        <v>111102840</v>
      </c>
    </row>
    <row r="8" spans="1:7" x14ac:dyDescent="0.25">
      <c r="A8" t="s">
        <v>2196</v>
      </c>
      <c r="B8" t="s">
        <v>2196</v>
      </c>
      <c r="C8" t="s">
        <v>202</v>
      </c>
      <c r="D8" t="s">
        <v>203</v>
      </c>
      <c r="E8" t="s">
        <v>182</v>
      </c>
      <c r="F8" t="s">
        <v>183</v>
      </c>
      <c r="G8" s="2">
        <v>70333380</v>
      </c>
    </row>
    <row r="9" spans="1:7" x14ac:dyDescent="0.25">
      <c r="A9" t="s">
        <v>2196</v>
      </c>
      <c r="B9" t="s">
        <v>2196</v>
      </c>
      <c r="C9" t="s">
        <v>214</v>
      </c>
      <c r="D9" t="s">
        <v>216</v>
      </c>
      <c r="E9" t="s">
        <v>218</v>
      </c>
      <c r="F9" t="s">
        <v>219</v>
      </c>
      <c r="G9" s="2">
        <v>6255504</v>
      </c>
    </row>
    <row r="10" spans="1:7" x14ac:dyDescent="0.25">
      <c r="A10" t="s">
        <v>2196</v>
      </c>
      <c r="B10" t="s">
        <v>2196</v>
      </c>
      <c r="C10" t="s">
        <v>51</v>
      </c>
      <c r="D10" t="s">
        <v>52</v>
      </c>
      <c r="E10" t="s">
        <v>55</v>
      </c>
      <c r="F10" t="s">
        <v>56</v>
      </c>
      <c r="G10" s="2">
        <v>6712008</v>
      </c>
    </row>
    <row r="11" spans="1:7" x14ac:dyDescent="0.25">
      <c r="A11" t="s">
        <v>2196</v>
      </c>
      <c r="B11" t="s">
        <v>2196</v>
      </c>
      <c r="C11" t="s">
        <v>222</v>
      </c>
      <c r="D11" t="s">
        <v>224</v>
      </c>
      <c r="E11" t="s">
        <v>227</v>
      </c>
      <c r="F11" t="s">
        <v>228</v>
      </c>
      <c r="G11" s="2">
        <v>48115128</v>
      </c>
    </row>
    <row r="12" spans="1:7" x14ac:dyDescent="0.25">
      <c r="A12" t="s">
        <v>2196</v>
      </c>
      <c r="B12" t="s">
        <v>2196</v>
      </c>
      <c r="C12" t="s">
        <v>238</v>
      </c>
      <c r="D12" t="s">
        <v>239</v>
      </c>
      <c r="E12" t="s">
        <v>227</v>
      </c>
      <c r="F12" t="s">
        <v>228</v>
      </c>
      <c r="G12" s="2">
        <v>237155100</v>
      </c>
    </row>
    <row r="13" spans="1:7" x14ac:dyDescent="0.25">
      <c r="A13" t="s">
        <v>2196</v>
      </c>
      <c r="B13" t="s">
        <v>2196</v>
      </c>
      <c r="C13" t="s">
        <v>244</v>
      </c>
      <c r="D13" t="s">
        <v>245</v>
      </c>
      <c r="E13" t="s">
        <v>227</v>
      </c>
      <c r="F13" t="s">
        <v>228</v>
      </c>
      <c r="G13" s="2">
        <v>284700000</v>
      </c>
    </row>
    <row r="14" spans="1:7" x14ac:dyDescent="0.25">
      <c r="A14" t="s">
        <v>2196</v>
      </c>
      <c r="B14" t="s">
        <v>2196</v>
      </c>
      <c r="C14" t="s">
        <v>68</v>
      </c>
      <c r="D14" t="s">
        <v>70</v>
      </c>
      <c r="E14" t="s">
        <v>74</v>
      </c>
      <c r="F14" t="s">
        <v>75</v>
      </c>
      <c r="G14" s="2">
        <v>40432878</v>
      </c>
    </row>
    <row r="15" spans="1:7" x14ac:dyDescent="0.25">
      <c r="A15" t="s">
        <v>2196</v>
      </c>
      <c r="B15" t="s">
        <v>2196</v>
      </c>
      <c r="C15" t="s">
        <v>59</v>
      </c>
      <c r="D15" t="s">
        <v>60</v>
      </c>
      <c r="E15" t="s">
        <v>64</v>
      </c>
      <c r="F15" t="s">
        <v>65</v>
      </c>
      <c r="G15" s="2">
        <v>43333332</v>
      </c>
    </row>
    <row r="16" spans="1:7" x14ac:dyDescent="0.25">
      <c r="A16" t="s">
        <v>2196</v>
      </c>
      <c r="B16" t="s">
        <v>2196</v>
      </c>
      <c r="C16" t="s">
        <v>82</v>
      </c>
      <c r="D16" t="s">
        <v>83</v>
      </c>
      <c r="E16" t="s">
        <v>74</v>
      </c>
      <c r="F16" t="s">
        <v>85</v>
      </c>
      <c r="G16" s="2">
        <v>78361124</v>
      </c>
    </row>
    <row r="17" spans="1:7" x14ac:dyDescent="0.25">
      <c r="A17" t="s">
        <v>2196</v>
      </c>
      <c r="B17" t="s">
        <v>2196</v>
      </c>
      <c r="C17" t="s">
        <v>91</v>
      </c>
      <c r="D17" t="s">
        <v>92</v>
      </c>
      <c r="E17" t="s">
        <v>74</v>
      </c>
      <c r="F17" t="s">
        <v>85</v>
      </c>
      <c r="G17" s="2">
        <v>78361124</v>
      </c>
    </row>
    <row r="18" spans="1:7" x14ac:dyDescent="0.25">
      <c r="A18" t="s">
        <v>2196</v>
      </c>
      <c r="B18" t="s">
        <v>2196</v>
      </c>
      <c r="C18" t="s">
        <v>103</v>
      </c>
      <c r="D18" t="s">
        <v>105</v>
      </c>
      <c r="E18" t="s">
        <v>109</v>
      </c>
      <c r="F18" t="s">
        <v>110</v>
      </c>
      <c r="G18" s="2">
        <v>18060000</v>
      </c>
    </row>
    <row r="19" spans="1:7" x14ac:dyDescent="0.25">
      <c r="A19" t="s">
        <v>2196</v>
      </c>
      <c r="B19" t="s">
        <v>2196</v>
      </c>
      <c r="C19" t="s">
        <v>117</v>
      </c>
      <c r="D19" t="s">
        <v>119</v>
      </c>
      <c r="E19" t="s">
        <v>122</v>
      </c>
      <c r="F19" t="s">
        <v>123</v>
      </c>
      <c r="G19" s="2">
        <v>150000000</v>
      </c>
    </row>
    <row r="20" spans="1:7" x14ac:dyDescent="0.25">
      <c r="A20" t="s">
        <v>2196</v>
      </c>
      <c r="B20" t="s">
        <v>2196</v>
      </c>
      <c r="C20" t="s">
        <v>128</v>
      </c>
      <c r="D20" t="s">
        <v>130</v>
      </c>
      <c r="E20" t="s">
        <v>109</v>
      </c>
      <c r="F20" t="s">
        <v>133</v>
      </c>
      <c r="G20" s="2">
        <v>397359215</v>
      </c>
    </row>
    <row r="21" spans="1:7" x14ac:dyDescent="0.25">
      <c r="A21" t="s">
        <v>2196</v>
      </c>
      <c r="B21" t="s">
        <v>2196</v>
      </c>
      <c r="C21" t="s">
        <v>136</v>
      </c>
      <c r="D21" t="s">
        <v>138</v>
      </c>
      <c r="E21" t="s">
        <v>141</v>
      </c>
      <c r="F21" t="s">
        <v>142</v>
      </c>
      <c r="G21" s="2">
        <v>496977708</v>
      </c>
    </row>
    <row r="22" spans="1:7" x14ac:dyDescent="0.25">
      <c r="A22" t="s">
        <v>2196</v>
      </c>
      <c r="B22" t="s">
        <v>2196</v>
      </c>
      <c r="C22" t="s">
        <v>148</v>
      </c>
      <c r="D22" t="s">
        <v>150</v>
      </c>
      <c r="E22" t="s">
        <v>153</v>
      </c>
      <c r="F22" t="s">
        <v>154</v>
      </c>
      <c r="G22" s="2">
        <v>118000004</v>
      </c>
    </row>
    <row r="23" spans="1:7" x14ac:dyDescent="0.25">
      <c r="A23" t="s">
        <v>2196</v>
      </c>
      <c r="B23" t="s">
        <v>2196</v>
      </c>
      <c r="C23" t="s">
        <v>165</v>
      </c>
      <c r="D23" t="s">
        <v>167</v>
      </c>
      <c r="E23" t="s">
        <v>169</v>
      </c>
      <c r="F23" t="s">
        <v>65</v>
      </c>
      <c r="G23" s="2">
        <v>10000004</v>
      </c>
    </row>
    <row r="24" spans="1:7" x14ac:dyDescent="0.25">
      <c r="A24" t="s">
        <v>2196</v>
      </c>
      <c r="B24" t="s">
        <v>2196</v>
      </c>
      <c r="C24" t="s">
        <v>177</v>
      </c>
      <c r="D24" t="s">
        <v>179</v>
      </c>
      <c r="E24" t="s">
        <v>182</v>
      </c>
      <c r="F24" t="s">
        <v>183</v>
      </c>
      <c r="G24" s="2">
        <v>905196910</v>
      </c>
    </row>
    <row r="25" spans="1:7" x14ac:dyDescent="0.25">
      <c r="A25" t="s">
        <v>2196</v>
      </c>
      <c r="B25" t="s">
        <v>2196</v>
      </c>
      <c r="C25" t="s">
        <v>313</v>
      </c>
      <c r="D25" t="s">
        <v>315</v>
      </c>
      <c r="E25" t="s">
        <v>319</v>
      </c>
      <c r="F25" t="s">
        <v>320</v>
      </c>
      <c r="G25" s="2">
        <v>36208337</v>
      </c>
    </row>
    <row r="26" spans="1:7" x14ac:dyDescent="0.25">
      <c r="A26" t="s">
        <v>2196</v>
      </c>
      <c r="B26" t="s">
        <v>2196</v>
      </c>
      <c r="C26" t="s">
        <v>323</v>
      </c>
      <c r="D26" t="s">
        <v>324</v>
      </c>
      <c r="E26" t="s">
        <v>319</v>
      </c>
      <c r="F26" t="s">
        <v>320</v>
      </c>
      <c r="G26" s="2">
        <v>28875000</v>
      </c>
    </row>
    <row r="27" spans="1:7" x14ac:dyDescent="0.25">
      <c r="A27" t="s">
        <v>2196</v>
      </c>
      <c r="B27" t="s">
        <v>2196</v>
      </c>
      <c r="C27" t="s">
        <v>328</v>
      </c>
      <c r="D27" t="s">
        <v>329</v>
      </c>
      <c r="E27" t="s">
        <v>332</v>
      </c>
      <c r="F27" t="s">
        <v>333</v>
      </c>
      <c r="G27" s="2">
        <v>52500000</v>
      </c>
    </row>
    <row r="28" spans="1:7" x14ac:dyDescent="0.25">
      <c r="A28" t="s">
        <v>2196</v>
      </c>
      <c r="B28" t="s">
        <v>2196</v>
      </c>
      <c r="C28" t="s">
        <v>337</v>
      </c>
      <c r="D28" t="s">
        <v>338</v>
      </c>
      <c r="E28" t="s">
        <v>341</v>
      </c>
      <c r="F28" t="s">
        <v>342</v>
      </c>
      <c r="G28" s="2">
        <v>11000004</v>
      </c>
    </row>
    <row r="29" spans="1:7" x14ac:dyDescent="0.25">
      <c r="A29" t="s">
        <v>2196</v>
      </c>
      <c r="B29" t="s">
        <v>2196</v>
      </c>
      <c r="C29" t="s">
        <v>355</v>
      </c>
      <c r="D29" t="s">
        <v>357</v>
      </c>
      <c r="E29" t="s">
        <v>360</v>
      </c>
      <c r="F29" t="s">
        <v>361</v>
      </c>
      <c r="G29" s="2">
        <v>30250000</v>
      </c>
    </row>
    <row r="30" spans="1:7" x14ac:dyDescent="0.25">
      <c r="A30" t="s">
        <v>2196</v>
      </c>
      <c r="B30" t="s">
        <v>2196</v>
      </c>
      <c r="C30" t="s">
        <v>366</v>
      </c>
      <c r="D30" t="s">
        <v>368</v>
      </c>
      <c r="E30" t="s">
        <v>341</v>
      </c>
      <c r="F30" t="s">
        <v>372</v>
      </c>
      <c r="G30" s="2">
        <v>80000000</v>
      </c>
    </row>
    <row r="31" spans="1:7" x14ac:dyDescent="0.25">
      <c r="A31" t="s">
        <v>2196</v>
      </c>
      <c r="B31" t="s">
        <v>2196</v>
      </c>
      <c r="C31" t="s">
        <v>382</v>
      </c>
      <c r="D31" t="s">
        <v>383</v>
      </c>
      <c r="E31" t="s">
        <v>385</v>
      </c>
      <c r="F31" t="s">
        <v>386</v>
      </c>
      <c r="G31" s="2">
        <v>16041663</v>
      </c>
    </row>
    <row r="32" spans="1:7" x14ac:dyDescent="0.25">
      <c r="A32" t="s">
        <v>2196</v>
      </c>
      <c r="B32" t="s">
        <v>2196</v>
      </c>
      <c r="C32" t="s">
        <v>389</v>
      </c>
      <c r="D32" t="s">
        <v>390</v>
      </c>
      <c r="E32" t="s">
        <v>378</v>
      </c>
      <c r="F32" t="s">
        <v>361</v>
      </c>
      <c r="G32" s="2">
        <v>16500000</v>
      </c>
    </row>
    <row r="33" spans="1:7" x14ac:dyDescent="0.25">
      <c r="A33" t="s">
        <v>2196</v>
      </c>
      <c r="B33" t="s">
        <v>2196</v>
      </c>
      <c r="C33" t="s">
        <v>392</v>
      </c>
      <c r="D33" t="s">
        <v>393</v>
      </c>
      <c r="E33" t="s">
        <v>395</v>
      </c>
      <c r="F33" t="s">
        <v>396</v>
      </c>
      <c r="G33" s="2">
        <v>17416663</v>
      </c>
    </row>
    <row r="34" spans="1:7" x14ac:dyDescent="0.25">
      <c r="A34" t="s">
        <v>2196</v>
      </c>
      <c r="B34" t="s">
        <v>2196</v>
      </c>
      <c r="C34" t="s">
        <v>399</v>
      </c>
      <c r="D34" t="s">
        <v>400</v>
      </c>
      <c r="E34" t="s">
        <v>402</v>
      </c>
      <c r="F34" t="s">
        <v>320</v>
      </c>
      <c r="G34" s="2">
        <v>28875000</v>
      </c>
    </row>
    <row r="35" spans="1:7" x14ac:dyDescent="0.25">
      <c r="A35" t="s">
        <v>2196</v>
      </c>
      <c r="B35" t="s">
        <v>2196</v>
      </c>
      <c r="C35" t="s">
        <v>405</v>
      </c>
      <c r="D35" t="s">
        <v>406</v>
      </c>
      <c r="E35" t="s">
        <v>360</v>
      </c>
      <c r="F35" t="s">
        <v>361</v>
      </c>
      <c r="G35" s="2">
        <v>23833337</v>
      </c>
    </row>
    <row r="36" spans="1:7" x14ac:dyDescent="0.25">
      <c r="A36" t="s">
        <v>2196</v>
      </c>
      <c r="B36" t="s">
        <v>2196</v>
      </c>
      <c r="C36" t="s">
        <v>408</v>
      </c>
      <c r="D36" t="s">
        <v>410</v>
      </c>
      <c r="E36" t="s">
        <v>414</v>
      </c>
      <c r="F36" t="s">
        <v>415</v>
      </c>
      <c r="G36" s="2">
        <v>500000000</v>
      </c>
    </row>
    <row r="37" spans="1:7" x14ac:dyDescent="0.25">
      <c r="A37" t="s">
        <v>2196</v>
      </c>
      <c r="B37" t="s">
        <v>2196</v>
      </c>
      <c r="C37" t="s">
        <v>418</v>
      </c>
      <c r="D37" t="s">
        <v>419</v>
      </c>
      <c r="E37" t="s">
        <v>422</v>
      </c>
      <c r="F37" t="s">
        <v>423</v>
      </c>
      <c r="G37" s="2">
        <v>87524976</v>
      </c>
    </row>
    <row r="38" spans="1:7" x14ac:dyDescent="0.25">
      <c r="A38" t="s">
        <v>2196</v>
      </c>
      <c r="B38" t="s">
        <v>2196</v>
      </c>
      <c r="C38" t="s">
        <v>426</v>
      </c>
      <c r="D38" t="s">
        <v>428</v>
      </c>
      <c r="E38" t="s">
        <v>430</v>
      </c>
      <c r="F38" t="s">
        <v>431</v>
      </c>
      <c r="G38" s="2">
        <v>48583326</v>
      </c>
    </row>
    <row r="39" spans="1:7" x14ac:dyDescent="0.25">
      <c r="A39" t="s">
        <v>2196</v>
      </c>
      <c r="B39" t="s">
        <v>2196</v>
      </c>
      <c r="C39" t="s">
        <v>434</v>
      </c>
      <c r="D39" t="s">
        <v>435</v>
      </c>
      <c r="E39" t="s">
        <v>319</v>
      </c>
      <c r="F39" t="s">
        <v>320</v>
      </c>
      <c r="G39" s="2">
        <v>73333326</v>
      </c>
    </row>
    <row r="40" spans="1:7" x14ac:dyDescent="0.25">
      <c r="A40" t="s">
        <v>2196</v>
      </c>
      <c r="B40" t="s">
        <v>2196</v>
      </c>
      <c r="C40" t="s">
        <v>438</v>
      </c>
      <c r="D40" t="s">
        <v>440</v>
      </c>
      <c r="E40" t="s">
        <v>360</v>
      </c>
      <c r="F40" t="s">
        <v>361</v>
      </c>
      <c r="G40" s="2">
        <v>6417500</v>
      </c>
    </row>
    <row r="41" spans="1:7" x14ac:dyDescent="0.25">
      <c r="A41" t="s">
        <v>2196</v>
      </c>
      <c r="B41" t="s">
        <v>2196</v>
      </c>
      <c r="C41" t="s">
        <v>444</v>
      </c>
      <c r="D41" t="s">
        <v>445</v>
      </c>
      <c r="E41" t="s">
        <v>37</v>
      </c>
      <c r="F41" t="s">
        <v>449</v>
      </c>
      <c r="G41" s="2">
        <v>89478000</v>
      </c>
    </row>
    <row r="42" spans="1:7" x14ac:dyDescent="0.25">
      <c r="A42" t="s">
        <v>2196</v>
      </c>
      <c r="B42" t="s">
        <v>2196</v>
      </c>
      <c r="C42" t="s">
        <v>452</v>
      </c>
      <c r="D42" t="s">
        <v>454</v>
      </c>
      <c r="E42" t="s">
        <v>457</v>
      </c>
      <c r="F42" t="s">
        <v>458</v>
      </c>
      <c r="G42" s="2">
        <v>189933326</v>
      </c>
    </row>
    <row r="43" spans="1:7" x14ac:dyDescent="0.25">
      <c r="A43" t="s">
        <v>2196</v>
      </c>
      <c r="B43" t="s">
        <v>2196</v>
      </c>
      <c r="C43" t="s">
        <v>461</v>
      </c>
      <c r="D43" t="s">
        <v>462</v>
      </c>
      <c r="E43" t="s">
        <v>465</v>
      </c>
      <c r="F43" t="s">
        <v>466</v>
      </c>
      <c r="G43" s="2">
        <v>246357600</v>
      </c>
    </row>
    <row r="44" spans="1:7" x14ac:dyDescent="0.25">
      <c r="A44" t="s">
        <v>2196</v>
      </c>
      <c r="B44" t="s">
        <v>2196</v>
      </c>
      <c r="C44" t="s">
        <v>476</v>
      </c>
      <c r="D44" t="s">
        <v>477</v>
      </c>
      <c r="E44" t="s">
        <v>227</v>
      </c>
      <c r="F44" t="s">
        <v>480</v>
      </c>
      <c r="G44" s="2">
        <v>114626790</v>
      </c>
    </row>
    <row r="45" spans="1:7" x14ac:dyDescent="0.25">
      <c r="A45" t="s">
        <v>2196</v>
      </c>
      <c r="B45" t="s">
        <v>2196</v>
      </c>
      <c r="C45" t="s">
        <v>482</v>
      </c>
      <c r="D45" t="s">
        <v>484</v>
      </c>
      <c r="E45" t="s">
        <v>487</v>
      </c>
      <c r="F45" t="s">
        <v>488</v>
      </c>
      <c r="G45" s="2">
        <v>16817500</v>
      </c>
    </row>
    <row r="46" spans="1:7" x14ac:dyDescent="0.25">
      <c r="A46" t="s">
        <v>2196</v>
      </c>
      <c r="B46" t="s">
        <v>2196</v>
      </c>
      <c r="C46" t="s">
        <v>493</v>
      </c>
      <c r="D46" t="s">
        <v>494</v>
      </c>
      <c r="E46" t="s">
        <v>497</v>
      </c>
      <c r="F46" t="s">
        <v>302</v>
      </c>
      <c r="G46" s="2">
        <v>72999996</v>
      </c>
    </row>
    <row r="47" spans="1:7" x14ac:dyDescent="0.25">
      <c r="A47" t="s">
        <v>2196</v>
      </c>
      <c r="B47" t="s">
        <v>2196</v>
      </c>
      <c r="C47" t="s">
        <v>499</v>
      </c>
      <c r="D47" t="s">
        <v>501</v>
      </c>
      <c r="E47" t="s">
        <v>505</v>
      </c>
      <c r="F47" t="s">
        <v>506</v>
      </c>
      <c r="G47" s="2">
        <v>56250000</v>
      </c>
    </row>
    <row r="48" spans="1:7" x14ac:dyDescent="0.25">
      <c r="A48" t="s">
        <v>2196</v>
      </c>
      <c r="B48" t="s">
        <v>2196</v>
      </c>
      <c r="C48" t="s">
        <v>509</v>
      </c>
      <c r="D48" t="s">
        <v>510</v>
      </c>
      <c r="E48" t="s">
        <v>513</v>
      </c>
      <c r="F48" t="s">
        <v>514</v>
      </c>
      <c r="G48" s="2">
        <v>83594337</v>
      </c>
    </row>
    <row r="49" spans="1:7" x14ac:dyDescent="0.25">
      <c r="A49" t="s">
        <v>2196</v>
      </c>
      <c r="B49" t="s">
        <v>2196</v>
      </c>
      <c r="C49" t="s">
        <v>517</v>
      </c>
      <c r="D49" t="s">
        <v>518</v>
      </c>
      <c r="E49" t="s">
        <v>522</v>
      </c>
      <c r="F49" t="s">
        <v>523</v>
      </c>
      <c r="G49" s="2">
        <v>10192001</v>
      </c>
    </row>
    <row r="50" spans="1:7" x14ac:dyDescent="0.25">
      <c r="A50" t="s">
        <v>2196</v>
      </c>
      <c r="B50" t="s">
        <v>2196</v>
      </c>
      <c r="C50" t="s">
        <v>527</v>
      </c>
      <c r="D50" t="s">
        <v>528</v>
      </c>
      <c r="E50" t="s">
        <v>531</v>
      </c>
      <c r="F50" t="s">
        <v>532</v>
      </c>
      <c r="G50" s="2">
        <v>40000000</v>
      </c>
    </row>
    <row r="51" spans="1:7" x14ac:dyDescent="0.25">
      <c r="A51" t="s">
        <v>2196</v>
      </c>
      <c r="B51" t="s">
        <v>2196</v>
      </c>
      <c r="C51" t="s">
        <v>535</v>
      </c>
      <c r="D51" t="s">
        <v>537</v>
      </c>
      <c r="E51" t="s">
        <v>531</v>
      </c>
      <c r="F51" t="s">
        <v>532</v>
      </c>
      <c r="G51" s="2">
        <v>80000000</v>
      </c>
    </row>
    <row r="52" spans="1:7" x14ac:dyDescent="0.25">
      <c r="A52" t="s">
        <v>2196</v>
      </c>
      <c r="B52" t="s">
        <v>2196</v>
      </c>
      <c r="C52" t="s">
        <v>539</v>
      </c>
      <c r="D52" t="s">
        <v>541</v>
      </c>
      <c r="E52" t="s">
        <v>55</v>
      </c>
      <c r="F52" t="s">
        <v>544</v>
      </c>
      <c r="G52" s="2">
        <v>39999996</v>
      </c>
    </row>
    <row r="53" spans="1:7" x14ac:dyDescent="0.25">
      <c r="A53" t="s">
        <v>2196</v>
      </c>
      <c r="B53" t="s">
        <v>2196</v>
      </c>
      <c r="C53" t="s">
        <v>548</v>
      </c>
      <c r="D53" t="s">
        <v>550</v>
      </c>
      <c r="E53" t="s">
        <v>55</v>
      </c>
      <c r="F53" t="s">
        <v>544</v>
      </c>
      <c r="G53" s="2">
        <v>96100000</v>
      </c>
    </row>
    <row r="54" spans="1:7" x14ac:dyDescent="0.25">
      <c r="A54" t="s">
        <v>2196</v>
      </c>
      <c r="B54" t="s">
        <v>2196</v>
      </c>
      <c r="C54" t="s">
        <v>552</v>
      </c>
      <c r="D54" t="s">
        <v>553</v>
      </c>
      <c r="E54" t="s">
        <v>122</v>
      </c>
      <c r="F54" t="s">
        <v>555</v>
      </c>
      <c r="G54" s="2">
        <v>100200000</v>
      </c>
    </row>
    <row r="55" spans="1:7" x14ac:dyDescent="0.25">
      <c r="A55" t="s">
        <v>2196</v>
      </c>
      <c r="B55" t="s">
        <v>2196</v>
      </c>
      <c r="C55" t="s">
        <v>557</v>
      </c>
      <c r="D55" t="s">
        <v>558</v>
      </c>
      <c r="E55" t="s">
        <v>122</v>
      </c>
      <c r="F55" t="s">
        <v>555</v>
      </c>
      <c r="G55" s="2">
        <v>30000000</v>
      </c>
    </row>
    <row r="56" spans="1:7" x14ac:dyDescent="0.25">
      <c r="A56" t="s">
        <v>2196</v>
      </c>
      <c r="B56" t="s">
        <v>2196</v>
      </c>
      <c r="C56" t="s">
        <v>560</v>
      </c>
      <c r="D56" t="s">
        <v>562</v>
      </c>
      <c r="E56" t="s">
        <v>169</v>
      </c>
      <c r="F56" t="s">
        <v>65</v>
      </c>
      <c r="G56" s="2">
        <v>69333336</v>
      </c>
    </row>
    <row r="57" spans="1:7" x14ac:dyDescent="0.25">
      <c r="A57" t="s">
        <v>2196</v>
      </c>
      <c r="B57" t="s">
        <v>2196</v>
      </c>
      <c r="C57" t="s">
        <v>251</v>
      </c>
      <c r="D57" t="s">
        <v>253</v>
      </c>
      <c r="E57" t="s">
        <v>257</v>
      </c>
      <c r="F57" t="s">
        <v>258</v>
      </c>
      <c r="G57" s="2">
        <v>355624997</v>
      </c>
    </row>
    <row r="58" spans="1:7" x14ac:dyDescent="0.25">
      <c r="A58" t="s">
        <v>2196</v>
      </c>
      <c r="B58" t="s">
        <v>2196</v>
      </c>
      <c r="C58" t="s">
        <v>375</v>
      </c>
      <c r="D58" t="s">
        <v>376</v>
      </c>
      <c r="E58" t="s">
        <v>378</v>
      </c>
      <c r="F58" t="s">
        <v>361</v>
      </c>
      <c r="G58" s="2">
        <v>17416663</v>
      </c>
    </row>
    <row r="59" spans="1:7" x14ac:dyDescent="0.25">
      <c r="A59" t="s">
        <v>2196</v>
      </c>
      <c r="B59" t="s">
        <v>2196</v>
      </c>
      <c r="C59" t="s">
        <v>468</v>
      </c>
      <c r="D59" t="s">
        <v>470</v>
      </c>
      <c r="E59" t="s">
        <v>473</v>
      </c>
      <c r="F59" t="s">
        <v>474</v>
      </c>
      <c r="G59" s="2">
        <v>394362600</v>
      </c>
    </row>
    <row r="60" spans="1:7" x14ac:dyDescent="0.25">
      <c r="A60" t="s">
        <v>2196</v>
      </c>
      <c r="B60" t="s">
        <v>2196</v>
      </c>
      <c r="C60" t="s">
        <v>545</v>
      </c>
      <c r="D60" t="s">
        <v>546</v>
      </c>
      <c r="E60" t="s">
        <v>414</v>
      </c>
      <c r="F60" t="s">
        <v>415</v>
      </c>
      <c r="G60" s="2">
        <v>30800000</v>
      </c>
    </row>
    <row r="61" spans="1:7" x14ac:dyDescent="0.25">
      <c r="A61" t="s">
        <v>2199</v>
      </c>
      <c r="B61" t="s">
        <v>1238</v>
      </c>
      <c r="C61" t="s">
        <v>1369</v>
      </c>
      <c r="D61" t="s">
        <v>1370</v>
      </c>
      <c r="E61" t="s">
        <v>1299</v>
      </c>
      <c r="F61" t="s">
        <v>1300</v>
      </c>
      <c r="G61" s="2">
        <v>1578831000</v>
      </c>
    </row>
    <row r="62" spans="1:7" x14ac:dyDescent="0.25">
      <c r="A62" t="s">
        <v>2199</v>
      </c>
      <c r="B62" t="s">
        <v>1238</v>
      </c>
      <c r="C62" t="s">
        <v>1385</v>
      </c>
      <c r="D62" t="s">
        <v>1386</v>
      </c>
      <c r="E62" t="s">
        <v>1299</v>
      </c>
      <c r="F62" t="s">
        <v>1300</v>
      </c>
      <c r="G62" s="2">
        <v>1969068000</v>
      </c>
    </row>
    <row r="63" spans="1:7" x14ac:dyDescent="0.25">
      <c r="A63" t="s">
        <v>2199</v>
      </c>
      <c r="B63" t="s">
        <v>1238</v>
      </c>
      <c r="C63" t="s">
        <v>1387</v>
      </c>
      <c r="D63" t="s">
        <v>1388</v>
      </c>
      <c r="E63" t="s">
        <v>1299</v>
      </c>
      <c r="F63" t="s">
        <v>1300</v>
      </c>
      <c r="G63" s="2">
        <v>18632000</v>
      </c>
    </row>
    <row r="64" spans="1:7" x14ac:dyDescent="0.25">
      <c r="A64" t="s">
        <v>2199</v>
      </c>
      <c r="B64" t="s">
        <v>1238</v>
      </c>
      <c r="C64" t="s">
        <v>1393</v>
      </c>
      <c r="D64" t="s">
        <v>1394</v>
      </c>
      <c r="E64" t="s">
        <v>1299</v>
      </c>
      <c r="F64" t="s">
        <v>1300</v>
      </c>
      <c r="G64" s="2">
        <v>280000000</v>
      </c>
    </row>
    <row r="65" spans="1:7" x14ac:dyDescent="0.25">
      <c r="A65" t="s">
        <v>2199</v>
      </c>
      <c r="B65" t="s">
        <v>1238</v>
      </c>
      <c r="C65" t="s">
        <v>1398</v>
      </c>
      <c r="D65" t="s">
        <v>1399</v>
      </c>
      <c r="E65" t="s">
        <v>1299</v>
      </c>
      <c r="F65" t="s">
        <v>1300</v>
      </c>
      <c r="G65" s="2">
        <v>61000000</v>
      </c>
    </row>
    <row r="66" spans="1:7" x14ac:dyDescent="0.25">
      <c r="A66" t="s">
        <v>2199</v>
      </c>
      <c r="B66" t="s">
        <v>1238</v>
      </c>
      <c r="C66" t="s">
        <v>1464</v>
      </c>
      <c r="D66" t="s">
        <v>1465</v>
      </c>
      <c r="E66" t="s">
        <v>1075</v>
      </c>
      <c r="F66" t="s">
        <v>1076</v>
      </c>
      <c r="G66" s="2">
        <v>1000000</v>
      </c>
    </row>
    <row r="67" spans="1:7" x14ac:dyDescent="0.25">
      <c r="A67" t="s">
        <v>2199</v>
      </c>
      <c r="B67" t="s">
        <v>1238</v>
      </c>
      <c r="C67" t="s">
        <v>1485</v>
      </c>
      <c r="D67" t="s">
        <v>1486</v>
      </c>
      <c r="E67" t="s">
        <v>1211</v>
      </c>
      <c r="F67" t="s">
        <v>320</v>
      </c>
      <c r="G67" s="2">
        <v>250000</v>
      </c>
    </row>
    <row r="68" spans="1:7" x14ac:dyDescent="0.25">
      <c r="A68" t="s">
        <v>2199</v>
      </c>
      <c r="B68" t="s">
        <v>1238</v>
      </c>
      <c r="C68" t="s">
        <v>1624</v>
      </c>
      <c r="D68" t="s">
        <v>1621</v>
      </c>
      <c r="E68" t="s">
        <v>1608</v>
      </c>
      <c r="F68" t="s">
        <v>361</v>
      </c>
      <c r="G68" s="2">
        <v>780000</v>
      </c>
    </row>
    <row r="69" spans="1:7" x14ac:dyDescent="0.25">
      <c r="A69" t="s">
        <v>2199</v>
      </c>
      <c r="B69" t="s">
        <v>1238</v>
      </c>
      <c r="C69" t="s">
        <v>1673</v>
      </c>
      <c r="D69" t="s">
        <v>1674</v>
      </c>
      <c r="E69" t="s">
        <v>1299</v>
      </c>
      <c r="F69" t="s">
        <v>1300</v>
      </c>
      <c r="G69" s="2">
        <v>6773000</v>
      </c>
    </row>
    <row r="70" spans="1:7" x14ac:dyDescent="0.25">
      <c r="A70" t="s">
        <v>2199</v>
      </c>
      <c r="B70" t="s">
        <v>1238</v>
      </c>
      <c r="C70" t="s">
        <v>2037</v>
      </c>
      <c r="D70" t="s">
        <v>1658</v>
      </c>
      <c r="E70" t="s">
        <v>2039</v>
      </c>
      <c r="F70" t="s">
        <v>1661</v>
      </c>
      <c r="G70" s="2">
        <v>19000000</v>
      </c>
    </row>
    <row r="71" spans="1:7" x14ac:dyDescent="0.25">
      <c r="A71" t="s">
        <v>2199</v>
      </c>
      <c r="B71" t="s">
        <v>1238</v>
      </c>
      <c r="C71" t="s">
        <v>2063</v>
      </c>
      <c r="D71" t="s">
        <v>2064</v>
      </c>
      <c r="E71" t="s">
        <v>768</v>
      </c>
      <c r="F71" t="s">
        <v>966</v>
      </c>
      <c r="G71" s="2">
        <v>300000</v>
      </c>
    </row>
    <row r="72" spans="1:7" x14ac:dyDescent="0.25">
      <c r="A72" t="s">
        <v>2199</v>
      </c>
      <c r="B72" t="s">
        <v>1238</v>
      </c>
      <c r="C72" t="s">
        <v>2102</v>
      </c>
      <c r="D72" t="s">
        <v>2103</v>
      </c>
      <c r="E72" t="s">
        <v>1759</v>
      </c>
      <c r="F72" t="s">
        <v>1760</v>
      </c>
      <c r="G72" s="2">
        <v>16000000</v>
      </c>
    </row>
    <row r="73" spans="1:7" x14ac:dyDescent="0.25">
      <c r="A73" t="s">
        <v>2199</v>
      </c>
      <c r="B73" t="s">
        <v>1238</v>
      </c>
      <c r="C73" t="s">
        <v>2140</v>
      </c>
      <c r="D73" t="s">
        <v>2141</v>
      </c>
      <c r="E73" t="s">
        <v>768</v>
      </c>
      <c r="F73" t="s">
        <v>966</v>
      </c>
      <c r="G73" s="2">
        <v>250000</v>
      </c>
    </row>
    <row r="74" spans="1:7" x14ac:dyDescent="0.25">
      <c r="A74" t="s">
        <v>2199</v>
      </c>
      <c r="B74" t="s">
        <v>1238</v>
      </c>
      <c r="C74" t="s">
        <v>1239</v>
      </c>
      <c r="D74" t="s">
        <v>1241</v>
      </c>
      <c r="E74" t="s">
        <v>122</v>
      </c>
      <c r="F74" t="s">
        <v>544</v>
      </c>
      <c r="G74" s="2">
        <v>108183000</v>
      </c>
    </row>
    <row r="75" spans="1:7" x14ac:dyDescent="0.25">
      <c r="A75" t="s">
        <v>2199</v>
      </c>
      <c r="B75" t="s">
        <v>1238</v>
      </c>
      <c r="C75" t="s">
        <v>1289</v>
      </c>
      <c r="D75" t="s">
        <v>1291</v>
      </c>
      <c r="E75" t="s">
        <v>768</v>
      </c>
      <c r="F75" t="s">
        <v>386</v>
      </c>
      <c r="G75" s="2">
        <v>4000005</v>
      </c>
    </row>
    <row r="76" spans="1:7" x14ac:dyDescent="0.25">
      <c r="A76" t="s">
        <v>2199</v>
      </c>
      <c r="B76" t="s">
        <v>1238</v>
      </c>
      <c r="C76" t="s">
        <v>1295</v>
      </c>
      <c r="D76" t="s">
        <v>1297</v>
      </c>
      <c r="E76" t="s">
        <v>1299</v>
      </c>
      <c r="F76" t="s">
        <v>1300</v>
      </c>
      <c r="G76" s="2">
        <v>142663000</v>
      </c>
    </row>
    <row r="77" spans="1:7" x14ac:dyDescent="0.25">
      <c r="A77" t="s">
        <v>2199</v>
      </c>
      <c r="B77" t="s">
        <v>1238</v>
      </c>
      <c r="C77" t="s">
        <v>1349</v>
      </c>
      <c r="D77" t="s">
        <v>1350</v>
      </c>
      <c r="E77" t="s">
        <v>1299</v>
      </c>
      <c r="F77" t="s">
        <v>1300</v>
      </c>
      <c r="G77" s="2">
        <v>210000000</v>
      </c>
    </row>
    <row r="78" spans="1:7" x14ac:dyDescent="0.25">
      <c r="A78" t="s">
        <v>2199</v>
      </c>
      <c r="B78" t="s">
        <v>1238</v>
      </c>
      <c r="C78" t="s">
        <v>1352</v>
      </c>
      <c r="D78" t="s">
        <v>1353</v>
      </c>
      <c r="E78" t="s">
        <v>1299</v>
      </c>
      <c r="F78" t="s">
        <v>1300</v>
      </c>
      <c r="G78" s="2">
        <v>129075000</v>
      </c>
    </row>
    <row r="79" spans="1:7" x14ac:dyDescent="0.25">
      <c r="A79" t="s">
        <v>2199</v>
      </c>
      <c r="B79" t="s">
        <v>374</v>
      </c>
      <c r="C79" t="s">
        <v>1590</v>
      </c>
      <c r="D79" t="s">
        <v>1591</v>
      </c>
      <c r="E79" t="s">
        <v>761</v>
      </c>
      <c r="F79" t="s">
        <v>762</v>
      </c>
      <c r="G79" s="2">
        <v>295000</v>
      </c>
    </row>
    <row r="80" spans="1:7" x14ac:dyDescent="0.25">
      <c r="A80" t="s">
        <v>2199</v>
      </c>
      <c r="B80" t="s">
        <v>374</v>
      </c>
      <c r="C80" t="s">
        <v>1575</v>
      </c>
      <c r="D80" t="s">
        <v>1576</v>
      </c>
      <c r="E80" t="s">
        <v>761</v>
      </c>
      <c r="F80" t="s">
        <v>762</v>
      </c>
      <c r="G80" s="2">
        <v>6710000</v>
      </c>
    </row>
    <row r="81" spans="1:7" x14ac:dyDescent="0.25">
      <c r="A81" t="s">
        <v>2199</v>
      </c>
      <c r="B81" t="s">
        <v>374</v>
      </c>
      <c r="C81" t="s">
        <v>1595</v>
      </c>
      <c r="D81" t="s">
        <v>1597</v>
      </c>
      <c r="E81" t="s">
        <v>761</v>
      </c>
      <c r="F81" t="s">
        <v>762</v>
      </c>
      <c r="G81" s="2">
        <v>360000</v>
      </c>
    </row>
    <row r="82" spans="1:7" x14ac:dyDescent="0.25">
      <c r="A82" t="s">
        <v>2199</v>
      </c>
      <c r="B82" t="s">
        <v>374</v>
      </c>
      <c r="C82" t="s">
        <v>1645</v>
      </c>
      <c r="D82" t="s">
        <v>1646</v>
      </c>
      <c r="E82" t="s">
        <v>1649</v>
      </c>
      <c r="F82" t="s">
        <v>762</v>
      </c>
      <c r="G82" s="2">
        <v>4160004</v>
      </c>
    </row>
    <row r="83" spans="1:7" x14ac:dyDescent="0.25">
      <c r="A83" t="s">
        <v>2199</v>
      </c>
      <c r="B83" t="s">
        <v>374</v>
      </c>
      <c r="C83" t="s">
        <v>1650</v>
      </c>
      <c r="D83" t="s">
        <v>1651</v>
      </c>
      <c r="E83" t="s">
        <v>761</v>
      </c>
      <c r="F83" t="s">
        <v>762</v>
      </c>
      <c r="G83" s="2">
        <v>200004</v>
      </c>
    </row>
    <row r="84" spans="1:7" x14ac:dyDescent="0.25">
      <c r="A84" t="s">
        <v>2199</v>
      </c>
      <c r="B84" t="s">
        <v>374</v>
      </c>
      <c r="C84" t="s">
        <v>1654</v>
      </c>
      <c r="D84" t="s">
        <v>1655</v>
      </c>
      <c r="E84" t="s">
        <v>761</v>
      </c>
      <c r="F84" t="s">
        <v>762</v>
      </c>
      <c r="G84" s="2">
        <v>280000</v>
      </c>
    </row>
    <row r="85" spans="1:7" x14ac:dyDescent="0.25">
      <c r="A85" t="s">
        <v>2199</v>
      </c>
      <c r="B85" t="s">
        <v>374</v>
      </c>
      <c r="C85" t="s">
        <v>1657</v>
      </c>
      <c r="D85" t="s">
        <v>1658</v>
      </c>
      <c r="E85" t="s">
        <v>1660</v>
      </c>
      <c r="F85" t="s">
        <v>1661</v>
      </c>
      <c r="G85" s="2">
        <v>18710018</v>
      </c>
    </row>
    <row r="86" spans="1:7" x14ac:dyDescent="0.25">
      <c r="A86" t="s">
        <v>2199</v>
      </c>
      <c r="B86" t="s">
        <v>374</v>
      </c>
      <c r="C86" t="s">
        <v>1967</v>
      </c>
      <c r="D86" t="s">
        <v>1969</v>
      </c>
      <c r="E86" t="s">
        <v>768</v>
      </c>
      <c r="F86" t="s">
        <v>1972</v>
      </c>
      <c r="G86" s="2">
        <v>207409</v>
      </c>
    </row>
    <row r="87" spans="1:7" x14ac:dyDescent="0.25">
      <c r="A87" t="s">
        <v>2199</v>
      </c>
      <c r="B87" t="s">
        <v>374</v>
      </c>
      <c r="C87" t="s">
        <v>2028</v>
      </c>
      <c r="D87" t="s">
        <v>2029</v>
      </c>
      <c r="E87" t="s">
        <v>2032</v>
      </c>
      <c r="F87" t="s">
        <v>2033</v>
      </c>
      <c r="G87" s="2">
        <v>7584540</v>
      </c>
    </row>
    <row r="88" spans="1:7" x14ac:dyDescent="0.25">
      <c r="A88" t="s">
        <v>2199</v>
      </c>
      <c r="B88" t="s">
        <v>374</v>
      </c>
      <c r="C88" t="s">
        <v>2080</v>
      </c>
      <c r="D88" t="s">
        <v>2081</v>
      </c>
      <c r="E88" t="s">
        <v>768</v>
      </c>
      <c r="F88" t="s">
        <v>386</v>
      </c>
      <c r="G88" s="2">
        <v>350280</v>
      </c>
    </row>
    <row r="89" spans="1:7" x14ac:dyDescent="0.25">
      <c r="A89" t="s">
        <v>2199</v>
      </c>
      <c r="B89" t="s">
        <v>374</v>
      </c>
      <c r="C89" t="s">
        <v>2086</v>
      </c>
      <c r="D89" t="s">
        <v>2087</v>
      </c>
      <c r="E89" t="s">
        <v>768</v>
      </c>
      <c r="F89" t="s">
        <v>386</v>
      </c>
      <c r="G89" s="2">
        <v>506160</v>
      </c>
    </row>
    <row r="90" spans="1:7" x14ac:dyDescent="0.25">
      <c r="A90" t="s">
        <v>2199</v>
      </c>
      <c r="B90" t="s">
        <v>374</v>
      </c>
      <c r="C90" t="s">
        <v>2110</v>
      </c>
      <c r="D90" t="s">
        <v>2111</v>
      </c>
      <c r="E90" t="s">
        <v>768</v>
      </c>
      <c r="F90" t="s">
        <v>386</v>
      </c>
      <c r="G90" s="2">
        <v>1303030</v>
      </c>
    </row>
    <row r="91" spans="1:7" x14ac:dyDescent="0.25">
      <c r="A91" t="s">
        <v>2199</v>
      </c>
      <c r="B91" t="s">
        <v>374</v>
      </c>
      <c r="C91" t="s">
        <v>2159</v>
      </c>
      <c r="D91" t="s">
        <v>2160</v>
      </c>
      <c r="E91" t="s">
        <v>761</v>
      </c>
      <c r="F91" t="s">
        <v>762</v>
      </c>
      <c r="G91" s="2">
        <v>7810025</v>
      </c>
    </row>
    <row r="92" spans="1:7" x14ac:dyDescent="0.25">
      <c r="A92" t="s">
        <v>2199</v>
      </c>
      <c r="B92" t="s">
        <v>374</v>
      </c>
      <c r="C92" t="s">
        <v>2181</v>
      </c>
      <c r="D92" t="s">
        <v>2182</v>
      </c>
      <c r="E92" t="s">
        <v>761</v>
      </c>
      <c r="F92" t="s">
        <v>762</v>
      </c>
      <c r="G92" s="2">
        <v>280008</v>
      </c>
    </row>
    <row r="93" spans="1:7" x14ac:dyDescent="0.25">
      <c r="A93" t="s">
        <v>2199</v>
      </c>
      <c r="B93" t="s">
        <v>374</v>
      </c>
      <c r="C93" t="s">
        <v>584</v>
      </c>
      <c r="D93" t="s">
        <v>586</v>
      </c>
      <c r="E93" t="s">
        <v>590</v>
      </c>
      <c r="F93" t="s">
        <v>591</v>
      </c>
      <c r="G93" s="2">
        <v>56320000</v>
      </c>
    </row>
    <row r="94" spans="1:7" x14ac:dyDescent="0.25">
      <c r="A94" t="s">
        <v>2199</v>
      </c>
      <c r="B94" t="s">
        <v>374</v>
      </c>
      <c r="C94" t="s">
        <v>605</v>
      </c>
      <c r="D94" t="s">
        <v>607</v>
      </c>
      <c r="E94" t="s">
        <v>609</v>
      </c>
      <c r="F94" t="s">
        <v>610</v>
      </c>
      <c r="G94" s="2">
        <v>60000000</v>
      </c>
    </row>
    <row r="95" spans="1:7" x14ac:dyDescent="0.25">
      <c r="A95" t="s">
        <v>2199</v>
      </c>
      <c r="B95" t="s">
        <v>374</v>
      </c>
      <c r="C95" t="s">
        <v>614</v>
      </c>
      <c r="D95" t="s">
        <v>616</v>
      </c>
      <c r="E95" t="s">
        <v>590</v>
      </c>
      <c r="F95" t="s">
        <v>591</v>
      </c>
      <c r="G95" s="2">
        <v>410000</v>
      </c>
    </row>
    <row r="96" spans="1:7" x14ac:dyDescent="0.25">
      <c r="A96" t="s">
        <v>2199</v>
      </c>
      <c r="B96" t="s">
        <v>374</v>
      </c>
      <c r="C96" t="s">
        <v>683</v>
      </c>
      <c r="D96" t="s">
        <v>684</v>
      </c>
      <c r="E96" t="s">
        <v>657</v>
      </c>
      <c r="F96" t="s">
        <v>658</v>
      </c>
      <c r="G96" s="2">
        <v>225000</v>
      </c>
    </row>
    <row r="97" spans="1:7" x14ac:dyDescent="0.25">
      <c r="A97" t="s">
        <v>2199</v>
      </c>
      <c r="B97" t="s">
        <v>374</v>
      </c>
      <c r="C97" t="s">
        <v>693</v>
      </c>
      <c r="D97" t="s">
        <v>694</v>
      </c>
      <c r="E97" t="s">
        <v>657</v>
      </c>
      <c r="F97" t="s">
        <v>658</v>
      </c>
      <c r="G97" s="2">
        <v>260000</v>
      </c>
    </row>
    <row r="98" spans="1:7" x14ac:dyDescent="0.25">
      <c r="A98" t="s">
        <v>2199</v>
      </c>
      <c r="B98" t="s">
        <v>374</v>
      </c>
      <c r="C98" t="s">
        <v>699</v>
      </c>
      <c r="D98" t="s">
        <v>700</v>
      </c>
      <c r="E98" t="s">
        <v>657</v>
      </c>
      <c r="F98" t="s">
        <v>658</v>
      </c>
      <c r="G98" s="2">
        <v>900000</v>
      </c>
    </row>
    <row r="99" spans="1:7" x14ac:dyDescent="0.25">
      <c r="A99" t="s">
        <v>2199</v>
      </c>
      <c r="B99" t="s">
        <v>374</v>
      </c>
      <c r="C99" t="s">
        <v>702</v>
      </c>
      <c r="D99" t="s">
        <v>703</v>
      </c>
      <c r="E99" t="s">
        <v>657</v>
      </c>
      <c r="F99" t="s">
        <v>658</v>
      </c>
      <c r="G99" s="2">
        <v>625000</v>
      </c>
    </row>
    <row r="100" spans="1:7" x14ac:dyDescent="0.25">
      <c r="A100" t="s">
        <v>2199</v>
      </c>
      <c r="B100" t="s">
        <v>374</v>
      </c>
      <c r="C100" t="s">
        <v>709</v>
      </c>
      <c r="D100" t="s">
        <v>710</v>
      </c>
      <c r="E100" t="s">
        <v>590</v>
      </c>
      <c r="F100" t="s">
        <v>591</v>
      </c>
      <c r="G100" s="2">
        <v>150000</v>
      </c>
    </row>
    <row r="101" spans="1:7" x14ac:dyDescent="0.25">
      <c r="A101" t="s">
        <v>2199</v>
      </c>
      <c r="B101" t="s">
        <v>374</v>
      </c>
      <c r="C101" t="s">
        <v>737</v>
      </c>
      <c r="D101" t="s">
        <v>738</v>
      </c>
      <c r="E101" t="s">
        <v>657</v>
      </c>
      <c r="F101" t="s">
        <v>658</v>
      </c>
      <c r="G101" s="2">
        <v>2772880</v>
      </c>
    </row>
    <row r="102" spans="1:7" x14ac:dyDescent="0.25">
      <c r="A102" t="s">
        <v>2199</v>
      </c>
      <c r="B102" t="s">
        <v>374</v>
      </c>
      <c r="C102" t="s">
        <v>741</v>
      </c>
      <c r="D102" t="s">
        <v>742</v>
      </c>
      <c r="E102" t="s">
        <v>657</v>
      </c>
      <c r="F102" t="s">
        <v>658</v>
      </c>
      <c r="G102" s="2">
        <v>1468231</v>
      </c>
    </row>
    <row r="103" spans="1:7" x14ac:dyDescent="0.25">
      <c r="A103" t="s">
        <v>2199</v>
      </c>
      <c r="B103" t="s">
        <v>374</v>
      </c>
      <c r="C103" t="s">
        <v>749</v>
      </c>
      <c r="D103" t="s">
        <v>750</v>
      </c>
      <c r="E103" t="s">
        <v>657</v>
      </c>
      <c r="F103" t="s">
        <v>658</v>
      </c>
      <c r="G103" s="2">
        <v>350000</v>
      </c>
    </row>
    <row r="104" spans="1:7" x14ac:dyDescent="0.25">
      <c r="A104" t="s">
        <v>2199</v>
      </c>
      <c r="B104" t="s">
        <v>374</v>
      </c>
      <c r="C104" t="s">
        <v>753</v>
      </c>
      <c r="D104" t="s">
        <v>754</v>
      </c>
      <c r="E104" t="s">
        <v>657</v>
      </c>
      <c r="F104" t="s">
        <v>658</v>
      </c>
      <c r="G104" s="2">
        <v>1287890</v>
      </c>
    </row>
    <row r="105" spans="1:7" x14ac:dyDescent="0.25">
      <c r="A105" t="s">
        <v>2199</v>
      </c>
      <c r="B105" t="s">
        <v>374</v>
      </c>
      <c r="C105" t="s">
        <v>765</v>
      </c>
      <c r="D105" t="s">
        <v>766</v>
      </c>
      <c r="E105" t="s">
        <v>768</v>
      </c>
      <c r="F105" t="s">
        <v>386</v>
      </c>
      <c r="G105" s="2">
        <v>283834</v>
      </c>
    </row>
    <row r="106" spans="1:7" x14ac:dyDescent="0.25">
      <c r="A106" t="s">
        <v>2199</v>
      </c>
      <c r="B106" t="s">
        <v>374</v>
      </c>
      <c r="C106" t="s">
        <v>782</v>
      </c>
      <c r="D106" t="s">
        <v>784</v>
      </c>
      <c r="E106" t="s">
        <v>768</v>
      </c>
      <c r="F106" t="s">
        <v>386</v>
      </c>
      <c r="G106" s="2">
        <v>266424</v>
      </c>
    </row>
    <row r="107" spans="1:7" x14ac:dyDescent="0.25">
      <c r="A107" t="s">
        <v>2199</v>
      </c>
      <c r="B107" t="s">
        <v>374</v>
      </c>
      <c r="C107" t="s">
        <v>794</v>
      </c>
      <c r="D107" t="s">
        <v>795</v>
      </c>
      <c r="E107" t="s">
        <v>768</v>
      </c>
      <c r="F107" t="s">
        <v>386</v>
      </c>
      <c r="G107" s="2">
        <v>503080</v>
      </c>
    </row>
    <row r="108" spans="1:7" x14ac:dyDescent="0.25">
      <c r="A108" t="s">
        <v>2199</v>
      </c>
      <c r="B108" t="s">
        <v>374</v>
      </c>
      <c r="C108" t="s">
        <v>799</v>
      </c>
      <c r="D108" t="s">
        <v>801</v>
      </c>
      <c r="E108" t="s">
        <v>768</v>
      </c>
      <c r="F108" t="s">
        <v>386</v>
      </c>
      <c r="G108" s="2">
        <v>85670</v>
      </c>
    </row>
    <row r="109" spans="1:7" x14ac:dyDescent="0.25">
      <c r="A109" t="s">
        <v>2199</v>
      </c>
      <c r="B109" t="s">
        <v>374</v>
      </c>
      <c r="C109" t="s">
        <v>822</v>
      </c>
      <c r="D109" t="s">
        <v>823</v>
      </c>
      <c r="E109" t="s">
        <v>768</v>
      </c>
      <c r="F109" t="s">
        <v>386</v>
      </c>
      <c r="G109" s="2">
        <v>450012</v>
      </c>
    </row>
    <row r="110" spans="1:7" x14ac:dyDescent="0.25">
      <c r="A110" t="s">
        <v>2199</v>
      </c>
      <c r="B110" t="s">
        <v>374</v>
      </c>
      <c r="C110" t="s">
        <v>841</v>
      </c>
      <c r="D110" t="s">
        <v>843</v>
      </c>
      <c r="E110" t="s">
        <v>768</v>
      </c>
      <c r="F110" t="s">
        <v>386</v>
      </c>
      <c r="G110" s="2">
        <v>150000</v>
      </c>
    </row>
    <row r="111" spans="1:7" x14ac:dyDescent="0.25">
      <c r="A111" t="s">
        <v>2199</v>
      </c>
      <c r="B111" t="s">
        <v>374</v>
      </c>
      <c r="C111" t="s">
        <v>847</v>
      </c>
      <c r="D111" t="s">
        <v>848</v>
      </c>
      <c r="E111" t="s">
        <v>768</v>
      </c>
      <c r="F111" t="s">
        <v>386</v>
      </c>
      <c r="G111" s="2">
        <v>72793</v>
      </c>
    </row>
    <row r="112" spans="1:7" x14ac:dyDescent="0.25">
      <c r="A112" t="s">
        <v>2199</v>
      </c>
      <c r="B112" t="s">
        <v>374</v>
      </c>
      <c r="C112" t="s">
        <v>851</v>
      </c>
      <c r="D112" t="s">
        <v>852</v>
      </c>
      <c r="E112" t="s">
        <v>768</v>
      </c>
      <c r="F112" t="s">
        <v>386</v>
      </c>
      <c r="G112" s="2">
        <v>589022</v>
      </c>
    </row>
    <row r="113" spans="1:7" x14ac:dyDescent="0.25">
      <c r="A113" t="s">
        <v>2199</v>
      </c>
      <c r="B113" t="s">
        <v>374</v>
      </c>
      <c r="C113" t="s">
        <v>856</v>
      </c>
      <c r="D113" t="s">
        <v>857</v>
      </c>
      <c r="E113" t="s">
        <v>768</v>
      </c>
      <c r="F113" t="s">
        <v>386</v>
      </c>
      <c r="G113" s="2">
        <v>300000</v>
      </c>
    </row>
    <row r="114" spans="1:7" x14ac:dyDescent="0.25">
      <c r="A114" t="s">
        <v>2199</v>
      </c>
      <c r="B114" t="s">
        <v>374</v>
      </c>
      <c r="C114" t="s">
        <v>915</v>
      </c>
      <c r="D114" t="s">
        <v>916</v>
      </c>
      <c r="E114" t="s">
        <v>768</v>
      </c>
      <c r="F114" t="s">
        <v>386</v>
      </c>
      <c r="G114" s="2">
        <v>399870</v>
      </c>
    </row>
    <row r="115" spans="1:7" x14ac:dyDescent="0.25">
      <c r="A115" t="s">
        <v>2199</v>
      </c>
      <c r="B115" t="s">
        <v>374</v>
      </c>
      <c r="C115" t="s">
        <v>919</v>
      </c>
      <c r="D115" t="s">
        <v>920</v>
      </c>
      <c r="E115" t="s">
        <v>768</v>
      </c>
      <c r="F115" t="s">
        <v>386</v>
      </c>
      <c r="G115" s="2">
        <v>159016</v>
      </c>
    </row>
    <row r="116" spans="1:7" x14ac:dyDescent="0.25">
      <c r="A116" t="s">
        <v>2199</v>
      </c>
      <c r="B116" t="s">
        <v>374</v>
      </c>
      <c r="C116" t="s">
        <v>927</v>
      </c>
      <c r="D116" t="s">
        <v>928</v>
      </c>
      <c r="E116" t="s">
        <v>768</v>
      </c>
      <c r="F116" t="s">
        <v>386</v>
      </c>
      <c r="G116" s="2">
        <v>1131791</v>
      </c>
    </row>
    <row r="117" spans="1:7" x14ac:dyDescent="0.25">
      <c r="A117" t="s">
        <v>2199</v>
      </c>
      <c r="B117" t="s">
        <v>374</v>
      </c>
      <c r="C117" t="s">
        <v>1030</v>
      </c>
      <c r="D117" t="s">
        <v>1032</v>
      </c>
      <c r="E117" t="s">
        <v>1035</v>
      </c>
      <c r="F117" t="s">
        <v>1036</v>
      </c>
      <c r="G117" s="2">
        <v>30400000</v>
      </c>
    </row>
    <row r="118" spans="1:7" x14ac:dyDescent="0.25">
      <c r="A118" t="s">
        <v>2199</v>
      </c>
      <c r="B118" t="s">
        <v>374</v>
      </c>
      <c r="C118" t="s">
        <v>1052</v>
      </c>
      <c r="D118" t="s">
        <v>1053</v>
      </c>
      <c r="E118" t="s">
        <v>768</v>
      </c>
      <c r="F118" t="s">
        <v>386</v>
      </c>
      <c r="G118" s="2">
        <v>211860</v>
      </c>
    </row>
    <row r="119" spans="1:7" x14ac:dyDescent="0.25">
      <c r="A119" t="s">
        <v>2199</v>
      </c>
      <c r="B119" t="s">
        <v>374</v>
      </c>
      <c r="C119" t="s">
        <v>1055</v>
      </c>
      <c r="D119" t="s">
        <v>1056</v>
      </c>
      <c r="E119" t="s">
        <v>768</v>
      </c>
      <c r="F119" t="s">
        <v>386</v>
      </c>
      <c r="G119" s="2">
        <v>263860</v>
      </c>
    </row>
    <row r="120" spans="1:7" x14ac:dyDescent="0.25">
      <c r="A120" t="s">
        <v>2199</v>
      </c>
      <c r="B120" t="s">
        <v>374</v>
      </c>
      <c r="C120" t="s">
        <v>1066</v>
      </c>
      <c r="D120" t="s">
        <v>1067</v>
      </c>
      <c r="E120" t="s">
        <v>790</v>
      </c>
      <c r="F120" t="s">
        <v>791</v>
      </c>
      <c r="G120" s="2">
        <v>1750000</v>
      </c>
    </row>
    <row r="121" spans="1:7" x14ac:dyDescent="0.25">
      <c r="A121" t="s">
        <v>2199</v>
      </c>
      <c r="B121" t="s">
        <v>374</v>
      </c>
      <c r="C121" t="s">
        <v>1143</v>
      </c>
      <c r="D121" t="s">
        <v>1144</v>
      </c>
      <c r="E121" t="s">
        <v>768</v>
      </c>
      <c r="F121" t="s">
        <v>386</v>
      </c>
      <c r="G121" s="2">
        <v>249504</v>
      </c>
    </row>
    <row r="122" spans="1:7" x14ac:dyDescent="0.25">
      <c r="A122" t="s">
        <v>2199</v>
      </c>
      <c r="B122" t="s">
        <v>374</v>
      </c>
      <c r="C122" t="s">
        <v>1149</v>
      </c>
      <c r="D122" t="s">
        <v>1150</v>
      </c>
      <c r="E122" t="s">
        <v>1152</v>
      </c>
      <c r="F122" t="s">
        <v>1153</v>
      </c>
      <c r="G122" s="2">
        <v>672240</v>
      </c>
    </row>
    <row r="123" spans="1:7" x14ac:dyDescent="0.25">
      <c r="A123" t="s">
        <v>2199</v>
      </c>
      <c r="B123" t="s">
        <v>374</v>
      </c>
      <c r="C123" t="s">
        <v>1171</v>
      </c>
      <c r="D123" t="s">
        <v>1172</v>
      </c>
      <c r="E123" t="s">
        <v>1152</v>
      </c>
      <c r="F123" t="s">
        <v>1153</v>
      </c>
      <c r="G123" s="2">
        <v>2975561</v>
      </c>
    </row>
    <row r="124" spans="1:7" x14ac:dyDescent="0.25">
      <c r="A124" t="s">
        <v>2199</v>
      </c>
      <c r="B124" t="s">
        <v>374</v>
      </c>
      <c r="C124" t="s">
        <v>1193</v>
      </c>
      <c r="D124" t="s">
        <v>1194</v>
      </c>
      <c r="E124" t="s">
        <v>733</v>
      </c>
      <c r="F124" t="s">
        <v>734</v>
      </c>
      <c r="G124" s="2">
        <v>1500000</v>
      </c>
    </row>
    <row r="125" spans="1:7" x14ac:dyDescent="0.25">
      <c r="A125" t="s">
        <v>2199</v>
      </c>
      <c r="B125" t="s">
        <v>374</v>
      </c>
      <c r="C125" t="s">
        <v>1264</v>
      </c>
      <c r="D125" t="s">
        <v>1266</v>
      </c>
      <c r="E125" t="s">
        <v>768</v>
      </c>
      <c r="F125" t="s">
        <v>386</v>
      </c>
      <c r="G125" s="2">
        <v>277131</v>
      </c>
    </row>
    <row r="126" spans="1:7" x14ac:dyDescent="0.25">
      <c r="A126" t="s">
        <v>2199</v>
      </c>
      <c r="B126" t="s">
        <v>28</v>
      </c>
      <c r="C126" t="s">
        <v>619</v>
      </c>
      <c r="D126" t="s">
        <v>621</v>
      </c>
      <c r="E126" t="s">
        <v>624</v>
      </c>
      <c r="F126" t="s">
        <v>625</v>
      </c>
      <c r="G126" s="2">
        <v>1250000</v>
      </c>
    </row>
    <row r="127" spans="1:7" x14ac:dyDescent="0.25">
      <c r="A127" t="s">
        <v>2199</v>
      </c>
      <c r="B127" t="s">
        <v>28</v>
      </c>
      <c r="C127" t="s">
        <v>628</v>
      </c>
      <c r="D127" t="s">
        <v>629</v>
      </c>
      <c r="E127" t="s">
        <v>624</v>
      </c>
      <c r="F127" t="s">
        <v>625</v>
      </c>
      <c r="G127" s="2">
        <v>300000</v>
      </c>
    </row>
    <row r="128" spans="1:7" x14ac:dyDescent="0.25">
      <c r="A128" t="s">
        <v>2199</v>
      </c>
      <c r="B128" t="s">
        <v>28</v>
      </c>
      <c r="C128" t="s">
        <v>632</v>
      </c>
      <c r="D128" t="s">
        <v>634</v>
      </c>
      <c r="E128" t="s">
        <v>624</v>
      </c>
      <c r="F128" t="s">
        <v>625</v>
      </c>
      <c r="G128" s="2">
        <v>1320000</v>
      </c>
    </row>
    <row r="129" spans="1:7" x14ac:dyDescent="0.25">
      <c r="A129" t="s">
        <v>2199</v>
      </c>
      <c r="B129" t="s">
        <v>28</v>
      </c>
      <c r="C129" t="s">
        <v>637</v>
      </c>
      <c r="D129" t="s">
        <v>638</v>
      </c>
      <c r="E129" t="s">
        <v>640</v>
      </c>
      <c r="F129" t="s">
        <v>641</v>
      </c>
      <c r="G129" s="2">
        <v>2000700</v>
      </c>
    </row>
    <row r="130" spans="1:7" x14ac:dyDescent="0.25">
      <c r="A130" t="s">
        <v>2199</v>
      </c>
      <c r="B130" t="s">
        <v>28</v>
      </c>
      <c r="C130" t="s">
        <v>644</v>
      </c>
      <c r="D130" t="s">
        <v>646</v>
      </c>
      <c r="E130" t="s">
        <v>640</v>
      </c>
      <c r="F130" t="s">
        <v>641</v>
      </c>
      <c r="G130" s="2">
        <v>1510005</v>
      </c>
    </row>
    <row r="131" spans="1:7" x14ac:dyDescent="0.25">
      <c r="A131" t="s">
        <v>2199</v>
      </c>
      <c r="B131" t="s">
        <v>28</v>
      </c>
      <c r="C131" t="s">
        <v>649</v>
      </c>
      <c r="D131" t="s">
        <v>650</v>
      </c>
      <c r="E131" t="s">
        <v>640</v>
      </c>
      <c r="F131" t="s">
        <v>641</v>
      </c>
      <c r="G131" s="2">
        <v>872500</v>
      </c>
    </row>
    <row r="132" spans="1:7" x14ac:dyDescent="0.25">
      <c r="A132" t="s">
        <v>2199</v>
      </c>
      <c r="B132" t="s">
        <v>28</v>
      </c>
      <c r="C132" t="s">
        <v>653</v>
      </c>
      <c r="D132" t="s">
        <v>655</v>
      </c>
      <c r="E132" t="s">
        <v>657</v>
      </c>
      <c r="F132" t="s">
        <v>658</v>
      </c>
      <c r="G132" s="2">
        <v>540000</v>
      </c>
    </row>
    <row r="133" spans="1:7" x14ac:dyDescent="0.25">
      <c r="A133" t="s">
        <v>2199</v>
      </c>
      <c r="B133" t="s">
        <v>28</v>
      </c>
      <c r="C133" t="s">
        <v>661</v>
      </c>
      <c r="D133" t="s">
        <v>662</v>
      </c>
      <c r="E133" t="s">
        <v>657</v>
      </c>
      <c r="F133" t="s">
        <v>658</v>
      </c>
      <c r="G133" s="2">
        <v>1080000</v>
      </c>
    </row>
    <row r="134" spans="1:7" x14ac:dyDescent="0.25">
      <c r="A134" t="s">
        <v>2199</v>
      </c>
      <c r="B134" t="s">
        <v>28</v>
      </c>
      <c r="C134" t="s">
        <v>665</v>
      </c>
      <c r="D134" t="s">
        <v>667</v>
      </c>
      <c r="E134" t="s">
        <v>657</v>
      </c>
      <c r="F134" t="s">
        <v>658</v>
      </c>
      <c r="G134" s="2">
        <v>1500000</v>
      </c>
    </row>
    <row r="135" spans="1:7" x14ac:dyDescent="0.25">
      <c r="A135" t="s">
        <v>2199</v>
      </c>
      <c r="B135" t="s">
        <v>28</v>
      </c>
      <c r="C135" t="s">
        <v>670</v>
      </c>
      <c r="D135" t="s">
        <v>671</v>
      </c>
      <c r="E135" t="s">
        <v>657</v>
      </c>
      <c r="F135" t="s">
        <v>658</v>
      </c>
      <c r="G135" s="2">
        <v>850000</v>
      </c>
    </row>
    <row r="136" spans="1:7" x14ac:dyDescent="0.25">
      <c r="A136" t="s">
        <v>2199</v>
      </c>
      <c r="B136" t="s">
        <v>28</v>
      </c>
      <c r="C136" t="s">
        <v>674</v>
      </c>
      <c r="D136" t="s">
        <v>675</v>
      </c>
      <c r="E136" t="s">
        <v>657</v>
      </c>
      <c r="F136" t="s">
        <v>658</v>
      </c>
      <c r="G136" s="2">
        <v>900000</v>
      </c>
    </row>
    <row r="137" spans="1:7" x14ac:dyDescent="0.25">
      <c r="A137" t="s">
        <v>2199</v>
      </c>
      <c r="B137" t="s">
        <v>28</v>
      </c>
      <c r="C137" t="s">
        <v>677</v>
      </c>
      <c r="D137" t="s">
        <v>678</v>
      </c>
      <c r="E137" t="s">
        <v>657</v>
      </c>
      <c r="F137" t="s">
        <v>658</v>
      </c>
      <c r="G137" s="2">
        <v>630000</v>
      </c>
    </row>
    <row r="138" spans="1:7" x14ac:dyDescent="0.25">
      <c r="A138" t="s">
        <v>2199</v>
      </c>
      <c r="B138" t="s">
        <v>28</v>
      </c>
      <c r="C138" t="s">
        <v>680</v>
      </c>
      <c r="D138" t="s">
        <v>681</v>
      </c>
      <c r="E138" t="s">
        <v>657</v>
      </c>
      <c r="F138" t="s">
        <v>658</v>
      </c>
      <c r="G138" s="2">
        <v>135000</v>
      </c>
    </row>
    <row r="139" spans="1:7" x14ac:dyDescent="0.25">
      <c r="A139" t="s">
        <v>2199</v>
      </c>
      <c r="B139" t="s">
        <v>28</v>
      </c>
      <c r="C139" t="s">
        <v>686</v>
      </c>
      <c r="D139" t="s">
        <v>687</v>
      </c>
      <c r="E139" t="s">
        <v>227</v>
      </c>
      <c r="F139" t="s">
        <v>480</v>
      </c>
      <c r="G139" s="2">
        <v>101193519</v>
      </c>
    </row>
    <row r="140" spans="1:7" x14ac:dyDescent="0.25">
      <c r="A140" t="s">
        <v>2199</v>
      </c>
      <c r="B140" t="s">
        <v>28</v>
      </c>
      <c r="C140" t="s">
        <v>696</v>
      </c>
      <c r="D140" t="s">
        <v>697</v>
      </c>
      <c r="E140" t="s">
        <v>657</v>
      </c>
      <c r="F140" t="s">
        <v>658</v>
      </c>
      <c r="G140" s="2">
        <v>675000</v>
      </c>
    </row>
    <row r="141" spans="1:7" x14ac:dyDescent="0.25">
      <c r="A141" t="s">
        <v>2199</v>
      </c>
      <c r="B141" t="s">
        <v>28</v>
      </c>
      <c r="C141" t="s">
        <v>706</v>
      </c>
      <c r="D141" t="s">
        <v>707</v>
      </c>
      <c r="E141" t="s">
        <v>590</v>
      </c>
      <c r="F141" t="s">
        <v>591</v>
      </c>
      <c r="G141" s="2">
        <v>190000</v>
      </c>
    </row>
    <row r="142" spans="1:7" x14ac:dyDescent="0.25">
      <c r="A142" t="s">
        <v>2199</v>
      </c>
      <c r="B142" t="s">
        <v>28</v>
      </c>
      <c r="C142" t="s">
        <v>713</v>
      </c>
      <c r="D142" t="s">
        <v>714</v>
      </c>
      <c r="E142" t="s">
        <v>227</v>
      </c>
      <c r="F142" t="s">
        <v>480</v>
      </c>
      <c r="G142" s="2">
        <v>49483210</v>
      </c>
    </row>
    <row r="143" spans="1:7" x14ac:dyDescent="0.25">
      <c r="A143" t="s">
        <v>2199</v>
      </c>
      <c r="B143" t="s">
        <v>28</v>
      </c>
      <c r="C143" t="s">
        <v>718</v>
      </c>
      <c r="D143" t="s">
        <v>719</v>
      </c>
      <c r="E143" t="s">
        <v>657</v>
      </c>
      <c r="F143" t="s">
        <v>658</v>
      </c>
      <c r="G143" s="2">
        <v>430010</v>
      </c>
    </row>
    <row r="144" spans="1:7" x14ac:dyDescent="0.25">
      <c r="A144" t="s">
        <v>2199</v>
      </c>
      <c r="B144" t="s">
        <v>28</v>
      </c>
      <c r="C144" t="s">
        <v>721</v>
      </c>
      <c r="D144" t="s">
        <v>722</v>
      </c>
      <c r="E144" t="s">
        <v>227</v>
      </c>
      <c r="F144" t="s">
        <v>480</v>
      </c>
      <c r="G144" s="2">
        <v>247689000</v>
      </c>
    </row>
    <row r="145" spans="1:7" x14ac:dyDescent="0.25">
      <c r="A145" t="s">
        <v>2199</v>
      </c>
      <c r="B145" t="s">
        <v>28</v>
      </c>
      <c r="C145" t="s">
        <v>724</v>
      </c>
      <c r="D145" t="s">
        <v>726</v>
      </c>
      <c r="E145" t="s">
        <v>657</v>
      </c>
      <c r="F145" t="s">
        <v>658</v>
      </c>
      <c r="G145" s="2">
        <v>990002</v>
      </c>
    </row>
    <row r="146" spans="1:7" x14ac:dyDescent="0.25">
      <c r="A146" t="s">
        <v>2199</v>
      </c>
      <c r="B146" t="s">
        <v>28</v>
      </c>
      <c r="C146" t="s">
        <v>729</v>
      </c>
      <c r="D146" t="s">
        <v>731</v>
      </c>
      <c r="E146" t="s">
        <v>733</v>
      </c>
      <c r="F146" t="s">
        <v>734</v>
      </c>
      <c r="G146" s="2">
        <v>1352694</v>
      </c>
    </row>
    <row r="147" spans="1:7" x14ac:dyDescent="0.25">
      <c r="A147" t="s">
        <v>2199</v>
      </c>
      <c r="B147" t="s">
        <v>28</v>
      </c>
      <c r="C147" t="s">
        <v>744</v>
      </c>
      <c r="D147" t="s">
        <v>746</v>
      </c>
      <c r="E147" t="s">
        <v>657</v>
      </c>
      <c r="F147" t="s">
        <v>658</v>
      </c>
      <c r="G147" s="2">
        <v>300000</v>
      </c>
    </row>
    <row r="148" spans="1:7" x14ac:dyDescent="0.25">
      <c r="A148" t="s">
        <v>2199</v>
      </c>
      <c r="B148" t="s">
        <v>28</v>
      </c>
      <c r="C148" t="s">
        <v>756</v>
      </c>
      <c r="D148" t="s">
        <v>758</v>
      </c>
      <c r="E148" t="s">
        <v>761</v>
      </c>
      <c r="F148" t="s">
        <v>762</v>
      </c>
      <c r="G148" s="2">
        <v>800000</v>
      </c>
    </row>
    <row r="149" spans="1:7" x14ac:dyDescent="0.25">
      <c r="A149" t="s">
        <v>2199</v>
      </c>
      <c r="B149" t="s">
        <v>28</v>
      </c>
      <c r="C149" t="s">
        <v>773</v>
      </c>
      <c r="D149" t="s">
        <v>774</v>
      </c>
      <c r="E149" t="s">
        <v>768</v>
      </c>
      <c r="F149" t="s">
        <v>386</v>
      </c>
      <c r="G149" s="2">
        <v>1166048</v>
      </c>
    </row>
    <row r="150" spans="1:7" x14ac:dyDescent="0.25">
      <c r="A150" t="s">
        <v>2199</v>
      </c>
      <c r="B150" t="s">
        <v>28</v>
      </c>
      <c r="C150" t="s">
        <v>787</v>
      </c>
      <c r="D150" t="s">
        <v>788</v>
      </c>
      <c r="E150" t="s">
        <v>790</v>
      </c>
      <c r="F150" t="s">
        <v>791</v>
      </c>
      <c r="G150" s="2">
        <v>1007461</v>
      </c>
    </row>
    <row r="151" spans="1:7" x14ac:dyDescent="0.25">
      <c r="A151" t="s">
        <v>2199</v>
      </c>
      <c r="B151" t="s">
        <v>28</v>
      </c>
      <c r="C151" t="s">
        <v>811</v>
      </c>
      <c r="D151" t="s">
        <v>813</v>
      </c>
      <c r="E151" t="s">
        <v>790</v>
      </c>
      <c r="F151" t="s">
        <v>791</v>
      </c>
      <c r="G151" s="2">
        <v>400000</v>
      </c>
    </row>
    <row r="152" spans="1:7" x14ac:dyDescent="0.25">
      <c r="A152" t="s">
        <v>2199</v>
      </c>
      <c r="B152" t="s">
        <v>28</v>
      </c>
      <c r="C152" t="s">
        <v>816</v>
      </c>
      <c r="D152" t="s">
        <v>817</v>
      </c>
      <c r="E152" t="s">
        <v>768</v>
      </c>
      <c r="F152" t="s">
        <v>386</v>
      </c>
      <c r="G152" s="2">
        <v>5204058</v>
      </c>
    </row>
    <row r="153" spans="1:7" x14ac:dyDescent="0.25">
      <c r="A153" t="s">
        <v>2199</v>
      </c>
      <c r="B153" t="s">
        <v>28</v>
      </c>
      <c r="C153" t="s">
        <v>827</v>
      </c>
      <c r="D153" t="s">
        <v>828</v>
      </c>
      <c r="E153" t="s">
        <v>761</v>
      </c>
      <c r="F153" t="s">
        <v>762</v>
      </c>
      <c r="G153" s="2">
        <v>1697066</v>
      </c>
    </row>
    <row r="154" spans="1:7" x14ac:dyDescent="0.25">
      <c r="A154" t="s">
        <v>2199</v>
      </c>
      <c r="B154" t="s">
        <v>28</v>
      </c>
      <c r="C154" t="s">
        <v>834</v>
      </c>
      <c r="D154" t="s">
        <v>835</v>
      </c>
      <c r="E154" t="s">
        <v>790</v>
      </c>
      <c r="F154" t="s">
        <v>791</v>
      </c>
      <c r="G154" s="2">
        <v>400000</v>
      </c>
    </row>
    <row r="155" spans="1:7" x14ac:dyDescent="0.25">
      <c r="A155" t="s">
        <v>2199</v>
      </c>
      <c r="B155" t="s">
        <v>28</v>
      </c>
      <c r="C155" t="s">
        <v>837</v>
      </c>
      <c r="D155" t="s">
        <v>838</v>
      </c>
      <c r="E155" t="s">
        <v>768</v>
      </c>
      <c r="F155" t="s">
        <v>386</v>
      </c>
      <c r="G155" s="2">
        <v>130000</v>
      </c>
    </row>
    <row r="156" spans="1:7" x14ac:dyDescent="0.25">
      <c r="A156" t="s">
        <v>2199</v>
      </c>
      <c r="B156" t="s">
        <v>28</v>
      </c>
      <c r="C156" t="s">
        <v>860</v>
      </c>
      <c r="D156" t="s">
        <v>861</v>
      </c>
      <c r="E156" t="s">
        <v>864</v>
      </c>
      <c r="F156" t="s">
        <v>865</v>
      </c>
      <c r="G156" s="2">
        <v>370107</v>
      </c>
    </row>
    <row r="157" spans="1:7" x14ac:dyDescent="0.25">
      <c r="A157" t="s">
        <v>2199</v>
      </c>
      <c r="B157" t="s">
        <v>28</v>
      </c>
      <c r="C157" t="s">
        <v>868</v>
      </c>
      <c r="D157" t="s">
        <v>869</v>
      </c>
      <c r="E157" t="s">
        <v>624</v>
      </c>
      <c r="F157" t="s">
        <v>625</v>
      </c>
      <c r="G157" s="2">
        <v>3000000</v>
      </c>
    </row>
    <row r="158" spans="1:7" x14ac:dyDescent="0.25">
      <c r="A158" t="s">
        <v>2199</v>
      </c>
      <c r="B158" t="s">
        <v>28</v>
      </c>
      <c r="C158" t="s">
        <v>871</v>
      </c>
      <c r="D158" t="s">
        <v>872</v>
      </c>
      <c r="E158" t="s">
        <v>761</v>
      </c>
      <c r="F158" t="s">
        <v>762</v>
      </c>
      <c r="G158" s="2">
        <v>472004</v>
      </c>
    </row>
    <row r="159" spans="1:7" x14ac:dyDescent="0.25">
      <c r="A159" t="s">
        <v>2199</v>
      </c>
      <c r="B159" t="s">
        <v>28</v>
      </c>
      <c r="C159" t="s">
        <v>875</v>
      </c>
      <c r="D159" t="s">
        <v>876</v>
      </c>
      <c r="E159" t="s">
        <v>761</v>
      </c>
      <c r="F159" t="s">
        <v>762</v>
      </c>
      <c r="G159" s="2">
        <v>600000</v>
      </c>
    </row>
    <row r="160" spans="1:7" x14ac:dyDescent="0.25">
      <c r="A160" t="s">
        <v>2199</v>
      </c>
      <c r="B160" t="s">
        <v>28</v>
      </c>
      <c r="C160" t="s">
        <v>879</v>
      </c>
      <c r="D160" t="s">
        <v>880</v>
      </c>
      <c r="E160" t="s">
        <v>761</v>
      </c>
      <c r="F160" t="s">
        <v>762</v>
      </c>
      <c r="G160" s="2">
        <v>6100024</v>
      </c>
    </row>
    <row r="161" spans="1:7" x14ac:dyDescent="0.25">
      <c r="A161" t="s">
        <v>2199</v>
      </c>
      <c r="B161" t="s">
        <v>28</v>
      </c>
      <c r="C161" t="s">
        <v>884</v>
      </c>
      <c r="D161" t="s">
        <v>885</v>
      </c>
      <c r="E161" t="s">
        <v>761</v>
      </c>
      <c r="F161" t="s">
        <v>762</v>
      </c>
      <c r="G161" s="2">
        <v>2730006</v>
      </c>
    </row>
    <row r="162" spans="1:7" x14ac:dyDescent="0.25">
      <c r="A162" t="s">
        <v>2199</v>
      </c>
      <c r="B162" t="s">
        <v>28</v>
      </c>
      <c r="C162" t="s">
        <v>888</v>
      </c>
      <c r="D162" t="s">
        <v>889</v>
      </c>
      <c r="E162" t="s">
        <v>309</v>
      </c>
      <c r="F162" t="s">
        <v>893</v>
      </c>
      <c r="G162" s="2">
        <v>31250000</v>
      </c>
    </row>
    <row r="163" spans="1:7" x14ac:dyDescent="0.25">
      <c r="A163" t="s">
        <v>2199</v>
      </c>
      <c r="B163" t="s">
        <v>28</v>
      </c>
      <c r="C163" t="s">
        <v>895</v>
      </c>
      <c r="D163" t="s">
        <v>896</v>
      </c>
      <c r="E163" t="s">
        <v>899</v>
      </c>
      <c r="F163" t="s">
        <v>900</v>
      </c>
      <c r="G163" s="2">
        <v>200000</v>
      </c>
    </row>
    <row r="164" spans="1:7" x14ac:dyDescent="0.25">
      <c r="A164" t="s">
        <v>2199</v>
      </c>
      <c r="B164" t="s">
        <v>28</v>
      </c>
      <c r="C164" t="s">
        <v>903</v>
      </c>
      <c r="D164" t="s">
        <v>904</v>
      </c>
      <c r="E164" t="s">
        <v>906</v>
      </c>
      <c r="F164" t="s">
        <v>907</v>
      </c>
      <c r="G164" s="2">
        <v>46677001</v>
      </c>
    </row>
    <row r="165" spans="1:7" x14ac:dyDescent="0.25">
      <c r="A165" t="s">
        <v>2199</v>
      </c>
      <c r="B165" t="s">
        <v>28</v>
      </c>
      <c r="C165" t="s">
        <v>922</v>
      </c>
      <c r="D165" t="s">
        <v>923</v>
      </c>
      <c r="E165" t="s">
        <v>926</v>
      </c>
      <c r="F165" t="s">
        <v>893</v>
      </c>
      <c r="G165" s="2">
        <v>23333328</v>
      </c>
    </row>
    <row r="166" spans="1:7" x14ac:dyDescent="0.25">
      <c r="A166" t="s">
        <v>2199</v>
      </c>
      <c r="B166" t="s">
        <v>28</v>
      </c>
      <c r="C166" t="s">
        <v>930</v>
      </c>
      <c r="D166" t="s">
        <v>931</v>
      </c>
      <c r="E166" t="s">
        <v>934</v>
      </c>
      <c r="F166" t="s">
        <v>935</v>
      </c>
      <c r="G166" s="2">
        <v>681264</v>
      </c>
    </row>
    <row r="167" spans="1:7" x14ac:dyDescent="0.25">
      <c r="A167" t="s">
        <v>2199</v>
      </c>
      <c r="B167" t="s">
        <v>28</v>
      </c>
      <c r="C167" t="s">
        <v>938</v>
      </c>
      <c r="D167" t="s">
        <v>939</v>
      </c>
      <c r="E167" t="s">
        <v>942</v>
      </c>
      <c r="F167" t="s">
        <v>943</v>
      </c>
      <c r="G167" s="2">
        <v>12003336</v>
      </c>
    </row>
    <row r="168" spans="1:7" x14ac:dyDescent="0.25">
      <c r="A168" t="s">
        <v>2199</v>
      </c>
      <c r="B168" t="s">
        <v>28</v>
      </c>
      <c r="C168" t="s">
        <v>947</v>
      </c>
      <c r="D168" t="s">
        <v>948</v>
      </c>
      <c r="E168" t="s">
        <v>950</v>
      </c>
      <c r="F168" t="s">
        <v>951</v>
      </c>
      <c r="G168" s="2">
        <v>557936</v>
      </c>
    </row>
    <row r="169" spans="1:7" x14ac:dyDescent="0.25">
      <c r="A169" t="s">
        <v>2199</v>
      </c>
      <c r="B169" t="s">
        <v>28</v>
      </c>
      <c r="C169" t="s">
        <v>954</v>
      </c>
      <c r="D169" t="s">
        <v>955</v>
      </c>
      <c r="E169" t="s">
        <v>958</v>
      </c>
      <c r="F169" t="s">
        <v>959</v>
      </c>
      <c r="G169" s="2">
        <v>675200</v>
      </c>
    </row>
    <row r="170" spans="1:7" x14ac:dyDescent="0.25">
      <c r="A170" t="s">
        <v>2199</v>
      </c>
      <c r="B170" t="s">
        <v>28</v>
      </c>
      <c r="C170" t="s">
        <v>963</v>
      </c>
      <c r="D170" t="s">
        <v>964</v>
      </c>
      <c r="E170" t="s">
        <v>768</v>
      </c>
      <c r="F170" t="s">
        <v>966</v>
      </c>
      <c r="G170" s="2">
        <v>700002</v>
      </c>
    </row>
    <row r="171" spans="1:7" x14ac:dyDescent="0.25">
      <c r="A171" t="s">
        <v>2199</v>
      </c>
      <c r="B171" t="s">
        <v>28</v>
      </c>
      <c r="C171" t="s">
        <v>969</v>
      </c>
      <c r="D171" t="s">
        <v>970</v>
      </c>
      <c r="E171" t="s">
        <v>768</v>
      </c>
      <c r="F171" t="s">
        <v>966</v>
      </c>
      <c r="G171" s="2">
        <v>7000008</v>
      </c>
    </row>
    <row r="172" spans="1:7" x14ac:dyDescent="0.25">
      <c r="A172" t="s">
        <v>2199</v>
      </c>
      <c r="B172" t="s">
        <v>28</v>
      </c>
      <c r="C172" t="s">
        <v>972</v>
      </c>
      <c r="D172" t="s">
        <v>973</v>
      </c>
      <c r="E172" t="s">
        <v>768</v>
      </c>
      <c r="F172" t="s">
        <v>966</v>
      </c>
      <c r="G172" s="2">
        <v>800000</v>
      </c>
    </row>
    <row r="173" spans="1:7" x14ac:dyDescent="0.25">
      <c r="A173" t="s">
        <v>2199</v>
      </c>
      <c r="B173" t="s">
        <v>28</v>
      </c>
      <c r="C173" t="s">
        <v>975</v>
      </c>
      <c r="D173" t="s">
        <v>976</v>
      </c>
      <c r="E173" t="s">
        <v>768</v>
      </c>
      <c r="F173" t="s">
        <v>966</v>
      </c>
      <c r="G173" s="2">
        <v>3500000</v>
      </c>
    </row>
    <row r="174" spans="1:7" x14ac:dyDescent="0.25">
      <c r="A174" t="s">
        <v>2199</v>
      </c>
      <c r="B174" t="s">
        <v>28</v>
      </c>
      <c r="C174" t="s">
        <v>978</v>
      </c>
      <c r="D174" t="s">
        <v>979</v>
      </c>
      <c r="E174" t="s">
        <v>768</v>
      </c>
      <c r="F174" t="s">
        <v>966</v>
      </c>
      <c r="G174" s="2">
        <v>2000000</v>
      </c>
    </row>
    <row r="175" spans="1:7" x14ac:dyDescent="0.25">
      <c r="A175" t="s">
        <v>2199</v>
      </c>
      <c r="B175" t="s">
        <v>28</v>
      </c>
      <c r="C175" t="s">
        <v>981</v>
      </c>
      <c r="D175" t="s">
        <v>982</v>
      </c>
      <c r="E175" t="s">
        <v>768</v>
      </c>
      <c r="F175" t="s">
        <v>966</v>
      </c>
      <c r="G175" s="2">
        <v>800004</v>
      </c>
    </row>
    <row r="176" spans="1:7" x14ac:dyDescent="0.25">
      <c r="A176" t="s">
        <v>2199</v>
      </c>
      <c r="B176" t="s">
        <v>28</v>
      </c>
      <c r="C176" t="s">
        <v>984</v>
      </c>
      <c r="D176" t="s">
        <v>985</v>
      </c>
      <c r="E176" t="s">
        <v>768</v>
      </c>
      <c r="F176" t="s">
        <v>966</v>
      </c>
      <c r="G176" s="2">
        <v>600000</v>
      </c>
    </row>
    <row r="177" spans="1:7" x14ac:dyDescent="0.25">
      <c r="A177" t="s">
        <v>2199</v>
      </c>
      <c r="B177" t="s">
        <v>28</v>
      </c>
      <c r="C177" t="s">
        <v>987</v>
      </c>
      <c r="D177" t="s">
        <v>988</v>
      </c>
      <c r="E177" t="s">
        <v>768</v>
      </c>
      <c r="F177" t="s">
        <v>966</v>
      </c>
      <c r="G177" s="2">
        <v>4000000</v>
      </c>
    </row>
    <row r="178" spans="1:7" x14ac:dyDescent="0.25">
      <c r="A178" t="s">
        <v>2199</v>
      </c>
      <c r="B178" t="s">
        <v>28</v>
      </c>
      <c r="C178" t="s">
        <v>990</v>
      </c>
      <c r="D178" t="s">
        <v>991</v>
      </c>
      <c r="E178" t="s">
        <v>768</v>
      </c>
      <c r="F178" t="s">
        <v>966</v>
      </c>
      <c r="G178" s="2">
        <v>5500000</v>
      </c>
    </row>
    <row r="179" spans="1:7" x14ac:dyDescent="0.25">
      <c r="A179" t="s">
        <v>2199</v>
      </c>
      <c r="B179" t="s">
        <v>28</v>
      </c>
      <c r="C179" t="s">
        <v>993</v>
      </c>
      <c r="D179" t="s">
        <v>994</v>
      </c>
      <c r="E179" t="s">
        <v>768</v>
      </c>
      <c r="F179" t="s">
        <v>966</v>
      </c>
      <c r="G179" s="2">
        <v>3000000</v>
      </c>
    </row>
    <row r="180" spans="1:7" x14ac:dyDescent="0.25">
      <c r="A180" t="s">
        <v>2199</v>
      </c>
      <c r="B180" t="s">
        <v>28</v>
      </c>
      <c r="C180" t="s">
        <v>996</v>
      </c>
      <c r="D180" t="s">
        <v>997</v>
      </c>
      <c r="E180" t="s">
        <v>934</v>
      </c>
      <c r="F180" t="s">
        <v>935</v>
      </c>
      <c r="G180" s="2">
        <v>60000</v>
      </c>
    </row>
    <row r="181" spans="1:7" x14ac:dyDescent="0.25">
      <c r="A181" t="s">
        <v>2199</v>
      </c>
      <c r="B181" t="s">
        <v>28</v>
      </c>
      <c r="C181" t="s">
        <v>1000</v>
      </c>
      <c r="D181" t="s">
        <v>1001</v>
      </c>
      <c r="E181" t="s">
        <v>768</v>
      </c>
      <c r="F181" t="s">
        <v>966</v>
      </c>
      <c r="G181" s="2">
        <v>1500000</v>
      </c>
    </row>
    <row r="182" spans="1:7" x14ac:dyDescent="0.25">
      <c r="A182" t="s">
        <v>2199</v>
      </c>
      <c r="B182" t="s">
        <v>28</v>
      </c>
      <c r="C182" t="s">
        <v>1003</v>
      </c>
      <c r="D182" t="s">
        <v>1004</v>
      </c>
      <c r="E182" t="s">
        <v>768</v>
      </c>
      <c r="F182" t="s">
        <v>966</v>
      </c>
      <c r="G182" s="2">
        <v>17500000</v>
      </c>
    </row>
    <row r="183" spans="1:7" x14ac:dyDescent="0.25">
      <c r="A183" t="s">
        <v>2199</v>
      </c>
      <c r="B183" t="s">
        <v>28</v>
      </c>
      <c r="C183" t="s">
        <v>1008</v>
      </c>
      <c r="D183" t="s">
        <v>1010</v>
      </c>
      <c r="E183" t="s">
        <v>768</v>
      </c>
      <c r="F183" t="s">
        <v>966</v>
      </c>
      <c r="G183" s="2">
        <v>1820000</v>
      </c>
    </row>
    <row r="184" spans="1:7" x14ac:dyDescent="0.25">
      <c r="A184" t="s">
        <v>2199</v>
      </c>
      <c r="B184" t="s">
        <v>28</v>
      </c>
      <c r="C184" t="s">
        <v>1013</v>
      </c>
      <c r="D184" t="s">
        <v>1014</v>
      </c>
      <c r="E184" t="s">
        <v>768</v>
      </c>
      <c r="F184" t="s">
        <v>966</v>
      </c>
      <c r="G184" s="2">
        <v>1200000</v>
      </c>
    </row>
    <row r="185" spans="1:7" x14ac:dyDescent="0.25">
      <c r="A185" t="s">
        <v>2199</v>
      </c>
      <c r="B185" t="s">
        <v>28</v>
      </c>
      <c r="C185" t="s">
        <v>1016</v>
      </c>
      <c r="D185" t="s">
        <v>1017</v>
      </c>
      <c r="E185" t="s">
        <v>768</v>
      </c>
      <c r="F185" t="s">
        <v>966</v>
      </c>
      <c r="G185" s="2">
        <v>2500020</v>
      </c>
    </row>
    <row r="186" spans="1:7" x14ac:dyDescent="0.25">
      <c r="A186" t="s">
        <v>2199</v>
      </c>
      <c r="B186" t="s">
        <v>28</v>
      </c>
      <c r="C186" t="s">
        <v>1019</v>
      </c>
      <c r="D186" t="s">
        <v>1020</v>
      </c>
      <c r="E186" t="s">
        <v>768</v>
      </c>
      <c r="F186" t="s">
        <v>966</v>
      </c>
      <c r="G186" s="2">
        <v>2500000</v>
      </c>
    </row>
    <row r="187" spans="1:7" x14ac:dyDescent="0.25">
      <c r="A187" t="s">
        <v>2199</v>
      </c>
      <c r="B187" t="s">
        <v>28</v>
      </c>
      <c r="C187" t="s">
        <v>1022</v>
      </c>
      <c r="D187" t="s">
        <v>1023</v>
      </c>
      <c r="E187" t="s">
        <v>768</v>
      </c>
      <c r="F187" t="s">
        <v>966</v>
      </c>
      <c r="G187" s="2">
        <v>2500000</v>
      </c>
    </row>
    <row r="188" spans="1:7" x14ac:dyDescent="0.25">
      <c r="A188" t="s">
        <v>2199</v>
      </c>
      <c r="B188" t="s">
        <v>28</v>
      </c>
      <c r="C188" t="s">
        <v>1025</v>
      </c>
      <c r="D188" t="s">
        <v>1026</v>
      </c>
      <c r="E188" t="s">
        <v>768</v>
      </c>
      <c r="F188" t="s">
        <v>386</v>
      </c>
      <c r="G188" s="2">
        <v>0</v>
      </c>
    </row>
    <row r="189" spans="1:7" x14ac:dyDescent="0.25">
      <c r="A189" t="s">
        <v>2199</v>
      </c>
      <c r="B189" t="s">
        <v>28</v>
      </c>
      <c r="C189" t="s">
        <v>1039</v>
      </c>
      <c r="D189" t="s">
        <v>1040</v>
      </c>
      <c r="E189" t="s">
        <v>768</v>
      </c>
      <c r="F189" t="s">
        <v>386</v>
      </c>
      <c r="G189" s="2">
        <v>816730</v>
      </c>
    </row>
    <row r="190" spans="1:7" x14ac:dyDescent="0.25">
      <c r="A190" t="s">
        <v>2199</v>
      </c>
      <c r="B190" t="s">
        <v>28</v>
      </c>
      <c r="C190" t="s">
        <v>1042</v>
      </c>
      <c r="D190" t="s">
        <v>1044</v>
      </c>
      <c r="E190" t="s">
        <v>531</v>
      </c>
      <c r="F190" t="s">
        <v>532</v>
      </c>
      <c r="G190" s="2">
        <v>60000000</v>
      </c>
    </row>
    <row r="191" spans="1:7" x14ac:dyDescent="0.25">
      <c r="A191" t="s">
        <v>2199</v>
      </c>
      <c r="B191" t="s">
        <v>28</v>
      </c>
      <c r="C191" t="s">
        <v>1047</v>
      </c>
      <c r="D191" t="s">
        <v>1049</v>
      </c>
      <c r="E191" t="s">
        <v>531</v>
      </c>
      <c r="F191" t="s">
        <v>1051</v>
      </c>
      <c r="G191" s="2">
        <v>11000000</v>
      </c>
    </row>
    <row r="192" spans="1:7" x14ac:dyDescent="0.25">
      <c r="A192" t="s">
        <v>2199</v>
      </c>
      <c r="B192" t="s">
        <v>28</v>
      </c>
      <c r="C192" t="s">
        <v>1059</v>
      </c>
      <c r="D192" t="s">
        <v>1060</v>
      </c>
      <c r="E192" t="s">
        <v>790</v>
      </c>
      <c r="F192" t="s">
        <v>791</v>
      </c>
      <c r="G192" s="2">
        <v>510006</v>
      </c>
    </row>
    <row r="193" spans="1:7" x14ac:dyDescent="0.25">
      <c r="A193" t="s">
        <v>2199</v>
      </c>
      <c r="B193" t="s">
        <v>28</v>
      </c>
      <c r="C193" t="s">
        <v>1063</v>
      </c>
      <c r="D193" t="s">
        <v>1064</v>
      </c>
      <c r="E193" t="s">
        <v>790</v>
      </c>
      <c r="F193" t="s">
        <v>791</v>
      </c>
      <c r="G193" s="2">
        <v>450000</v>
      </c>
    </row>
    <row r="194" spans="1:7" x14ac:dyDescent="0.25">
      <c r="A194" t="s">
        <v>2199</v>
      </c>
      <c r="B194" t="s">
        <v>28</v>
      </c>
      <c r="C194" t="s">
        <v>1069</v>
      </c>
      <c r="D194" t="s">
        <v>1070</v>
      </c>
      <c r="E194" t="s">
        <v>934</v>
      </c>
      <c r="F194" t="s">
        <v>935</v>
      </c>
      <c r="G194" s="2">
        <v>450000</v>
      </c>
    </row>
    <row r="195" spans="1:7" x14ac:dyDescent="0.25">
      <c r="A195" t="s">
        <v>2199</v>
      </c>
      <c r="B195" t="s">
        <v>28</v>
      </c>
      <c r="C195" t="s">
        <v>1072</v>
      </c>
      <c r="D195" t="s">
        <v>1073</v>
      </c>
      <c r="E195" t="s">
        <v>1075</v>
      </c>
      <c r="F195" t="s">
        <v>1076</v>
      </c>
      <c r="G195" s="2">
        <v>169000</v>
      </c>
    </row>
    <row r="196" spans="1:7" x14ac:dyDescent="0.25">
      <c r="A196" t="s">
        <v>2199</v>
      </c>
      <c r="B196" t="s">
        <v>28</v>
      </c>
      <c r="C196" t="s">
        <v>1079</v>
      </c>
      <c r="D196" t="s">
        <v>1081</v>
      </c>
      <c r="E196" t="s">
        <v>1075</v>
      </c>
      <c r="F196" t="s">
        <v>1076</v>
      </c>
      <c r="G196" s="2">
        <v>100000</v>
      </c>
    </row>
    <row r="197" spans="1:7" x14ac:dyDescent="0.25">
      <c r="A197" t="s">
        <v>2199</v>
      </c>
      <c r="B197" t="s">
        <v>28</v>
      </c>
      <c r="C197" t="s">
        <v>1085</v>
      </c>
      <c r="D197" t="s">
        <v>1086</v>
      </c>
      <c r="E197" t="s">
        <v>934</v>
      </c>
      <c r="F197" t="s">
        <v>935</v>
      </c>
      <c r="G197" s="2">
        <v>352600</v>
      </c>
    </row>
    <row r="198" spans="1:7" x14ac:dyDescent="0.25">
      <c r="A198" t="s">
        <v>2199</v>
      </c>
      <c r="B198" t="s">
        <v>28</v>
      </c>
      <c r="C198" t="s">
        <v>1089</v>
      </c>
      <c r="D198" t="s">
        <v>1090</v>
      </c>
      <c r="E198" t="s">
        <v>934</v>
      </c>
      <c r="F198" t="s">
        <v>935</v>
      </c>
      <c r="G198" s="2">
        <v>50004</v>
      </c>
    </row>
    <row r="199" spans="1:7" x14ac:dyDescent="0.25">
      <c r="A199" t="s">
        <v>2199</v>
      </c>
      <c r="B199" t="s">
        <v>28</v>
      </c>
      <c r="C199" t="s">
        <v>1092</v>
      </c>
      <c r="D199" t="s">
        <v>1093</v>
      </c>
      <c r="E199" t="s">
        <v>1095</v>
      </c>
      <c r="F199" t="s">
        <v>1096</v>
      </c>
      <c r="G199" s="2">
        <v>624234</v>
      </c>
    </row>
    <row r="200" spans="1:7" x14ac:dyDescent="0.25">
      <c r="A200" t="s">
        <v>2199</v>
      </c>
      <c r="B200" t="s">
        <v>28</v>
      </c>
      <c r="C200" t="s">
        <v>1099</v>
      </c>
      <c r="D200" t="s">
        <v>1100</v>
      </c>
      <c r="E200" t="s">
        <v>457</v>
      </c>
      <c r="F200" t="s">
        <v>458</v>
      </c>
      <c r="G200" s="2">
        <v>183238</v>
      </c>
    </row>
    <row r="201" spans="1:7" x14ac:dyDescent="0.25">
      <c r="A201" t="s">
        <v>2199</v>
      </c>
      <c r="B201" t="s">
        <v>28</v>
      </c>
      <c r="C201" t="s">
        <v>1103</v>
      </c>
      <c r="D201" t="s">
        <v>1104</v>
      </c>
      <c r="E201" t="s">
        <v>1106</v>
      </c>
      <c r="F201" t="s">
        <v>1107</v>
      </c>
      <c r="G201" s="2">
        <v>5696005</v>
      </c>
    </row>
    <row r="202" spans="1:7" x14ac:dyDescent="0.25">
      <c r="A202" t="s">
        <v>2199</v>
      </c>
      <c r="B202" t="s">
        <v>28</v>
      </c>
      <c r="C202" t="s">
        <v>1110</v>
      </c>
      <c r="D202" t="s">
        <v>1111</v>
      </c>
      <c r="E202" t="s">
        <v>457</v>
      </c>
      <c r="F202" t="s">
        <v>458</v>
      </c>
      <c r="G202" s="2">
        <v>225046</v>
      </c>
    </row>
    <row r="203" spans="1:7" x14ac:dyDescent="0.25">
      <c r="A203" t="s">
        <v>2199</v>
      </c>
      <c r="B203" t="s">
        <v>28</v>
      </c>
      <c r="C203" t="s">
        <v>1113</v>
      </c>
      <c r="D203" t="s">
        <v>1115</v>
      </c>
      <c r="E203" t="s">
        <v>309</v>
      </c>
      <c r="F203" t="s">
        <v>893</v>
      </c>
      <c r="G203" s="2">
        <v>371161848</v>
      </c>
    </row>
    <row r="204" spans="1:7" x14ac:dyDescent="0.25">
      <c r="A204" t="s">
        <v>2199</v>
      </c>
      <c r="B204" t="s">
        <v>28</v>
      </c>
      <c r="C204" t="s">
        <v>1119</v>
      </c>
      <c r="D204" t="s">
        <v>1120</v>
      </c>
      <c r="E204" t="s">
        <v>1122</v>
      </c>
      <c r="F204" t="s">
        <v>1123</v>
      </c>
      <c r="G204" s="2">
        <v>600000</v>
      </c>
    </row>
    <row r="205" spans="1:7" x14ac:dyDescent="0.25">
      <c r="A205" t="s">
        <v>2199</v>
      </c>
      <c r="B205" t="s">
        <v>28</v>
      </c>
      <c r="C205" t="s">
        <v>1126</v>
      </c>
      <c r="D205" t="s">
        <v>1127</v>
      </c>
      <c r="E205" t="s">
        <v>1122</v>
      </c>
      <c r="F205" t="s">
        <v>1123</v>
      </c>
      <c r="G205" s="2">
        <v>1700000</v>
      </c>
    </row>
    <row r="206" spans="1:7" x14ac:dyDescent="0.25">
      <c r="A206" t="s">
        <v>2199</v>
      </c>
      <c r="B206" t="s">
        <v>28</v>
      </c>
      <c r="C206" t="s">
        <v>1130</v>
      </c>
      <c r="D206" t="s">
        <v>1131</v>
      </c>
      <c r="E206" t="s">
        <v>1122</v>
      </c>
      <c r="F206" t="s">
        <v>1123</v>
      </c>
      <c r="G206" s="2">
        <v>1670016</v>
      </c>
    </row>
    <row r="207" spans="1:7" x14ac:dyDescent="0.25">
      <c r="A207" t="s">
        <v>2199</v>
      </c>
      <c r="B207" t="s">
        <v>28</v>
      </c>
      <c r="C207" t="s">
        <v>1134</v>
      </c>
      <c r="D207" t="s">
        <v>1135</v>
      </c>
      <c r="E207" t="s">
        <v>1122</v>
      </c>
      <c r="F207" t="s">
        <v>1123</v>
      </c>
      <c r="G207" s="2">
        <v>900000</v>
      </c>
    </row>
    <row r="208" spans="1:7" x14ac:dyDescent="0.25">
      <c r="A208" t="s">
        <v>2199</v>
      </c>
      <c r="B208" t="s">
        <v>28</v>
      </c>
      <c r="C208" t="s">
        <v>1138</v>
      </c>
      <c r="D208" t="s">
        <v>1140</v>
      </c>
      <c r="E208" t="s">
        <v>1122</v>
      </c>
      <c r="F208" t="s">
        <v>1123</v>
      </c>
      <c r="G208" s="2">
        <v>3500010</v>
      </c>
    </row>
    <row r="209" spans="1:7" x14ac:dyDescent="0.25">
      <c r="A209" t="s">
        <v>2199</v>
      </c>
      <c r="B209" t="s">
        <v>28</v>
      </c>
      <c r="C209" t="s">
        <v>1156</v>
      </c>
      <c r="D209" t="s">
        <v>1158</v>
      </c>
      <c r="E209" t="s">
        <v>1162</v>
      </c>
      <c r="F209" t="s">
        <v>258</v>
      </c>
      <c r="G209" s="2">
        <v>17750002</v>
      </c>
    </row>
    <row r="210" spans="1:7" x14ac:dyDescent="0.25">
      <c r="A210" t="s">
        <v>2199</v>
      </c>
      <c r="B210" t="s">
        <v>28</v>
      </c>
      <c r="C210" t="s">
        <v>1168</v>
      </c>
      <c r="D210" t="s">
        <v>1169</v>
      </c>
      <c r="E210" t="s">
        <v>1162</v>
      </c>
      <c r="F210" t="s">
        <v>258</v>
      </c>
      <c r="G210" s="2">
        <v>0</v>
      </c>
    </row>
    <row r="211" spans="1:7" x14ac:dyDescent="0.25">
      <c r="A211" t="s">
        <v>2199</v>
      </c>
      <c r="B211" t="s">
        <v>28</v>
      </c>
      <c r="C211" t="s">
        <v>1176</v>
      </c>
      <c r="D211" t="s">
        <v>1177</v>
      </c>
      <c r="E211" t="s">
        <v>1180</v>
      </c>
      <c r="F211" t="s">
        <v>1181</v>
      </c>
      <c r="G211" s="2">
        <v>696000</v>
      </c>
    </row>
    <row r="212" spans="1:7" x14ac:dyDescent="0.25">
      <c r="A212" t="s">
        <v>2199</v>
      </c>
      <c r="B212" t="s">
        <v>28</v>
      </c>
      <c r="C212" t="s">
        <v>1183</v>
      </c>
      <c r="D212" t="s">
        <v>1185</v>
      </c>
      <c r="E212" t="s">
        <v>790</v>
      </c>
      <c r="F212" t="s">
        <v>791</v>
      </c>
      <c r="G212" s="2">
        <v>2885085</v>
      </c>
    </row>
    <row r="213" spans="1:7" x14ac:dyDescent="0.25">
      <c r="A213" t="s">
        <v>2199</v>
      </c>
      <c r="B213" t="s">
        <v>28</v>
      </c>
      <c r="C213" t="s">
        <v>1188</v>
      </c>
      <c r="D213" t="s">
        <v>1189</v>
      </c>
      <c r="E213" t="s">
        <v>790</v>
      </c>
      <c r="F213" t="s">
        <v>791</v>
      </c>
      <c r="G213" s="2">
        <v>2997268</v>
      </c>
    </row>
    <row r="214" spans="1:7" x14ac:dyDescent="0.25">
      <c r="A214" t="s">
        <v>2199</v>
      </c>
      <c r="B214" t="s">
        <v>28</v>
      </c>
      <c r="C214" t="s">
        <v>1207</v>
      </c>
      <c r="D214" t="s">
        <v>1208</v>
      </c>
      <c r="E214" t="s">
        <v>1211</v>
      </c>
      <c r="F214" t="s">
        <v>320</v>
      </c>
      <c r="G214" s="2">
        <v>198030</v>
      </c>
    </row>
    <row r="215" spans="1:7" x14ac:dyDescent="0.25">
      <c r="A215" t="s">
        <v>2199</v>
      </c>
      <c r="B215" t="s">
        <v>28</v>
      </c>
      <c r="C215" t="s">
        <v>1213</v>
      </c>
      <c r="D215" t="s">
        <v>1214</v>
      </c>
      <c r="E215" t="s">
        <v>395</v>
      </c>
      <c r="F215" t="s">
        <v>1217</v>
      </c>
      <c r="G215" s="2">
        <v>126581</v>
      </c>
    </row>
    <row r="216" spans="1:7" x14ac:dyDescent="0.25">
      <c r="A216" t="s">
        <v>2199</v>
      </c>
      <c r="B216" t="s">
        <v>28</v>
      </c>
      <c r="C216" t="s">
        <v>1219</v>
      </c>
      <c r="D216" t="s">
        <v>1220</v>
      </c>
      <c r="E216" t="s">
        <v>395</v>
      </c>
      <c r="F216" t="s">
        <v>1217</v>
      </c>
      <c r="G216" s="2">
        <v>172000</v>
      </c>
    </row>
    <row r="217" spans="1:7" x14ac:dyDescent="0.25">
      <c r="A217" t="s">
        <v>2199</v>
      </c>
      <c r="B217" t="s">
        <v>28</v>
      </c>
      <c r="C217" t="s">
        <v>1224</v>
      </c>
      <c r="D217" t="s">
        <v>1225</v>
      </c>
      <c r="E217" t="s">
        <v>1211</v>
      </c>
      <c r="F217" t="s">
        <v>320</v>
      </c>
      <c r="G217" s="2">
        <v>715014</v>
      </c>
    </row>
    <row r="218" spans="1:7" x14ac:dyDescent="0.25">
      <c r="A218" t="s">
        <v>2199</v>
      </c>
      <c r="B218" t="s">
        <v>28</v>
      </c>
      <c r="C218" t="s">
        <v>1228</v>
      </c>
      <c r="D218" t="s">
        <v>1229</v>
      </c>
      <c r="E218" t="s">
        <v>64</v>
      </c>
      <c r="F218" t="s">
        <v>65</v>
      </c>
      <c r="G218" s="2">
        <v>930000</v>
      </c>
    </row>
    <row r="219" spans="1:7" x14ac:dyDescent="0.25">
      <c r="A219" t="s">
        <v>2199</v>
      </c>
      <c r="B219" t="s">
        <v>28</v>
      </c>
      <c r="C219" t="s">
        <v>1234</v>
      </c>
      <c r="D219" t="s">
        <v>1235</v>
      </c>
      <c r="E219" t="s">
        <v>64</v>
      </c>
      <c r="F219" t="s">
        <v>65</v>
      </c>
      <c r="G219" s="2">
        <v>1400000</v>
      </c>
    </row>
    <row r="220" spans="1:7" x14ac:dyDescent="0.25">
      <c r="A220" t="s">
        <v>2199</v>
      </c>
      <c r="B220" t="s">
        <v>28</v>
      </c>
      <c r="C220" t="s">
        <v>1245</v>
      </c>
      <c r="D220" t="s">
        <v>1247</v>
      </c>
      <c r="E220" t="s">
        <v>122</v>
      </c>
      <c r="F220" t="s">
        <v>544</v>
      </c>
      <c r="G220" s="2">
        <v>610000</v>
      </c>
    </row>
    <row r="221" spans="1:7" x14ac:dyDescent="0.25">
      <c r="A221" t="s">
        <v>2199</v>
      </c>
      <c r="B221" t="s">
        <v>28</v>
      </c>
      <c r="C221" t="s">
        <v>1252</v>
      </c>
      <c r="D221" t="s">
        <v>1253</v>
      </c>
      <c r="E221" t="s">
        <v>1255</v>
      </c>
      <c r="F221" t="s">
        <v>1256</v>
      </c>
      <c r="G221" s="2">
        <v>52000</v>
      </c>
    </row>
    <row r="222" spans="1:7" x14ac:dyDescent="0.25">
      <c r="A222" t="s">
        <v>2199</v>
      </c>
      <c r="B222" t="s">
        <v>28</v>
      </c>
      <c r="C222" t="s">
        <v>1259</v>
      </c>
      <c r="D222" t="s">
        <v>1260</v>
      </c>
      <c r="E222" t="s">
        <v>395</v>
      </c>
      <c r="F222" t="s">
        <v>1217</v>
      </c>
      <c r="G222" s="2">
        <v>370100</v>
      </c>
    </row>
    <row r="223" spans="1:7" x14ac:dyDescent="0.25">
      <c r="A223" t="s">
        <v>2199</v>
      </c>
      <c r="B223" t="s">
        <v>28</v>
      </c>
      <c r="C223" t="s">
        <v>1269</v>
      </c>
      <c r="D223" t="s">
        <v>1270</v>
      </c>
      <c r="E223" t="s">
        <v>1273</v>
      </c>
      <c r="F223" t="s">
        <v>514</v>
      </c>
      <c r="G223" s="2">
        <v>603000</v>
      </c>
    </row>
    <row r="224" spans="1:7" x14ac:dyDescent="0.25">
      <c r="A224" t="s">
        <v>2199</v>
      </c>
      <c r="B224" t="s">
        <v>28</v>
      </c>
      <c r="C224" t="s">
        <v>1345</v>
      </c>
      <c r="D224" t="s">
        <v>1347</v>
      </c>
      <c r="E224" t="s">
        <v>1299</v>
      </c>
      <c r="F224" t="s">
        <v>1300</v>
      </c>
      <c r="G224" s="2">
        <v>150000</v>
      </c>
    </row>
    <row r="225" spans="1:7" x14ac:dyDescent="0.25">
      <c r="A225" t="s">
        <v>2199</v>
      </c>
      <c r="B225" t="s">
        <v>28</v>
      </c>
      <c r="C225" t="s">
        <v>1395</v>
      </c>
      <c r="D225" t="s">
        <v>1396</v>
      </c>
      <c r="E225" t="s">
        <v>64</v>
      </c>
      <c r="F225" t="s">
        <v>65</v>
      </c>
      <c r="G225" s="2">
        <v>500004</v>
      </c>
    </row>
    <row r="226" spans="1:7" x14ac:dyDescent="0.25">
      <c r="A226" t="s">
        <v>2199</v>
      </c>
      <c r="B226" t="s">
        <v>28</v>
      </c>
      <c r="C226" t="s">
        <v>1403</v>
      </c>
      <c r="D226" t="s">
        <v>1404</v>
      </c>
      <c r="E226" t="s">
        <v>1035</v>
      </c>
      <c r="F226" t="s">
        <v>1036</v>
      </c>
      <c r="G226" s="2">
        <v>173624</v>
      </c>
    </row>
    <row r="227" spans="1:7" x14ac:dyDescent="0.25">
      <c r="A227" t="s">
        <v>2199</v>
      </c>
      <c r="B227" t="s">
        <v>28</v>
      </c>
      <c r="C227" t="s">
        <v>1407</v>
      </c>
      <c r="D227" t="s">
        <v>1408</v>
      </c>
      <c r="E227" t="s">
        <v>590</v>
      </c>
      <c r="F227" t="s">
        <v>591</v>
      </c>
      <c r="G227" s="2">
        <v>80000</v>
      </c>
    </row>
    <row r="228" spans="1:7" x14ac:dyDescent="0.25">
      <c r="A228" t="s">
        <v>2199</v>
      </c>
      <c r="B228" t="s">
        <v>28</v>
      </c>
      <c r="C228" t="s">
        <v>1411</v>
      </c>
      <c r="D228" t="s">
        <v>1413</v>
      </c>
      <c r="E228" t="s">
        <v>1415</v>
      </c>
      <c r="F228" t="s">
        <v>514</v>
      </c>
      <c r="G228" s="2">
        <v>2000000</v>
      </c>
    </row>
    <row r="229" spans="1:7" x14ac:dyDescent="0.25">
      <c r="A229" t="s">
        <v>2199</v>
      </c>
      <c r="B229" t="s">
        <v>28</v>
      </c>
      <c r="C229" t="s">
        <v>1416</v>
      </c>
      <c r="D229" t="s">
        <v>1417</v>
      </c>
      <c r="E229" t="s">
        <v>1415</v>
      </c>
      <c r="F229" t="s">
        <v>514</v>
      </c>
      <c r="G229" s="2">
        <v>6000000</v>
      </c>
    </row>
    <row r="230" spans="1:7" x14ac:dyDescent="0.25">
      <c r="A230" t="s">
        <v>2199</v>
      </c>
      <c r="B230" t="s">
        <v>28</v>
      </c>
      <c r="C230" t="s">
        <v>1419</v>
      </c>
      <c r="D230" t="s">
        <v>1420</v>
      </c>
      <c r="E230" t="s">
        <v>1415</v>
      </c>
      <c r="F230" t="s">
        <v>514</v>
      </c>
      <c r="G230" s="2">
        <v>0</v>
      </c>
    </row>
    <row r="231" spans="1:7" x14ac:dyDescent="0.25">
      <c r="A231" t="s">
        <v>2199</v>
      </c>
      <c r="B231" t="s">
        <v>28</v>
      </c>
      <c r="C231" t="s">
        <v>1422</v>
      </c>
      <c r="D231" t="s">
        <v>1423</v>
      </c>
      <c r="E231" t="s">
        <v>1415</v>
      </c>
      <c r="F231" t="s">
        <v>514</v>
      </c>
      <c r="G231" s="2">
        <v>25000000</v>
      </c>
    </row>
    <row r="232" spans="1:7" x14ac:dyDescent="0.25">
      <c r="A232" t="s">
        <v>2199</v>
      </c>
      <c r="B232" t="s">
        <v>28</v>
      </c>
      <c r="C232" t="s">
        <v>1426</v>
      </c>
      <c r="D232" t="s">
        <v>1427</v>
      </c>
      <c r="E232" t="s">
        <v>1415</v>
      </c>
      <c r="F232" t="s">
        <v>514</v>
      </c>
      <c r="G232" s="2">
        <v>10000000</v>
      </c>
    </row>
    <row r="233" spans="1:7" x14ac:dyDescent="0.25">
      <c r="A233" t="s">
        <v>2199</v>
      </c>
      <c r="B233" t="s">
        <v>28</v>
      </c>
      <c r="C233" t="s">
        <v>1429</v>
      </c>
      <c r="D233" t="s">
        <v>1430</v>
      </c>
      <c r="E233" t="s">
        <v>1432</v>
      </c>
      <c r="F233" t="s">
        <v>1433</v>
      </c>
      <c r="G233" s="2">
        <v>35304528</v>
      </c>
    </row>
    <row r="234" spans="1:7" x14ac:dyDescent="0.25">
      <c r="A234" t="s">
        <v>2199</v>
      </c>
      <c r="B234" t="s">
        <v>28</v>
      </c>
      <c r="C234" t="s">
        <v>1436</v>
      </c>
      <c r="D234" t="s">
        <v>1438</v>
      </c>
      <c r="E234" t="s">
        <v>64</v>
      </c>
      <c r="F234" t="s">
        <v>65</v>
      </c>
      <c r="G234" s="2">
        <v>500000</v>
      </c>
    </row>
    <row r="235" spans="1:7" x14ac:dyDescent="0.25">
      <c r="A235" t="s">
        <v>2199</v>
      </c>
      <c r="B235" t="s">
        <v>28</v>
      </c>
      <c r="C235" t="s">
        <v>1442</v>
      </c>
      <c r="D235" t="s">
        <v>1443</v>
      </c>
      <c r="E235" t="s">
        <v>1445</v>
      </c>
      <c r="F235" t="s">
        <v>1446</v>
      </c>
      <c r="G235" s="2">
        <v>299940</v>
      </c>
    </row>
    <row r="236" spans="1:7" x14ac:dyDescent="0.25">
      <c r="A236" t="s">
        <v>2199</v>
      </c>
      <c r="B236" t="s">
        <v>28</v>
      </c>
      <c r="C236" t="s">
        <v>1449</v>
      </c>
      <c r="D236" t="s">
        <v>1450</v>
      </c>
      <c r="E236" t="s">
        <v>1075</v>
      </c>
      <c r="F236" t="s">
        <v>1076</v>
      </c>
      <c r="G236" s="2">
        <v>390000</v>
      </c>
    </row>
    <row r="237" spans="1:7" x14ac:dyDescent="0.25">
      <c r="A237" t="s">
        <v>2199</v>
      </c>
      <c r="B237" t="s">
        <v>28</v>
      </c>
      <c r="C237" t="s">
        <v>1453</v>
      </c>
      <c r="D237" t="s">
        <v>1454</v>
      </c>
      <c r="E237" t="s">
        <v>1445</v>
      </c>
      <c r="F237" t="s">
        <v>1446</v>
      </c>
      <c r="G237" s="2">
        <v>720000</v>
      </c>
    </row>
    <row r="238" spans="1:7" x14ac:dyDescent="0.25">
      <c r="A238" t="s">
        <v>2199</v>
      </c>
      <c r="B238" t="s">
        <v>28</v>
      </c>
      <c r="C238" t="s">
        <v>1456</v>
      </c>
      <c r="D238" t="s">
        <v>1457</v>
      </c>
      <c r="E238" t="s">
        <v>1211</v>
      </c>
      <c r="F238" t="s">
        <v>320</v>
      </c>
      <c r="G238" s="2">
        <v>170001</v>
      </c>
    </row>
    <row r="239" spans="1:7" x14ac:dyDescent="0.25">
      <c r="A239" t="s">
        <v>2199</v>
      </c>
      <c r="B239" t="s">
        <v>28</v>
      </c>
      <c r="C239" t="s">
        <v>1460</v>
      </c>
      <c r="D239" t="s">
        <v>1461</v>
      </c>
      <c r="E239" t="s">
        <v>1075</v>
      </c>
      <c r="F239" t="s">
        <v>1076</v>
      </c>
      <c r="G239" s="2">
        <v>8196174</v>
      </c>
    </row>
    <row r="240" spans="1:7" x14ac:dyDescent="0.25">
      <c r="A240" t="s">
        <v>2199</v>
      </c>
      <c r="B240" t="s">
        <v>28</v>
      </c>
      <c r="C240" t="s">
        <v>1466</v>
      </c>
      <c r="D240" t="s">
        <v>1467</v>
      </c>
      <c r="E240" t="s">
        <v>1469</v>
      </c>
      <c r="F240" t="s">
        <v>1470</v>
      </c>
      <c r="G240" s="2">
        <v>5000001</v>
      </c>
    </row>
    <row r="241" spans="1:7" x14ac:dyDescent="0.25">
      <c r="A241" t="s">
        <v>2199</v>
      </c>
      <c r="B241" t="s">
        <v>28</v>
      </c>
      <c r="C241" t="s">
        <v>1473</v>
      </c>
      <c r="D241" t="s">
        <v>1474</v>
      </c>
      <c r="E241" t="s">
        <v>1477</v>
      </c>
      <c r="F241" t="s">
        <v>219</v>
      </c>
      <c r="G241" s="2">
        <v>300006</v>
      </c>
    </row>
    <row r="242" spans="1:7" x14ac:dyDescent="0.25">
      <c r="A242" t="s">
        <v>2199</v>
      </c>
      <c r="B242" t="s">
        <v>28</v>
      </c>
      <c r="C242" t="s">
        <v>1479</v>
      </c>
      <c r="D242" t="s">
        <v>1480</v>
      </c>
      <c r="E242" t="s">
        <v>1445</v>
      </c>
      <c r="F242" t="s">
        <v>1446</v>
      </c>
      <c r="G242" s="2">
        <v>220000</v>
      </c>
    </row>
    <row r="243" spans="1:7" x14ac:dyDescent="0.25">
      <c r="A243" t="s">
        <v>2199</v>
      </c>
      <c r="B243" t="s">
        <v>28</v>
      </c>
      <c r="C243" t="s">
        <v>1482</v>
      </c>
      <c r="D243" t="s">
        <v>1483</v>
      </c>
      <c r="E243" t="s">
        <v>1477</v>
      </c>
      <c r="F243" t="s">
        <v>219</v>
      </c>
      <c r="G243" s="2">
        <v>1500018</v>
      </c>
    </row>
    <row r="244" spans="1:7" x14ac:dyDescent="0.25">
      <c r="A244" t="s">
        <v>2199</v>
      </c>
      <c r="B244" t="s">
        <v>28</v>
      </c>
      <c r="C244" t="s">
        <v>1489</v>
      </c>
      <c r="D244" t="s">
        <v>1490</v>
      </c>
      <c r="E244" t="s">
        <v>1211</v>
      </c>
      <c r="F244" t="s">
        <v>320</v>
      </c>
      <c r="G244" s="2">
        <v>218020</v>
      </c>
    </row>
    <row r="245" spans="1:7" x14ac:dyDescent="0.25">
      <c r="A245" t="s">
        <v>2199</v>
      </c>
      <c r="B245" t="s">
        <v>28</v>
      </c>
      <c r="C245" t="s">
        <v>1492</v>
      </c>
      <c r="D245" t="s">
        <v>1494</v>
      </c>
      <c r="E245" t="s">
        <v>590</v>
      </c>
      <c r="F245" t="s">
        <v>591</v>
      </c>
      <c r="G245" s="2">
        <v>100000</v>
      </c>
    </row>
    <row r="246" spans="1:7" x14ac:dyDescent="0.25">
      <c r="A246" t="s">
        <v>2199</v>
      </c>
      <c r="B246" t="s">
        <v>28</v>
      </c>
      <c r="C246" t="s">
        <v>1497</v>
      </c>
      <c r="D246" t="s">
        <v>1498</v>
      </c>
      <c r="E246" t="s">
        <v>1075</v>
      </c>
      <c r="F246" t="s">
        <v>1076</v>
      </c>
      <c r="G246" s="2">
        <v>335005</v>
      </c>
    </row>
    <row r="247" spans="1:7" x14ac:dyDescent="0.25">
      <c r="A247" t="s">
        <v>2199</v>
      </c>
      <c r="B247" t="s">
        <v>28</v>
      </c>
      <c r="C247" t="s">
        <v>1501</v>
      </c>
      <c r="D247" t="s">
        <v>1502</v>
      </c>
      <c r="E247" t="s">
        <v>1505</v>
      </c>
      <c r="F247" t="s">
        <v>423</v>
      </c>
      <c r="G247" s="2">
        <v>2400000</v>
      </c>
    </row>
    <row r="248" spans="1:7" x14ac:dyDescent="0.25">
      <c r="A248" t="s">
        <v>2199</v>
      </c>
      <c r="B248" t="s">
        <v>28</v>
      </c>
      <c r="C248" t="s">
        <v>1509</v>
      </c>
      <c r="D248" t="s">
        <v>1510</v>
      </c>
      <c r="E248" t="s">
        <v>590</v>
      </c>
      <c r="F248" t="s">
        <v>591</v>
      </c>
      <c r="G248" s="2">
        <v>300090</v>
      </c>
    </row>
    <row r="249" spans="1:7" x14ac:dyDescent="0.25">
      <c r="A249" t="s">
        <v>2199</v>
      </c>
      <c r="B249" t="s">
        <v>28</v>
      </c>
      <c r="C249" t="s">
        <v>1514</v>
      </c>
      <c r="D249" t="s">
        <v>1515</v>
      </c>
      <c r="E249" t="s">
        <v>1075</v>
      </c>
      <c r="F249" t="s">
        <v>1076</v>
      </c>
      <c r="G249" s="2">
        <v>150000</v>
      </c>
    </row>
    <row r="250" spans="1:7" x14ac:dyDescent="0.25">
      <c r="A250" t="s">
        <v>2199</v>
      </c>
      <c r="B250" t="s">
        <v>28</v>
      </c>
      <c r="C250" t="s">
        <v>1518</v>
      </c>
      <c r="D250" t="s">
        <v>1520</v>
      </c>
      <c r="E250" t="s">
        <v>761</v>
      </c>
      <c r="F250" t="s">
        <v>762</v>
      </c>
      <c r="G250" s="2">
        <v>1660004</v>
      </c>
    </row>
    <row r="251" spans="1:7" x14ac:dyDescent="0.25">
      <c r="A251" t="s">
        <v>2199</v>
      </c>
      <c r="B251" t="s">
        <v>28</v>
      </c>
      <c r="C251" t="s">
        <v>1525</v>
      </c>
      <c r="D251" t="s">
        <v>1502</v>
      </c>
      <c r="E251" t="s">
        <v>1505</v>
      </c>
      <c r="F251" t="s">
        <v>423</v>
      </c>
      <c r="G251" s="2">
        <v>3861900</v>
      </c>
    </row>
    <row r="252" spans="1:7" x14ac:dyDescent="0.25">
      <c r="A252" t="s">
        <v>2199</v>
      </c>
      <c r="B252" t="s">
        <v>28</v>
      </c>
      <c r="C252" t="s">
        <v>1528</v>
      </c>
      <c r="D252" t="s">
        <v>1529</v>
      </c>
      <c r="E252" t="s">
        <v>1075</v>
      </c>
      <c r="F252" t="s">
        <v>1076</v>
      </c>
      <c r="G252" s="2">
        <v>36000</v>
      </c>
    </row>
    <row r="253" spans="1:7" x14ac:dyDescent="0.25">
      <c r="A253" t="s">
        <v>2199</v>
      </c>
      <c r="B253" t="s">
        <v>28</v>
      </c>
      <c r="C253" t="s">
        <v>1532</v>
      </c>
      <c r="D253" t="s">
        <v>1533</v>
      </c>
      <c r="E253" t="s">
        <v>761</v>
      </c>
      <c r="F253" t="s">
        <v>762</v>
      </c>
      <c r="G253" s="2">
        <v>2740091</v>
      </c>
    </row>
    <row r="254" spans="1:7" x14ac:dyDescent="0.25">
      <c r="A254" t="s">
        <v>2199</v>
      </c>
      <c r="B254" t="s">
        <v>28</v>
      </c>
      <c r="C254" t="s">
        <v>1539</v>
      </c>
      <c r="D254" t="s">
        <v>1540</v>
      </c>
      <c r="E254" t="s">
        <v>1211</v>
      </c>
      <c r="F254" t="s">
        <v>320</v>
      </c>
      <c r="G254" s="2">
        <v>400000</v>
      </c>
    </row>
    <row r="255" spans="1:7" x14ac:dyDescent="0.25">
      <c r="A255" t="s">
        <v>2199</v>
      </c>
      <c r="B255" t="s">
        <v>28</v>
      </c>
      <c r="C255" t="s">
        <v>1542</v>
      </c>
      <c r="D255" t="s">
        <v>1543</v>
      </c>
      <c r="E255" t="s">
        <v>1075</v>
      </c>
      <c r="F255" t="s">
        <v>1076</v>
      </c>
      <c r="G255" s="2">
        <v>800000</v>
      </c>
    </row>
    <row r="256" spans="1:7" x14ac:dyDescent="0.25">
      <c r="A256" t="s">
        <v>2199</v>
      </c>
      <c r="B256" t="s">
        <v>28</v>
      </c>
      <c r="C256" t="s">
        <v>1546</v>
      </c>
      <c r="D256" t="s">
        <v>1548</v>
      </c>
      <c r="E256" t="s">
        <v>761</v>
      </c>
      <c r="F256" t="s">
        <v>762</v>
      </c>
      <c r="G256" s="2">
        <v>1322042</v>
      </c>
    </row>
    <row r="257" spans="1:7" x14ac:dyDescent="0.25">
      <c r="A257" t="s">
        <v>2199</v>
      </c>
      <c r="B257" t="s">
        <v>28</v>
      </c>
      <c r="C257" t="s">
        <v>1551</v>
      </c>
      <c r="D257" t="s">
        <v>1553</v>
      </c>
      <c r="E257" t="s">
        <v>761</v>
      </c>
      <c r="F257" t="s">
        <v>762</v>
      </c>
      <c r="G257" s="2">
        <v>334061</v>
      </c>
    </row>
    <row r="258" spans="1:7" x14ac:dyDescent="0.25">
      <c r="A258" t="s">
        <v>2199</v>
      </c>
      <c r="B258" t="s">
        <v>28</v>
      </c>
      <c r="C258" t="s">
        <v>1555</v>
      </c>
      <c r="D258" t="s">
        <v>1556</v>
      </c>
      <c r="E258" t="s">
        <v>1559</v>
      </c>
      <c r="F258" t="s">
        <v>1560</v>
      </c>
      <c r="G258" s="2">
        <v>14500000</v>
      </c>
    </row>
    <row r="259" spans="1:7" x14ac:dyDescent="0.25">
      <c r="A259" t="s">
        <v>2199</v>
      </c>
      <c r="B259" t="s">
        <v>28</v>
      </c>
      <c r="C259" t="s">
        <v>1563</v>
      </c>
      <c r="D259" t="s">
        <v>1404</v>
      </c>
      <c r="E259" t="s">
        <v>1035</v>
      </c>
      <c r="F259" t="s">
        <v>1036</v>
      </c>
      <c r="G259" s="2">
        <v>460000</v>
      </c>
    </row>
    <row r="260" spans="1:7" x14ac:dyDescent="0.25">
      <c r="A260" t="s">
        <v>2199</v>
      </c>
      <c r="B260" t="s">
        <v>28</v>
      </c>
      <c r="C260" t="s">
        <v>1566</v>
      </c>
      <c r="D260" t="s">
        <v>1567</v>
      </c>
      <c r="E260" t="s">
        <v>1211</v>
      </c>
      <c r="F260" t="s">
        <v>320</v>
      </c>
      <c r="G260" s="2">
        <v>120000</v>
      </c>
    </row>
    <row r="261" spans="1:7" x14ac:dyDescent="0.25">
      <c r="A261" t="s">
        <v>2199</v>
      </c>
      <c r="B261" t="s">
        <v>28</v>
      </c>
      <c r="C261" t="s">
        <v>1569</v>
      </c>
      <c r="D261" t="s">
        <v>1570</v>
      </c>
      <c r="E261" t="s">
        <v>1572</v>
      </c>
      <c r="F261" t="s">
        <v>1573</v>
      </c>
      <c r="G261" s="2">
        <v>7000000</v>
      </c>
    </row>
    <row r="262" spans="1:7" x14ac:dyDescent="0.25">
      <c r="A262" t="s">
        <v>2199</v>
      </c>
      <c r="B262" t="s">
        <v>28</v>
      </c>
      <c r="C262" t="s">
        <v>1585</v>
      </c>
      <c r="D262" t="s">
        <v>1587</v>
      </c>
      <c r="E262" t="s">
        <v>1572</v>
      </c>
      <c r="F262" t="s">
        <v>1573</v>
      </c>
      <c r="G262" s="2">
        <v>1428000</v>
      </c>
    </row>
    <row r="263" spans="1:7" x14ac:dyDescent="0.25">
      <c r="A263" t="s">
        <v>2199</v>
      </c>
      <c r="B263" t="s">
        <v>28</v>
      </c>
      <c r="C263" t="s">
        <v>1600</v>
      </c>
      <c r="D263" t="s">
        <v>1601</v>
      </c>
      <c r="E263" t="s">
        <v>1572</v>
      </c>
      <c r="F263" t="s">
        <v>1573</v>
      </c>
      <c r="G263" s="2">
        <v>1428000</v>
      </c>
    </row>
    <row r="264" spans="1:7" x14ac:dyDescent="0.25">
      <c r="A264" t="s">
        <v>2199</v>
      </c>
      <c r="B264" t="s">
        <v>28</v>
      </c>
      <c r="C264" t="s">
        <v>1604</v>
      </c>
      <c r="D264" t="s">
        <v>1605</v>
      </c>
      <c r="E264" t="s">
        <v>1608</v>
      </c>
      <c r="F264" t="s">
        <v>361</v>
      </c>
      <c r="G264" s="2">
        <v>1160000</v>
      </c>
    </row>
    <row r="265" spans="1:7" x14ac:dyDescent="0.25">
      <c r="A265" t="s">
        <v>2199</v>
      </c>
      <c r="B265" t="s">
        <v>28</v>
      </c>
      <c r="C265" t="s">
        <v>1610</v>
      </c>
      <c r="D265" t="s">
        <v>1611</v>
      </c>
      <c r="E265" t="s">
        <v>1613</v>
      </c>
      <c r="F265" t="s">
        <v>1614</v>
      </c>
      <c r="G265" s="2">
        <v>62432002</v>
      </c>
    </row>
    <row r="266" spans="1:7" x14ac:dyDescent="0.25">
      <c r="A266" t="s">
        <v>2199</v>
      </c>
      <c r="B266" t="s">
        <v>28</v>
      </c>
      <c r="C266" t="s">
        <v>1620</v>
      </c>
      <c r="D266" t="s">
        <v>1621</v>
      </c>
      <c r="E266" t="s">
        <v>1608</v>
      </c>
      <c r="F266" t="s">
        <v>361</v>
      </c>
      <c r="G266" s="2">
        <v>600000</v>
      </c>
    </row>
    <row r="267" spans="1:7" x14ac:dyDescent="0.25">
      <c r="A267" t="s">
        <v>2199</v>
      </c>
      <c r="B267" t="s">
        <v>28</v>
      </c>
      <c r="C267" t="s">
        <v>1626</v>
      </c>
      <c r="D267" t="s">
        <v>1627</v>
      </c>
      <c r="E267" t="s">
        <v>1572</v>
      </c>
      <c r="F267" t="s">
        <v>1573</v>
      </c>
      <c r="G267" s="2">
        <v>5580820</v>
      </c>
    </row>
    <row r="268" spans="1:7" x14ac:dyDescent="0.25">
      <c r="A268" t="s">
        <v>2199</v>
      </c>
      <c r="B268" t="s">
        <v>28</v>
      </c>
      <c r="C268" t="s">
        <v>1632</v>
      </c>
      <c r="D268" t="s">
        <v>1633</v>
      </c>
      <c r="E268" t="s">
        <v>934</v>
      </c>
      <c r="F268" t="s">
        <v>935</v>
      </c>
      <c r="G268" s="2">
        <v>440000</v>
      </c>
    </row>
    <row r="269" spans="1:7" x14ac:dyDescent="0.25">
      <c r="A269" t="s">
        <v>2199</v>
      </c>
      <c r="B269" t="s">
        <v>28</v>
      </c>
      <c r="C269" t="s">
        <v>1637</v>
      </c>
      <c r="D269" t="s">
        <v>1177</v>
      </c>
      <c r="E269" t="s">
        <v>1180</v>
      </c>
      <c r="F269" t="s">
        <v>1181</v>
      </c>
      <c r="G269" s="2">
        <v>115003</v>
      </c>
    </row>
    <row r="270" spans="1:7" x14ac:dyDescent="0.25">
      <c r="A270" t="s">
        <v>2199</v>
      </c>
      <c r="B270" t="s">
        <v>28</v>
      </c>
      <c r="C270" t="s">
        <v>1638</v>
      </c>
      <c r="D270" t="s">
        <v>1639</v>
      </c>
      <c r="E270" t="s">
        <v>1642</v>
      </c>
      <c r="F270" t="s">
        <v>1643</v>
      </c>
      <c r="G270" s="2">
        <v>405000</v>
      </c>
    </row>
    <row r="271" spans="1:7" x14ac:dyDescent="0.25">
      <c r="A271" t="s">
        <v>2199</v>
      </c>
      <c r="B271" t="s">
        <v>28</v>
      </c>
      <c r="C271" t="s">
        <v>1667</v>
      </c>
      <c r="D271" t="s">
        <v>1668</v>
      </c>
      <c r="E271" t="s">
        <v>64</v>
      </c>
      <c r="F271" t="s">
        <v>65</v>
      </c>
      <c r="G271" s="2">
        <v>542153</v>
      </c>
    </row>
    <row r="272" spans="1:7" x14ac:dyDescent="0.25">
      <c r="A272" t="s">
        <v>2199</v>
      </c>
      <c r="B272" t="s">
        <v>28</v>
      </c>
      <c r="C272" t="s">
        <v>1675</v>
      </c>
      <c r="D272" t="s">
        <v>1658</v>
      </c>
      <c r="E272" t="s">
        <v>1660</v>
      </c>
      <c r="F272" t="s">
        <v>1661</v>
      </c>
      <c r="G272" s="2">
        <v>2502600</v>
      </c>
    </row>
    <row r="273" spans="1:7" x14ac:dyDescent="0.25">
      <c r="A273" t="s">
        <v>2199</v>
      </c>
      <c r="B273" t="s">
        <v>28</v>
      </c>
      <c r="C273" t="s">
        <v>1679</v>
      </c>
      <c r="D273" t="s">
        <v>1680</v>
      </c>
      <c r="E273" t="s">
        <v>457</v>
      </c>
      <c r="F273" t="s">
        <v>1682</v>
      </c>
      <c r="G273" s="2">
        <v>222014</v>
      </c>
    </row>
    <row r="274" spans="1:7" x14ac:dyDescent="0.25">
      <c r="A274" t="s">
        <v>2199</v>
      </c>
      <c r="B274" t="s">
        <v>28</v>
      </c>
      <c r="C274" t="s">
        <v>1684</v>
      </c>
      <c r="D274" t="s">
        <v>1685</v>
      </c>
      <c r="E274" t="s">
        <v>1642</v>
      </c>
      <c r="F274" t="s">
        <v>1643</v>
      </c>
      <c r="G274" s="2">
        <v>200000</v>
      </c>
    </row>
    <row r="275" spans="1:7" x14ac:dyDescent="0.25">
      <c r="A275" t="s">
        <v>2199</v>
      </c>
      <c r="B275" t="s">
        <v>28</v>
      </c>
      <c r="C275" t="s">
        <v>1687</v>
      </c>
      <c r="D275" t="s">
        <v>1688</v>
      </c>
      <c r="E275" t="s">
        <v>1690</v>
      </c>
      <c r="F275" t="s">
        <v>865</v>
      </c>
      <c r="G275" s="2">
        <v>2026009</v>
      </c>
    </row>
    <row r="276" spans="1:7" x14ac:dyDescent="0.25">
      <c r="A276" t="s">
        <v>2199</v>
      </c>
      <c r="B276" t="s">
        <v>28</v>
      </c>
      <c r="C276" t="s">
        <v>1694</v>
      </c>
      <c r="D276" t="s">
        <v>1695</v>
      </c>
      <c r="E276" t="s">
        <v>414</v>
      </c>
      <c r="F276" t="s">
        <v>1697</v>
      </c>
      <c r="G276" s="2">
        <v>2500008</v>
      </c>
    </row>
    <row r="277" spans="1:7" x14ac:dyDescent="0.25">
      <c r="A277" t="s">
        <v>2199</v>
      </c>
      <c r="B277" t="s">
        <v>28</v>
      </c>
      <c r="C277" t="s">
        <v>1699</v>
      </c>
      <c r="D277" t="s">
        <v>1658</v>
      </c>
      <c r="E277" t="s">
        <v>1660</v>
      </c>
      <c r="F277" t="s">
        <v>1661</v>
      </c>
      <c r="G277" s="2">
        <v>500115</v>
      </c>
    </row>
    <row r="278" spans="1:7" x14ac:dyDescent="0.25">
      <c r="A278" t="s">
        <v>2199</v>
      </c>
      <c r="B278" t="s">
        <v>28</v>
      </c>
      <c r="C278" t="s">
        <v>1700</v>
      </c>
      <c r="D278" t="s">
        <v>1701</v>
      </c>
      <c r="E278" t="s">
        <v>1704</v>
      </c>
      <c r="F278" t="s">
        <v>1705</v>
      </c>
      <c r="G278" s="2">
        <v>4059825</v>
      </c>
    </row>
    <row r="279" spans="1:7" x14ac:dyDescent="0.25">
      <c r="A279" t="s">
        <v>2199</v>
      </c>
      <c r="B279" t="s">
        <v>28</v>
      </c>
      <c r="C279" t="s">
        <v>1708</v>
      </c>
      <c r="D279" t="s">
        <v>1709</v>
      </c>
      <c r="E279" t="s">
        <v>958</v>
      </c>
      <c r="F279" t="s">
        <v>959</v>
      </c>
      <c r="G279" s="2">
        <v>550000</v>
      </c>
    </row>
    <row r="280" spans="1:7" x14ac:dyDescent="0.25">
      <c r="A280" t="s">
        <v>2199</v>
      </c>
      <c r="B280" t="s">
        <v>28</v>
      </c>
      <c r="C280" t="s">
        <v>1712</v>
      </c>
      <c r="D280" t="s">
        <v>1713</v>
      </c>
      <c r="E280" t="s">
        <v>1572</v>
      </c>
      <c r="F280" t="s">
        <v>1573</v>
      </c>
      <c r="G280" s="2">
        <v>783090</v>
      </c>
    </row>
    <row r="281" spans="1:7" x14ac:dyDescent="0.25">
      <c r="A281" t="s">
        <v>2199</v>
      </c>
      <c r="B281" t="s">
        <v>28</v>
      </c>
      <c r="C281" t="s">
        <v>1715</v>
      </c>
      <c r="D281" t="s">
        <v>1716</v>
      </c>
      <c r="E281" t="s">
        <v>958</v>
      </c>
      <c r="F281" t="s">
        <v>959</v>
      </c>
      <c r="G281" s="2">
        <v>60000</v>
      </c>
    </row>
    <row r="282" spans="1:7" x14ac:dyDescent="0.25">
      <c r="A282" t="s">
        <v>2199</v>
      </c>
      <c r="B282" t="s">
        <v>28</v>
      </c>
      <c r="C282" t="s">
        <v>1718</v>
      </c>
      <c r="D282" t="s">
        <v>1719</v>
      </c>
      <c r="E282" t="s">
        <v>1723</v>
      </c>
      <c r="F282" t="s">
        <v>154</v>
      </c>
      <c r="G282" s="2">
        <v>0</v>
      </c>
    </row>
    <row r="283" spans="1:7" x14ac:dyDescent="0.25">
      <c r="A283" t="s">
        <v>2199</v>
      </c>
      <c r="B283" t="s">
        <v>28</v>
      </c>
      <c r="C283" t="s">
        <v>1725</v>
      </c>
      <c r="D283" t="s">
        <v>1726</v>
      </c>
      <c r="E283" t="s">
        <v>1211</v>
      </c>
      <c r="F283" t="s">
        <v>320</v>
      </c>
      <c r="G283" s="2">
        <v>900000</v>
      </c>
    </row>
    <row r="284" spans="1:7" x14ac:dyDescent="0.25">
      <c r="A284" t="s">
        <v>2199</v>
      </c>
      <c r="B284" t="s">
        <v>28</v>
      </c>
      <c r="C284" t="s">
        <v>1728</v>
      </c>
      <c r="D284" t="s">
        <v>1729</v>
      </c>
      <c r="E284" t="s">
        <v>1211</v>
      </c>
      <c r="F284" t="s">
        <v>320</v>
      </c>
      <c r="G284" s="2">
        <v>1500000</v>
      </c>
    </row>
    <row r="285" spans="1:7" x14ac:dyDescent="0.25">
      <c r="A285" t="s">
        <v>2199</v>
      </c>
      <c r="B285" t="s">
        <v>28</v>
      </c>
      <c r="C285" t="s">
        <v>1731</v>
      </c>
      <c r="D285" t="s">
        <v>1732</v>
      </c>
      <c r="E285" t="s">
        <v>1572</v>
      </c>
      <c r="F285" t="s">
        <v>1573</v>
      </c>
      <c r="G285" s="2">
        <v>726450</v>
      </c>
    </row>
    <row r="286" spans="1:7" x14ac:dyDescent="0.25">
      <c r="A286" t="s">
        <v>2199</v>
      </c>
      <c r="B286" t="s">
        <v>28</v>
      </c>
      <c r="C286" t="s">
        <v>1734</v>
      </c>
      <c r="D286" t="s">
        <v>1736</v>
      </c>
      <c r="E286" t="s">
        <v>624</v>
      </c>
      <c r="F286" t="s">
        <v>625</v>
      </c>
      <c r="G286" s="2">
        <v>5000000</v>
      </c>
    </row>
    <row r="287" spans="1:7" x14ac:dyDescent="0.25">
      <c r="A287" t="s">
        <v>2199</v>
      </c>
      <c r="B287" t="s">
        <v>28</v>
      </c>
      <c r="C287" t="s">
        <v>1738</v>
      </c>
      <c r="D287" t="s">
        <v>1739</v>
      </c>
      <c r="E287" t="s">
        <v>1723</v>
      </c>
      <c r="F287" t="s">
        <v>154</v>
      </c>
      <c r="G287" s="2">
        <v>500000</v>
      </c>
    </row>
    <row r="288" spans="1:7" x14ac:dyDescent="0.25">
      <c r="A288" t="s">
        <v>2199</v>
      </c>
      <c r="B288" t="s">
        <v>28</v>
      </c>
      <c r="C288" t="s">
        <v>1741</v>
      </c>
      <c r="D288" t="s">
        <v>1742</v>
      </c>
      <c r="E288" t="s">
        <v>1744</v>
      </c>
      <c r="F288" t="s">
        <v>1745</v>
      </c>
      <c r="G288" s="2">
        <v>316013</v>
      </c>
    </row>
    <row r="289" spans="1:7" x14ac:dyDescent="0.25">
      <c r="A289" t="s">
        <v>2199</v>
      </c>
      <c r="B289" t="s">
        <v>28</v>
      </c>
      <c r="C289" t="s">
        <v>1748</v>
      </c>
      <c r="D289" t="s">
        <v>1749</v>
      </c>
      <c r="E289" t="s">
        <v>1752</v>
      </c>
      <c r="F289" t="s">
        <v>1753</v>
      </c>
      <c r="G289" s="2">
        <v>10000000</v>
      </c>
    </row>
    <row r="290" spans="1:7" x14ac:dyDescent="0.25">
      <c r="A290" t="s">
        <v>2199</v>
      </c>
      <c r="B290" t="s">
        <v>28</v>
      </c>
      <c r="C290" t="s">
        <v>1756</v>
      </c>
      <c r="D290" t="s">
        <v>1757</v>
      </c>
      <c r="E290" t="s">
        <v>1759</v>
      </c>
      <c r="F290" t="s">
        <v>1760</v>
      </c>
      <c r="G290" s="2">
        <v>15000018</v>
      </c>
    </row>
    <row r="291" spans="1:7" x14ac:dyDescent="0.25">
      <c r="A291" t="s">
        <v>2199</v>
      </c>
      <c r="B291" t="s">
        <v>28</v>
      </c>
      <c r="C291" t="s">
        <v>1763</v>
      </c>
      <c r="D291" t="s">
        <v>1764</v>
      </c>
      <c r="E291" t="s">
        <v>1759</v>
      </c>
      <c r="F291" t="s">
        <v>1760</v>
      </c>
      <c r="G291" s="2">
        <v>30000000</v>
      </c>
    </row>
    <row r="292" spans="1:7" x14ac:dyDescent="0.25">
      <c r="A292" t="s">
        <v>2199</v>
      </c>
      <c r="B292" t="s">
        <v>28</v>
      </c>
      <c r="C292" t="s">
        <v>1767</v>
      </c>
      <c r="D292" t="s">
        <v>1768</v>
      </c>
      <c r="E292" t="s">
        <v>1642</v>
      </c>
      <c r="F292" t="s">
        <v>1643</v>
      </c>
      <c r="G292" s="2">
        <v>280000</v>
      </c>
    </row>
    <row r="293" spans="1:7" x14ac:dyDescent="0.25">
      <c r="A293" t="s">
        <v>2199</v>
      </c>
      <c r="B293" t="s">
        <v>28</v>
      </c>
      <c r="C293" t="s">
        <v>1770</v>
      </c>
      <c r="D293" t="s">
        <v>1771</v>
      </c>
      <c r="E293" t="s">
        <v>1773</v>
      </c>
      <c r="F293" t="s">
        <v>1774</v>
      </c>
      <c r="G293" s="2">
        <v>7000000</v>
      </c>
    </row>
    <row r="294" spans="1:7" x14ac:dyDescent="0.25">
      <c r="A294" t="s">
        <v>2199</v>
      </c>
      <c r="B294" t="s">
        <v>28</v>
      </c>
      <c r="C294" t="s">
        <v>1777</v>
      </c>
      <c r="D294" t="s">
        <v>1778</v>
      </c>
      <c r="E294" t="s">
        <v>1744</v>
      </c>
      <c r="F294" t="s">
        <v>1745</v>
      </c>
      <c r="G294" s="2">
        <v>1200000</v>
      </c>
    </row>
    <row r="295" spans="1:7" x14ac:dyDescent="0.25">
      <c r="A295" t="s">
        <v>2199</v>
      </c>
      <c r="B295" t="s">
        <v>28</v>
      </c>
      <c r="C295" t="s">
        <v>1780</v>
      </c>
      <c r="D295" t="s">
        <v>1781</v>
      </c>
      <c r="E295" t="s">
        <v>1744</v>
      </c>
      <c r="F295" t="s">
        <v>1745</v>
      </c>
      <c r="G295" s="2">
        <v>150100</v>
      </c>
    </row>
    <row r="296" spans="1:7" x14ac:dyDescent="0.25">
      <c r="A296" t="s">
        <v>2199</v>
      </c>
      <c r="B296" t="s">
        <v>28</v>
      </c>
      <c r="C296" t="s">
        <v>1783</v>
      </c>
      <c r="D296" t="s">
        <v>1784</v>
      </c>
      <c r="E296" t="s">
        <v>1773</v>
      </c>
      <c r="F296" t="s">
        <v>1774</v>
      </c>
      <c r="G296" s="2">
        <v>1500000</v>
      </c>
    </row>
    <row r="297" spans="1:7" x14ac:dyDescent="0.25">
      <c r="A297" t="s">
        <v>2199</v>
      </c>
      <c r="B297" t="s">
        <v>28</v>
      </c>
      <c r="C297" t="s">
        <v>1787</v>
      </c>
      <c r="D297" t="s">
        <v>1788</v>
      </c>
      <c r="E297" t="s">
        <v>1642</v>
      </c>
      <c r="F297" t="s">
        <v>1643</v>
      </c>
      <c r="G297" s="2">
        <v>118548</v>
      </c>
    </row>
    <row r="298" spans="1:7" x14ac:dyDescent="0.25">
      <c r="A298" t="s">
        <v>2199</v>
      </c>
      <c r="B298" t="s">
        <v>28</v>
      </c>
      <c r="C298" t="s">
        <v>1790</v>
      </c>
      <c r="D298" t="s">
        <v>1791</v>
      </c>
      <c r="E298" t="s">
        <v>1773</v>
      </c>
      <c r="F298" t="s">
        <v>1774</v>
      </c>
      <c r="G298" s="2">
        <v>1000000</v>
      </c>
    </row>
    <row r="299" spans="1:7" x14ac:dyDescent="0.25">
      <c r="A299" t="s">
        <v>2199</v>
      </c>
      <c r="B299" t="s">
        <v>28</v>
      </c>
      <c r="C299" t="s">
        <v>1793</v>
      </c>
      <c r="D299" t="s">
        <v>1794</v>
      </c>
      <c r="E299" t="s">
        <v>1797</v>
      </c>
      <c r="F299" t="s">
        <v>1798</v>
      </c>
      <c r="G299" s="2">
        <v>110000</v>
      </c>
    </row>
    <row r="300" spans="1:7" x14ac:dyDescent="0.25">
      <c r="A300" t="s">
        <v>2199</v>
      </c>
      <c r="B300" t="s">
        <v>28</v>
      </c>
      <c r="C300" t="s">
        <v>1802</v>
      </c>
      <c r="D300" t="s">
        <v>1803</v>
      </c>
      <c r="E300" t="s">
        <v>1805</v>
      </c>
      <c r="F300" t="s">
        <v>523</v>
      </c>
      <c r="G300" s="2">
        <v>600000</v>
      </c>
    </row>
    <row r="301" spans="1:7" x14ac:dyDescent="0.25">
      <c r="A301" t="s">
        <v>2199</v>
      </c>
      <c r="B301" t="s">
        <v>28</v>
      </c>
      <c r="C301" t="s">
        <v>1807</v>
      </c>
      <c r="D301" t="s">
        <v>1808</v>
      </c>
      <c r="E301" t="s">
        <v>1752</v>
      </c>
      <c r="F301" t="s">
        <v>1753</v>
      </c>
      <c r="G301" s="2">
        <v>10000000</v>
      </c>
    </row>
    <row r="302" spans="1:7" x14ac:dyDescent="0.25">
      <c r="A302" t="s">
        <v>2199</v>
      </c>
      <c r="B302" t="s">
        <v>28</v>
      </c>
      <c r="C302" t="s">
        <v>1811</v>
      </c>
      <c r="D302" t="s">
        <v>1812</v>
      </c>
      <c r="E302" t="s">
        <v>1797</v>
      </c>
      <c r="F302" t="s">
        <v>1798</v>
      </c>
      <c r="G302" s="2">
        <v>500000</v>
      </c>
    </row>
    <row r="303" spans="1:7" x14ac:dyDescent="0.25">
      <c r="A303" t="s">
        <v>2199</v>
      </c>
      <c r="B303" t="s">
        <v>28</v>
      </c>
      <c r="C303" t="s">
        <v>1815</v>
      </c>
      <c r="D303" t="s">
        <v>1816</v>
      </c>
      <c r="E303" t="s">
        <v>1642</v>
      </c>
      <c r="F303" t="s">
        <v>1643</v>
      </c>
      <c r="G303" s="2">
        <v>450008</v>
      </c>
    </row>
    <row r="304" spans="1:7" x14ac:dyDescent="0.25">
      <c r="A304" t="s">
        <v>2199</v>
      </c>
      <c r="B304" t="s">
        <v>28</v>
      </c>
      <c r="C304" t="s">
        <v>1818</v>
      </c>
      <c r="D304" t="s">
        <v>1819</v>
      </c>
      <c r="E304" t="s">
        <v>1723</v>
      </c>
      <c r="F304" t="s">
        <v>154</v>
      </c>
      <c r="G304" s="2">
        <v>700000</v>
      </c>
    </row>
    <row r="305" spans="1:7" x14ac:dyDescent="0.25">
      <c r="A305" t="s">
        <v>2199</v>
      </c>
      <c r="B305" t="s">
        <v>28</v>
      </c>
      <c r="C305" t="s">
        <v>1821</v>
      </c>
      <c r="D305" t="s">
        <v>1822</v>
      </c>
      <c r="E305" t="s">
        <v>1723</v>
      </c>
      <c r="F305" t="s">
        <v>154</v>
      </c>
      <c r="G305" s="2">
        <v>2000160</v>
      </c>
    </row>
    <row r="306" spans="1:7" x14ac:dyDescent="0.25">
      <c r="A306" t="s">
        <v>2199</v>
      </c>
      <c r="B306" t="s">
        <v>28</v>
      </c>
      <c r="C306" t="s">
        <v>1824</v>
      </c>
      <c r="D306" t="s">
        <v>1825</v>
      </c>
      <c r="E306" t="s">
        <v>1805</v>
      </c>
      <c r="F306" t="s">
        <v>523</v>
      </c>
      <c r="G306" s="2">
        <v>420000</v>
      </c>
    </row>
    <row r="307" spans="1:7" x14ac:dyDescent="0.25">
      <c r="A307" t="s">
        <v>2199</v>
      </c>
      <c r="B307" t="s">
        <v>28</v>
      </c>
      <c r="C307" t="s">
        <v>1832</v>
      </c>
      <c r="D307" t="s">
        <v>1833</v>
      </c>
      <c r="E307" t="s">
        <v>1642</v>
      </c>
      <c r="F307" t="s">
        <v>1643</v>
      </c>
      <c r="G307" s="2">
        <v>1000000</v>
      </c>
    </row>
    <row r="308" spans="1:7" x14ac:dyDescent="0.25">
      <c r="A308" t="s">
        <v>2199</v>
      </c>
      <c r="B308" t="s">
        <v>28</v>
      </c>
      <c r="C308" t="s">
        <v>1835</v>
      </c>
      <c r="D308" t="s">
        <v>1836</v>
      </c>
      <c r="E308" t="s">
        <v>1642</v>
      </c>
      <c r="F308" t="s">
        <v>1643</v>
      </c>
      <c r="G308" s="2">
        <v>440040</v>
      </c>
    </row>
    <row r="309" spans="1:7" x14ac:dyDescent="0.25">
      <c r="A309" t="s">
        <v>2199</v>
      </c>
      <c r="B309" t="s">
        <v>28</v>
      </c>
      <c r="C309" t="s">
        <v>1839</v>
      </c>
      <c r="D309" t="s">
        <v>1840</v>
      </c>
      <c r="E309" t="s">
        <v>1572</v>
      </c>
      <c r="F309" t="s">
        <v>1573</v>
      </c>
      <c r="G309" s="2">
        <v>2578000</v>
      </c>
    </row>
    <row r="310" spans="1:7" x14ac:dyDescent="0.25">
      <c r="A310" t="s">
        <v>2199</v>
      </c>
      <c r="B310" t="s">
        <v>28</v>
      </c>
      <c r="C310" t="s">
        <v>1842</v>
      </c>
      <c r="D310" t="s">
        <v>1843</v>
      </c>
      <c r="E310" t="s">
        <v>122</v>
      </c>
      <c r="F310" t="s">
        <v>544</v>
      </c>
      <c r="G310" s="2">
        <v>3000000</v>
      </c>
    </row>
    <row r="311" spans="1:7" x14ac:dyDescent="0.25">
      <c r="A311" t="s">
        <v>2199</v>
      </c>
      <c r="B311" t="s">
        <v>28</v>
      </c>
      <c r="C311" t="s">
        <v>1845</v>
      </c>
      <c r="D311" t="s">
        <v>1846</v>
      </c>
      <c r="E311" t="s">
        <v>1572</v>
      </c>
      <c r="F311" t="s">
        <v>1573</v>
      </c>
      <c r="G311" s="2">
        <v>1428000</v>
      </c>
    </row>
    <row r="312" spans="1:7" x14ac:dyDescent="0.25">
      <c r="A312" t="s">
        <v>2199</v>
      </c>
      <c r="B312" t="s">
        <v>28</v>
      </c>
      <c r="C312" t="s">
        <v>1848</v>
      </c>
      <c r="D312" t="s">
        <v>1849</v>
      </c>
      <c r="E312" t="s">
        <v>414</v>
      </c>
      <c r="F312" t="s">
        <v>1852</v>
      </c>
      <c r="G312" s="2">
        <v>9000000</v>
      </c>
    </row>
    <row r="313" spans="1:7" x14ac:dyDescent="0.25">
      <c r="A313" t="s">
        <v>2199</v>
      </c>
      <c r="B313" t="s">
        <v>28</v>
      </c>
      <c r="C313" t="s">
        <v>1853</v>
      </c>
      <c r="D313" t="s">
        <v>1854</v>
      </c>
      <c r="E313" t="s">
        <v>1445</v>
      </c>
      <c r="F313" t="s">
        <v>1446</v>
      </c>
      <c r="G313" s="2">
        <v>3000000</v>
      </c>
    </row>
    <row r="314" spans="1:7" x14ac:dyDescent="0.25">
      <c r="A314" t="s">
        <v>2199</v>
      </c>
      <c r="B314" t="s">
        <v>28</v>
      </c>
      <c r="C314" t="s">
        <v>1856</v>
      </c>
      <c r="D314" t="s">
        <v>1857</v>
      </c>
      <c r="E314" t="s">
        <v>761</v>
      </c>
      <c r="F314" t="s">
        <v>762</v>
      </c>
      <c r="G314" s="2">
        <v>1250000</v>
      </c>
    </row>
    <row r="315" spans="1:7" x14ac:dyDescent="0.25">
      <c r="A315" t="s">
        <v>2199</v>
      </c>
      <c r="B315" t="s">
        <v>28</v>
      </c>
      <c r="C315" t="s">
        <v>1860</v>
      </c>
      <c r="D315" t="s">
        <v>1861</v>
      </c>
      <c r="E315" t="s">
        <v>1797</v>
      </c>
      <c r="F315" t="s">
        <v>1798</v>
      </c>
      <c r="G315" s="2">
        <v>449086</v>
      </c>
    </row>
    <row r="316" spans="1:7" x14ac:dyDescent="0.25">
      <c r="A316" t="s">
        <v>2199</v>
      </c>
      <c r="B316" t="s">
        <v>28</v>
      </c>
      <c r="C316" t="s">
        <v>1865</v>
      </c>
      <c r="D316" t="s">
        <v>1866</v>
      </c>
      <c r="E316" t="s">
        <v>1868</v>
      </c>
      <c r="F316" t="s">
        <v>1869</v>
      </c>
      <c r="G316" s="2">
        <v>506850</v>
      </c>
    </row>
    <row r="317" spans="1:7" x14ac:dyDescent="0.25">
      <c r="A317" t="s">
        <v>2199</v>
      </c>
      <c r="B317" t="s">
        <v>28</v>
      </c>
      <c r="C317" t="s">
        <v>1872</v>
      </c>
      <c r="D317" t="s">
        <v>1873</v>
      </c>
      <c r="E317" t="s">
        <v>1875</v>
      </c>
      <c r="F317" t="s">
        <v>1876</v>
      </c>
      <c r="G317" s="2">
        <v>505068</v>
      </c>
    </row>
    <row r="318" spans="1:7" x14ac:dyDescent="0.25">
      <c r="A318" t="s">
        <v>2199</v>
      </c>
      <c r="B318" t="s">
        <v>28</v>
      </c>
      <c r="C318" t="s">
        <v>1879</v>
      </c>
      <c r="D318" t="s">
        <v>1880</v>
      </c>
      <c r="E318" t="s">
        <v>768</v>
      </c>
      <c r="F318" t="s">
        <v>966</v>
      </c>
      <c r="G318" s="2">
        <v>12000000</v>
      </c>
    </row>
    <row r="319" spans="1:7" x14ac:dyDescent="0.25">
      <c r="A319" t="s">
        <v>2199</v>
      </c>
      <c r="B319" t="s">
        <v>28</v>
      </c>
      <c r="C319" t="s">
        <v>1883</v>
      </c>
      <c r="D319" t="s">
        <v>1884</v>
      </c>
      <c r="E319" t="s">
        <v>1759</v>
      </c>
      <c r="F319" t="s">
        <v>1760</v>
      </c>
      <c r="G319" s="2">
        <v>3550000</v>
      </c>
    </row>
    <row r="320" spans="1:7" x14ac:dyDescent="0.25">
      <c r="A320" t="s">
        <v>2199</v>
      </c>
      <c r="B320" t="s">
        <v>28</v>
      </c>
      <c r="C320" t="s">
        <v>1890</v>
      </c>
      <c r="D320" t="s">
        <v>1891</v>
      </c>
      <c r="E320" t="s">
        <v>1893</v>
      </c>
      <c r="F320" t="s">
        <v>1894</v>
      </c>
      <c r="G320" s="2">
        <v>70000</v>
      </c>
    </row>
    <row r="321" spans="1:7" x14ac:dyDescent="0.25">
      <c r="A321" t="s">
        <v>2199</v>
      </c>
      <c r="B321" t="s">
        <v>28</v>
      </c>
      <c r="C321" t="s">
        <v>1897</v>
      </c>
      <c r="D321" t="s">
        <v>1898</v>
      </c>
      <c r="E321" t="s">
        <v>1797</v>
      </c>
      <c r="F321" t="s">
        <v>1798</v>
      </c>
      <c r="G321" s="2">
        <v>335000</v>
      </c>
    </row>
    <row r="322" spans="1:7" x14ac:dyDescent="0.25">
      <c r="A322" t="s">
        <v>2199</v>
      </c>
      <c r="B322" t="s">
        <v>28</v>
      </c>
      <c r="C322" t="s">
        <v>1901</v>
      </c>
      <c r="D322" t="s">
        <v>1903</v>
      </c>
      <c r="E322" t="s">
        <v>761</v>
      </c>
      <c r="F322" t="s">
        <v>762</v>
      </c>
      <c r="G322" s="2">
        <v>6517038</v>
      </c>
    </row>
    <row r="323" spans="1:7" x14ac:dyDescent="0.25">
      <c r="A323" t="s">
        <v>2199</v>
      </c>
      <c r="B323" t="s">
        <v>28</v>
      </c>
      <c r="C323" t="s">
        <v>1908</v>
      </c>
      <c r="D323" t="s">
        <v>1909</v>
      </c>
      <c r="E323" t="s">
        <v>1797</v>
      </c>
      <c r="F323" t="s">
        <v>1798</v>
      </c>
      <c r="G323" s="2">
        <v>170000</v>
      </c>
    </row>
    <row r="324" spans="1:7" x14ac:dyDescent="0.25">
      <c r="A324" t="s">
        <v>2199</v>
      </c>
      <c r="B324" t="s">
        <v>28</v>
      </c>
      <c r="C324" t="s">
        <v>1911</v>
      </c>
      <c r="D324" t="s">
        <v>1912</v>
      </c>
      <c r="E324" t="s">
        <v>1893</v>
      </c>
      <c r="F324" t="s">
        <v>1894</v>
      </c>
      <c r="G324" s="2">
        <v>100000</v>
      </c>
    </row>
    <row r="325" spans="1:7" x14ac:dyDescent="0.25">
      <c r="A325" t="s">
        <v>2199</v>
      </c>
      <c r="B325" t="s">
        <v>28</v>
      </c>
      <c r="C325" t="s">
        <v>1914</v>
      </c>
      <c r="D325" t="s">
        <v>1916</v>
      </c>
      <c r="E325" t="s">
        <v>1445</v>
      </c>
      <c r="F325" t="s">
        <v>1446</v>
      </c>
      <c r="G325" s="2">
        <v>220000</v>
      </c>
    </row>
    <row r="326" spans="1:7" x14ac:dyDescent="0.25">
      <c r="A326" t="s">
        <v>2199</v>
      </c>
      <c r="B326" t="s">
        <v>28</v>
      </c>
      <c r="C326" t="s">
        <v>1921</v>
      </c>
      <c r="D326" t="s">
        <v>1922</v>
      </c>
      <c r="E326" t="s">
        <v>1924</v>
      </c>
      <c r="F326" t="s">
        <v>1869</v>
      </c>
      <c r="G326" s="2">
        <v>511508</v>
      </c>
    </row>
    <row r="327" spans="1:7" x14ac:dyDescent="0.25">
      <c r="A327" t="s">
        <v>2199</v>
      </c>
      <c r="B327" t="s">
        <v>28</v>
      </c>
      <c r="C327" t="s">
        <v>1927</v>
      </c>
      <c r="D327" t="s">
        <v>1928</v>
      </c>
      <c r="E327" t="s">
        <v>1931</v>
      </c>
      <c r="F327" t="s">
        <v>1932</v>
      </c>
      <c r="G327" s="2">
        <v>207808160</v>
      </c>
    </row>
    <row r="328" spans="1:7" x14ac:dyDescent="0.25">
      <c r="A328" t="s">
        <v>2199</v>
      </c>
      <c r="B328" t="s">
        <v>28</v>
      </c>
      <c r="C328" t="s">
        <v>1942</v>
      </c>
      <c r="D328" t="s">
        <v>1943</v>
      </c>
      <c r="E328" t="s">
        <v>761</v>
      </c>
      <c r="F328" t="s">
        <v>762</v>
      </c>
      <c r="G328" s="2">
        <v>1793388</v>
      </c>
    </row>
    <row r="329" spans="1:7" x14ac:dyDescent="0.25">
      <c r="A329" t="s">
        <v>2199</v>
      </c>
      <c r="B329" t="s">
        <v>28</v>
      </c>
      <c r="C329" t="s">
        <v>1948</v>
      </c>
      <c r="D329" t="s">
        <v>1949</v>
      </c>
      <c r="E329" t="s">
        <v>414</v>
      </c>
      <c r="F329" t="s">
        <v>1852</v>
      </c>
      <c r="G329" s="2">
        <v>10002100</v>
      </c>
    </row>
    <row r="330" spans="1:7" x14ac:dyDescent="0.25">
      <c r="A330" t="s">
        <v>2199</v>
      </c>
      <c r="B330" t="s">
        <v>28</v>
      </c>
      <c r="C330" t="s">
        <v>1951</v>
      </c>
      <c r="D330" t="s">
        <v>1952</v>
      </c>
      <c r="E330" t="s">
        <v>761</v>
      </c>
      <c r="F330" t="s">
        <v>762</v>
      </c>
      <c r="G330" s="2">
        <v>1149277</v>
      </c>
    </row>
    <row r="331" spans="1:7" x14ac:dyDescent="0.25">
      <c r="A331" t="s">
        <v>2199</v>
      </c>
      <c r="B331" t="s">
        <v>28</v>
      </c>
      <c r="C331" t="s">
        <v>1955</v>
      </c>
      <c r="D331" t="s">
        <v>1956</v>
      </c>
      <c r="E331" t="s">
        <v>414</v>
      </c>
      <c r="F331" t="s">
        <v>1852</v>
      </c>
      <c r="G331" s="2">
        <v>5560000</v>
      </c>
    </row>
    <row r="332" spans="1:7" x14ac:dyDescent="0.25">
      <c r="A332" t="s">
        <v>2199</v>
      </c>
      <c r="B332" t="s">
        <v>28</v>
      </c>
      <c r="C332" t="s">
        <v>1960</v>
      </c>
      <c r="D332" t="s">
        <v>1961</v>
      </c>
      <c r="E332" t="s">
        <v>1963</v>
      </c>
      <c r="F332" t="s">
        <v>1964</v>
      </c>
      <c r="G332" s="2">
        <v>920000</v>
      </c>
    </row>
    <row r="333" spans="1:7" x14ac:dyDescent="0.25">
      <c r="A333" t="s">
        <v>2199</v>
      </c>
      <c r="B333" t="s">
        <v>28</v>
      </c>
      <c r="C333" t="s">
        <v>1976</v>
      </c>
      <c r="D333" t="s">
        <v>1977</v>
      </c>
      <c r="E333" t="s">
        <v>1660</v>
      </c>
      <c r="F333" t="s">
        <v>1980</v>
      </c>
      <c r="G333" s="2">
        <v>15984280</v>
      </c>
    </row>
    <row r="334" spans="1:7" x14ac:dyDescent="0.25">
      <c r="A334" t="s">
        <v>2199</v>
      </c>
      <c r="B334" t="s">
        <v>28</v>
      </c>
      <c r="C334" t="s">
        <v>1981</v>
      </c>
      <c r="D334" t="s">
        <v>1982</v>
      </c>
      <c r="E334" t="s">
        <v>1985</v>
      </c>
      <c r="F334" t="s">
        <v>1986</v>
      </c>
      <c r="G334" s="2">
        <v>901000</v>
      </c>
    </row>
    <row r="335" spans="1:7" x14ac:dyDescent="0.25">
      <c r="A335" t="s">
        <v>2199</v>
      </c>
      <c r="B335" t="s">
        <v>28</v>
      </c>
      <c r="C335" t="s">
        <v>1990</v>
      </c>
      <c r="D335" t="s">
        <v>1991</v>
      </c>
      <c r="E335" t="s">
        <v>414</v>
      </c>
      <c r="F335" t="s">
        <v>1852</v>
      </c>
      <c r="G335" s="2">
        <v>3500000</v>
      </c>
    </row>
    <row r="336" spans="1:7" x14ac:dyDescent="0.25">
      <c r="A336" t="s">
        <v>2199</v>
      </c>
      <c r="B336" t="s">
        <v>28</v>
      </c>
      <c r="C336" t="s">
        <v>1993</v>
      </c>
      <c r="D336" t="s">
        <v>1994</v>
      </c>
      <c r="E336" t="s">
        <v>414</v>
      </c>
      <c r="F336" t="s">
        <v>1996</v>
      </c>
      <c r="G336" s="2">
        <v>15135390</v>
      </c>
    </row>
    <row r="337" spans="1:7" x14ac:dyDescent="0.25">
      <c r="A337" t="s">
        <v>2199</v>
      </c>
      <c r="B337" t="s">
        <v>28</v>
      </c>
      <c r="C337" t="s">
        <v>1997</v>
      </c>
      <c r="D337" t="s">
        <v>1998</v>
      </c>
      <c r="E337" t="s">
        <v>1985</v>
      </c>
      <c r="F337" t="s">
        <v>1986</v>
      </c>
      <c r="G337" s="2">
        <v>1200000</v>
      </c>
    </row>
    <row r="338" spans="1:7" x14ac:dyDescent="0.25">
      <c r="A338" t="s">
        <v>2199</v>
      </c>
      <c r="B338" t="s">
        <v>28</v>
      </c>
      <c r="C338" t="s">
        <v>2000</v>
      </c>
      <c r="D338" t="s">
        <v>2001</v>
      </c>
      <c r="E338" t="s">
        <v>1985</v>
      </c>
      <c r="F338" t="s">
        <v>1986</v>
      </c>
      <c r="G338" s="2">
        <v>20000000</v>
      </c>
    </row>
    <row r="339" spans="1:7" x14ac:dyDescent="0.25">
      <c r="A339" t="s">
        <v>2199</v>
      </c>
      <c r="B339" t="s">
        <v>28</v>
      </c>
      <c r="C339" t="s">
        <v>2005</v>
      </c>
      <c r="D339" t="s">
        <v>2006</v>
      </c>
      <c r="E339" t="s">
        <v>1469</v>
      </c>
      <c r="F339" t="s">
        <v>2008</v>
      </c>
      <c r="G339" s="2">
        <v>911311</v>
      </c>
    </row>
    <row r="340" spans="1:7" x14ac:dyDescent="0.25">
      <c r="A340" t="s">
        <v>2199</v>
      </c>
      <c r="B340" t="s">
        <v>28</v>
      </c>
      <c r="C340" t="s">
        <v>2011</v>
      </c>
      <c r="D340" t="s">
        <v>2012</v>
      </c>
      <c r="E340" t="s">
        <v>1985</v>
      </c>
      <c r="F340" t="s">
        <v>1986</v>
      </c>
      <c r="G340" s="2">
        <v>50008000</v>
      </c>
    </row>
    <row r="341" spans="1:7" x14ac:dyDescent="0.25">
      <c r="A341" t="s">
        <v>2199</v>
      </c>
      <c r="B341" t="s">
        <v>28</v>
      </c>
      <c r="C341" t="s">
        <v>2016</v>
      </c>
      <c r="D341" t="s">
        <v>2017</v>
      </c>
      <c r="E341" t="s">
        <v>1963</v>
      </c>
      <c r="F341" t="s">
        <v>1964</v>
      </c>
      <c r="G341" s="2">
        <v>230032</v>
      </c>
    </row>
    <row r="342" spans="1:7" x14ac:dyDescent="0.25">
      <c r="A342" t="s">
        <v>2199</v>
      </c>
      <c r="B342" t="s">
        <v>28</v>
      </c>
      <c r="C342" t="s">
        <v>2020</v>
      </c>
      <c r="D342" t="s">
        <v>2021</v>
      </c>
      <c r="E342" t="s">
        <v>1985</v>
      </c>
      <c r="F342" t="s">
        <v>1986</v>
      </c>
      <c r="G342" s="2">
        <v>700005</v>
      </c>
    </row>
    <row r="343" spans="1:7" x14ac:dyDescent="0.25">
      <c r="A343" t="s">
        <v>2199</v>
      </c>
      <c r="B343" t="s">
        <v>28</v>
      </c>
      <c r="C343" t="s">
        <v>2024</v>
      </c>
      <c r="D343" t="s">
        <v>2025</v>
      </c>
      <c r="E343" t="s">
        <v>1985</v>
      </c>
      <c r="F343" t="s">
        <v>1986</v>
      </c>
      <c r="G343" s="2">
        <v>10000000</v>
      </c>
    </row>
    <row r="344" spans="1:7" x14ac:dyDescent="0.25">
      <c r="A344" t="s">
        <v>2199</v>
      </c>
      <c r="B344" t="s">
        <v>28</v>
      </c>
      <c r="C344" t="s">
        <v>2041</v>
      </c>
      <c r="D344" t="s">
        <v>2042</v>
      </c>
      <c r="E344" t="s">
        <v>657</v>
      </c>
      <c r="F344" t="s">
        <v>658</v>
      </c>
      <c r="G344" s="2">
        <v>2638010</v>
      </c>
    </row>
    <row r="345" spans="1:7" x14ac:dyDescent="0.25">
      <c r="A345" t="s">
        <v>2199</v>
      </c>
      <c r="B345" t="s">
        <v>28</v>
      </c>
      <c r="C345" t="s">
        <v>2047</v>
      </c>
      <c r="D345" t="s">
        <v>2048</v>
      </c>
      <c r="E345" t="s">
        <v>2051</v>
      </c>
      <c r="F345" t="s">
        <v>2052</v>
      </c>
      <c r="G345" s="2">
        <v>1248835</v>
      </c>
    </row>
    <row r="346" spans="1:7" x14ac:dyDescent="0.25">
      <c r="A346" t="s">
        <v>2199</v>
      </c>
      <c r="B346" t="s">
        <v>28</v>
      </c>
      <c r="C346" t="s">
        <v>2056</v>
      </c>
      <c r="D346" t="s">
        <v>2057</v>
      </c>
      <c r="E346" t="s">
        <v>1642</v>
      </c>
      <c r="F346" t="s">
        <v>1643</v>
      </c>
      <c r="G346" s="2">
        <v>883038</v>
      </c>
    </row>
    <row r="347" spans="1:7" x14ac:dyDescent="0.25">
      <c r="A347" t="s">
        <v>2199</v>
      </c>
      <c r="B347" t="s">
        <v>28</v>
      </c>
      <c r="C347" t="s">
        <v>2067</v>
      </c>
      <c r="D347" t="s">
        <v>2068</v>
      </c>
      <c r="E347" t="s">
        <v>590</v>
      </c>
      <c r="F347" t="s">
        <v>591</v>
      </c>
      <c r="G347" s="2">
        <v>490280</v>
      </c>
    </row>
    <row r="348" spans="1:7" x14ac:dyDescent="0.25">
      <c r="A348" t="s">
        <v>2199</v>
      </c>
      <c r="B348" t="s">
        <v>28</v>
      </c>
      <c r="C348" t="s">
        <v>2070</v>
      </c>
      <c r="D348" t="s">
        <v>2071</v>
      </c>
      <c r="E348" t="s">
        <v>1642</v>
      </c>
      <c r="F348" t="s">
        <v>1643</v>
      </c>
      <c r="G348" s="2">
        <v>70000</v>
      </c>
    </row>
    <row r="349" spans="1:7" x14ac:dyDescent="0.25">
      <c r="A349" t="s">
        <v>2199</v>
      </c>
      <c r="B349" t="s">
        <v>28</v>
      </c>
      <c r="C349" t="s">
        <v>2074</v>
      </c>
      <c r="D349" t="s">
        <v>788</v>
      </c>
      <c r="E349" t="s">
        <v>2076</v>
      </c>
      <c r="F349" t="s">
        <v>2077</v>
      </c>
      <c r="G349" s="2">
        <v>2473910</v>
      </c>
    </row>
    <row r="350" spans="1:7" x14ac:dyDescent="0.25">
      <c r="A350" t="s">
        <v>2199</v>
      </c>
      <c r="B350" t="s">
        <v>28</v>
      </c>
      <c r="C350" t="s">
        <v>2083</v>
      </c>
      <c r="D350" t="s">
        <v>1916</v>
      </c>
      <c r="E350" t="s">
        <v>1445</v>
      </c>
      <c r="F350" t="s">
        <v>1446</v>
      </c>
      <c r="G350" s="2">
        <v>200000</v>
      </c>
    </row>
    <row r="351" spans="1:7" x14ac:dyDescent="0.25">
      <c r="A351" t="s">
        <v>2199</v>
      </c>
      <c r="B351" t="s">
        <v>28</v>
      </c>
      <c r="C351" t="s">
        <v>2089</v>
      </c>
      <c r="D351" t="s">
        <v>2090</v>
      </c>
      <c r="E351" t="s">
        <v>761</v>
      </c>
      <c r="F351" t="s">
        <v>762</v>
      </c>
      <c r="G351" s="2">
        <v>3287930</v>
      </c>
    </row>
    <row r="352" spans="1:7" x14ac:dyDescent="0.25">
      <c r="A352" t="s">
        <v>2199</v>
      </c>
      <c r="B352" t="s">
        <v>28</v>
      </c>
      <c r="C352" t="s">
        <v>2097</v>
      </c>
      <c r="D352" t="s">
        <v>2098</v>
      </c>
      <c r="E352" t="s">
        <v>590</v>
      </c>
      <c r="F352" t="s">
        <v>591</v>
      </c>
      <c r="G352" s="2">
        <v>2173106</v>
      </c>
    </row>
    <row r="353" spans="1:7" x14ac:dyDescent="0.25">
      <c r="A353" t="s">
        <v>2199</v>
      </c>
      <c r="B353" t="s">
        <v>28</v>
      </c>
      <c r="C353" t="s">
        <v>2107</v>
      </c>
      <c r="D353" t="s">
        <v>2108</v>
      </c>
      <c r="E353" t="s">
        <v>761</v>
      </c>
      <c r="F353" t="s">
        <v>762</v>
      </c>
      <c r="G353" s="2">
        <v>2525004</v>
      </c>
    </row>
    <row r="354" spans="1:7" x14ac:dyDescent="0.25">
      <c r="A354" t="s">
        <v>2199</v>
      </c>
      <c r="B354" t="s">
        <v>28</v>
      </c>
      <c r="C354" t="s">
        <v>2115</v>
      </c>
      <c r="D354" t="s">
        <v>2116</v>
      </c>
      <c r="E354" t="s">
        <v>761</v>
      </c>
      <c r="F354" t="s">
        <v>762</v>
      </c>
      <c r="G354" s="2">
        <v>2225980</v>
      </c>
    </row>
    <row r="355" spans="1:7" x14ac:dyDescent="0.25">
      <c r="A355" t="s">
        <v>2199</v>
      </c>
      <c r="B355" t="s">
        <v>28</v>
      </c>
      <c r="C355" t="s">
        <v>2121</v>
      </c>
      <c r="D355" t="s">
        <v>2122</v>
      </c>
      <c r="E355" t="s">
        <v>2124</v>
      </c>
      <c r="F355" t="s">
        <v>1217</v>
      </c>
      <c r="G355" s="2">
        <v>29029170</v>
      </c>
    </row>
    <row r="356" spans="1:7" x14ac:dyDescent="0.25">
      <c r="A356" t="s">
        <v>2199</v>
      </c>
      <c r="B356" t="s">
        <v>28</v>
      </c>
      <c r="C356" t="s">
        <v>2144</v>
      </c>
      <c r="D356" t="s">
        <v>2145</v>
      </c>
      <c r="E356" t="s">
        <v>64</v>
      </c>
      <c r="F356" t="s">
        <v>65</v>
      </c>
      <c r="G356" s="2">
        <v>1953508</v>
      </c>
    </row>
    <row r="357" spans="1:7" x14ac:dyDescent="0.25">
      <c r="A357" t="s">
        <v>2199</v>
      </c>
      <c r="B357" t="s">
        <v>28</v>
      </c>
      <c r="C357" t="s">
        <v>2149</v>
      </c>
      <c r="D357" t="s">
        <v>2150</v>
      </c>
      <c r="E357" t="s">
        <v>2152</v>
      </c>
      <c r="F357" t="s">
        <v>2153</v>
      </c>
      <c r="G357" s="2">
        <v>6587696</v>
      </c>
    </row>
    <row r="358" spans="1:7" x14ac:dyDescent="0.25">
      <c r="A358" t="s">
        <v>2199</v>
      </c>
      <c r="B358" t="s">
        <v>28</v>
      </c>
      <c r="C358" t="s">
        <v>2156</v>
      </c>
      <c r="D358" t="s">
        <v>2157</v>
      </c>
      <c r="E358" t="s">
        <v>395</v>
      </c>
      <c r="F358" t="s">
        <v>1217</v>
      </c>
      <c r="G358" s="2">
        <v>821208</v>
      </c>
    </row>
    <row r="359" spans="1:7" x14ac:dyDescent="0.25">
      <c r="A359" t="s">
        <v>2199</v>
      </c>
      <c r="B359" t="s">
        <v>28</v>
      </c>
      <c r="C359" t="s">
        <v>2166</v>
      </c>
      <c r="D359" t="s">
        <v>2167</v>
      </c>
      <c r="E359" t="s">
        <v>64</v>
      </c>
      <c r="F359" t="s">
        <v>65</v>
      </c>
      <c r="G359" s="2">
        <v>395496</v>
      </c>
    </row>
    <row r="360" spans="1:7" x14ac:dyDescent="0.25">
      <c r="A360" t="s">
        <v>2199</v>
      </c>
      <c r="B360" t="s">
        <v>28</v>
      </c>
      <c r="C360" t="s">
        <v>2169</v>
      </c>
      <c r="D360" t="s">
        <v>2170</v>
      </c>
      <c r="E360" t="s">
        <v>2171</v>
      </c>
      <c r="F360" t="s">
        <v>2172</v>
      </c>
      <c r="G360" s="2">
        <v>1527348</v>
      </c>
    </row>
    <row r="361" spans="1:7" x14ac:dyDescent="0.25">
      <c r="A361" t="s">
        <v>2199</v>
      </c>
      <c r="B361" t="s">
        <v>28</v>
      </c>
      <c r="C361" t="s">
        <v>2174</v>
      </c>
      <c r="D361" t="s">
        <v>2175</v>
      </c>
      <c r="E361" t="s">
        <v>1893</v>
      </c>
      <c r="F361" t="s">
        <v>2177</v>
      </c>
      <c r="G361" s="2">
        <v>489000</v>
      </c>
    </row>
    <row r="362" spans="1:7" x14ac:dyDescent="0.25">
      <c r="A362" t="s">
        <v>2199</v>
      </c>
      <c r="B362" t="s">
        <v>28</v>
      </c>
      <c r="C362" t="s">
        <v>2178</v>
      </c>
      <c r="D362" t="s">
        <v>2179</v>
      </c>
      <c r="E362" t="s">
        <v>950</v>
      </c>
      <c r="F362" t="s">
        <v>951</v>
      </c>
      <c r="G362" s="2">
        <v>57500000</v>
      </c>
    </row>
    <row r="363" spans="1:7" x14ac:dyDescent="0.25">
      <c r="A363" t="s">
        <v>2199</v>
      </c>
      <c r="B363" t="s">
        <v>28</v>
      </c>
      <c r="C363" t="s">
        <v>2183</v>
      </c>
      <c r="D363" t="s">
        <v>2184</v>
      </c>
      <c r="E363" t="s">
        <v>761</v>
      </c>
      <c r="F363" t="s">
        <v>762</v>
      </c>
      <c r="G363" s="2">
        <v>11310771</v>
      </c>
    </row>
    <row r="364" spans="1:7" x14ac:dyDescent="0.25">
      <c r="A364" t="s">
        <v>2199</v>
      </c>
      <c r="B364" t="s">
        <v>567</v>
      </c>
      <c r="C364" t="s">
        <v>568</v>
      </c>
      <c r="D364" t="s">
        <v>570</v>
      </c>
      <c r="E364" t="s">
        <v>573</v>
      </c>
      <c r="F364" t="s">
        <v>574</v>
      </c>
      <c r="G364" s="2">
        <v>156000000</v>
      </c>
    </row>
    <row r="365" spans="1:7" x14ac:dyDescent="0.25">
      <c r="A365" t="s">
        <v>2199</v>
      </c>
      <c r="B365" t="s">
        <v>594</v>
      </c>
      <c r="C365" t="s">
        <v>1280</v>
      </c>
      <c r="D365" t="s">
        <v>1281</v>
      </c>
      <c r="E365" t="s">
        <v>624</v>
      </c>
      <c r="F365" t="s">
        <v>625</v>
      </c>
      <c r="G365" s="2">
        <v>25000000</v>
      </c>
    </row>
    <row r="366" spans="1:7" x14ac:dyDescent="0.25">
      <c r="A366" t="s">
        <v>2199</v>
      </c>
      <c r="B366" t="s">
        <v>594</v>
      </c>
      <c r="C366" t="s">
        <v>1283</v>
      </c>
      <c r="D366" t="s">
        <v>1284</v>
      </c>
      <c r="E366" t="s">
        <v>624</v>
      </c>
      <c r="F366" t="s">
        <v>625</v>
      </c>
      <c r="G366" s="2">
        <v>37000000</v>
      </c>
    </row>
    <row r="367" spans="1:7" x14ac:dyDescent="0.25">
      <c r="A367" t="s">
        <v>2199</v>
      </c>
      <c r="B367" t="s">
        <v>594</v>
      </c>
      <c r="C367" t="s">
        <v>1286</v>
      </c>
      <c r="D367" t="s">
        <v>1287</v>
      </c>
      <c r="E367" t="s">
        <v>624</v>
      </c>
      <c r="F367" t="s">
        <v>625</v>
      </c>
      <c r="G367" s="2">
        <v>60000000</v>
      </c>
    </row>
    <row r="368" spans="1:7" x14ac:dyDescent="0.25">
      <c r="A368" t="s">
        <v>2199</v>
      </c>
      <c r="B368" t="s">
        <v>594</v>
      </c>
      <c r="C368" t="s">
        <v>1355</v>
      </c>
      <c r="D368" t="s">
        <v>1356</v>
      </c>
      <c r="E368" t="s">
        <v>1299</v>
      </c>
      <c r="F368" t="s">
        <v>1300</v>
      </c>
      <c r="G368" s="2">
        <v>17187000</v>
      </c>
    </row>
    <row r="369" spans="1:7" x14ac:dyDescent="0.25">
      <c r="A369" t="s">
        <v>2199</v>
      </c>
      <c r="B369" t="s">
        <v>594</v>
      </c>
      <c r="C369" t="s">
        <v>1357</v>
      </c>
      <c r="D369" t="s">
        <v>1358</v>
      </c>
      <c r="E369" t="s">
        <v>1299</v>
      </c>
      <c r="F369" t="s">
        <v>1300</v>
      </c>
      <c r="G369" s="2">
        <v>293779000</v>
      </c>
    </row>
    <row r="370" spans="1:7" x14ac:dyDescent="0.25">
      <c r="A370" t="s">
        <v>2199</v>
      </c>
      <c r="B370" t="s">
        <v>594</v>
      </c>
      <c r="C370" t="s">
        <v>1360</v>
      </c>
      <c r="D370" t="s">
        <v>1361</v>
      </c>
      <c r="E370" t="s">
        <v>624</v>
      </c>
      <c r="F370" t="s">
        <v>625</v>
      </c>
      <c r="G370" s="2">
        <v>37000000</v>
      </c>
    </row>
    <row r="371" spans="1:7" x14ac:dyDescent="0.25">
      <c r="A371" t="s">
        <v>2199</v>
      </c>
      <c r="B371" t="s">
        <v>594</v>
      </c>
      <c r="C371" t="s">
        <v>1363</v>
      </c>
      <c r="D371" t="s">
        <v>1364</v>
      </c>
      <c r="E371" t="s">
        <v>1299</v>
      </c>
      <c r="F371" t="s">
        <v>1300</v>
      </c>
      <c r="G371" s="2">
        <v>102410000</v>
      </c>
    </row>
    <row r="372" spans="1:7" x14ac:dyDescent="0.25">
      <c r="A372" t="s">
        <v>2199</v>
      </c>
      <c r="B372" t="s">
        <v>594</v>
      </c>
      <c r="C372" t="s">
        <v>1366</v>
      </c>
      <c r="D372" t="s">
        <v>1367</v>
      </c>
      <c r="E372" t="s">
        <v>624</v>
      </c>
      <c r="F372" t="s">
        <v>625</v>
      </c>
      <c r="G372" s="2">
        <v>103000000</v>
      </c>
    </row>
    <row r="373" spans="1:7" x14ac:dyDescent="0.25">
      <c r="A373" t="s">
        <v>2199</v>
      </c>
      <c r="B373" t="s">
        <v>594</v>
      </c>
      <c r="C373" t="s">
        <v>1382</v>
      </c>
      <c r="D373" t="s">
        <v>1383</v>
      </c>
      <c r="E373" t="s">
        <v>1299</v>
      </c>
      <c r="F373" t="s">
        <v>1300</v>
      </c>
      <c r="G373" s="2">
        <v>6442000</v>
      </c>
    </row>
    <row r="374" spans="1:7" x14ac:dyDescent="0.25">
      <c r="A374" t="s">
        <v>2199</v>
      </c>
      <c r="B374" t="s">
        <v>594</v>
      </c>
      <c r="C374" t="s">
        <v>1401</v>
      </c>
      <c r="D374" t="s">
        <v>1402</v>
      </c>
      <c r="E374" t="s">
        <v>1299</v>
      </c>
      <c r="F374" t="s">
        <v>1300</v>
      </c>
      <c r="G374" s="2">
        <v>356525000</v>
      </c>
    </row>
    <row r="375" spans="1:7" x14ac:dyDescent="0.25">
      <c r="A375" t="s">
        <v>2199</v>
      </c>
      <c r="B375" t="s">
        <v>594</v>
      </c>
      <c r="C375" t="s">
        <v>1827</v>
      </c>
      <c r="D375" t="s">
        <v>1828</v>
      </c>
      <c r="E375" t="s">
        <v>1723</v>
      </c>
      <c r="F375" t="s">
        <v>1831</v>
      </c>
      <c r="G375" s="2">
        <v>7200000</v>
      </c>
    </row>
    <row r="376" spans="1:7" x14ac:dyDescent="0.25">
      <c r="A376" t="s">
        <v>2199</v>
      </c>
      <c r="B376" t="s">
        <v>594</v>
      </c>
      <c r="C376" t="s">
        <v>595</v>
      </c>
      <c r="D376" t="s">
        <v>597</v>
      </c>
      <c r="E376" t="s">
        <v>590</v>
      </c>
      <c r="F376" t="s">
        <v>591</v>
      </c>
      <c r="G376" s="2">
        <v>278615006</v>
      </c>
    </row>
    <row r="377" spans="1:7" x14ac:dyDescent="0.25">
      <c r="A377" t="s">
        <v>2199</v>
      </c>
      <c r="B377" t="s">
        <v>594</v>
      </c>
      <c r="C377" t="s">
        <v>803</v>
      </c>
      <c r="D377" t="s">
        <v>805</v>
      </c>
      <c r="E377" t="s">
        <v>624</v>
      </c>
      <c r="F377" t="s">
        <v>625</v>
      </c>
      <c r="G377" s="2">
        <v>37000000</v>
      </c>
    </row>
    <row r="378" spans="1:7" x14ac:dyDescent="0.25">
      <c r="A378" t="s">
        <v>2199</v>
      </c>
      <c r="B378" t="s">
        <v>594</v>
      </c>
      <c r="C378" t="s">
        <v>808</v>
      </c>
      <c r="D378" t="s">
        <v>809</v>
      </c>
      <c r="E378" t="s">
        <v>624</v>
      </c>
      <c r="F378" t="s">
        <v>625</v>
      </c>
      <c r="G378" s="2">
        <v>37000000</v>
      </c>
    </row>
    <row r="379" spans="1:7" x14ac:dyDescent="0.25">
      <c r="A379" t="s">
        <v>2199</v>
      </c>
      <c r="B379" t="s">
        <v>594</v>
      </c>
      <c r="C379" t="s">
        <v>1196</v>
      </c>
      <c r="D379" t="s">
        <v>1197</v>
      </c>
      <c r="E379" t="s">
        <v>1200</v>
      </c>
      <c r="F379" t="s">
        <v>514</v>
      </c>
      <c r="G379" s="2">
        <v>3430002</v>
      </c>
    </row>
    <row r="380" spans="1:7" x14ac:dyDescent="0.25">
      <c r="A380" t="s">
        <v>2199</v>
      </c>
      <c r="B380" t="s">
        <v>594</v>
      </c>
      <c r="C380" t="s">
        <v>1204</v>
      </c>
      <c r="D380" t="s">
        <v>1205</v>
      </c>
      <c r="E380" t="s">
        <v>624</v>
      </c>
      <c r="F380" t="s">
        <v>625</v>
      </c>
      <c r="G380" s="2">
        <v>37000000</v>
      </c>
    </row>
    <row r="381" spans="1:7" x14ac:dyDescent="0.25">
      <c r="A381" t="s">
        <v>2199</v>
      </c>
      <c r="B381" t="s">
        <v>1304</v>
      </c>
      <c r="C381" t="s">
        <v>1339</v>
      </c>
      <c r="D381" t="s">
        <v>1340</v>
      </c>
      <c r="E381" t="s">
        <v>1342</v>
      </c>
      <c r="F381" t="s">
        <v>1343</v>
      </c>
      <c r="G381" s="2">
        <v>525000</v>
      </c>
    </row>
    <row r="382" spans="1:7" x14ac:dyDescent="0.25">
      <c r="A382" t="s">
        <v>2199</v>
      </c>
      <c r="B382" t="s">
        <v>1304</v>
      </c>
      <c r="C382" t="s">
        <v>1371</v>
      </c>
      <c r="D382" t="s">
        <v>1373</v>
      </c>
      <c r="E382" t="s">
        <v>1200</v>
      </c>
      <c r="F382" t="s">
        <v>514</v>
      </c>
      <c r="G382" s="2">
        <v>1058222000</v>
      </c>
    </row>
    <row r="383" spans="1:7" x14ac:dyDescent="0.25">
      <c r="A383" t="s">
        <v>2199</v>
      </c>
      <c r="B383" t="s">
        <v>1304</v>
      </c>
      <c r="C383" t="s">
        <v>1376</v>
      </c>
      <c r="D383" t="s">
        <v>1377</v>
      </c>
      <c r="E383" t="s">
        <v>1200</v>
      </c>
      <c r="F383" t="s">
        <v>514</v>
      </c>
      <c r="G383" s="2">
        <v>916961000</v>
      </c>
    </row>
    <row r="384" spans="1:7" x14ac:dyDescent="0.25">
      <c r="A384" t="s">
        <v>2199</v>
      </c>
      <c r="B384" t="s">
        <v>1304</v>
      </c>
      <c r="C384" t="s">
        <v>1379</v>
      </c>
      <c r="D384" t="s">
        <v>1380</v>
      </c>
      <c r="E384" t="s">
        <v>1200</v>
      </c>
      <c r="F384" t="s">
        <v>514</v>
      </c>
      <c r="G384" s="2">
        <v>888441000</v>
      </c>
    </row>
    <row r="385" spans="1:7" x14ac:dyDescent="0.25">
      <c r="A385" t="s">
        <v>2199</v>
      </c>
      <c r="B385" t="s">
        <v>1304</v>
      </c>
      <c r="C385" t="s">
        <v>1389</v>
      </c>
      <c r="D385" t="s">
        <v>1390</v>
      </c>
      <c r="E385" t="s">
        <v>1342</v>
      </c>
      <c r="F385" t="s">
        <v>1392</v>
      </c>
      <c r="G385" s="2">
        <v>630000</v>
      </c>
    </row>
    <row r="386" spans="1:7" x14ac:dyDescent="0.25">
      <c r="A386" t="s">
        <v>2199</v>
      </c>
      <c r="B386" t="s">
        <v>1304</v>
      </c>
      <c r="C386" t="s">
        <v>1887</v>
      </c>
      <c r="D386" t="s">
        <v>1888</v>
      </c>
      <c r="E386" t="s">
        <v>1200</v>
      </c>
      <c r="F386" t="s">
        <v>514</v>
      </c>
      <c r="G386" s="2">
        <v>2075079539</v>
      </c>
    </row>
    <row r="387" spans="1:7" x14ac:dyDescent="0.25">
      <c r="A387" t="s">
        <v>2199</v>
      </c>
      <c r="B387" t="s">
        <v>1304</v>
      </c>
      <c r="C387" t="s">
        <v>1305</v>
      </c>
      <c r="D387" t="s">
        <v>1306</v>
      </c>
      <c r="E387" t="s">
        <v>624</v>
      </c>
      <c r="F387" t="s">
        <v>625</v>
      </c>
      <c r="G387" s="2">
        <v>1680000000</v>
      </c>
    </row>
    <row r="388" spans="1:7" x14ac:dyDescent="0.25">
      <c r="A388" t="s">
        <v>2199</v>
      </c>
      <c r="B388" t="s">
        <v>1304</v>
      </c>
      <c r="C388" t="s">
        <v>1308</v>
      </c>
      <c r="D388" t="s">
        <v>1309</v>
      </c>
      <c r="E388" t="s">
        <v>624</v>
      </c>
      <c r="F388" t="s">
        <v>625</v>
      </c>
      <c r="G388" s="2">
        <v>80000000</v>
      </c>
    </row>
    <row r="389" spans="1:7" x14ac:dyDescent="0.25">
      <c r="A389" t="s">
        <v>2199</v>
      </c>
      <c r="B389" t="s">
        <v>1304</v>
      </c>
      <c r="C389" t="s">
        <v>1311</v>
      </c>
      <c r="D389" t="s">
        <v>1313</v>
      </c>
      <c r="E389" t="s">
        <v>1315</v>
      </c>
      <c r="F389" t="s">
        <v>1316</v>
      </c>
      <c r="G389" s="2">
        <v>250000000</v>
      </c>
    </row>
    <row r="390" spans="1:7" x14ac:dyDescent="0.25">
      <c r="A390" t="s">
        <v>2199</v>
      </c>
      <c r="B390" t="s">
        <v>1304</v>
      </c>
      <c r="C390" t="s">
        <v>1319</v>
      </c>
      <c r="D390" t="s">
        <v>1320</v>
      </c>
      <c r="E390" t="s">
        <v>624</v>
      </c>
      <c r="F390" t="s">
        <v>625</v>
      </c>
      <c r="G390" s="2">
        <v>55000000</v>
      </c>
    </row>
    <row r="391" spans="1:7" x14ac:dyDescent="0.25">
      <c r="A391" t="s">
        <v>2199</v>
      </c>
      <c r="B391" t="s">
        <v>1304</v>
      </c>
      <c r="C391" t="s">
        <v>1322</v>
      </c>
      <c r="D391" t="s">
        <v>1323</v>
      </c>
      <c r="E391" t="s">
        <v>1325</v>
      </c>
      <c r="F391" t="s">
        <v>1326</v>
      </c>
      <c r="G391" s="2">
        <v>80000000</v>
      </c>
    </row>
    <row r="392" spans="1:7" x14ac:dyDescent="0.25">
      <c r="A392" t="s">
        <v>2199</v>
      </c>
      <c r="B392" t="s">
        <v>1304</v>
      </c>
      <c r="C392" t="s">
        <v>1328</v>
      </c>
      <c r="D392" t="s">
        <v>1329</v>
      </c>
      <c r="E392" t="s">
        <v>1325</v>
      </c>
      <c r="F392" t="s">
        <v>1326</v>
      </c>
      <c r="G392" s="2">
        <v>80000000</v>
      </c>
    </row>
    <row r="393" spans="1:7" x14ac:dyDescent="0.25">
      <c r="A393" t="s">
        <v>2199</v>
      </c>
      <c r="B393" t="s">
        <v>1304</v>
      </c>
      <c r="C393" t="s">
        <v>1331</v>
      </c>
      <c r="D393" t="s">
        <v>1332</v>
      </c>
      <c r="E393" t="s">
        <v>624</v>
      </c>
      <c r="F393" t="s">
        <v>625</v>
      </c>
      <c r="G393" s="2">
        <v>90000000</v>
      </c>
    </row>
    <row r="394" spans="1:7" x14ac:dyDescent="0.25">
      <c r="A394" t="s">
        <v>2199</v>
      </c>
      <c r="B394" t="s">
        <v>1304</v>
      </c>
      <c r="C394" t="s">
        <v>1334</v>
      </c>
      <c r="D394" t="s">
        <v>1335</v>
      </c>
      <c r="E394" t="s">
        <v>1337</v>
      </c>
      <c r="F394" t="s">
        <v>1107</v>
      </c>
      <c r="G394" s="2">
        <v>9814756</v>
      </c>
    </row>
  </sheetData>
  <conditionalFormatting sqref="C1:C1048576">
    <cfRule type="duplicateValues" dxfId="1"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6A031-6351-4313-BDEC-D4A7B0EF0881}">
  <dimension ref="A1:D395"/>
  <sheetViews>
    <sheetView topLeftCell="B1" workbookViewId="0">
      <selection activeCell="B18" sqref="B18:C18"/>
    </sheetView>
  </sheetViews>
  <sheetFormatPr baseColWidth="10" defaultRowHeight="15" x14ac:dyDescent="0.25"/>
  <cols>
    <col min="1" max="1" width="19" style="3" bestFit="1" customWidth="1"/>
    <col min="2" max="2" width="43" customWidth="1"/>
    <col min="3" max="3" width="28.85546875" style="27" bestFit="1" customWidth="1"/>
    <col min="4" max="4" width="94.28515625" style="30" bestFit="1" customWidth="1"/>
  </cols>
  <sheetData>
    <row r="1" spans="1:4" x14ac:dyDescent="0.25">
      <c r="A1" s="13" t="s">
        <v>2</v>
      </c>
      <c r="B1" s="12" t="s">
        <v>6</v>
      </c>
      <c r="C1" s="25" t="s">
        <v>16</v>
      </c>
      <c r="D1" s="28" t="s">
        <v>17</v>
      </c>
    </row>
    <row r="2" spans="1:4" x14ac:dyDescent="0.25">
      <c r="A2" s="14" t="s">
        <v>29</v>
      </c>
      <c r="B2" s="10" t="s">
        <v>33</v>
      </c>
      <c r="C2" s="26" t="s">
        <v>37</v>
      </c>
      <c r="D2" s="29" t="s">
        <v>38</v>
      </c>
    </row>
    <row r="3" spans="1:4" x14ac:dyDescent="0.25">
      <c r="A3" s="15" t="s">
        <v>284</v>
      </c>
      <c r="B3" s="7" t="s">
        <v>286</v>
      </c>
      <c r="C3" s="27" t="s">
        <v>290</v>
      </c>
      <c r="D3" s="30" t="s">
        <v>291</v>
      </c>
    </row>
    <row r="4" spans="1:4" x14ac:dyDescent="0.25">
      <c r="A4" s="14" t="s">
        <v>44</v>
      </c>
      <c r="B4" s="10" t="s">
        <v>46</v>
      </c>
      <c r="C4" s="26" t="s">
        <v>37</v>
      </c>
      <c r="D4" s="29" t="s">
        <v>49</v>
      </c>
    </row>
    <row r="5" spans="1:4" x14ac:dyDescent="0.25">
      <c r="A5" s="14" t="s">
        <v>298</v>
      </c>
      <c r="B5" s="10" t="s">
        <v>300</v>
      </c>
      <c r="C5" s="26" t="s">
        <v>182</v>
      </c>
      <c r="D5" s="29" t="s">
        <v>302</v>
      </c>
    </row>
    <row r="6" spans="1:4" x14ac:dyDescent="0.25">
      <c r="A6" s="14" t="s">
        <v>304</v>
      </c>
      <c r="B6" s="10" t="s">
        <v>305</v>
      </c>
      <c r="C6" s="26" t="s">
        <v>309</v>
      </c>
      <c r="D6" s="29" t="s">
        <v>310</v>
      </c>
    </row>
    <row r="7" spans="1:4" x14ac:dyDescent="0.25">
      <c r="A7" s="14" t="s">
        <v>191</v>
      </c>
      <c r="B7" s="10" t="s">
        <v>201</v>
      </c>
      <c r="C7" s="26" t="s">
        <v>197</v>
      </c>
      <c r="D7" s="29" t="s">
        <v>198</v>
      </c>
    </row>
    <row r="8" spans="1:4" x14ac:dyDescent="0.25">
      <c r="A8" s="14" t="s">
        <v>191</v>
      </c>
      <c r="B8" s="10" t="s">
        <v>193</v>
      </c>
      <c r="C8" s="26" t="s">
        <v>197</v>
      </c>
      <c r="D8" s="29" t="s">
        <v>198</v>
      </c>
    </row>
    <row r="9" spans="1:4" x14ac:dyDescent="0.25">
      <c r="A9" s="14" t="s">
        <v>202</v>
      </c>
      <c r="B9" s="10" t="s">
        <v>203</v>
      </c>
      <c r="C9" s="26" t="s">
        <v>182</v>
      </c>
      <c r="D9" s="29" t="s">
        <v>183</v>
      </c>
    </row>
    <row r="10" spans="1:4" x14ac:dyDescent="0.25">
      <c r="A10" s="14" t="s">
        <v>214</v>
      </c>
      <c r="B10" s="10" t="s">
        <v>216</v>
      </c>
      <c r="C10" s="26" t="s">
        <v>218</v>
      </c>
      <c r="D10" s="29" t="s">
        <v>219</v>
      </c>
    </row>
    <row r="11" spans="1:4" x14ac:dyDescent="0.25">
      <c r="A11" s="14" t="s">
        <v>51</v>
      </c>
      <c r="B11" s="10" t="s">
        <v>52</v>
      </c>
      <c r="C11" s="26" t="s">
        <v>55</v>
      </c>
      <c r="D11" s="29" t="s">
        <v>56</v>
      </c>
    </row>
    <row r="12" spans="1:4" x14ac:dyDescent="0.25">
      <c r="A12" s="14" t="s">
        <v>222</v>
      </c>
      <c r="B12" s="10" t="s">
        <v>224</v>
      </c>
      <c r="C12" s="26" t="s">
        <v>227</v>
      </c>
      <c r="D12" s="29" t="s">
        <v>228</v>
      </c>
    </row>
    <row r="13" spans="1:4" x14ac:dyDescent="0.25">
      <c r="A13" s="14" t="s">
        <v>238</v>
      </c>
      <c r="B13" s="10" t="s">
        <v>239</v>
      </c>
      <c r="C13" s="26" t="s">
        <v>227</v>
      </c>
      <c r="D13" s="29" t="s">
        <v>228</v>
      </c>
    </row>
    <row r="14" spans="1:4" x14ac:dyDescent="0.25">
      <c r="A14" s="14" t="s">
        <v>244</v>
      </c>
      <c r="B14" s="10" t="s">
        <v>245</v>
      </c>
      <c r="C14" s="26" t="s">
        <v>227</v>
      </c>
      <c r="D14" s="29" t="s">
        <v>228</v>
      </c>
    </row>
    <row r="15" spans="1:4" x14ac:dyDescent="0.25">
      <c r="A15" s="14" t="s">
        <v>619</v>
      </c>
      <c r="B15" s="10" t="s">
        <v>621</v>
      </c>
      <c r="C15" s="26" t="s">
        <v>624</v>
      </c>
      <c r="D15" s="29" t="s">
        <v>625</v>
      </c>
    </row>
    <row r="16" spans="1:4" x14ac:dyDescent="0.25">
      <c r="A16" s="14" t="s">
        <v>628</v>
      </c>
      <c r="B16" s="10" t="s">
        <v>629</v>
      </c>
      <c r="C16" s="26" t="s">
        <v>624</v>
      </c>
      <c r="D16" s="29" t="s">
        <v>625</v>
      </c>
    </row>
    <row r="17" spans="1:4" x14ac:dyDescent="0.25">
      <c r="A17" s="14" t="s">
        <v>632</v>
      </c>
      <c r="B17" s="10" t="s">
        <v>634</v>
      </c>
      <c r="C17" s="26" t="s">
        <v>624</v>
      </c>
      <c r="D17" s="29" t="s">
        <v>625</v>
      </c>
    </row>
    <row r="18" spans="1:4" x14ac:dyDescent="0.25">
      <c r="A18" s="14" t="s">
        <v>637</v>
      </c>
      <c r="B18" s="10" t="s">
        <v>638</v>
      </c>
      <c r="C18" s="26" t="s">
        <v>640</v>
      </c>
      <c r="D18" s="29" t="s">
        <v>641</v>
      </c>
    </row>
    <row r="19" spans="1:4" x14ac:dyDescent="0.25">
      <c r="A19" s="14" t="s">
        <v>644</v>
      </c>
      <c r="B19" s="10" t="s">
        <v>646</v>
      </c>
      <c r="C19" s="26" t="s">
        <v>640</v>
      </c>
      <c r="D19" s="29" t="s">
        <v>641</v>
      </c>
    </row>
    <row r="20" spans="1:4" x14ac:dyDescent="0.25">
      <c r="A20" s="14" t="s">
        <v>649</v>
      </c>
      <c r="B20" s="10" t="s">
        <v>650</v>
      </c>
      <c r="C20" s="26" t="s">
        <v>640</v>
      </c>
      <c r="D20" s="29" t="s">
        <v>641</v>
      </c>
    </row>
    <row r="21" spans="1:4" x14ac:dyDescent="0.25">
      <c r="A21" s="14" t="s">
        <v>653</v>
      </c>
      <c r="B21" s="10" t="s">
        <v>655</v>
      </c>
      <c r="C21" s="26" t="s">
        <v>657</v>
      </c>
      <c r="D21" s="29" t="s">
        <v>658</v>
      </c>
    </row>
    <row r="22" spans="1:4" x14ac:dyDescent="0.25">
      <c r="A22" s="14" t="s">
        <v>661</v>
      </c>
      <c r="B22" s="10" t="s">
        <v>662</v>
      </c>
      <c r="C22" s="26" t="s">
        <v>657</v>
      </c>
      <c r="D22" s="29" t="s">
        <v>658</v>
      </c>
    </row>
    <row r="23" spans="1:4" x14ac:dyDescent="0.25">
      <c r="A23" s="14" t="s">
        <v>68</v>
      </c>
      <c r="B23" s="10" t="s">
        <v>70</v>
      </c>
      <c r="C23" s="26" t="s">
        <v>74</v>
      </c>
      <c r="D23" s="29" t="s">
        <v>75</v>
      </c>
    </row>
    <row r="24" spans="1:4" x14ac:dyDescent="0.25">
      <c r="A24" s="14" t="s">
        <v>59</v>
      </c>
      <c r="B24" s="10" t="s">
        <v>60</v>
      </c>
      <c r="C24" s="26" t="s">
        <v>64</v>
      </c>
      <c r="D24" s="29" t="s">
        <v>65</v>
      </c>
    </row>
    <row r="25" spans="1:4" x14ac:dyDescent="0.25">
      <c r="A25" s="14" t="s">
        <v>82</v>
      </c>
      <c r="B25" s="10" t="s">
        <v>83</v>
      </c>
      <c r="C25" s="26" t="s">
        <v>74</v>
      </c>
      <c r="D25" s="29" t="s">
        <v>85</v>
      </c>
    </row>
    <row r="26" spans="1:4" x14ac:dyDescent="0.25">
      <c r="A26" s="14" t="s">
        <v>91</v>
      </c>
      <c r="B26" s="10" t="s">
        <v>92</v>
      </c>
      <c r="C26" s="26" t="s">
        <v>74</v>
      </c>
      <c r="D26" s="29" t="s">
        <v>85</v>
      </c>
    </row>
    <row r="27" spans="1:4" x14ac:dyDescent="0.25">
      <c r="A27" s="14" t="s">
        <v>665</v>
      </c>
      <c r="B27" s="10" t="s">
        <v>667</v>
      </c>
      <c r="C27" s="26" t="s">
        <v>657</v>
      </c>
      <c r="D27" s="29" t="s">
        <v>658</v>
      </c>
    </row>
    <row r="28" spans="1:4" x14ac:dyDescent="0.25">
      <c r="A28" s="14" t="s">
        <v>103</v>
      </c>
      <c r="B28" s="10" t="s">
        <v>105</v>
      </c>
      <c r="C28" s="26" t="s">
        <v>109</v>
      </c>
      <c r="D28" s="29" t="s">
        <v>110</v>
      </c>
    </row>
    <row r="29" spans="1:4" x14ac:dyDescent="0.25">
      <c r="A29" s="14" t="s">
        <v>670</v>
      </c>
      <c r="B29" s="10" t="s">
        <v>671</v>
      </c>
      <c r="C29" s="26" t="s">
        <v>657</v>
      </c>
      <c r="D29" s="29" t="s">
        <v>658</v>
      </c>
    </row>
    <row r="30" spans="1:4" x14ac:dyDescent="0.25">
      <c r="A30" s="14" t="s">
        <v>117</v>
      </c>
      <c r="B30" s="10" t="s">
        <v>119</v>
      </c>
      <c r="C30" s="26" t="s">
        <v>122</v>
      </c>
      <c r="D30" s="29" t="s">
        <v>123</v>
      </c>
    </row>
    <row r="31" spans="1:4" x14ac:dyDescent="0.25">
      <c r="A31" s="14" t="s">
        <v>674</v>
      </c>
      <c r="B31" s="10" t="s">
        <v>675</v>
      </c>
      <c r="C31" s="26" t="s">
        <v>657</v>
      </c>
      <c r="D31" s="29" t="s">
        <v>658</v>
      </c>
    </row>
    <row r="32" spans="1:4" x14ac:dyDescent="0.25">
      <c r="A32" s="14" t="s">
        <v>128</v>
      </c>
      <c r="B32" s="10" t="s">
        <v>130</v>
      </c>
      <c r="C32" s="26" t="s">
        <v>109</v>
      </c>
      <c r="D32" s="29" t="s">
        <v>133</v>
      </c>
    </row>
    <row r="33" spans="1:4" x14ac:dyDescent="0.25">
      <c r="A33" s="14" t="s">
        <v>677</v>
      </c>
      <c r="B33" s="10" t="s">
        <v>678</v>
      </c>
      <c r="C33" s="26" t="s">
        <v>657</v>
      </c>
      <c r="D33" s="29" t="s">
        <v>658</v>
      </c>
    </row>
    <row r="34" spans="1:4" x14ac:dyDescent="0.25">
      <c r="A34" s="14" t="s">
        <v>680</v>
      </c>
      <c r="B34" s="10" t="s">
        <v>681</v>
      </c>
      <c r="C34" s="26" t="s">
        <v>657</v>
      </c>
      <c r="D34" s="29" t="s">
        <v>658</v>
      </c>
    </row>
    <row r="35" spans="1:4" x14ac:dyDescent="0.25">
      <c r="A35" s="14" t="s">
        <v>686</v>
      </c>
      <c r="B35" s="10" t="s">
        <v>687</v>
      </c>
      <c r="C35" s="26" t="s">
        <v>227</v>
      </c>
      <c r="D35" s="29" t="s">
        <v>480</v>
      </c>
    </row>
    <row r="36" spans="1:4" x14ac:dyDescent="0.25">
      <c r="A36" s="14" t="s">
        <v>696</v>
      </c>
      <c r="B36" s="10" t="s">
        <v>697</v>
      </c>
      <c r="C36" s="26" t="s">
        <v>657</v>
      </c>
      <c r="D36" s="29" t="s">
        <v>658</v>
      </c>
    </row>
    <row r="37" spans="1:4" x14ac:dyDescent="0.25">
      <c r="A37" s="14" t="s">
        <v>706</v>
      </c>
      <c r="B37" s="10" t="s">
        <v>707</v>
      </c>
      <c r="C37" s="26" t="s">
        <v>590</v>
      </c>
      <c r="D37" s="29" t="s">
        <v>591</v>
      </c>
    </row>
    <row r="38" spans="1:4" x14ac:dyDescent="0.25">
      <c r="A38" s="14" t="s">
        <v>713</v>
      </c>
      <c r="B38" s="10" t="s">
        <v>714</v>
      </c>
      <c r="C38" s="26" t="s">
        <v>227</v>
      </c>
      <c r="D38" s="29" t="s">
        <v>480</v>
      </c>
    </row>
    <row r="39" spans="1:4" x14ac:dyDescent="0.25">
      <c r="A39" s="14" t="s">
        <v>136</v>
      </c>
      <c r="B39" s="10" t="s">
        <v>138</v>
      </c>
      <c r="C39" s="26" t="s">
        <v>141</v>
      </c>
      <c r="D39" s="29" t="s">
        <v>142</v>
      </c>
    </row>
    <row r="40" spans="1:4" x14ac:dyDescent="0.25">
      <c r="A40" s="14" t="s">
        <v>718</v>
      </c>
      <c r="B40" s="10" t="s">
        <v>719</v>
      </c>
      <c r="C40" s="26" t="s">
        <v>657</v>
      </c>
      <c r="D40" s="29" t="s">
        <v>658</v>
      </c>
    </row>
    <row r="41" spans="1:4" x14ac:dyDescent="0.25">
      <c r="A41" s="14" t="s">
        <v>721</v>
      </c>
      <c r="B41" s="10" t="s">
        <v>722</v>
      </c>
      <c r="C41" s="26" t="s">
        <v>227</v>
      </c>
      <c r="D41" s="29" t="s">
        <v>480</v>
      </c>
    </row>
    <row r="42" spans="1:4" x14ac:dyDescent="0.25">
      <c r="A42" s="14" t="s">
        <v>724</v>
      </c>
      <c r="B42" s="10" t="s">
        <v>726</v>
      </c>
      <c r="C42" s="26" t="s">
        <v>657</v>
      </c>
      <c r="D42" s="29" t="s">
        <v>658</v>
      </c>
    </row>
    <row r="43" spans="1:4" x14ac:dyDescent="0.25">
      <c r="A43" s="14" t="s">
        <v>148</v>
      </c>
      <c r="B43" s="10" t="s">
        <v>150</v>
      </c>
      <c r="C43" s="26" t="s">
        <v>153</v>
      </c>
      <c r="D43" s="29" t="s">
        <v>154</v>
      </c>
    </row>
    <row r="44" spans="1:4" x14ac:dyDescent="0.25">
      <c r="A44" s="14" t="s">
        <v>729</v>
      </c>
      <c r="B44" s="10" t="s">
        <v>731</v>
      </c>
      <c r="C44" s="26" t="s">
        <v>733</v>
      </c>
      <c r="D44" s="29" t="s">
        <v>734</v>
      </c>
    </row>
    <row r="45" spans="1:4" x14ac:dyDescent="0.25">
      <c r="A45" s="14" t="s">
        <v>744</v>
      </c>
      <c r="B45" s="10" t="s">
        <v>746</v>
      </c>
      <c r="C45" s="26" t="s">
        <v>657</v>
      </c>
      <c r="D45" s="29" t="s">
        <v>658</v>
      </c>
    </row>
    <row r="46" spans="1:4" x14ac:dyDescent="0.25">
      <c r="A46" s="14" t="s">
        <v>165</v>
      </c>
      <c r="B46" s="10" t="s">
        <v>167</v>
      </c>
      <c r="C46" s="26" t="s">
        <v>169</v>
      </c>
      <c r="D46" s="29" t="s">
        <v>65</v>
      </c>
    </row>
    <row r="47" spans="1:4" x14ac:dyDescent="0.25">
      <c r="A47" s="14" t="s">
        <v>756</v>
      </c>
      <c r="B47" s="10" t="s">
        <v>758</v>
      </c>
      <c r="C47" s="26" t="s">
        <v>761</v>
      </c>
      <c r="D47" s="29" t="s">
        <v>762</v>
      </c>
    </row>
    <row r="48" spans="1:4" x14ac:dyDescent="0.25">
      <c r="A48" s="14" t="s">
        <v>773</v>
      </c>
      <c r="B48" s="10" t="s">
        <v>774</v>
      </c>
      <c r="C48" s="26" t="s">
        <v>768</v>
      </c>
      <c r="D48" s="29" t="s">
        <v>386</v>
      </c>
    </row>
    <row r="49" spans="1:4" x14ac:dyDescent="0.25">
      <c r="A49" s="14" t="s">
        <v>787</v>
      </c>
      <c r="B49" s="10" t="s">
        <v>788</v>
      </c>
      <c r="C49" s="26" t="s">
        <v>790</v>
      </c>
      <c r="D49" s="29" t="s">
        <v>791</v>
      </c>
    </row>
    <row r="50" spans="1:4" x14ac:dyDescent="0.25">
      <c r="A50" s="14" t="s">
        <v>811</v>
      </c>
      <c r="B50" s="10" t="s">
        <v>813</v>
      </c>
      <c r="C50" s="26" t="s">
        <v>790</v>
      </c>
      <c r="D50" s="29" t="s">
        <v>791</v>
      </c>
    </row>
    <row r="51" spans="1:4" x14ac:dyDescent="0.25">
      <c r="A51" s="14" t="s">
        <v>816</v>
      </c>
      <c r="B51" s="10" t="s">
        <v>817</v>
      </c>
      <c r="C51" s="26" t="s">
        <v>768</v>
      </c>
      <c r="D51" s="29" t="s">
        <v>386</v>
      </c>
    </row>
    <row r="52" spans="1:4" x14ac:dyDescent="0.25">
      <c r="A52" s="14" t="s">
        <v>827</v>
      </c>
      <c r="B52" s="10" t="s">
        <v>828</v>
      </c>
      <c r="C52" s="26" t="s">
        <v>761</v>
      </c>
      <c r="D52" s="29" t="s">
        <v>762</v>
      </c>
    </row>
    <row r="53" spans="1:4" x14ac:dyDescent="0.25">
      <c r="A53" s="14" t="s">
        <v>834</v>
      </c>
      <c r="B53" s="10" t="s">
        <v>835</v>
      </c>
      <c r="C53" s="26" t="s">
        <v>790</v>
      </c>
      <c r="D53" s="29" t="s">
        <v>791</v>
      </c>
    </row>
    <row r="54" spans="1:4" x14ac:dyDescent="0.25">
      <c r="A54" s="14" t="s">
        <v>837</v>
      </c>
      <c r="B54" s="10" t="s">
        <v>838</v>
      </c>
      <c r="C54" s="26" t="s">
        <v>768</v>
      </c>
      <c r="D54" s="29" t="s">
        <v>386</v>
      </c>
    </row>
    <row r="55" spans="1:4" x14ac:dyDescent="0.25">
      <c r="A55" s="14" t="s">
        <v>860</v>
      </c>
      <c r="B55" s="10" t="s">
        <v>861</v>
      </c>
      <c r="C55" s="26" t="s">
        <v>864</v>
      </c>
      <c r="D55" s="29" t="s">
        <v>865</v>
      </c>
    </row>
    <row r="56" spans="1:4" x14ac:dyDescent="0.25">
      <c r="A56" s="14" t="s">
        <v>868</v>
      </c>
      <c r="B56" s="10" t="s">
        <v>869</v>
      </c>
      <c r="C56" s="26" t="s">
        <v>624</v>
      </c>
      <c r="D56" s="29" t="s">
        <v>625</v>
      </c>
    </row>
    <row r="57" spans="1:4" x14ac:dyDescent="0.25">
      <c r="A57" s="14" t="s">
        <v>871</v>
      </c>
      <c r="B57" s="10" t="s">
        <v>872</v>
      </c>
      <c r="C57" s="26" t="s">
        <v>761</v>
      </c>
      <c r="D57" s="29" t="s">
        <v>762</v>
      </c>
    </row>
    <row r="58" spans="1:4" x14ac:dyDescent="0.25">
      <c r="A58" s="14" t="s">
        <v>875</v>
      </c>
      <c r="B58" s="10" t="s">
        <v>876</v>
      </c>
      <c r="C58" s="26" t="s">
        <v>761</v>
      </c>
      <c r="D58" s="29" t="s">
        <v>762</v>
      </c>
    </row>
    <row r="59" spans="1:4" x14ac:dyDescent="0.25">
      <c r="A59" s="14" t="s">
        <v>879</v>
      </c>
      <c r="B59" s="10" t="s">
        <v>880</v>
      </c>
      <c r="C59" s="26" t="s">
        <v>761</v>
      </c>
      <c r="D59" s="29" t="s">
        <v>762</v>
      </c>
    </row>
    <row r="60" spans="1:4" x14ac:dyDescent="0.25">
      <c r="A60" s="14" t="s">
        <v>884</v>
      </c>
      <c r="B60" s="10" t="s">
        <v>885</v>
      </c>
      <c r="C60" s="26" t="s">
        <v>761</v>
      </c>
      <c r="D60" s="29" t="s">
        <v>762</v>
      </c>
    </row>
    <row r="61" spans="1:4" x14ac:dyDescent="0.25">
      <c r="A61" s="14" t="s">
        <v>888</v>
      </c>
      <c r="B61" s="10" t="s">
        <v>889</v>
      </c>
      <c r="C61" s="26" t="s">
        <v>309</v>
      </c>
      <c r="D61" s="29" t="s">
        <v>893</v>
      </c>
    </row>
    <row r="62" spans="1:4" x14ac:dyDescent="0.25">
      <c r="A62" s="14" t="s">
        <v>895</v>
      </c>
      <c r="B62" s="10" t="s">
        <v>896</v>
      </c>
      <c r="C62" s="26" t="s">
        <v>899</v>
      </c>
      <c r="D62" s="29" t="s">
        <v>900</v>
      </c>
    </row>
    <row r="63" spans="1:4" x14ac:dyDescent="0.25">
      <c r="A63" s="14" t="s">
        <v>903</v>
      </c>
      <c r="B63" s="10" t="s">
        <v>904</v>
      </c>
      <c r="C63" s="26" t="s">
        <v>906</v>
      </c>
      <c r="D63" s="29" t="s">
        <v>907</v>
      </c>
    </row>
    <row r="64" spans="1:4" x14ac:dyDescent="0.25">
      <c r="A64" s="14" t="s">
        <v>922</v>
      </c>
      <c r="B64" s="10" t="s">
        <v>923</v>
      </c>
      <c r="C64" s="26" t="s">
        <v>926</v>
      </c>
      <c r="D64" s="29" t="s">
        <v>893</v>
      </c>
    </row>
    <row r="65" spans="1:4" x14ac:dyDescent="0.25">
      <c r="A65" s="14" t="s">
        <v>930</v>
      </c>
      <c r="B65" s="10" t="s">
        <v>931</v>
      </c>
      <c r="C65" s="26" t="s">
        <v>934</v>
      </c>
      <c r="D65" s="29" t="s">
        <v>935</v>
      </c>
    </row>
    <row r="66" spans="1:4" x14ac:dyDescent="0.25">
      <c r="A66" s="14" t="s">
        <v>177</v>
      </c>
      <c r="B66" s="10" t="s">
        <v>179</v>
      </c>
      <c r="C66" s="26" t="s">
        <v>182</v>
      </c>
      <c r="D66" s="29" t="s">
        <v>183</v>
      </c>
    </row>
    <row r="67" spans="1:4" x14ac:dyDescent="0.25">
      <c r="A67" s="14" t="s">
        <v>938</v>
      </c>
      <c r="B67" s="10" t="s">
        <v>939</v>
      </c>
      <c r="C67" s="26" t="s">
        <v>942</v>
      </c>
      <c r="D67" s="29" t="s">
        <v>943</v>
      </c>
    </row>
    <row r="68" spans="1:4" x14ac:dyDescent="0.25">
      <c r="A68" s="14" t="s">
        <v>947</v>
      </c>
      <c r="B68" s="10" t="s">
        <v>948</v>
      </c>
      <c r="C68" s="26" t="s">
        <v>950</v>
      </c>
      <c r="D68" s="29" t="s">
        <v>951</v>
      </c>
    </row>
    <row r="69" spans="1:4" x14ac:dyDescent="0.25">
      <c r="A69" s="14" t="s">
        <v>954</v>
      </c>
      <c r="B69" s="10" t="s">
        <v>955</v>
      </c>
      <c r="C69" s="26" t="s">
        <v>958</v>
      </c>
      <c r="D69" s="29" t="s">
        <v>959</v>
      </c>
    </row>
    <row r="70" spans="1:4" x14ac:dyDescent="0.25">
      <c r="A70" s="14" t="s">
        <v>963</v>
      </c>
      <c r="B70" s="10" t="s">
        <v>964</v>
      </c>
      <c r="C70" s="26" t="s">
        <v>768</v>
      </c>
      <c r="D70" s="29" t="s">
        <v>966</v>
      </c>
    </row>
    <row r="71" spans="1:4" x14ac:dyDescent="0.25">
      <c r="A71" s="14" t="s">
        <v>969</v>
      </c>
      <c r="B71" s="10" t="s">
        <v>970</v>
      </c>
      <c r="C71" s="26" t="s">
        <v>768</v>
      </c>
      <c r="D71" s="29" t="s">
        <v>966</v>
      </c>
    </row>
    <row r="72" spans="1:4" x14ac:dyDescent="0.25">
      <c r="A72" s="14" t="s">
        <v>972</v>
      </c>
      <c r="B72" s="10" t="s">
        <v>973</v>
      </c>
      <c r="C72" s="26" t="s">
        <v>768</v>
      </c>
      <c r="D72" s="29" t="s">
        <v>966</v>
      </c>
    </row>
    <row r="73" spans="1:4" x14ac:dyDescent="0.25">
      <c r="A73" s="14" t="s">
        <v>975</v>
      </c>
      <c r="B73" s="10" t="s">
        <v>976</v>
      </c>
      <c r="C73" s="26" t="s">
        <v>768</v>
      </c>
      <c r="D73" s="29" t="s">
        <v>966</v>
      </c>
    </row>
    <row r="74" spans="1:4" x14ac:dyDescent="0.25">
      <c r="A74" s="14" t="s">
        <v>978</v>
      </c>
      <c r="B74" s="10" t="s">
        <v>979</v>
      </c>
      <c r="C74" s="26" t="s">
        <v>768</v>
      </c>
      <c r="D74" s="29" t="s">
        <v>966</v>
      </c>
    </row>
    <row r="75" spans="1:4" x14ac:dyDescent="0.25">
      <c r="A75" s="14" t="s">
        <v>981</v>
      </c>
      <c r="B75" s="10" t="s">
        <v>982</v>
      </c>
      <c r="C75" s="26" t="s">
        <v>768</v>
      </c>
      <c r="D75" s="29" t="s">
        <v>966</v>
      </c>
    </row>
    <row r="76" spans="1:4" x14ac:dyDescent="0.25">
      <c r="A76" s="14" t="s">
        <v>984</v>
      </c>
      <c r="B76" s="10" t="s">
        <v>985</v>
      </c>
      <c r="C76" s="26" t="s">
        <v>768</v>
      </c>
      <c r="D76" s="29" t="s">
        <v>966</v>
      </c>
    </row>
    <row r="77" spans="1:4" x14ac:dyDescent="0.25">
      <c r="A77" s="14" t="s">
        <v>987</v>
      </c>
      <c r="B77" s="10" t="s">
        <v>988</v>
      </c>
      <c r="C77" s="26" t="s">
        <v>768</v>
      </c>
      <c r="D77" s="29" t="s">
        <v>966</v>
      </c>
    </row>
    <row r="78" spans="1:4" x14ac:dyDescent="0.25">
      <c r="A78" s="14" t="s">
        <v>990</v>
      </c>
      <c r="B78" s="10" t="s">
        <v>991</v>
      </c>
      <c r="C78" s="26" t="s">
        <v>768</v>
      </c>
      <c r="D78" s="29" t="s">
        <v>966</v>
      </c>
    </row>
    <row r="79" spans="1:4" x14ac:dyDescent="0.25">
      <c r="A79" s="14" t="s">
        <v>993</v>
      </c>
      <c r="B79" s="10" t="s">
        <v>994</v>
      </c>
      <c r="C79" s="26" t="s">
        <v>768</v>
      </c>
      <c r="D79" s="29" t="s">
        <v>966</v>
      </c>
    </row>
    <row r="80" spans="1:4" x14ac:dyDescent="0.25">
      <c r="A80" s="14" t="s">
        <v>996</v>
      </c>
      <c r="B80" s="10" t="s">
        <v>997</v>
      </c>
      <c r="C80" s="26" t="s">
        <v>934</v>
      </c>
      <c r="D80" s="29" t="s">
        <v>935</v>
      </c>
    </row>
    <row r="81" spans="1:4" x14ac:dyDescent="0.25">
      <c r="A81" s="14" t="s">
        <v>1000</v>
      </c>
      <c r="B81" s="10" t="s">
        <v>1001</v>
      </c>
      <c r="C81" s="26" t="s">
        <v>768</v>
      </c>
      <c r="D81" s="29" t="s">
        <v>966</v>
      </c>
    </row>
    <row r="82" spans="1:4" x14ac:dyDescent="0.25">
      <c r="A82" s="14" t="s">
        <v>1003</v>
      </c>
      <c r="B82" s="10" t="s">
        <v>1004</v>
      </c>
      <c r="C82" s="26" t="s">
        <v>768</v>
      </c>
      <c r="D82" s="29" t="s">
        <v>966</v>
      </c>
    </row>
    <row r="83" spans="1:4" x14ac:dyDescent="0.25">
      <c r="A83" s="14" t="s">
        <v>313</v>
      </c>
      <c r="B83" s="10" t="s">
        <v>315</v>
      </c>
      <c r="C83" s="26" t="s">
        <v>319</v>
      </c>
      <c r="D83" s="29" t="s">
        <v>320</v>
      </c>
    </row>
    <row r="84" spans="1:4" x14ac:dyDescent="0.25">
      <c r="A84" s="14" t="s">
        <v>1008</v>
      </c>
      <c r="B84" s="10" t="s">
        <v>1010</v>
      </c>
      <c r="C84" s="26" t="s">
        <v>768</v>
      </c>
      <c r="D84" s="29" t="s">
        <v>966</v>
      </c>
    </row>
    <row r="85" spans="1:4" x14ac:dyDescent="0.25">
      <c r="A85" s="14" t="s">
        <v>323</v>
      </c>
      <c r="B85" s="10" t="s">
        <v>324</v>
      </c>
      <c r="C85" s="26" t="s">
        <v>319</v>
      </c>
      <c r="D85" s="29" t="s">
        <v>320</v>
      </c>
    </row>
    <row r="86" spans="1:4" x14ac:dyDescent="0.25">
      <c r="A86" s="14" t="s">
        <v>1013</v>
      </c>
      <c r="B86" s="10" t="s">
        <v>1014</v>
      </c>
      <c r="C86" s="26" t="s">
        <v>768</v>
      </c>
      <c r="D86" s="29" t="s">
        <v>966</v>
      </c>
    </row>
    <row r="87" spans="1:4" x14ac:dyDescent="0.25">
      <c r="A87" s="14" t="s">
        <v>328</v>
      </c>
      <c r="B87" s="10" t="s">
        <v>329</v>
      </c>
      <c r="C87" s="26" t="s">
        <v>332</v>
      </c>
      <c r="D87" s="29" t="s">
        <v>333</v>
      </c>
    </row>
    <row r="88" spans="1:4" x14ac:dyDescent="0.25">
      <c r="A88" s="14" t="s">
        <v>1016</v>
      </c>
      <c r="B88" s="10" t="s">
        <v>1017</v>
      </c>
      <c r="C88" s="26" t="s">
        <v>768</v>
      </c>
      <c r="D88" s="29" t="s">
        <v>966</v>
      </c>
    </row>
    <row r="89" spans="1:4" x14ac:dyDescent="0.25">
      <c r="A89" s="14" t="s">
        <v>337</v>
      </c>
      <c r="B89" s="10" t="s">
        <v>338</v>
      </c>
      <c r="C89" s="26" t="s">
        <v>341</v>
      </c>
      <c r="D89" s="29" t="s">
        <v>342</v>
      </c>
    </row>
    <row r="90" spans="1:4" x14ac:dyDescent="0.25">
      <c r="A90" s="14" t="s">
        <v>1019</v>
      </c>
      <c r="B90" s="10" t="s">
        <v>1020</v>
      </c>
      <c r="C90" s="26" t="s">
        <v>768</v>
      </c>
      <c r="D90" s="29" t="s">
        <v>966</v>
      </c>
    </row>
    <row r="91" spans="1:4" x14ac:dyDescent="0.25">
      <c r="A91" s="14" t="s">
        <v>355</v>
      </c>
      <c r="B91" s="10" t="s">
        <v>357</v>
      </c>
      <c r="C91" s="26" t="s">
        <v>360</v>
      </c>
      <c r="D91" s="29" t="s">
        <v>361</v>
      </c>
    </row>
    <row r="92" spans="1:4" x14ac:dyDescent="0.25">
      <c r="A92" s="14" t="s">
        <v>1022</v>
      </c>
      <c r="B92" s="10" t="s">
        <v>1023</v>
      </c>
      <c r="C92" s="26" t="s">
        <v>768</v>
      </c>
      <c r="D92" s="29" t="s">
        <v>966</v>
      </c>
    </row>
    <row r="93" spans="1:4" x14ac:dyDescent="0.25">
      <c r="A93" s="14" t="s">
        <v>366</v>
      </c>
      <c r="B93" s="10" t="s">
        <v>368</v>
      </c>
      <c r="C93" s="26" t="s">
        <v>341</v>
      </c>
      <c r="D93" s="29" t="s">
        <v>372</v>
      </c>
    </row>
    <row r="94" spans="1:4" x14ac:dyDescent="0.25">
      <c r="A94" s="14" t="s">
        <v>1025</v>
      </c>
      <c r="B94" s="10" t="s">
        <v>1026</v>
      </c>
      <c r="C94" s="26" t="s">
        <v>768</v>
      </c>
      <c r="D94" s="29" t="s">
        <v>386</v>
      </c>
    </row>
    <row r="95" spans="1:4" x14ac:dyDescent="0.25">
      <c r="A95" s="14" t="s">
        <v>382</v>
      </c>
      <c r="B95" s="10" t="s">
        <v>383</v>
      </c>
      <c r="C95" s="26" t="s">
        <v>385</v>
      </c>
      <c r="D95" s="29" t="s">
        <v>386</v>
      </c>
    </row>
    <row r="96" spans="1:4" x14ac:dyDescent="0.25">
      <c r="A96" s="14" t="s">
        <v>1039</v>
      </c>
      <c r="B96" s="10" t="s">
        <v>1040</v>
      </c>
      <c r="C96" s="26" t="s">
        <v>768</v>
      </c>
      <c r="D96" s="29" t="s">
        <v>386</v>
      </c>
    </row>
    <row r="97" spans="1:4" x14ac:dyDescent="0.25">
      <c r="A97" s="14" t="s">
        <v>389</v>
      </c>
      <c r="B97" s="10" t="s">
        <v>390</v>
      </c>
      <c r="C97" s="26" t="s">
        <v>378</v>
      </c>
      <c r="D97" s="29" t="s">
        <v>361</v>
      </c>
    </row>
    <row r="98" spans="1:4" x14ac:dyDescent="0.25">
      <c r="A98" s="14" t="s">
        <v>1042</v>
      </c>
      <c r="B98" s="10" t="s">
        <v>1044</v>
      </c>
      <c r="C98" s="26" t="s">
        <v>531</v>
      </c>
      <c r="D98" s="29" t="s">
        <v>532</v>
      </c>
    </row>
    <row r="99" spans="1:4" x14ac:dyDescent="0.25">
      <c r="A99" s="14" t="s">
        <v>392</v>
      </c>
      <c r="B99" s="10" t="s">
        <v>393</v>
      </c>
      <c r="C99" s="26" t="s">
        <v>395</v>
      </c>
      <c r="D99" s="29" t="s">
        <v>396</v>
      </c>
    </row>
    <row r="100" spans="1:4" x14ac:dyDescent="0.25">
      <c r="A100" s="14" t="s">
        <v>1047</v>
      </c>
      <c r="B100" s="10" t="s">
        <v>1049</v>
      </c>
      <c r="C100" s="26" t="s">
        <v>531</v>
      </c>
      <c r="D100" s="29" t="s">
        <v>1051</v>
      </c>
    </row>
    <row r="101" spans="1:4" x14ac:dyDescent="0.25">
      <c r="A101" s="14" t="s">
        <v>399</v>
      </c>
      <c r="B101" s="10" t="s">
        <v>400</v>
      </c>
      <c r="C101" s="26" t="s">
        <v>402</v>
      </c>
      <c r="D101" s="29" t="s">
        <v>320</v>
      </c>
    </row>
    <row r="102" spans="1:4" x14ac:dyDescent="0.25">
      <c r="A102" s="14" t="s">
        <v>405</v>
      </c>
      <c r="B102" s="10" t="s">
        <v>406</v>
      </c>
      <c r="C102" s="26" t="s">
        <v>360</v>
      </c>
      <c r="D102" s="29" t="s">
        <v>361</v>
      </c>
    </row>
    <row r="103" spans="1:4" x14ac:dyDescent="0.25">
      <c r="A103" s="14" t="s">
        <v>1059</v>
      </c>
      <c r="B103" s="10" t="s">
        <v>1060</v>
      </c>
      <c r="C103" s="26" t="s">
        <v>790</v>
      </c>
      <c r="D103" s="29" t="s">
        <v>791</v>
      </c>
    </row>
    <row r="104" spans="1:4" x14ac:dyDescent="0.25">
      <c r="A104" s="14" t="s">
        <v>408</v>
      </c>
      <c r="B104" s="10" t="s">
        <v>410</v>
      </c>
      <c r="C104" s="26" t="s">
        <v>414</v>
      </c>
      <c r="D104" s="29" t="s">
        <v>415</v>
      </c>
    </row>
    <row r="105" spans="1:4" x14ac:dyDescent="0.25">
      <c r="A105" s="14" t="s">
        <v>1063</v>
      </c>
      <c r="B105" s="10" t="s">
        <v>1064</v>
      </c>
      <c r="C105" s="26" t="s">
        <v>790</v>
      </c>
      <c r="D105" s="29" t="s">
        <v>791</v>
      </c>
    </row>
    <row r="106" spans="1:4" x14ac:dyDescent="0.25">
      <c r="A106" s="14" t="s">
        <v>418</v>
      </c>
      <c r="B106" s="10" t="s">
        <v>419</v>
      </c>
      <c r="C106" s="26" t="s">
        <v>422</v>
      </c>
      <c r="D106" s="29" t="s">
        <v>423</v>
      </c>
    </row>
    <row r="107" spans="1:4" x14ac:dyDescent="0.25">
      <c r="A107" s="14" t="s">
        <v>1069</v>
      </c>
      <c r="B107" s="10" t="s">
        <v>1070</v>
      </c>
      <c r="C107" s="26" t="s">
        <v>934</v>
      </c>
      <c r="D107" s="29" t="s">
        <v>935</v>
      </c>
    </row>
    <row r="108" spans="1:4" x14ac:dyDescent="0.25">
      <c r="A108" s="14" t="s">
        <v>426</v>
      </c>
      <c r="B108" s="10" t="s">
        <v>428</v>
      </c>
      <c r="C108" s="26" t="s">
        <v>430</v>
      </c>
      <c r="D108" s="29" t="s">
        <v>431</v>
      </c>
    </row>
    <row r="109" spans="1:4" x14ac:dyDescent="0.25">
      <c r="A109" s="14" t="s">
        <v>1072</v>
      </c>
      <c r="B109" s="10" t="s">
        <v>1073</v>
      </c>
      <c r="C109" s="26" t="s">
        <v>1075</v>
      </c>
      <c r="D109" s="29" t="s">
        <v>1076</v>
      </c>
    </row>
    <row r="110" spans="1:4" x14ac:dyDescent="0.25">
      <c r="A110" s="14" t="s">
        <v>1079</v>
      </c>
      <c r="B110" s="10" t="s">
        <v>1081</v>
      </c>
      <c r="C110" s="26" t="s">
        <v>1075</v>
      </c>
      <c r="D110" s="29" t="s">
        <v>1076</v>
      </c>
    </row>
    <row r="111" spans="1:4" x14ac:dyDescent="0.25">
      <c r="A111" s="14" t="s">
        <v>1085</v>
      </c>
      <c r="B111" s="10" t="s">
        <v>1086</v>
      </c>
      <c r="C111" s="26" t="s">
        <v>934</v>
      </c>
      <c r="D111" s="29" t="s">
        <v>935</v>
      </c>
    </row>
    <row r="112" spans="1:4" x14ac:dyDescent="0.25">
      <c r="A112" s="14" t="s">
        <v>434</v>
      </c>
      <c r="B112" s="10" t="s">
        <v>435</v>
      </c>
      <c r="C112" s="26" t="s">
        <v>319</v>
      </c>
      <c r="D112" s="29" t="s">
        <v>320</v>
      </c>
    </row>
    <row r="113" spans="1:4" x14ac:dyDescent="0.25">
      <c r="A113" s="14" t="s">
        <v>1089</v>
      </c>
      <c r="B113" s="10" t="s">
        <v>1090</v>
      </c>
      <c r="C113" s="26" t="s">
        <v>934</v>
      </c>
      <c r="D113" s="29" t="s">
        <v>935</v>
      </c>
    </row>
    <row r="114" spans="1:4" x14ac:dyDescent="0.25">
      <c r="A114" s="14" t="s">
        <v>438</v>
      </c>
      <c r="B114" s="10" t="s">
        <v>440</v>
      </c>
      <c r="C114" s="26" t="s">
        <v>360</v>
      </c>
      <c r="D114" s="29" t="s">
        <v>361</v>
      </c>
    </row>
    <row r="115" spans="1:4" x14ac:dyDescent="0.25">
      <c r="A115" s="14" t="s">
        <v>1092</v>
      </c>
      <c r="B115" s="10" t="s">
        <v>1093</v>
      </c>
      <c r="C115" s="26" t="s">
        <v>1095</v>
      </c>
      <c r="D115" s="29" t="s">
        <v>1096</v>
      </c>
    </row>
    <row r="116" spans="1:4" x14ac:dyDescent="0.25">
      <c r="A116" s="14" t="s">
        <v>444</v>
      </c>
      <c r="B116" s="10" t="s">
        <v>445</v>
      </c>
      <c r="C116" s="26" t="s">
        <v>37</v>
      </c>
      <c r="D116" s="29" t="s">
        <v>449</v>
      </c>
    </row>
    <row r="117" spans="1:4" x14ac:dyDescent="0.25">
      <c r="A117" s="14" t="s">
        <v>1099</v>
      </c>
      <c r="B117" s="10" t="s">
        <v>1100</v>
      </c>
      <c r="C117" s="26" t="s">
        <v>457</v>
      </c>
      <c r="D117" s="29" t="s">
        <v>458</v>
      </c>
    </row>
    <row r="118" spans="1:4" x14ac:dyDescent="0.25">
      <c r="A118" s="14" t="s">
        <v>452</v>
      </c>
      <c r="B118" s="10" t="s">
        <v>454</v>
      </c>
      <c r="C118" s="26" t="s">
        <v>457</v>
      </c>
      <c r="D118" s="29" t="s">
        <v>458</v>
      </c>
    </row>
    <row r="119" spans="1:4" x14ac:dyDescent="0.25">
      <c r="A119" s="14" t="s">
        <v>1103</v>
      </c>
      <c r="B119" s="10" t="s">
        <v>1104</v>
      </c>
      <c r="C119" s="26" t="s">
        <v>1106</v>
      </c>
      <c r="D119" s="29" t="s">
        <v>1107</v>
      </c>
    </row>
    <row r="120" spans="1:4" x14ac:dyDescent="0.25">
      <c r="A120" s="14" t="s">
        <v>461</v>
      </c>
      <c r="B120" s="10" t="s">
        <v>462</v>
      </c>
      <c r="C120" s="26" t="s">
        <v>465</v>
      </c>
      <c r="D120" s="29" t="s">
        <v>466</v>
      </c>
    </row>
    <row r="121" spans="1:4" x14ac:dyDescent="0.25">
      <c r="A121" s="14" t="s">
        <v>1110</v>
      </c>
      <c r="B121" s="10" t="s">
        <v>1111</v>
      </c>
      <c r="C121" s="26" t="s">
        <v>457</v>
      </c>
      <c r="D121" s="29" t="s">
        <v>458</v>
      </c>
    </row>
    <row r="122" spans="1:4" x14ac:dyDescent="0.25">
      <c r="A122" s="14" t="s">
        <v>476</v>
      </c>
      <c r="B122" s="10" t="s">
        <v>477</v>
      </c>
      <c r="C122" s="26" t="s">
        <v>227</v>
      </c>
      <c r="D122" s="29" t="s">
        <v>480</v>
      </c>
    </row>
    <row r="123" spans="1:4" x14ac:dyDescent="0.25">
      <c r="A123" s="14" t="s">
        <v>1113</v>
      </c>
      <c r="B123" s="10" t="s">
        <v>1115</v>
      </c>
      <c r="C123" s="26" t="s">
        <v>309</v>
      </c>
      <c r="D123" s="29" t="s">
        <v>893</v>
      </c>
    </row>
    <row r="124" spans="1:4" x14ac:dyDescent="0.25">
      <c r="A124" s="14" t="s">
        <v>482</v>
      </c>
      <c r="B124" s="10" t="s">
        <v>484</v>
      </c>
      <c r="C124" s="26" t="s">
        <v>487</v>
      </c>
      <c r="D124" s="29" t="s">
        <v>488</v>
      </c>
    </row>
    <row r="125" spans="1:4" x14ac:dyDescent="0.25">
      <c r="A125" s="14" t="s">
        <v>1119</v>
      </c>
      <c r="B125" s="10" t="s">
        <v>1120</v>
      </c>
      <c r="C125" s="26" t="s">
        <v>1122</v>
      </c>
      <c r="D125" s="29" t="s">
        <v>1123</v>
      </c>
    </row>
    <row r="126" spans="1:4" x14ac:dyDescent="0.25">
      <c r="A126" s="14" t="s">
        <v>493</v>
      </c>
      <c r="B126" s="10" t="s">
        <v>494</v>
      </c>
      <c r="C126" s="26" t="s">
        <v>497</v>
      </c>
      <c r="D126" s="29" t="s">
        <v>302</v>
      </c>
    </row>
    <row r="127" spans="1:4" x14ac:dyDescent="0.25">
      <c r="A127" s="14" t="s">
        <v>1126</v>
      </c>
      <c r="B127" s="10" t="s">
        <v>1127</v>
      </c>
      <c r="C127" s="26" t="s">
        <v>1122</v>
      </c>
      <c r="D127" s="29" t="s">
        <v>1123</v>
      </c>
    </row>
    <row r="128" spans="1:4" x14ac:dyDescent="0.25">
      <c r="A128" s="14" t="s">
        <v>499</v>
      </c>
      <c r="B128" s="10" t="s">
        <v>501</v>
      </c>
      <c r="C128" s="26" t="s">
        <v>505</v>
      </c>
      <c r="D128" s="29" t="s">
        <v>506</v>
      </c>
    </row>
    <row r="129" spans="1:4" x14ac:dyDescent="0.25">
      <c r="A129" s="14" t="s">
        <v>1130</v>
      </c>
      <c r="B129" s="10" t="s">
        <v>1131</v>
      </c>
      <c r="C129" s="26" t="s">
        <v>1122</v>
      </c>
      <c r="D129" s="29" t="s">
        <v>1123</v>
      </c>
    </row>
    <row r="130" spans="1:4" x14ac:dyDescent="0.25">
      <c r="A130" s="14" t="s">
        <v>509</v>
      </c>
      <c r="B130" s="10" t="s">
        <v>510</v>
      </c>
      <c r="C130" s="26" t="s">
        <v>513</v>
      </c>
      <c r="D130" s="29" t="s">
        <v>514</v>
      </c>
    </row>
    <row r="131" spans="1:4" x14ac:dyDescent="0.25">
      <c r="A131" s="14" t="s">
        <v>1134</v>
      </c>
      <c r="B131" s="10" t="s">
        <v>1135</v>
      </c>
      <c r="C131" s="26" t="s">
        <v>1122</v>
      </c>
      <c r="D131" s="29" t="s">
        <v>1123</v>
      </c>
    </row>
    <row r="132" spans="1:4" x14ac:dyDescent="0.25">
      <c r="A132" s="14" t="s">
        <v>517</v>
      </c>
      <c r="B132" s="10" t="s">
        <v>518</v>
      </c>
      <c r="C132" s="26" t="s">
        <v>522</v>
      </c>
      <c r="D132" s="29" t="s">
        <v>523</v>
      </c>
    </row>
    <row r="133" spans="1:4" x14ac:dyDescent="0.25">
      <c r="A133" s="14" t="s">
        <v>1138</v>
      </c>
      <c r="B133" s="10" t="s">
        <v>1140</v>
      </c>
      <c r="C133" s="26" t="s">
        <v>1122</v>
      </c>
      <c r="D133" s="29" t="s">
        <v>1123</v>
      </c>
    </row>
    <row r="134" spans="1:4" x14ac:dyDescent="0.25">
      <c r="A134" s="14" t="s">
        <v>527</v>
      </c>
      <c r="B134" s="10" t="s">
        <v>528</v>
      </c>
      <c r="C134" s="26" t="s">
        <v>531</v>
      </c>
      <c r="D134" s="29" t="s">
        <v>532</v>
      </c>
    </row>
    <row r="135" spans="1:4" x14ac:dyDescent="0.25">
      <c r="A135" s="14" t="s">
        <v>1156</v>
      </c>
      <c r="B135" s="10" t="s">
        <v>1158</v>
      </c>
      <c r="C135" s="26" t="s">
        <v>1162</v>
      </c>
      <c r="D135" s="29" t="s">
        <v>258</v>
      </c>
    </row>
    <row r="136" spans="1:4" x14ac:dyDescent="0.25">
      <c r="A136" s="14" t="s">
        <v>535</v>
      </c>
      <c r="B136" s="10" t="s">
        <v>537</v>
      </c>
      <c r="C136" s="26" t="s">
        <v>531</v>
      </c>
      <c r="D136" s="29" t="s">
        <v>532</v>
      </c>
    </row>
    <row r="137" spans="1:4" x14ac:dyDescent="0.25">
      <c r="A137" s="14" t="s">
        <v>539</v>
      </c>
      <c r="B137" s="10" t="s">
        <v>541</v>
      </c>
      <c r="C137" s="26" t="s">
        <v>55</v>
      </c>
      <c r="D137" s="29" t="s">
        <v>544</v>
      </c>
    </row>
    <row r="138" spans="1:4" x14ac:dyDescent="0.25">
      <c r="A138" s="14" t="s">
        <v>1168</v>
      </c>
      <c r="B138" s="10" t="s">
        <v>1169</v>
      </c>
      <c r="C138" s="26" t="s">
        <v>1162</v>
      </c>
      <c r="D138" s="29" t="s">
        <v>258</v>
      </c>
    </row>
    <row r="139" spans="1:4" x14ac:dyDescent="0.25">
      <c r="A139" s="14" t="s">
        <v>548</v>
      </c>
      <c r="B139" s="10" t="s">
        <v>550</v>
      </c>
      <c r="C139" s="26" t="s">
        <v>55</v>
      </c>
      <c r="D139" s="29" t="s">
        <v>544</v>
      </c>
    </row>
    <row r="140" spans="1:4" x14ac:dyDescent="0.25">
      <c r="A140" s="14" t="s">
        <v>1176</v>
      </c>
      <c r="B140" s="10" t="s">
        <v>1177</v>
      </c>
      <c r="C140" s="26" t="s">
        <v>1180</v>
      </c>
      <c r="D140" s="29" t="s">
        <v>1181</v>
      </c>
    </row>
    <row r="141" spans="1:4" x14ac:dyDescent="0.25">
      <c r="A141" s="14" t="s">
        <v>552</v>
      </c>
      <c r="B141" s="10" t="s">
        <v>553</v>
      </c>
      <c r="C141" s="26" t="s">
        <v>122</v>
      </c>
      <c r="D141" s="29" t="s">
        <v>555</v>
      </c>
    </row>
    <row r="142" spans="1:4" x14ac:dyDescent="0.25">
      <c r="A142" s="14" t="s">
        <v>1183</v>
      </c>
      <c r="B142" s="10" t="s">
        <v>1185</v>
      </c>
      <c r="C142" s="26" t="s">
        <v>790</v>
      </c>
      <c r="D142" s="29" t="s">
        <v>791</v>
      </c>
    </row>
    <row r="143" spans="1:4" x14ac:dyDescent="0.25">
      <c r="A143" s="14" t="s">
        <v>557</v>
      </c>
      <c r="B143" s="10" t="s">
        <v>558</v>
      </c>
      <c r="C143" s="26" t="s">
        <v>122</v>
      </c>
      <c r="D143" s="29" t="s">
        <v>555</v>
      </c>
    </row>
    <row r="144" spans="1:4" x14ac:dyDescent="0.25">
      <c r="A144" s="14" t="s">
        <v>1188</v>
      </c>
      <c r="B144" s="10" t="s">
        <v>1189</v>
      </c>
      <c r="C144" s="26" t="s">
        <v>790</v>
      </c>
      <c r="D144" s="29" t="s">
        <v>791</v>
      </c>
    </row>
    <row r="145" spans="1:4" x14ac:dyDescent="0.25">
      <c r="A145" s="14" t="s">
        <v>1207</v>
      </c>
      <c r="B145" s="10" t="s">
        <v>1208</v>
      </c>
      <c r="C145" s="26" t="s">
        <v>1211</v>
      </c>
      <c r="D145" s="29" t="s">
        <v>320</v>
      </c>
    </row>
    <row r="146" spans="1:4" x14ac:dyDescent="0.25">
      <c r="A146" s="14" t="s">
        <v>1213</v>
      </c>
      <c r="B146" s="10" t="s">
        <v>1214</v>
      </c>
      <c r="C146" s="26" t="s">
        <v>395</v>
      </c>
      <c r="D146" s="29" t="s">
        <v>1217</v>
      </c>
    </row>
    <row r="147" spans="1:4" x14ac:dyDescent="0.25">
      <c r="A147" s="14" t="s">
        <v>1219</v>
      </c>
      <c r="B147" s="10" t="s">
        <v>1220</v>
      </c>
      <c r="C147" s="26" t="s">
        <v>395</v>
      </c>
      <c r="D147" s="29" t="s">
        <v>1217</v>
      </c>
    </row>
    <row r="148" spans="1:4" x14ac:dyDescent="0.25">
      <c r="A148" s="14" t="s">
        <v>1224</v>
      </c>
      <c r="B148" s="10" t="s">
        <v>1225</v>
      </c>
      <c r="C148" s="26" t="s">
        <v>1211</v>
      </c>
      <c r="D148" s="29" t="s">
        <v>320</v>
      </c>
    </row>
    <row r="149" spans="1:4" x14ac:dyDescent="0.25">
      <c r="A149" s="14" t="s">
        <v>1228</v>
      </c>
      <c r="B149" s="10" t="s">
        <v>1229</v>
      </c>
      <c r="C149" s="26" t="s">
        <v>64</v>
      </c>
      <c r="D149" s="29" t="s">
        <v>65</v>
      </c>
    </row>
    <row r="150" spans="1:4" x14ac:dyDescent="0.25">
      <c r="A150" s="14" t="s">
        <v>560</v>
      </c>
      <c r="B150" s="10" t="s">
        <v>562</v>
      </c>
      <c r="C150" s="26" t="s">
        <v>169</v>
      </c>
      <c r="D150" s="29" t="s">
        <v>65</v>
      </c>
    </row>
    <row r="151" spans="1:4" x14ac:dyDescent="0.25">
      <c r="A151" s="14" t="s">
        <v>1234</v>
      </c>
      <c r="B151" s="10" t="s">
        <v>1235</v>
      </c>
      <c r="C151" s="26" t="s">
        <v>64</v>
      </c>
      <c r="D151" s="29" t="s">
        <v>65</v>
      </c>
    </row>
    <row r="152" spans="1:4" x14ac:dyDescent="0.25">
      <c r="A152" s="14" t="s">
        <v>1245</v>
      </c>
      <c r="B152" s="10" t="s">
        <v>1247</v>
      </c>
      <c r="C152" s="26" t="s">
        <v>122</v>
      </c>
      <c r="D152" s="29" t="s">
        <v>544</v>
      </c>
    </row>
    <row r="153" spans="1:4" x14ac:dyDescent="0.25">
      <c r="A153" s="14" t="s">
        <v>1252</v>
      </c>
      <c r="B153" s="10" t="s">
        <v>1253</v>
      </c>
      <c r="C153" s="26" t="s">
        <v>1255</v>
      </c>
      <c r="D153" s="29" t="s">
        <v>1256</v>
      </c>
    </row>
    <row r="154" spans="1:4" x14ac:dyDescent="0.25">
      <c r="A154" s="14" t="s">
        <v>1259</v>
      </c>
      <c r="B154" s="10" t="s">
        <v>1260</v>
      </c>
      <c r="C154" s="26" t="s">
        <v>395</v>
      </c>
      <c r="D154" s="29" t="s">
        <v>1217</v>
      </c>
    </row>
    <row r="155" spans="1:4" x14ac:dyDescent="0.25">
      <c r="A155" s="14" t="s">
        <v>1269</v>
      </c>
      <c r="B155" s="10" t="s">
        <v>1270</v>
      </c>
      <c r="C155" s="26" t="s">
        <v>1273</v>
      </c>
      <c r="D155" s="29" t="s">
        <v>514</v>
      </c>
    </row>
    <row r="156" spans="1:4" x14ac:dyDescent="0.25">
      <c r="A156" s="14" t="s">
        <v>1345</v>
      </c>
      <c r="B156" s="10" t="s">
        <v>1347</v>
      </c>
      <c r="C156" s="26" t="s">
        <v>1299</v>
      </c>
      <c r="D156" s="29" t="s">
        <v>1300</v>
      </c>
    </row>
    <row r="157" spans="1:4" x14ac:dyDescent="0.25">
      <c r="A157" s="14" t="s">
        <v>1395</v>
      </c>
      <c r="B157" s="10" t="s">
        <v>1396</v>
      </c>
      <c r="C157" s="26" t="s">
        <v>64</v>
      </c>
      <c r="D157" s="29" t="s">
        <v>65</v>
      </c>
    </row>
    <row r="158" spans="1:4" x14ac:dyDescent="0.25">
      <c r="A158" s="14" t="s">
        <v>1403</v>
      </c>
      <c r="B158" s="10" t="s">
        <v>1404</v>
      </c>
      <c r="C158" s="26" t="s">
        <v>1035</v>
      </c>
      <c r="D158" s="29" t="s">
        <v>1036</v>
      </c>
    </row>
    <row r="159" spans="1:4" x14ac:dyDescent="0.25">
      <c r="A159" s="14" t="s">
        <v>1407</v>
      </c>
      <c r="B159" s="10" t="s">
        <v>1408</v>
      </c>
      <c r="C159" s="26" t="s">
        <v>590</v>
      </c>
      <c r="D159" s="29" t="s">
        <v>591</v>
      </c>
    </row>
    <row r="160" spans="1:4" x14ac:dyDescent="0.25">
      <c r="A160" s="14" t="s">
        <v>1411</v>
      </c>
      <c r="B160" s="10" t="s">
        <v>1413</v>
      </c>
      <c r="C160" s="26" t="s">
        <v>1415</v>
      </c>
      <c r="D160" s="29" t="s">
        <v>514</v>
      </c>
    </row>
    <row r="161" spans="1:4" x14ac:dyDescent="0.25">
      <c r="A161" s="14" t="s">
        <v>1416</v>
      </c>
      <c r="B161" s="10" t="s">
        <v>1417</v>
      </c>
      <c r="C161" s="26" t="s">
        <v>1415</v>
      </c>
      <c r="D161" s="29" t="s">
        <v>514</v>
      </c>
    </row>
    <row r="162" spans="1:4" x14ac:dyDescent="0.25">
      <c r="A162" s="14" t="s">
        <v>1419</v>
      </c>
      <c r="B162" s="10" t="s">
        <v>1420</v>
      </c>
      <c r="C162" s="26" t="s">
        <v>1415</v>
      </c>
      <c r="D162" s="29" t="s">
        <v>514</v>
      </c>
    </row>
    <row r="163" spans="1:4" x14ac:dyDescent="0.25">
      <c r="A163" s="14" t="s">
        <v>1422</v>
      </c>
      <c r="B163" s="10" t="s">
        <v>1423</v>
      </c>
      <c r="C163" s="26" t="s">
        <v>1415</v>
      </c>
      <c r="D163" s="29" t="s">
        <v>514</v>
      </c>
    </row>
    <row r="164" spans="1:4" x14ac:dyDescent="0.25">
      <c r="A164" s="14" t="s">
        <v>1426</v>
      </c>
      <c r="B164" s="10" t="s">
        <v>1427</v>
      </c>
      <c r="C164" s="26" t="s">
        <v>1415</v>
      </c>
      <c r="D164" s="29" t="s">
        <v>514</v>
      </c>
    </row>
    <row r="165" spans="1:4" x14ac:dyDescent="0.25">
      <c r="A165" s="14" t="s">
        <v>1429</v>
      </c>
      <c r="B165" s="10" t="s">
        <v>1430</v>
      </c>
      <c r="C165" s="26" t="s">
        <v>1432</v>
      </c>
      <c r="D165" s="29" t="s">
        <v>1433</v>
      </c>
    </row>
    <row r="166" spans="1:4" x14ac:dyDescent="0.25">
      <c r="A166" s="14" t="s">
        <v>1436</v>
      </c>
      <c r="B166" s="10" t="s">
        <v>1438</v>
      </c>
      <c r="C166" s="26" t="s">
        <v>64</v>
      </c>
      <c r="D166" s="29" t="s">
        <v>65</v>
      </c>
    </row>
    <row r="167" spans="1:4" x14ac:dyDescent="0.25">
      <c r="A167" s="14" t="s">
        <v>1442</v>
      </c>
      <c r="B167" s="10" t="s">
        <v>1443</v>
      </c>
      <c r="C167" s="26" t="s">
        <v>1445</v>
      </c>
      <c r="D167" s="29" t="s">
        <v>1446</v>
      </c>
    </row>
    <row r="168" spans="1:4" x14ac:dyDescent="0.25">
      <c r="A168" s="14" t="s">
        <v>1449</v>
      </c>
      <c r="B168" s="10" t="s">
        <v>1450</v>
      </c>
      <c r="C168" s="26" t="s">
        <v>1075</v>
      </c>
      <c r="D168" s="29" t="s">
        <v>1076</v>
      </c>
    </row>
    <row r="169" spans="1:4" x14ac:dyDescent="0.25">
      <c r="A169" s="14" t="s">
        <v>1453</v>
      </c>
      <c r="B169" s="10" t="s">
        <v>1454</v>
      </c>
      <c r="C169" s="26" t="s">
        <v>1445</v>
      </c>
      <c r="D169" s="29" t="s">
        <v>1446</v>
      </c>
    </row>
    <row r="170" spans="1:4" x14ac:dyDescent="0.25">
      <c r="A170" s="14" t="s">
        <v>1456</v>
      </c>
      <c r="B170" s="10" t="s">
        <v>1457</v>
      </c>
      <c r="C170" s="26" t="s">
        <v>1211</v>
      </c>
      <c r="D170" s="29" t="s">
        <v>320</v>
      </c>
    </row>
    <row r="171" spans="1:4" x14ac:dyDescent="0.25">
      <c r="A171" s="14" t="s">
        <v>1460</v>
      </c>
      <c r="B171" s="10" t="s">
        <v>1461</v>
      </c>
      <c r="C171" s="26" t="s">
        <v>1075</v>
      </c>
      <c r="D171" s="29" t="s">
        <v>1076</v>
      </c>
    </row>
    <row r="172" spans="1:4" x14ac:dyDescent="0.25">
      <c r="A172" s="14" t="s">
        <v>1466</v>
      </c>
      <c r="B172" s="10" t="s">
        <v>1467</v>
      </c>
      <c r="C172" s="26" t="s">
        <v>1469</v>
      </c>
      <c r="D172" s="29" t="s">
        <v>1470</v>
      </c>
    </row>
    <row r="173" spans="1:4" x14ac:dyDescent="0.25">
      <c r="A173" s="14" t="s">
        <v>1473</v>
      </c>
      <c r="B173" s="10" t="s">
        <v>1474</v>
      </c>
      <c r="C173" s="26" t="s">
        <v>1477</v>
      </c>
      <c r="D173" s="29" t="s">
        <v>219</v>
      </c>
    </row>
    <row r="174" spans="1:4" x14ac:dyDescent="0.25">
      <c r="A174" s="14" t="s">
        <v>1479</v>
      </c>
      <c r="B174" s="10" t="s">
        <v>1480</v>
      </c>
      <c r="C174" s="26" t="s">
        <v>1445</v>
      </c>
      <c r="D174" s="29" t="s">
        <v>1446</v>
      </c>
    </row>
    <row r="175" spans="1:4" x14ac:dyDescent="0.25">
      <c r="A175" s="14" t="s">
        <v>1482</v>
      </c>
      <c r="B175" s="10" t="s">
        <v>1483</v>
      </c>
      <c r="C175" s="26" t="s">
        <v>1477</v>
      </c>
      <c r="D175" s="29" t="s">
        <v>219</v>
      </c>
    </row>
    <row r="176" spans="1:4" x14ac:dyDescent="0.25">
      <c r="A176" s="14" t="s">
        <v>1489</v>
      </c>
      <c r="B176" s="10" t="s">
        <v>1490</v>
      </c>
      <c r="C176" s="26" t="s">
        <v>1211</v>
      </c>
      <c r="D176" s="29" t="s">
        <v>320</v>
      </c>
    </row>
    <row r="177" spans="1:4" x14ac:dyDescent="0.25">
      <c r="A177" s="14" t="s">
        <v>1492</v>
      </c>
      <c r="B177" s="10" t="s">
        <v>1494</v>
      </c>
      <c r="C177" s="26" t="s">
        <v>590</v>
      </c>
      <c r="D177" s="29" t="s">
        <v>591</v>
      </c>
    </row>
    <row r="178" spans="1:4" x14ac:dyDescent="0.25">
      <c r="A178" s="14" t="s">
        <v>1497</v>
      </c>
      <c r="B178" s="10" t="s">
        <v>1498</v>
      </c>
      <c r="C178" s="26" t="s">
        <v>1075</v>
      </c>
      <c r="D178" s="29" t="s">
        <v>1076</v>
      </c>
    </row>
    <row r="179" spans="1:4" x14ac:dyDescent="0.25">
      <c r="A179" s="14" t="s">
        <v>1501</v>
      </c>
      <c r="B179" s="10" t="s">
        <v>1502</v>
      </c>
      <c r="C179" s="26" t="s">
        <v>1505</v>
      </c>
      <c r="D179" s="29" t="s">
        <v>423</v>
      </c>
    </row>
    <row r="180" spans="1:4" x14ac:dyDescent="0.25">
      <c r="A180" s="14" t="s">
        <v>1509</v>
      </c>
      <c r="B180" s="10" t="s">
        <v>1510</v>
      </c>
      <c r="C180" s="26" t="s">
        <v>590</v>
      </c>
      <c r="D180" s="29" t="s">
        <v>591</v>
      </c>
    </row>
    <row r="181" spans="1:4" x14ac:dyDescent="0.25">
      <c r="A181" s="14" t="s">
        <v>1514</v>
      </c>
      <c r="B181" s="10" t="s">
        <v>1515</v>
      </c>
      <c r="C181" s="26" t="s">
        <v>1075</v>
      </c>
      <c r="D181" s="29" t="s">
        <v>1076</v>
      </c>
    </row>
    <row r="182" spans="1:4" x14ac:dyDescent="0.25">
      <c r="A182" s="14" t="s">
        <v>1518</v>
      </c>
      <c r="B182" s="10" t="s">
        <v>1520</v>
      </c>
      <c r="C182" s="26" t="s">
        <v>761</v>
      </c>
      <c r="D182" s="29" t="s">
        <v>762</v>
      </c>
    </row>
    <row r="183" spans="1:4" x14ac:dyDescent="0.25">
      <c r="A183" s="14" t="s">
        <v>1525</v>
      </c>
      <c r="B183" s="10" t="s">
        <v>1502</v>
      </c>
      <c r="C183" s="26" t="s">
        <v>1505</v>
      </c>
      <c r="D183" s="29" t="s">
        <v>423</v>
      </c>
    </row>
    <row r="184" spans="1:4" x14ac:dyDescent="0.25">
      <c r="A184" s="14" t="s">
        <v>1528</v>
      </c>
      <c r="B184" s="10" t="s">
        <v>1529</v>
      </c>
      <c r="C184" s="26" t="s">
        <v>1075</v>
      </c>
      <c r="D184" s="29" t="s">
        <v>1076</v>
      </c>
    </row>
    <row r="185" spans="1:4" x14ac:dyDescent="0.25">
      <c r="A185" s="14" t="s">
        <v>1532</v>
      </c>
      <c r="B185" s="10" t="s">
        <v>1533</v>
      </c>
      <c r="C185" s="26" t="s">
        <v>761</v>
      </c>
      <c r="D185" s="29" t="s">
        <v>762</v>
      </c>
    </row>
    <row r="186" spans="1:4" x14ac:dyDescent="0.25">
      <c r="A186" s="14" t="s">
        <v>1539</v>
      </c>
      <c r="B186" s="10" t="s">
        <v>1540</v>
      </c>
      <c r="C186" s="26" t="s">
        <v>1211</v>
      </c>
      <c r="D186" s="29" t="s">
        <v>320</v>
      </c>
    </row>
    <row r="187" spans="1:4" x14ac:dyDescent="0.25">
      <c r="A187" s="14" t="s">
        <v>1542</v>
      </c>
      <c r="B187" s="10" t="s">
        <v>1543</v>
      </c>
      <c r="C187" s="26" t="s">
        <v>1075</v>
      </c>
      <c r="D187" s="29" t="s">
        <v>1076</v>
      </c>
    </row>
    <row r="188" spans="1:4" x14ac:dyDescent="0.25">
      <c r="A188" s="14" t="s">
        <v>1546</v>
      </c>
      <c r="B188" s="10" t="s">
        <v>1548</v>
      </c>
      <c r="C188" s="26" t="s">
        <v>761</v>
      </c>
      <c r="D188" s="29" t="s">
        <v>762</v>
      </c>
    </row>
    <row r="189" spans="1:4" x14ac:dyDescent="0.25">
      <c r="A189" s="14" t="s">
        <v>1551</v>
      </c>
      <c r="B189" s="10" t="s">
        <v>1553</v>
      </c>
      <c r="C189" s="26" t="s">
        <v>761</v>
      </c>
      <c r="D189" s="29" t="s">
        <v>762</v>
      </c>
    </row>
    <row r="190" spans="1:4" x14ac:dyDescent="0.25">
      <c r="A190" s="14" t="s">
        <v>1555</v>
      </c>
      <c r="B190" s="10" t="s">
        <v>1556</v>
      </c>
      <c r="C190" s="26" t="s">
        <v>1559</v>
      </c>
      <c r="D190" s="29" t="s">
        <v>1560</v>
      </c>
    </row>
    <row r="191" spans="1:4" x14ac:dyDescent="0.25">
      <c r="A191" s="14" t="s">
        <v>1563</v>
      </c>
      <c r="B191" s="10" t="s">
        <v>1404</v>
      </c>
      <c r="C191" s="26" t="s">
        <v>1035</v>
      </c>
      <c r="D191" s="29" t="s">
        <v>1036</v>
      </c>
    </row>
    <row r="192" spans="1:4" x14ac:dyDescent="0.25">
      <c r="A192" s="14" t="s">
        <v>1566</v>
      </c>
      <c r="B192" s="10" t="s">
        <v>1567</v>
      </c>
      <c r="C192" s="26" t="s">
        <v>1211</v>
      </c>
      <c r="D192" s="29" t="s">
        <v>320</v>
      </c>
    </row>
    <row r="193" spans="1:4" x14ac:dyDescent="0.25">
      <c r="A193" s="14" t="s">
        <v>1569</v>
      </c>
      <c r="B193" s="10" t="s">
        <v>1570</v>
      </c>
      <c r="C193" s="26" t="s">
        <v>1572</v>
      </c>
      <c r="D193" s="29" t="s">
        <v>1573</v>
      </c>
    </row>
    <row r="194" spans="1:4" x14ac:dyDescent="0.25">
      <c r="A194" s="14" t="s">
        <v>1585</v>
      </c>
      <c r="B194" s="10" t="s">
        <v>1587</v>
      </c>
      <c r="C194" s="26" t="s">
        <v>1572</v>
      </c>
      <c r="D194" s="29" t="s">
        <v>1573</v>
      </c>
    </row>
    <row r="195" spans="1:4" x14ac:dyDescent="0.25">
      <c r="A195" s="14" t="s">
        <v>1590</v>
      </c>
      <c r="B195" s="10" t="s">
        <v>1591</v>
      </c>
      <c r="C195" s="26" t="s">
        <v>761</v>
      </c>
      <c r="D195" s="29" t="s">
        <v>762</v>
      </c>
    </row>
    <row r="196" spans="1:4" x14ac:dyDescent="0.25">
      <c r="A196" s="14" t="s">
        <v>1600</v>
      </c>
      <c r="B196" s="10" t="s">
        <v>1601</v>
      </c>
      <c r="C196" s="26" t="s">
        <v>1572</v>
      </c>
      <c r="D196" s="29" t="s">
        <v>1573</v>
      </c>
    </row>
    <row r="197" spans="1:4" x14ac:dyDescent="0.25">
      <c r="A197" s="14" t="s">
        <v>1604</v>
      </c>
      <c r="B197" s="10" t="s">
        <v>1605</v>
      </c>
      <c r="C197" s="26" t="s">
        <v>1608</v>
      </c>
      <c r="D197" s="29" t="s">
        <v>361</v>
      </c>
    </row>
    <row r="198" spans="1:4" x14ac:dyDescent="0.25">
      <c r="A198" s="14" t="s">
        <v>1610</v>
      </c>
      <c r="B198" s="10" t="s">
        <v>1611</v>
      </c>
      <c r="C198" s="26" t="s">
        <v>1613</v>
      </c>
      <c r="D198" s="29" t="s">
        <v>1614</v>
      </c>
    </row>
    <row r="199" spans="1:4" x14ac:dyDescent="0.25">
      <c r="A199" s="14" t="s">
        <v>1620</v>
      </c>
      <c r="B199" s="10" t="s">
        <v>1621</v>
      </c>
      <c r="C199" s="26" t="s">
        <v>1608</v>
      </c>
      <c r="D199" s="29" t="s">
        <v>361</v>
      </c>
    </row>
    <row r="200" spans="1:4" x14ac:dyDescent="0.25">
      <c r="A200" s="14" t="s">
        <v>1626</v>
      </c>
      <c r="B200" s="10" t="s">
        <v>1627</v>
      </c>
      <c r="C200" s="26" t="s">
        <v>1572</v>
      </c>
      <c r="D200" s="29" t="s">
        <v>1573</v>
      </c>
    </row>
    <row r="201" spans="1:4" x14ac:dyDescent="0.25">
      <c r="A201" s="14" t="s">
        <v>1632</v>
      </c>
      <c r="B201" s="10" t="s">
        <v>1633</v>
      </c>
      <c r="C201" s="26" t="s">
        <v>934</v>
      </c>
      <c r="D201" s="29" t="s">
        <v>935</v>
      </c>
    </row>
    <row r="202" spans="1:4" x14ac:dyDescent="0.25">
      <c r="A202" s="14" t="s">
        <v>1637</v>
      </c>
      <c r="B202" s="10" t="s">
        <v>1177</v>
      </c>
      <c r="C202" s="26" t="s">
        <v>1180</v>
      </c>
      <c r="D202" s="29" t="s">
        <v>1181</v>
      </c>
    </row>
    <row r="203" spans="1:4" x14ac:dyDescent="0.25">
      <c r="A203" s="14" t="s">
        <v>1638</v>
      </c>
      <c r="B203" s="10" t="s">
        <v>1639</v>
      </c>
      <c r="C203" s="26" t="s">
        <v>1642</v>
      </c>
      <c r="D203" s="29" t="s">
        <v>1643</v>
      </c>
    </row>
    <row r="204" spans="1:4" x14ac:dyDescent="0.25">
      <c r="A204" s="14" t="s">
        <v>1667</v>
      </c>
      <c r="B204" s="10" t="s">
        <v>1668</v>
      </c>
      <c r="C204" s="26" t="s">
        <v>64</v>
      </c>
      <c r="D204" s="29" t="s">
        <v>65</v>
      </c>
    </row>
    <row r="205" spans="1:4" x14ac:dyDescent="0.25">
      <c r="A205" s="14" t="s">
        <v>1675</v>
      </c>
      <c r="B205" s="10" t="s">
        <v>1658</v>
      </c>
      <c r="C205" s="26" t="s">
        <v>1660</v>
      </c>
      <c r="D205" s="29" t="s">
        <v>1661</v>
      </c>
    </row>
    <row r="206" spans="1:4" x14ac:dyDescent="0.25">
      <c r="A206" s="14" t="s">
        <v>1679</v>
      </c>
      <c r="B206" s="10" t="s">
        <v>1680</v>
      </c>
      <c r="C206" s="26" t="s">
        <v>457</v>
      </c>
      <c r="D206" s="29" t="s">
        <v>1682</v>
      </c>
    </row>
    <row r="207" spans="1:4" x14ac:dyDescent="0.25">
      <c r="A207" s="14" t="s">
        <v>1684</v>
      </c>
      <c r="B207" s="10" t="s">
        <v>1685</v>
      </c>
      <c r="C207" s="26" t="s">
        <v>1642</v>
      </c>
      <c r="D207" s="29" t="s">
        <v>1643</v>
      </c>
    </row>
    <row r="208" spans="1:4" x14ac:dyDescent="0.25">
      <c r="A208" s="14" t="s">
        <v>1687</v>
      </c>
      <c r="B208" s="10" t="s">
        <v>1688</v>
      </c>
      <c r="C208" s="26" t="s">
        <v>1690</v>
      </c>
      <c r="D208" s="29" t="s">
        <v>865</v>
      </c>
    </row>
    <row r="209" spans="1:4" x14ac:dyDescent="0.25">
      <c r="A209" s="14" t="s">
        <v>1694</v>
      </c>
      <c r="B209" s="10" t="s">
        <v>1695</v>
      </c>
      <c r="C209" s="26" t="s">
        <v>414</v>
      </c>
      <c r="D209" s="29" t="s">
        <v>1697</v>
      </c>
    </row>
    <row r="210" spans="1:4" x14ac:dyDescent="0.25">
      <c r="A210" s="14" t="s">
        <v>1699</v>
      </c>
      <c r="B210" s="10" t="s">
        <v>1658</v>
      </c>
      <c r="C210" s="26" t="s">
        <v>1660</v>
      </c>
      <c r="D210" s="29" t="s">
        <v>1661</v>
      </c>
    </row>
    <row r="211" spans="1:4" x14ac:dyDescent="0.25">
      <c r="A211" s="14" t="s">
        <v>1700</v>
      </c>
      <c r="B211" s="10" t="s">
        <v>1701</v>
      </c>
      <c r="C211" s="26" t="s">
        <v>1704</v>
      </c>
      <c r="D211" s="29" t="s">
        <v>1705</v>
      </c>
    </row>
    <row r="212" spans="1:4" x14ac:dyDescent="0.25">
      <c r="A212" s="14" t="s">
        <v>1708</v>
      </c>
      <c r="B212" s="10" t="s">
        <v>1709</v>
      </c>
      <c r="C212" s="26" t="s">
        <v>958</v>
      </c>
      <c r="D212" s="29" t="s">
        <v>959</v>
      </c>
    </row>
    <row r="213" spans="1:4" x14ac:dyDescent="0.25">
      <c r="A213" s="14" t="s">
        <v>1712</v>
      </c>
      <c r="B213" s="10" t="s">
        <v>1713</v>
      </c>
      <c r="C213" s="26" t="s">
        <v>1572</v>
      </c>
      <c r="D213" s="29" t="s">
        <v>1573</v>
      </c>
    </row>
    <row r="214" spans="1:4" x14ac:dyDescent="0.25">
      <c r="A214" s="14" t="s">
        <v>1715</v>
      </c>
      <c r="B214" s="10" t="s">
        <v>1716</v>
      </c>
      <c r="C214" s="26" t="s">
        <v>958</v>
      </c>
      <c r="D214" s="29" t="s">
        <v>959</v>
      </c>
    </row>
    <row r="215" spans="1:4" x14ac:dyDescent="0.25">
      <c r="A215" s="14" t="s">
        <v>1718</v>
      </c>
      <c r="B215" s="10" t="s">
        <v>1719</v>
      </c>
      <c r="C215" s="26" t="s">
        <v>1723</v>
      </c>
      <c r="D215" s="29" t="s">
        <v>154</v>
      </c>
    </row>
    <row r="216" spans="1:4" x14ac:dyDescent="0.25">
      <c r="A216" s="14" t="s">
        <v>1725</v>
      </c>
      <c r="B216" s="10" t="s">
        <v>1726</v>
      </c>
      <c r="C216" s="26" t="s">
        <v>1211</v>
      </c>
      <c r="D216" s="29" t="s">
        <v>320</v>
      </c>
    </row>
    <row r="217" spans="1:4" x14ac:dyDescent="0.25">
      <c r="A217" s="14" t="s">
        <v>1728</v>
      </c>
      <c r="B217" s="10" t="s">
        <v>1729</v>
      </c>
      <c r="C217" s="26" t="s">
        <v>1211</v>
      </c>
      <c r="D217" s="29" t="s">
        <v>320</v>
      </c>
    </row>
    <row r="218" spans="1:4" x14ac:dyDescent="0.25">
      <c r="A218" s="14" t="s">
        <v>1731</v>
      </c>
      <c r="B218" s="10" t="s">
        <v>1732</v>
      </c>
      <c r="C218" s="26" t="s">
        <v>1572</v>
      </c>
      <c r="D218" s="29" t="s">
        <v>1573</v>
      </c>
    </row>
    <row r="219" spans="1:4" x14ac:dyDescent="0.25">
      <c r="A219" s="14" t="s">
        <v>1734</v>
      </c>
      <c r="B219" s="10" t="s">
        <v>1736</v>
      </c>
      <c r="C219" s="26" t="s">
        <v>624</v>
      </c>
      <c r="D219" s="29" t="s">
        <v>625</v>
      </c>
    </row>
    <row r="220" spans="1:4" x14ac:dyDescent="0.25">
      <c r="A220" s="14" t="s">
        <v>1738</v>
      </c>
      <c r="B220" s="10" t="s">
        <v>1739</v>
      </c>
      <c r="C220" s="26" t="s">
        <v>1723</v>
      </c>
      <c r="D220" s="29" t="s">
        <v>154</v>
      </c>
    </row>
    <row r="221" spans="1:4" x14ac:dyDescent="0.25">
      <c r="A221" s="14" t="s">
        <v>1741</v>
      </c>
      <c r="B221" s="10" t="s">
        <v>1742</v>
      </c>
      <c r="C221" s="26" t="s">
        <v>1744</v>
      </c>
      <c r="D221" s="29" t="s">
        <v>1745</v>
      </c>
    </row>
    <row r="222" spans="1:4" x14ac:dyDescent="0.25">
      <c r="A222" s="14" t="s">
        <v>1748</v>
      </c>
      <c r="B222" s="10" t="s">
        <v>1749</v>
      </c>
      <c r="C222" s="26" t="s">
        <v>1752</v>
      </c>
      <c r="D222" s="29" t="s">
        <v>1753</v>
      </c>
    </row>
    <row r="223" spans="1:4" x14ac:dyDescent="0.25">
      <c r="A223" s="14" t="s">
        <v>1756</v>
      </c>
      <c r="B223" s="10" t="s">
        <v>1757</v>
      </c>
      <c r="C223" s="26" t="s">
        <v>1759</v>
      </c>
      <c r="D223" s="29" t="s">
        <v>1760</v>
      </c>
    </row>
    <row r="224" spans="1:4" x14ac:dyDescent="0.25">
      <c r="A224" s="14" t="s">
        <v>1763</v>
      </c>
      <c r="B224" s="10" t="s">
        <v>1764</v>
      </c>
      <c r="C224" s="26" t="s">
        <v>1759</v>
      </c>
      <c r="D224" s="29" t="s">
        <v>1760</v>
      </c>
    </row>
    <row r="225" spans="1:4" x14ac:dyDescent="0.25">
      <c r="A225" s="14" t="s">
        <v>1767</v>
      </c>
      <c r="B225" s="10" t="s">
        <v>1768</v>
      </c>
      <c r="C225" s="26" t="s">
        <v>1642</v>
      </c>
      <c r="D225" s="29" t="s">
        <v>1643</v>
      </c>
    </row>
    <row r="226" spans="1:4" x14ac:dyDescent="0.25">
      <c r="A226" s="14" t="s">
        <v>1770</v>
      </c>
      <c r="B226" s="10" t="s">
        <v>1771</v>
      </c>
      <c r="C226" s="26" t="s">
        <v>1773</v>
      </c>
      <c r="D226" s="29" t="s">
        <v>1774</v>
      </c>
    </row>
    <row r="227" spans="1:4" x14ac:dyDescent="0.25">
      <c r="A227" s="14" t="s">
        <v>1777</v>
      </c>
      <c r="B227" s="10" t="s">
        <v>1778</v>
      </c>
      <c r="C227" s="26" t="s">
        <v>1744</v>
      </c>
      <c r="D227" s="29" t="s">
        <v>1745</v>
      </c>
    </row>
    <row r="228" spans="1:4" x14ac:dyDescent="0.25">
      <c r="A228" s="14" t="s">
        <v>1780</v>
      </c>
      <c r="B228" s="10" t="s">
        <v>1781</v>
      </c>
      <c r="C228" s="26" t="s">
        <v>1744</v>
      </c>
      <c r="D228" s="29" t="s">
        <v>1745</v>
      </c>
    </row>
    <row r="229" spans="1:4" x14ac:dyDescent="0.25">
      <c r="A229" s="14" t="s">
        <v>1783</v>
      </c>
      <c r="B229" s="10" t="s">
        <v>1784</v>
      </c>
      <c r="C229" s="26" t="s">
        <v>1773</v>
      </c>
      <c r="D229" s="29" t="s">
        <v>1774</v>
      </c>
    </row>
    <row r="230" spans="1:4" x14ac:dyDescent="0.25">
      <c r="A230" s="14" t="s">
        <v>1787</v>
      </c>
      <c r="B230" s="10" t="s">
        <v>1788</v>
      </c>
      <c r="C230" s="26" t="s">
        <v>1642</v>
      </c>
      <c r="D230" s="29" t="s">
        <v>1643</v>
      </c>
    </row>
    <row r="231" spans="1:4" x14ac:dyDescent="0.25">
      <c r="A231" s="14" t="s">
        <v>1790</v>
      </c>
      <c r="B231" s="10" t="s">
        <v>1791</v>
      </c>
      <c r="C231" s="26" t="s">
        <v>1773</v>
      </c>
      <c r="D231" s="29" t="s">
        <v>1774</v>
      </c>
    </row>
    <row r="232" spans="1:4" x14ac:dyDescent="0.25">
      <c r="A232" s="14" t="s">
        <v>1793</v>
      </c>
      <c r="B232" s="10" t="s">
        <v>1794</v>
      </c>
      <c r="C232" s="26" t="s">
        <v>1797</v>
      </c>
      <c r="D232" s="29" t="s">
        <v>1798</v>
      </c>
    </row>
    <row r="233" spans="1:4" x14ac:dyDescent="0.25">
      <c r="A233" s="14" t="s">
        <v>1802</v>
      </c>
      <c r="B233" s="10" t="s">
        <v>1803</v>
      </c>
      <c r="C233" s="26" t="s">
        <v>1805</v>
      </c>
      <c r="D233" s="29" t="s">
        <v>523</v>
      </c>
    </row>
    <row r="234" spans="1:4" x14ac:dyDescent="0.25">
      <c r="A234" s="14" t="s">
        <v>1807</v>
      </c>
      <c r="B234" s="10" t="s">
        <v>1808</v>
      </c>
      <c r="C234" s="26" t="s">
        <v>1752</v>
      </c>
      <c r="D234" s="29" t="s">
        <v>1753</v>
      </c>
    </row>
    <row r="235" spans="1:4" x14ac:dyDescent="0.25">
      <c r="A235" s="14" t="s">
        <v>1811</v>
      </c>
      <c r="B235" s="10" t="s">
        <v>1812</v>
      </c>
      <c r="C235" s="26" t="s">
        <v>1797</v>
      </c>
      <c r="D235" s="29" t="s">
        <v>1798</v>
      </c>
    </row>
    <row r="236" spans="1:4" x14ac:dyDescent="0.25">
      <c r="A236" s="14" t="s">
        <v>1815</v>
      </c>
      <c r="B236" s="10" t="s">
        <v>1816</v>
      </c>
      <c r="C236" s="26" t="s">
        <v>1642</v>
      </c>
      <c r="D236" s="29" t="s">
        <v>1643</v>
      </c>
    </row>
    <row r="237" spans="1:4" x14ac:dyDescent="0.25">
      <c r="A237" s="14" t="s">
        <v>1818</v>
      </c>
      <c r="B237" s="10" t="s">
        <v>1819</v>
      </c>
      <c r="C237" s="26" t="s">
        <v>1723</v>
      </c>
      <c r="D237" s="29" t="s">
        <v>154</v>
      </c>
    </row>
    <row r="238" spans="1:4" x14ac:dyDescent="0.25">
      <c r="A238" s="14" t="s">
        <v>1821</v>
      </c>
      <c r="B238" s="10" t="s">
        <v>1822</v>
      </c>
      <c r="C238" s="26" t="s">
        <v>1723</v>
      </c>
      <c r="D238" s="29" t="s">
        <v>154</v>
      </c>
    </row>
    <row r="239" spans="1:4" x14ac:dyDescent="0.25">
      <c r="A239" s="14" t="s">
        <v>1824</v>
      </c>
      <c r="B239" s="10" t="s">
        <v>1825</v>
      </c>
      <c r="C239" s="26" t="s">
        <v>1805</v>
      </c>
      <c r="D239" s="29" t="s">
        <v>523</v>
      </c>
    </row>
    <row r="240" spans="1:4" x14ac:dyDescent="0.25">
      <c r="A240" s="14" t="s">
        <v>1832</v>
      </c>
      <c r="B240" s="10" t="s">
        <v>1833</v>
      </c>
      <c r="C240" s="26" t="s">
        <v>1642</v>
      </c>
      <c r="D240" s="29" t="s">
        <v>1643</v>
      </c>
    </row>
    <row r="241" spans="1:4" x14ac:dyDescent="0.25">
      <c r="A241" s="14" t="s">
        <v>1835</v>
      </c>
      <c r="B241" s="10" t="s">
        <v>1836</v>
      </c>
      <c r="C241" s="26" t="s">
        <v>1642</v>
      </c>
      <c r="D241" s="29" t="s">
        <v>1643</v>
      </c>
    </row>
    <row r="242" spans="1:4" x14ac:dyDescent="0.25">
      <c r="A242" s="14" t="s">
        <v>1839</v>
      </c>
      <c r="B242" s="10" t="s">
        <v>1840</v>
      </c>
      <c r="C242" s="26" t="s">
        <v>1572</v>
      </c>
      <c r="D242" s="29" t="s">
        <v>1573</v>
      </c>
    </row>
    <row r="243" spans="1:4" x14ac:dyDescent="0.25">
      <c r="A243" s="14" t="s">
        <v>1842</v>
      </c>
      <c r="B243" s="10" t="s">
        <v>1843</v>
      </c>
      <c r="C243" s="26" t="s">
        <v>122</v>
      </c>
      <c r="D243" s="29" t="s">
        <v>544</v>
      </c>
    </row>
    <row r="244" spans="1:4" x14ac:dyDescent="0.25">
      <c r="A244" s="14" t="s">
        <v>1845</v>
      </c>
      <c r="B244" s="10" t="s">
        <v>1846</v>
      </c>
      <c r="C244" s="26" t="s">
        <v>1572</v>
      </c>
      <c r="D244" s="29" t="s">
        <v>1573</v>
      </c>
    </row>
    <row r="245" spans="1:4" x14ac:dyDescent="0.25">
      <c r="A245" s="14" t="s">
        <v>1848</v>
      </c>
      <c r="B245" s="10" t="s">
        <v>1849</v>
      </c>
      <c r="C245" s="26" t="s">
        <v>414</v>
      </c>
      <c r="D245" s="29" t="s">
        <v>1852</v>
      </c>
    </row>
    <row r="246" spans="1:4" x14ac:dyDescent="0.25">
      <c r="A246" s="14" t="s">
        <v>1853</v>
      </c>
      <c r="B246" s="10" t="s">
        <v>1854</v>
      </c>
      <c r="C246" s="26" t="s">
        <v>1445</v>
      </c>
      <c r="D246" s="29" t="s">
        <v>1446</v>
      </c>
    </row>
    <row r="247" spans="1:4" x14ac:dyDescent="0.25">
      <c r="A247" s="14" t="s">
        <v>1856</v>
      </c>
      <c r="B247" s="10" t="s">
        <v>1857</v>
      </c>
      <c r="C247" s="26" t="s">
        <v>761</v>
      </c>
      <c r="D247" s="29" t="s">
        <v>762</v>
      </c>
    </row>
    <row r="248" spans="1:4" x14ac:dyDescent="0.25">
      <c r="A248" s="14" t="s">
        <v>1860</v>
      </c>
      <c r="B248" s="10" t="s">
        <v>1861</v>
      </c>
      <c r="C248" s="26" t="s">
        <v>1797</v>
      </c>
      <c r="D248" s="29" t="s">
        <v>1798</v>
      </c>
    </row>
    <row r="249" spans="1:4" x14ac:dyDescent="0.25">
      <c r="A249" s="14" t="s">
        <v>1865</v>
      </c>
      <c r="B249" s="10" t="s">
        <v>1866</v>
      </c>
      <c r="C249" s="26" t="s">
        <v>1868</v>
      </c>
      <c r="D249" s="29" t="s">
        <v>1869</v>
      </c>
    </row>
    <row r="250" spans="1:4" x14ac:dyDescent="0.25">
      <c r="A250" s="14" t="s">
        <v>1872</v>
      </c>
      <c r="B250" s="10" t="s">
        <v>1873</v>
      </c>
      <c r="C250" s="26" t="s">
        <v>1875</v>
      </c>
      <c r="D250" s="29" t="s">
        <v>1876</v>
      </c>
    </row>
    <row r="251" spans="1:4" x14ac:dyDescent="0.25">
      <c r="A251" s="14" t="s">
        <v>1879</v>
      </c>
      <c r="B251" s="10" t="s">
        <v>1880</v>
      </c>
      <c r="C251" s="26" t="s">
        <v>768</v>
      </c>
      <c r="D251" s="29" t="s">
        <v>966</v>
      </c>
    </row>
    <row r="252" spans="1:4" x14ac:dyDescent="0.25">
      <c r="A252" s="14" t="s">
        <v>1883</v>
      </c>
      <c r="B252" s="10" t="s">
        <v>1884</v>
      </c>
      <c r="C252" s="26" t="s">
        <v>1759</v>
      </c>
      <c r="D252" s="29" t="s">
        <v>1760</v>
      </c>
    </row>
    <row r="253" spans="1:4" x14ac:dyDescent="0.25">
      <c r="A253" s="14" t="s">
        <v>1890</v>
      </c>
      <c r="B253" s="10" t="s">
        <v>1891</v>
      </c>
      <c r="C253" s="26" t="s">
        <v>1893</v>
      </c>
      <c r="D253" s="29" t="s">
        <v>1894</v>
      </c>
    </row>
    <row r="254" spans="1:4" x14ac:dyDescent="0.25">
      <c r="A254" s="14" t="s">
        <v>1897</v>
      </c>
      <c r="B254" s="10" t="s">
        <v>1898</v>
      </c>
      <c r="C254" s="26" t="s">
        <v>1797</v>
      </c>
      <c r="D254" s="29" t="s">
        <v>1798</v>
      </c>
    </row>
    <row r="255" spans="1:4" x14ac:dyDescent="0.25">
      <c r="A255" s="14" t="s">
        <v>1901</v>
      </c>
      <c r="B255" s="10" t="s">
        <v>1903</v>
      </c>
      <c r="C255" s="26" t="s">
        <v>761</v>
      </c>
      <c r="D255" s="29" t="s">
        <v>762</v>
      </c>
    </row>
    <row r="256" spans="1:4" x14ac:dyDescent="0.25">
      <c r="A256" s="14" t="s">
        <v>1908</v>
      </c>
      <c r="B256" s="10" t="s">
        <v>1909</v>
      </c>
      <c r="C256" s="26" t="s">
        <v>1797</v>
      </c>
      <c r="D256" s="29" t="s">
        <v>1798</v>
      </c>
    </row>
    <row r="257" spans="1:4" x14ac:dyDescent="0.25">
      <c r="A257" s="14" t="s">
        <v>1911</v>
      </c>
      <c r="B257" s="10" t="s">
        <v>1912</v>
      </c>
      <c r="C257" s="26" t="s">
        <v>1893</v>
      </c>
      <c r="D257" s="29" t="s">
        <v>1894</v>
      </c>
    </row>
    <row r="258" spans="1:4" x14ac:dyDescent="0.25">
      <c r="A258" s="14" t="s">
        <v>1914</v>
      </c>
      <c r="B258" s="10" t="s">
        <v>1916</v>
      </c>
      <c r="C258" s="26" t="s">
        <v>1445</v>
      </c>
      <c r="D258" s="29" t="s">
        <v>1446</v>
      </c>
    </row>
    <row r="259" spans="1:4" x14ac:dyDescent="0.25">
      <c r="A259" s="14" t="s">
        <v>1921</v>
      </c>
      <c r="B259" s="10" t="s">
        <v>1922</v>
      </c>
      <c r="C259" s="26" t="s">
        <v>1924</v>
      </c>
      <c r="D259" s="29" t="s">
        <v>1869</v>
      </c>
    </row>
    <row r="260" spans="1:4" x14ac:dyDescent="0.25">
      <c r="A260" s="14" t="s">
        <v>1927</v>
      </c>
      <c r="B260" s="10" t="s">
        <v>1928</v>
      </c>
      <c r="C260" s="26" t="s">
        <v>1931</v>
      </c>
      <c r="D260" s="29" t="s">
        <v>1932</v>
      </c>
    </row>
    <row r="261" spans="1:4" x14ac:dyDescent="0.25">
      <c r="A261" s="14" t="s">
        <v>1942</v>
      </c>
      <c r="B261" s="10" t="s">
        <v>1943</v>
      </c>
      <c r="C261" s="26" t="s">
        <v>761</v>
      </c>
      <c r="D261" s="29" t="s">
        <v>762</v>
      </c>
    </row>
    <row r="262" spans="1:4" x14ac:dyDescent="0.25">
      <c r="A262" s="14" t="s">
        <v>1948</v>
      </c>
      <c r="B262" s="10" t="s">
        <v>1949</v>
      </c>
      <c r="C262" s="26" t="s">
        <v>414</v>
      </c>
      <c r="D262" s="29" t="s">
        <v>1852</v>
      </c>
    </row>
    <row r="263" spans="1:4" x14ac:dyDescent="0.25">
      <c r="A263" s="14" t="s">
        <v>1951</v>
      </c>
      <c r="B263" s="10" t="s">
        <v>1952</v>
      </c>
      <c r="C263" s="26" t="s">
        <v>761</v>
      </c>
      <c r="D263" s="29" t="s">
        <v>762</v>
      </c>
    </row>
    <row r="264" spans="1:4" x14ac:dyDescent="0.25">
      <c r="A264" s="14" t="s">
        <v>1955</v>
      </c>
      <c r="B264" s="10" t="s">
        <v>1956</v>
      </c>
      <c r="C264" s="26" t="s">
        <v>414</v>
      </c>
      <c r="D264" s="29" t="s">
        <v>1852</v>
      </c>
    </row>
    <row r="265" spans="1:4" x14ac:dyDescent="0.25">
      <c r="A265" s="14" t="s">
        <v>1960</v>
      </c>
      <c r="B265" s="10" t="s">
        <v>1961</v>
      </c>
      <c r="C265" s="26" t="s">
        <v>1963</v>
      </c>
      <c r="D265" s="29" t="s">
        <v>1964</v>
      </c>
    </row>
    <row r="266" spans="1:4" x14ac:dyDescent="0.25">
      <c r="A266" s="14" t="s">
        <v>1976</v>
      </c>
      <c r="B266" s="10" t="s">
        <v>1977</v>
      </c>
      <c r="C266" s="26" t="s">
        <v>1660</v>
      </c>
      <c r="D266" s="29" t="s">
        <v>1980</v>
      </c>
    </row>
    <row r="267" spans="1:4" x14ac:dyDescent="0.25">
      <c r="A267" s="14" t="s">
        <v>1981</v>
      </c>
      <c r="B267" s="10" t="s">
        <v>1982</v>
      </c>
      <c r="C267" s="26" t="s">
        <v>1985</v>
      </c>
      <c r="D267" s="29" t="s">
        <v>1986</v>
      </c>
    </row>
    <row r="268" spans="1:4" x14ac:dyDescent="0.25">
      <c r="A268" s="14" t="s">
        <v>1990</v>
      </c>
      <c r="B268" s="10" t="s">
        <v>1991</v>
      </c>
      <c r="C268" s="26" t="s">
        <v>414</v>
      </c>
      <c r="D268" s="29" t="s">
        <v>1852</v>
      </c>
    </row>
    <row r="269" spans="1:4" x14ac:dyDescent="0.25">
      <c r="A269" s="14" t="s">
        <v>1993</v>
      </c>
      <c r="B269" s="10" t="s">
        <v>1994</v>
      </c>
      <c r="C269" s="26" t="s">
        <v>414</v>
      </c>
      <c r="D269" s="29" t="s">
        <v>1996</v>
      </c>
    </row>
    <row r="270" spans="1:4" x14ac:dyDescent="0.25">
      <c r="A270" s="14" t="s">
        <v>1997</v>
      </c>
      <c r="B270" s="10" t="s">
        <v>1998</v>
      </c>
      <c r="C270" s="26" t="s">
        <v>1985</v>
      </c>
      <c r="D270" s="29" t="s">
        <v>1986</v>
      </c>
    </row>
    <row r="271" spans="1:4" x14ac:dyDescent="0.25">
      <c r="A271" s="14" t="s">
        <v>2000</v>
      </c>
      <c r="B271" s="10" t="s">
        <v>2001</v>
      </c>
      <c r="C271" s="26" t="s">
        <v>1985</v>
      </c>
      <c r="D271" s="29" t="s">
        <v>1986</v>
      </c>
    </row>
    <row r="272" spans="1:4" x14ac:dyDescent="0.25">
      <c r="A272" s="14" t="s">
        <v>2005</v>
      </c>
      <c r="B272" s="10" t="s">
        <v>2006</v>
      </c>
      <c r="C272" s="26" t="s">
        <v>1469</v>
      </c>
      <c r="D272" s="29" t="s">
        <v>2008</v>
      </c>
    </row>
    <row r="273" spans="1:4" x14ac:dyDescent="0.25">
      <c r="A273" s="14" t="s">
        <v>2011</v>
      </c>
      <c r="B273" s="10" t="s">
        <v>2012</v>
      </c>
      <c r="C273" s="26" t="s">
        <v>1985</v>
      </c>
      <c r="D273" s="29" t="s">
        <v>1986</v>
      </c>
    </row>
    <row r="274" spans="1:4" x14ac:dyDescent="0.25">
      <c r="A274" s="14" t="s">
        <v>2016</v>
      </c>
      <c r="B274" s="10" t="s">
        <v>2017</v>
      </c>
      <c r="C274" s="26" t="s">
        <v>1963</v>
      </c>
      <c r="D274" s="29" t="s">
        <v>1964</v>
      </c>
    </row>
    <row r="275" spans="1:4" x14ac:dyDescent="0.25">
      <c r="A275" s="14" t="s">
        <v>2020</v>
      </c>
      <c r="B275" s="10" t="s">
        <v>2021</v>
      </c>
      <c r="C275" s="26" t="s">
        <v>1985</v>
      </c>
      <c r="D275" s="29" t="s">
        <v>1986</v>
      </c>
    </row>
    <row r="276" spans="1:4" x14ac:dyDescent="0.25">
      <c r="A276" s="14" t="s">
        <v>2024</v>
      </c>
      <c r="B276" s="10" t="s">
        <v>2025</v>
      </c>
      <c r="C276" s="26" t="s">
        <v>1985</v>
      </c>
      <c r="D276" s="29" t="s">
        <v>1986</v>
      </c>
    </row>
    <row r="277" spans="1:4" x14ac:dyDescent="0.25">
      <c r="A277" s="14" t="s">
        <v>2041</v>
      </c>
      <c r="B277" s="10" t="s">
        <v>2042</v>
      </c>
      <c r="C277" s="26" t="s">
        <v>657</v>
      </c>
      <c r="D277" s="29" t="s">
        <v>658</v>
      </c>
    </row>
    <row r="278" spans="1:4" x14ac:dyDescent="0.25">
      <c r="A278" s="14" t="s">
        <v>2047</v>
      </c>
      <c r="B278" s="10" t="s">
        <v>2048</v>
      </c>
      <c r="C278" s="26" t="s">
        <v>2051</v>
      </c>
      <c r="D278" s="29" t="s">
        <v>2052</v>
      </c>
    </row>
    <row r="279" spans="1:4" x14ac:dyDescent="0.25">
      <c r="A279" s="14" t="s">
        <v>2056</v>
      </c>
      <c r="B279" s="10" t="s">
        <v>2057</v>
      </c>
      <c r="C279" s="26" t="s">
        <v>1642</v>
      </c>
      <c r="D279" s="29" t="s">
        <v>1643</v>
      </c>
    </row>
    <row r="280" spans="1:4" x14ac:dyDescent="0.25">
      <c r="A280" s="14" t="s">
        <v>2067</v>
      </c>
      <c r="B280" s="10" t="s">
        <v>2068</v>
      </c>
      <c r="C280" s="26" t="s">
        <v>590</v>
      </c>
      <c r="D280" s="29" t="s">
        <v>591</v>
      </c>
    </row>
    <row r="281" spans="1:4" x14ac:dyDescent="0.25">
      <c r="A281" s="14" t="s">
        <v>2070</v>
      </c>
      <c r="B281" s="10" t="s">
        <v>2071</v>
      </c>
      <c r="C281" s="26" t="s">
        <v>1642</v>
      </c>
      <c r="D281" s="29" t="s">
        <v>1643</v>
      </c>
    </row>
    <row r="282" spans="1:4" x14ac:dyDescent="0.25">
      <c r="A282" s="14" t="s">
        <v>2074</v>
      </c>
      <c r="B282" s="10" t="s">
        <v>788</v>
      </c>
      <c r="C282" s="26" t="s">
        <v>2076</v>
      </c>
      <c r="D282" s="29" t="s">
        <v>2077</v>
      </c>
    </row>
    <row r="283" spans="1:4" x14ac:dyDescent="0.25">
      <c r="A283" s="14" t="s">
        <v>2083</v>
      </c>
      <c r="B283" s="10" t="s">
        <v>1916</v>
      </c>
      <c r="C283" s="26" t="s">
        <v>1445</v>
      </c>
      <c r="D283" s="29" t="s">
        <v>1446</v>
      </c>
    </row>
    <row r="284" spans="1:4" x14ac:dyDescent="0.25">
      <c r="A284" s="14" t="s">
        <v>2089</v>
      </c>
      <c r="B284" s="10" t="s">
        <v>2090</v>
      </c>
      <c r="C284" s="26" t="s">
        <v>761</v>
      </c>
      <c r="D284" s="29" t="s">
        <v>762</v>
      </c>
    </row>
    <row r="285" spans="1:4" x14ac:dyDescent="0.25">
      <c r="A285" s="14" t="s">
        <v>2097</v>
      </c>
      <c r="B285" s="10" t="s">
        <v>2098</v>
      </c>
      <c r="C285" s="26" t="s">
        <v>590</v>
      </c>
      <c r="D285" s="29" t="s">
        <v>591</v>
      </c>
    </row>
    <row r="286" spans="1:4" x14ac:dyDescent="0.25">
      <c r="A286" s="14" t="s">
        <v>2107</v>
      </c>
      <c r="B286" s="10" t="s">
        <v>2108</v>
      </c>
      <c r="C286" s="26" t="s">
        <v>761</v>
      </c>
      <c r="D286" s="29" t="s">
        <v>762</v>
      </c>
    </row>
    <row r="287" spans="1:4" x14ac:dyDescent="0.25">
      <c r="A287" s="14" t="s">
        <v>2115</v>
      </c>
      <c r="B287" s="10" t="s">
        <v>2116</v>
      </c>
      <c r="C287" s="26" t="s">
        <v>761</v>
      </c>
      <c r="D287" s="29" t="s">
        <v>762</v>
      </c>
    </row>
    <row r="288" spans="1:4" x14ac:dyDescent="0.25">
      <c r="A288" s="14" t="s">
        <v>2121</v>
      </c>
      <c r="B288" s="10" t="s">
        <v>2122</v>
      </c>
      <c r="C288" s="26" t="s">
        <v>2124</v>
      </c>
      <c r="D288" s="29" t="s">
        <v>1217</v>
      </c>
    </row>
    <row r="289" spans="1:4" x14ac:dyDescent="0.25">
      <c r="A289" s="14" t="s">
        <v>2144</v>
      </c>
      <c r="B289" s="10" t="s">
        <v>2145</v>
      </c>
      <c r="C289" s="26" t="s">
        <v>64</v>
      </c>
      <c r="D289" s="29" t="s">
        <v>65</v>
      </c>
    </row>
    <row r="290" spans="1:4" x14ac:dyDescent="0.25">
      <c r="A290" s="14" t="s">
        <v>2149</v>
      </c>
      <c r="B290" s="10" t="s">
        <v>2150</v>
      </c>
      <c r="C290" s="26" t="s">
        <v>2152</v>
      </c>
      <c r="D290" s="29" t="s">
        <v>2153</v>
      </c>
    </row>
    <row r="291" spans="1:4" x14ac:dyDescent="0.25">
      <c r="A291" s="14" t="s">
        <v>2156</v>
      </c>
      <c r="B291" s="10" t="s">
        <v>2157</v>
      </c>
      <c r="C291" s="26" t="s">
        <v>395</v>
      </c>
      <c r="D291" s="29" t="s">
        <v>1217</v>
      </c>
    </row>
    <row r="292" spans="1:4" x14ac:dyDescent="0.25">
      <c r="A292" s="14" t="s">
        <v>2166</v>
      </c>
      <c r="B292" s="10" t="s">
        <v>2167</v>
      </c>
      <c r="C292" s="26" t="s">
        <v>64</v>
      </c>
      <c r="D292" s="29" t="s">
        <v>65</v>
      </c>
    </row>
    <row r="293" spans="1:4" x14ac:dyDescent="0.25">
      <c r="A293" s="14" t="s">
        <v>2169</v>
      </c>
      <c r="B293" s="10" t="s">
        <v>2170</v>
      </c>
      <c r="C293" s="26" t="s">
        <v>2171</v>
      </c>
      <c r="D293" s="29" t="s">
        <v>2172</v>
      </c>
    </row>
    <row r="294" spans="1:4" x14ac:dyDescent="0.25">
      <c r="A294" s="14" t="s">
        <v>2174</v>
      </c>
      <c r="B294" s="10" t="s">
        <v>2175</v>
      </c>
      <c r="C294" s="26" t="s">
        <v>1893</v>
      </c>
      <c r="D294" s="29" t="s">
        <v>2177</v>
      </c>
    </row>
    <row r="295" spans="1:4" x14ac:dyDescent="0.25">
      <c r="A295" s="14" t="s">
        <v>2178</v>
      </c>
      <c r="B295" s="10" t="s">
        <v>2179</v>
      </c>
      <c r="C295" s="26" t="s">
        <v>950</v>
      </c>
      <c r="D295" s="29" t="s">
        <v>951</v>
      </c>
    </row>
    <row r="296" spans="1:4" x14ac:dyDescent="0.25">
      <c r="A296" s="14" t="s">
        <v>2183</v>
      </c>
      <c r="B296" s="10" t="s">
        <v>2184</v>
      </c>
      <c r="C296" s="26" t="s">
        <v>761</v>
      </c>
      <c r="D296" s="29" t="s">
        <v>762</v>
      </c>
    </row>
    <row r="297" spans="1:4" x14ac:dyDescent="0.25">
      <c r="A297" s="14" t="s">
        <v>251</v>
      </c>
      <c r="B297" s="10" t="s">
        <v>253</v>
      </c>
      <c r="C297" s="26" t="s">
        <v>257</v>
      </c>
      <c r="D297" s="29" t="s">
        <v>258</v>
      </c>
    </row>
    <row r="298" spans="1:4" x14ac:dyDescent="0.25">
      <c r="A298" s="14" t="s">
        <v>568</v>
      </c>
      <c r="B298" s="10" t="s">
        <v>570</v>
      </c>
      <c r="C298" s="26" t="s">
        <v>573</v>
      </c>
      <c r="D298" s="29" t="s">
        <v>574</v>
      </c>
    </row>
    <row r="299" spans="1:4" x14ac:dyDescent="0.25">
      <c r="A299" s="14" t="s">
        <v>1369</v>
      </c>
      <c r="B299" s="10" t="s">
        <v>1370</v>
      </c>
      <c r="C299" s="26" t="s">
        <v>1299</v>
      </c>
      <c r="D299" s="29" t="s">
        <v>1300</v>
      </c>
    </row>
    <row r="300" spans="1:4" x14ac:dyDescent="0.25">
      <c r="A300" s="14" t="s">
        <v>1385</v>
      </c>
      <c r="B300" s="10" t="s">
        <v>1386</v>
      </c>
      <c r="C300" s="26" t="s">
        <v>1299</v>
      </c>
      <c r="D300" s="29" t="s">
        <v>1300</v>
      </c>
    </row>
    <row r="301" spans="1:4" x14ac:dyDescent="0.25">
      <c r="A301" s="14" t="s">
        <v>1387</v>
      </c>
      <c r="B301" s="10" t="s">
        <v>1388</v>
      </c>
      <c r="C301" s="26" t="s">
        <v>1299</v>
      </c>
      <c r="D301" s="29" t="s">
        <v>1300</v>
      </c>
    </row>
    <row r="302" spans="1:4" x14ac:dyDescent="0.25">
      <c r="A302" s="14" t="s">
        <v>1393</v>
      </c>
      <c r="B302" s="10" t="s">
        <v>1394</v>
      </c>
      <c r="C302" s="26" t="s">
        <v>1299</v>
      </c>
      <c r="D302" s="29" t="s">
        <v>1300</v>
      </c>
    </row>
    <row r="303" spans="1:4" x14ac:dyDescent="0.25">
      <c r="A303" s="14" t="s">
        <v>1398</v>
      </c>
      <c r="B303" s="10" t="s">
        <v>1399</v>
      </c>
      <c r="C303" s="26" t="s">
        <v>1299</v>
      </c>
      <c r="D303" s="29" t="s">
        <v>1300</v>
      </c>
    </row>
    <row r="304" spans="1:4" x14ac:dyDescent="0.25">
      <c r="A304" s="14" t="s">
        <v>1464</v>
      </c>
      <c r="B304" s="10" t="s">
        <v>1465</v>
      </c>
      <c r="C304" s="26" t="s">
        <v>1075</v>
      </c>
      <c r="D304" s="29" t="s">
        <v>1076</v>
      </c>
    </row>
    <row r="305" spans="1:4" x14ac:dyDescent="0.25">
      <c r="A305" s="14" t="s">
        <v>1485</v>
      </c>
      <c r="B305" s="10" t="s">
        <v>1486</v>
      </c>
      <c r="C305" s="26" t="s">
        <v>1211</v>
      </c>
      <c r="D305" s="29" t="s">
        <v>320</v>
      </c>
    </row>
    <row r="306" spans="1:4" x14ac:dyDescent="0.25">
      <c r="A306" s="14" t="s">
        <v>1624</v>
      </c>
      <c r="B306" s="10" t="s">
        <v>1621</v>
      </c>
      <c r="C306" s="26" t="s">
        <v>1608</v>
      </c>
      <c r="D306" s="29" t="s">
        <v>361</v>
      </c>
    </row>
    <row r="307" spans="1:4" x14ac:dyDescent="0.25">
      <c r="A307" s="14" t="s">
        <v>1673</v>
      </c>
      <c r="B307" s="10" t="s">
        <v>1674</v>
      </c>
      <c r="C307" s="26" t="s">
        <v>1299</v>
      </c>
      <c r="D307" s="29" t="s">
        <v>1300</v>
      </c>
    </row>
    <row r="308" spans="1:4" x14ac:dyDescent="0.25">
      <c r="A308" s="14" t="s">
        <v>2037</v>
      </c>
      <c r="B308" s="10" t="s">
        <v>1658</v>
      </c>
      <c r="C308" s="26" t="s">
        <v>2039</v>
      </c>
      <c r="D308" s="29" t="s">
        <v>1661</v>
      </c>
    </row>
    <row r="309" spans="1:4" x14ac:dyDescent="0.25">
      <c r="A309" s="14" t="s">
        <v>2063</v>
      </c>
      <c r="B309" s="10" t="s">
        <v>2064</v>
      </c>
      <c r="C309" s="26" t="s">
        <v>768</v>
      </c>
      <c r="D309" s="29" t="s">
        <v>966</v>
      </c>
    </row>
    <row r="310" spans="1:4" x14ac:dyDescent="0.25">
      <c r="A310" s="14" t="s">
        <v>2102</v>
      </c>
      <c r="B310" s="10" t="s">
        <v>2103</v>
      </c>
      <c r="C310" s="26" t="s">
        <v>1759</v>
      </c>
      <c r="D310" s="29" t="s">
        <v>1760</v>
      </c>
    </row>
    <row r="311" spans="1:4" x14ac:dyDescent="0.25">
      <c r="A311" s="14" t="s">
        <v>2140</v>
      </c>
      <c r="B311" s="10" t="s">
        <v>2141</v>
      </c>
      <c r="C311" s="26" t="s">
        <v>768</v>
      </c>
      <c r="D311" s="29" t="s">
        <v>966</v>
      </c>
    </row>
    <row r="312" spans="1:4" x14ac:dyDescent="0.25">
      <c r="A312" s="14" t="s">
        <v>1239</v>
      </c>
      <c r="B312" s="10" t="s">
        <v>1241</v>
      </c>
      <c r="C312" s="26" t="s">
        <v>122</v>
      </c>
      <c r="D312" s="29" t="s">
        <v>544</v>
      </c>
    </row>
    <row r="313" spans="1:4" x14ac:dyDescent="0.25">
      <c r="A313" s="14" t="s">
        <v>1289</v>
      </c>
      <c r="B313" s="10" t="s">
        <v>1291</v>
      </c>
      <c r="C313" s="26" t="s">
        <v>768</v>
      </c>
      <c r="D313" s="29" t="s">
        <v>386</v>
      </c>
    </row>
    <row r="314" spans="1:4" x14ac:dyDescent="0.25">
      <c r="A314" s="14" t="s">
        <v>1295</v>
      </c>
      <c r="B314" s="10" t="s">
        <v>1297</v>
      </c>
      <c r="C314" s="26" t="s">
        <v>1299</v>
      </c>
      <c r="D314" s="29" t="s">
        <v>1300</v>
      </c>
    </row>
    <row r="315" spans="1:4" x14ac:dyDescent="0.25">
      <c r="A315" s="14" t="s">
        <v>1349</v>
      </c>
      <c r="B315" s="10" t="s">
        <v>1350</v>
      </c>
      <c r="C315" s="26" t="s">
        <v>1299</v>
      </c>
      <c r="D315" s="29" t="s">
        <v>1300</v>
      </c>
    </row>
    <row r="316" spans="1:4" x14ac:dyDescent="0.25">
      <c r="A316" s="14" t="s">
        <v>1352</v>
      </c>
      <c r="B316" s="10" t="s">
        <v>1353</v>
      </c>
      <c r="C316" s="26" t="s">
        <v>1299</v>
      </c>
      <c r="D316" s="29" t="s">
        <v>1300</v>
      </c>
    </row>
    <row r="317" spans="1:4" x14ac:dyDescent="0.25">
      <c r="A317" s="14" t="s">
        <v>1339</v>
      </c>
      <c r="B317" s="10" t="s">
        <v>1340</v>
      </c>
      <c r="C317" s="26" t="s">
        <v>1342</v>
      </c>
      <c r="D317" s="29" t="s">
        <v>1343</v>
      </c>
    </row>
    <row r="318" spans="1:4" x14ac:dyDescent="0.25">
      <c r="A318" s="14" t="s">
        <v>1371</v>
      </c>
      <c r="B318" s="10" t="s">
        <v>1373</v>
      </c>
      <c r="C318" s="26" t="s">
        <v>1200</v>
      </c>
      <c r="D318" s="29" t="s">
        <v>514</v>
      </c>
    </row>
    <row r="319" spans="1:4" x14ac:dyDescent="0.25">
      <c r="A319" s="14" t="s">
        <v>1376</v>
      </c>
      <c r="B319" s="10" t="s">
        <v>1377</v>
      </c>
      <c r="C319" s="26" t="s">
        <v>1200</v>
      </c>
      <c r="D319" s="29" t="s">
        <v>514</v>
      </c>
    </row>
    <row r="320" spans="1:4" x14ac:dyDescent="0.25">
      <c r="A320" s="14" t="s">
        <v>1379</v>
      </c>
      <c r="B320" s="10" t="s">
        <v>1380</v>
      </c>
      <c r="C320" s="26" t="s">
        <v>1200</v>
      </c>
      <c r="D320" s="29" t="s">
        <v>514</v>
      </c>
    </row>
    <row r="321" spans="1:4" x14ac:dyDescent="0.25">
      <c r="A321" s="14" t="s">
        <v>1389</v>
      </c>
      <c r="B321" s="10" t="s">
        <v>1390</v>
      </c>
      <c r="C321" s="26" t="s">
        <v>1342</v>
      </c>
      <c r="D321" s="29" t="s">
        <v>1392</v>
      </c>
    </row>
    <row r="322" spans="1:4" x14ac:dyDescent="0.25">
      <c r="A322" s="14" t="s">
        <v>1887</v>
      </c>
      <c r="B322" s="10" t="s">
        <v>1888</v>
      </c>
      <c r="C322" s="26" t="s">
        <v>1200</v>
      </c>
      <c r="D322" s="29" t="s">
        <v>514</v>
      </c>
    </row>
    <row r="323" spans="1:4" x14ac:dyDescent="0.25">
      <c r="A323" s="14" t="s">
        <v>1305</v>
      </c>
      <c r="B323" s="10" t="s">
        <v>1306</v>
      </c>
      <c r="C323" s="26" t="s">
        <v>624</v>
      </c>
      <c r="D323" s="29" t="s">
        <v>625</v>
      </c>
    </row>
    <row r="324" spans="1:4" x14ac:dyDescent="0.25">
      <c r="A324" s="14" t="s">
        <v>1308</v>
      </c>
      <c r="B324" s="10" t="s">
        <v>1309</v>
      </c>
      <c r="C324" s="26" t="s">
        <v>624</v>
      </c>
      <c r="D324" s="29" t="s">
        <v>625</v>
      </c>
    </row>
    <row r="325" spans="1:4" x14ac:dyDescent="0.25">
      <c r="A325" s="14" t="s">
        <v>1311</v>
      </c>
      <c r="B325" s="10" t="s">
        <v>1313</v>
      </c>
      <c r="C325" s="26" t="s">
        <v>1315</v>
      </c>
      <c r="D325" s="29" t="s">
        <v>1316</v>
      </c>
    </row>
    <row r="326" spans="1:4" x14ac:dyDescent="0.25">
      <c r="A326" s="14" t="s">
        <v>1319</v>
      </c>
      <c r="B326" s="10" t="s">
        <v>1320</v>
      </c>
      <c r="C326" s="26" t="s">
        <v>624</v>
      </c>
      <c r="D326" s="29" t="s">
        <v>625</v>
      </c>
    </row>
    <row r="327" spans="1:4" x14ac:dyDescent="0.25">
      <c r="A327" s="14" t="s">
        <v>1322</v>
      </c>
      <c r="B327" s="10" t="s">
        <v>1323</v>
      </c>
      <c r="C327" s="26" t="s">
        <v>1325</v>
      </c>
      <c r="D327" s="29" t="s">
        <v>1326</v>
      </c>
    </row>
    <row r="328" spans="1:4" x14ac:dyDescent="0.25">
      <c r="A328" s="14" t="s">
        <v>1328</v>
      </c>
      <c r="B328" s="10" t="s">
        <v>1329</v>
      </c>
      <c r="C328" s="26" t="s">
        <v>1325</v>
      </c>
      <c r="D328" s="29" t="s">
        <v>1326</v>
      </c>
    </row>
    <row r="329" spans="1:4" x14ac:dyDescent="0.25">
      <c r="A329" s="14" t="s">
        <v>1331</v>
      </c>
      <c r="B329" s="10" t="s">
        <v>1332</v>
      </c>
      <c r="C329" s="26" t="s">
        <v>624</v>
      </c>
      <c r="D329" s="29" t="s">
        <v>625</v>
      </c>
    </row>
    <row r="330" spans="1:4" x14ac:dyDescent="0.25">
      <c r="A330" s="14" t="s">
        <v>1334</v>
      </c>
      <c r="B330" s="10" t="s">
        <v>1335</v>
      </c>
      <c r="C330" s="26" t="s">
        <v>1337</v>
      </c>
      <c r="D330" s="29" t="s">
        <v>1107</v>
      </c>
    </row>
    <row r="331" spans="1:4" x14ac:dyDescent="0.25">
      <c r="A331" s="14" t="s">
        <v>1575</v>
      </c>
      <c r="B331" s="10" t="s">
        <v>1576</v>
      </c>
      <c r="C331" s="26" t="s">
        <v>761</v>
      </c>
      <c r="D331" s="29" t="s">
        <v>762</v>
      </c>
    </row>
    <row r="332" spans="1:4" x14ac:dyDescent="0.25">
      <c r="A332" s="14" t="s">
        <v>1595</v>
      </c>
      <c r="B332" s="10" t="s">
        <v>1597</v>
      </c>
      <c r="C332" s="26" t="s">
        <v>761</v>
      </c>
      <c r="D332" s="29" t="s">
        <v>762</v>
      </c>
    </row>
    <row r="333" spans="1:4" x14ac:dyDescent="0.25">
      <c r="A333" s="14" t="s">
        <v>1645</v>
      </c>
      <c r="B333" s="10" t="s">
        <v>1646</v>
      </c>
      <c r="C333" s="26" t="s">
        <v>1649</v>
      </c>
      <c r="D333" s="29" t="s">
        <v>762</v>
      </c>
    </row>
    <row r="334" spans="1:4" x14ac:dyDescent="0.25">
      <c r="A334" s="14" t="s">
        <v>1650</v>
      </c>
      <c r="B334" s="10" t="s">
        <v>1651</v>
      </c>
      <c r="C334" s="26" t="s">
        <v>761</v>
      </c>
      <c r="D334" s="29" t="s">
        <v>762</v>
      </c>
    </row>
    <row r="335" spans="1:4" x14ac:dyDescent="0.25">
      <c r="A335" s="14" t="s">
        <v>1654</v>
      </c>
      <c r="B335" s="10" t="s">
        <v>1655</v>
      </c>
      <c r="C335" s="26" t="s">
        <v>761</v>
      </c>
      <c r="D335" s="29" t="s">
        <v>762</v>
      </c>
    </row>
    <row r="336" spans="1:4" x14ac:dyDescent="0.25">
      <c r="A336" s="14" t="s">
        <v>1657</v>
      </c>
      <c r="B336" s="10" t="s">
        <v>1658</v>
      </c>
      <c r="C336" s="26" t="s">
        <v>1660</v>
      </c>
      <c r="D336" s="29" t="s">
        <v>1661</v>
      </c>
    </row>
    <row r="337" spans="1:4" x14ac:dyDescent="0.25">
      <c r="A337" s="14" t="s">
        <v>1967</v>
      </c>
      <c r="B337" s="10" t="s">
        <v>1969</v>
      </c>
      <c r="C337" s="26" t="s">
        <v>768</v>
      </c>
      <c r="D337" s="29" t="s">
        <v>1972</v>
      </c>
    </row>
    <row r="338" spans="1:4" x14ac:dyDescent="0.25">
      <c r="A338" s="14" t="s">
        <v>2028</v>
      </c>
      <c r="B338" s="10" t="s">
        <v>2029</v>
      </c>
      <c r="C338" s="26" t="s">
        <v>2032</v>
      </c>
      <c r="D338" s="29" t="s">
        <v>2033</v>
      </c>
    </row>
    <row r="339" spans="1:4" x14ac:dyDescent="0.25">
      <c r="A339" s="14" t="s">
        <v>2080</v>
      </c>
      <c r="B339" s="10" t="s">
        <v>2081</v>
      </c>
      <c r="C339" s="26" t="s">
        <v>768</v>
      </c>
      <c r="D339" s="29" t="s">
        <v>386</v>
      </c>
    </row>
    <row r="340" spans="1:4" x14ac:dyDescent="0.25">
      <c r="A340" s="14" t="s">
        <v>2086</v>
      </c>
      <c r="B340" s="10" t="s">
        <v>2087</v>
      </c>
      <c r="C340" s="26" t="s">
        <v>768</v>
      </c>
      <c r="D340" s="29" t="s">
        <v>386</v>
      </c>
    </row>
    <row r="341" spans="1:4" x14ac:dyDescent="0.25">
      <c r="A341" s="14" t="s">
        <v>2110</v>
      </c>
      <c r="B341" s="10" t="s">
        <v>2111</v>
      </c>
      <c r="C341" s="26" t="s">
        <v>768</v>
      </c>
      <c r="D341" s="29" t="s">
        <v>386</v>
      </c>
    </row>
    <row r="342" spans="1:4" x14ac:dyDescent="0.25">
      <c r="A342" s="14" t="s">
        <v>2159</v>
      </c>
      <c r="B342" s="10" t="s">
        <v>2160</v>
      </c>
      <c r="C342" s="26" t="s">
        <v>761</v>
      </c>
      <c r="D342" s="29" t="s">
        <v>762</v>
      </c>
    </row>
    <row r="343" spans="1:4" x14ac:dyDescent="0.25">
      <c r="A343" s="14" t="s">
        <v>2181</v>
      </c>
      <c r="B343" s="10" t="s">
        <v>2182</v>
      </c>
      <c r="C343" s="26" t="s">
        <v>761</v>
      </c>
      <c r="D343" s="29" t="s">
        <v>762</v>
      </c>
    </row>
    <row r="344" spans="1:4" x14ac:dyDescent="0.25">
      <c r="A344" s="14" t="s">
        <v>375</v>
      </c>
      <c r="B344" s="10" t="s">
        <v>376</v>
      </c>
      <c r="C344" s="26" t="s">
        <v>378</v>
      </c>
      <c r="D344" s="29" t="s">
        <v>361</v>
      </c>
    </row>
    <row r="345" spans="1:4" x14ac:dyDescent="0.25">
      <c r="A345" s="14" t="s">
        <v>468</v>
      </c>
      <c r="B345" s="10" t="s">
        <v>470</v>
      </c>
      <c r="C345" s="26" t="s">
        <v>473</v>
      </c>
      <c r="D345" s="29" t="s">
        <v>474</v>
      </c>
    </row>
    <row r="346" spans="1:4" x14ac:dyDescent="0.25">
      <c r="A346" s="14" t="s">
        <v>545</v>
      </c>
      <c r="B346" s="10" t="s">
        <v>546</v>
      </c>
      <c r="C346" s="26" t="s">
        <v>414</v>
      </c>
      <c r="D346" s="29" t="s">
        <v>415</v>
      </c>
    </row>
    <row r="347" spans="1:4" x14ac:dyDescent="0.25">
      <c r="A347" s="14" t="s">
        <v>584</v>
      </c>
      <c r="B347" s="10" t="s">
        <v>586</v>
      </c>
      <c r="C347" s="26" t="s">
        <v>590</v>
      </c>
      <c r="D347" s="29" t="s">
        <v>591</v>
      </c>
    </row>
    <row r="348" spans="1:4" x14ac:dyDescent="0.25">
      <c r="A348" s="14" t="s">
        <v>605</v>
      </c>
      <c r="B348" s="10" t="s">
        <v>607</v>
      </c>
      <c r="C348" s="26" t="s">
        <v>609</v>
      </c>
      <c r="D348" s="29" t="s">
        <v>610</v>
      </c>
    </row>
    <row r="349" spans="1:4" x14ac:dyDescent="0.25">
      <c r="A349" s="14" t="s">
        <v>614</v>
      </c>
      <c r="B349" s="10" t="s">
        <v>616</v>
      </c>
      <c r="C349" s="26" t="s">
        <v>590</v>
      </c>
      <c r="D349" s="29" t="s">
        <v>591</v>
      </c>
    </row>
    <row r="350" spans="1:4" x14ac:dyDescent="0.25">
      <c r="A350" s="14" t="s">
        <v>683</v>
      </c>
      <c r="B350" s="10" t="s">
        <v>684</v>
      </c>
      <c r="C350" s="26" t="s">
        <v>657</v>
      </c>
      <c r="D350" s="29" t="s">
        <v>658</v>
      </c>
    </row>
    <row r="351" spans="1:4" x14ac:dyDescent="0.25">
      <c r="A351" s="14" t="s">
        <v>693</v>
      </c>
      <c r="B351" s="10" t="s">
        <v>694</v>
      </c>
      <c r="C351" s="26" t="s">
        <v>657</v>
      </c>
      <c r="D351" s="29" t="s">
        <v>658</v>
      </c>
    </row>
    <row r="352" spans="1:4" x14ac:dyDescent="0.25">
      <c r="A352" s="14" t="s">
        <v>699</v>
      </c>
      <c r="B352" s="10" t="s">
        <v>700</v>
      </c>
      <c r="C352" s="26" t="s">
        <v>657</v>
      </c>
      <c r="D352" s="29" t="s">
        <v>658</v>
      </c>
    </row>
    <row r="353" spans="1:4" x14ac:dyDescent="0.25">
      <c r="A353" s="14" t="s">
        <v>702</v>
      </c>
      <c r="B353" s="10" t="s">
        <v>703</v>
      </c>
      <c r="C353" s="26" t="s">
        <v>657</v>
      </c>
      <c r="D353" s="29" t="s">
        <v>658</v>
      </c>
    </row>
    <row r="354" spans="1:4" x14ac:dyDescent="0.25">
      <c r="A354" s="14" t="s">
        <v>709</v>
      </c>
      <c r="B354" s="10" t="s">
        <v>710</v>
      </c>
      <c r="C354" s="26" t="s">
        <v>590</v>
      </c>
      <c r="D354" s="29" t="s">
        <v>591</v>
      </c>
    </row>
    <row r="355" spans="1:4" x14ac:dyDescent="0.25">
      <c r="A355" s="14" t="s">
        <v>737</v>
      </c>
      <c r="B355" s="10" t="s">
        <v>738</v>
      </c>
      <c r="C355" s="26" t="s">
        <v>657</v>
      </c>
      <c r="D355" s="29" t="s">
        <v>658</v>
      </c>
    </row>
    <row r="356" spans="1:4" x14ac:dyDescent="0.25">
      <c r="A356" s="14" t="s">
        <v>741</v>
      </c>
      <c r="B356" s="10" t="s">
        <v>742</v>
      </c>
      <c r="C356" s="26" t="s">
        <v>657</v>
      </c>
      <c r="D356" s="29" t="s">
        <v>658</v>
      </c>
    </row>
    <row r="357" spans="1:4" x14ac:dyDescent="0.25">
      <c r="A357" s="14" t="s">
        <v>749</v>
      </c>
      <c r="B357" s="10" t="s">
        <v>750</v>
      </c>
      <c r="C357" s="26" t="s">
        <v>657</v>
      </c>
      <c r="D357" s="29" t="s">
        <v>658</v>
      </c>
    </row>
    <row r="358" spans="1:4" x14ac:dyDescent="0.25">
      <c r="A358" s="14" t="s">
        <v>753</v>
      </c>
      <c r="B358" s="10" t="s">
        <v>754</v>
      </c>
      <c r="C358" s="26" t="s">
        <v>657</v>
      </c>
      <c r="D358" s="29" t="s">
        <v>658</v>
      </c>
    </row>
    <row r="359" spans="1:4" x14ac:dyDescent="0.25">
      <c r="A359" s="14" t="s">
        <v>765</v>
      </c>
      <c r="B359" s="10" t="s">
        <v>766</v>
      </c>
      <c r="C359" s="26" t="s">
        <v>768</v>
      </c>
      <c r="D359" s="29" t="s">
        <v>386</v>
      </c>
    </row>
    <row r="360" spans="1:4" x14ac:dyDescent="0.25">
      <c r="A360" s="14" t="s">
        <v>782</v>
      </c>
      <c r="B360" s="10" t="s">
        <v>784</v>
      </c>
      <c r="C360" s="26" t="s">
        <v>768</v>
      </c>
      <c r="D360" s="29" t="s">
        <v>386</v>
      </c>
    </row>
    <row r="361" spans="1:4" x14ac:dyDescent="0.25">
      <c r="A361" s="14" t="s">
        <v>794</v>
      </c>
      <c r="B361" s="10" t="s">
        <v>795</v>
      </c>
      <c r="C361" s="26" t="s">
        <v>768</v>
      </c>
      <c r="D361" s="29" t="s">
        <v>386</v>
      </c>
    </row>
    <row r="362" spans="1:4" x14ac:dyDescent="0.25">
      <c r="A362" s="14" t="s">
        <v>799</v>
      </c>
      <c r="B362" s="10" t="s">
        <v>801</v>
      </c>
      <c r="C362" s="26" t="s">
        <v>768</v>
      </c>
      <c r="D362" s="29" t="s">
        <v>386</v>
      </c>
    </row>
    <row r="363" spans="1:4" x14ac:dyDescent="0.25">
      <c r="A363" s="14" t="s">
        <v>822</v>
      </c>
      <c r="B363" s="10" t="s">
        <v>823</v>
      </c>
      <c r="C363" s="26" t="s">
        <v>768</v>
      </c>
      <c r="D363" s="29" t="s">
        <v>386</v>
      </c>
    </row>
    <row r="364" spans="1:4" x14ac:dyDescent="0.25">
      <c r="A364" s="14" t="s">
        <v>841</v>
      </c>
      <c r="B364" s="10" t="s">
        <v>843</v>
      </c>
      <c r="C364" s="26" t="s">
        <v>768</v>
      </c>
      <c r="D364" s="29" t="s">
        <v>386</v>
      </c>
    </row>
    <row r="365" spans="1:4" x14ac:dyDescent="0.25">
      <c r="A365" s="14" t="s">
        <v>847</v>
      </c>
      <c r="B365" s="10" t="s">
        <v>848</v>
      </c>
      <c r="C365" s="26" t="s">
        <v>768</v>
      </c>
      <c r="D365" s="29" t="s">
        <v>386</v>
      </c>
    </row>
    <row r="366" spans="1:4" x14ac:dyDescent="0.25">
      <c r="A366" s="14" t="s">
        <v>851</v>
      </c>
      <c r="B366" s="10" t="s">
        <v>852</v>
      </c>
      <c r="C366" s="26" t="s">
        <v>768</v>
      </c>
      <c r="D366" s="29" t="s">
        <v>386</v>
      </c>
    </row>
    <row r="367" spans="1:4" x14ac:dyDescent="0.25">
      <c r="A367" s="14" t="s">
        <v>856</v>
      </c>
      <c r="B367" s="10" t="s">
        <v>857</v>
      </c>
      <c r="C367" s="26" t="s">
        <v>768</v>
      </c>
      <c r="D367" s="29" t="s">
        <v>386</v>
      </c>
    </row>
    <row r="368" spans="1:4" x14ac:dyDescent="0.25">
      <c r="A368" s="14" t="s">
        <v>915</v>
      </c>
      <c r="B368" s="10" t="s">
        <v>916</v>
      </c>
      <c r="C368" s="26" t="s">
        <v>768</v>
      </c>
      <c r="D368" s="29" t="s">
        <v>386</v>
      </c>
    </row>
    <row r="369" spans="1:4" x14ac:dyDescent="0.25">
      <c r="A369" s="14" t="s">
        <v>919</v>
      </c>
      <c r="B369" s="10" t="s">
        <v>920</v>
      </c>
      <c r="C369" s="26" t="s">
        <v>768</v>
      </c>
      <c r="D369" s="29" t="s">
        <v>386</v>
      </c>
    </row>
    <row r="370" spans="1:4" x14ac:dyDescent="0.25">
      <c r="A370" s="14" t="s">
        <v>927</v>
      </c>
      <c r="B370" s="10" t="s">
        <v>928</v>
      </c>
      <c r="C370" s="26" t="s">
        <v>768</v>
      </c>
      <c r="D370" s="29" t="s">
        <v>386</v>
      </c>
    </row>
    <row r="371" spans="1:4" x14ac:dyDescent="0.25">
      <c r="A371" s="14" t="s">
        <v>1030</v>
      </c>
      <c r="B371" s="10" t="s">
        <v>1032</v>
      </c>
      <c r="C371" s="26" t="s">
        <v>1035</v>
      </c>
      <c r="D371" s="29" t="s">
        <v>1036</v>
      </c>
    </row>
    <row r="372" spans="1:4" x14ac:dyDescent="0.25">
      <c r="A372" s="14" t="s">
        <v>1052</v>
      </c>
      <c r="B372" s="10" t="s">
        <v>1053</v>
      </c>
      <c r="C372" s="26" t="s">
        <v>768</v>
      </c>
      <c r="D372" s="29" t="s">
        <v>386</v>
      </c>
    </row>
    <row r="373" spans="1:4" x14ac:dyDescent="0.25">
      <c r="A373" s="14" t="s">
        <v>1055</v>
      </c>
      <c r="B373" s="10" t="s">
        <v>1056</v>
      </c>
      <c r="C373" s="26" t="s">
        <v>768</v>
      </c>
      <c r="D373" s="29" t="s">
        <v>386</v>
      </c>
    </row>
    <row r="374" spans="1:4" x14ac:dyDescent="0.25">
      <c r="A374" s="14" t="s">
        <v>1066</v>
      </c>
      <c r="B374" s="10" t="s">
        <v>1067</v>
      </c>
      <c r="C374" s="26" t="s">
        <v>790</v>
      </c>
      <c r="D374" s="29" t="s">
        <v>791</v>
      </c>
    </row>
    <row r="375" spans="1:4" x14ac:dyDescent="0.25">
      <c r="A375" s="14" t="s">
        <v>1143</v>
      </c>
      <c r="B375" s="10" t="s">
        <v>1144</v>
      </c>
      <c r="C375" s="26" t="s">
        <v>768</v>
      </c>
      <c r="D375" s="29" t="s">
        <v>386</v>
      </c>
    </row>
    <row r="376" spans="1:4" x14ac:dyDescent="0.25">
      <c r="A376" s="14" t="s">
        <v>1149</v>
      </c>
      <c r="B376" s="10" t="s">
        <v>1150</v>
      </c>
      <c r="C376" s="26" t="s">
        <v>1152</v>
      </c>
      <c r="D376" s="29" t="s">
        <v>1153</v>
      </c>
    </row>
    <row r="377" spans="1:4" x14ac:dyDescent="0.25">
      <c r="A377" s="14" t="s">
        <v>1171</v>
      </c>
      <c r="B377" s="10" t="s">
        <v>1172</v>
      </c>
      <c r="C377" s="26" t="s">
        <v>1152</v>
      </c>
      <c r="D377" s="29" t="s">
        <v>1153</v>
      </c>
    </row>
    <row r="378" spans="1:4" x14ac:dyDescent="0.25">
      <c r="A378" s="14" t="s">
        <v>1193</v>
      </c>
      <c r="B378" s="10" t="s">
        <v>1194</v>
      </c>
      <c r="C378" s="26" t="s">
        <v>733</v>
      </c>
      <c r="D378" s="29" t="s">
        <v>734</v>
      </c>
    </row>
    <row r="379" spans="1:4" x14ac:dyDescent="0.25">
      <c r="A379" s="14" t="s">
        <v>1264</v>
      </c>
      <c r="B379" s="10" t="s">
        <v>1266</v>
      </c>
      <c r="C379" s="26" t="s">
        <v>768</v>
      </c>
      <c r="D379" s="29" t="s">
        <v>386</v>
      </c>
    </row>
    <row r="380" spans="1:4" x14ac:dyDescent="0.25">
      <c r="A380" s="14" t="s">
        <v>1280</v>
      </c>
      <c r="B380" s="10" t="s">
        <v>1281</v>
      </c>
      <c r="C380" s="26" t="s">
        <v>624</v>
      </c>
      <c r="D380" s="29" t="s">
        <v>625</v>
      </c>
    </row>
    <row r="381" spans="1:4" x14ac:dyDescent="0.25">
      <c r="A381" s="14" t="s">
        <v>1283</v>
      </c>
      <c r="B381" s="10" t="s">
        <v>1284</v>
      </c>
      <c r="C381" s="26" t="s">
        <v>624</v>
      </c>
      <c r="D381" s="29" t="s">
        <v>625</v>
      </c>
    </row>
    <row r="382" spans="1:4" x14ac:dyDescent="0.25">
      <c r="A382" s="14" t="s">
        <v>1286</v>
      </c>
      <c r="B382" s="10" t="s">
        <v>1287</v>
      </c>
      <c r="C382" s="26" t="s">
        <v>624</v>
      </c>
      <c r="D382" s="29" t="s">
        <v>625</v>
      </c>
    </row>
    <row r="383" spans="1:4" x14ac:dyDescent="0.25">
      <c r="A383" s="14" t="s">
        <v>1355</v>
      </c>
      <c r="B383" s="10" t="s">
        <v>1356</v>
      </c>
      <c r="C383" s="26" t="s">
        <v>1299</v>
      </c>
      <c r="D383" s="29" t="s">
        <v>1300</v>
      </c>
    </row>
    <row r="384" spans="1:4" x14ac:dyDescent="0.25">
      <c r="A384" s="14" t="s">
        <v>1357</v>
      </c>
      <c r="B384" s="10" t="s">
        <v>1358</v>
      </c>
      <c r="C384" s="26" t="s">
        <v>1299</v>
      </c>
      <c r="D384" s="29" t="s">
        <v>1300</v>
      </c>
    </row>
    <row r="385" spans="1:4" x14ac:dyDescent="0.25">
      <c r="A385" s="14" t="s">
        <v>1360</v>
      </c>
      <c r="B385" s="10" t="s">
        <v>1361</v>
      </c>
      <c r="C385" s="26" t="s">
        <v>624</v>
      </c>
      <c r="D385" s="29" t="s">
        <v>625</v>
      </c>
    </row>
    <row r="386" spans="1:4" x14ac:dyDescent="0.25">
      <c r="A386" s="14" t="s">
        <v>1363</v>
      </c>
      <c r="B386" s="10" t="s">
        <v>1364</v>
      </c>
      <c r="C386" s="26" t="s">
        <v>1299</v>
      </c>
      <c r="D386" s="29" t="s">
        <v>1300</v>
      </c>
    </row>
    <row r="387" spans="1:4" x14ac:dyDescent="0.25">
      <c r="A387" s="14" t="s">
        <v>1366</v>
      </c>
      <c r="B387" s="10" t="s">
        <v>1367</v>
      </c>
      <c r="C387" s="26" t="s">
        <v>624</v>
      </c>
      <c r="D387" s="29" t="s">
        <v>625</v>
      </c>
    </row>
    <row r="388" spans="1:4" x14ac:dyDescent="0.25">
      <c r="A388" s="14" t="s">
        <v>1382</v>
      </c>
      <c r="B388" s="10" t="s">
        <v>1383</v>
      </c>
      <c r="C388" s="26" t="s">
        <v>1299</v>
      </c>
      <c r="D388" s="29" t="s">
        <v>1300</v>
      </c>
    </row>
    <row r="389" spans="1:4" x14ac:dyDescent="0.25">
      <c r="A389" s="14" t="s">
        <v>1401</v>
      </c>
      <c r="B389" s="10" t="s">
        <v>1402</v>
      </c>
      <c r="C389" s="26" t="s">
        <v>1299</v>
      </c>
      <c r="D389" s="29" t="s">
        <v>1300</v>
      </c>
    </row>
    <row r="390" spans="1:4" x14ac:dyDescent="0.25">
      <c r="A390" s="14" t="s">
        <v>1827</v>
      </c>
      <c r="B390" s="10" t="s">
        <v>1828</v>
      </c>
      <c r="C390" s="26" t="s">
        <v>1723</v>
      </c>
      <c r="D390" s="29" t="s">
        <v>1831</v>
      </c>
    </row>
    <row r="391" spans="1:4" x14ac:dyDescent="0.25">
      <c r="A391" s="14" t="s">
        <v>595</v>
      </c>
      <c r="B391" s="10" t="s">
        <v>597</v>
      </c>
      <c r="C391" s="26" t="s">
        <v>590</v>
      </c>
      <c r="D391" s="29" t="s">
        <v>591</v>
      </c>
    </row>
    <row r="392" spans="1:4" x14ac:dyDescent="0.25">
      <c r="A392" s="14" t="s">
        <v>803</v>
      </c>
      <c r="B392" s="10" t="s">
        <v>805</v>
      </c>
      <c r="C392" s="26" t="s">
        <v>624</v>
      </c>
      <c r="D392" s="29" t="s">
        <v>625</v>
      </c>
    </row>
    <row r="393" spans="1:4" x14ac:dyDescent="0.25">
      <c r="A393" s="14" t="s">
        <v>808</v>
      </c>
      <c r="B393" s="10" t="s">
        <v>809</v>
      </c>
      <c r="C393" s="26" t="s">
        <v>624</v>
      </c>
      <c r="D393" s="29" t="s">
        <v>625</v>
      </c>
    </row>
    <row r="394" spans="1:4" x14ac:dyDescent="0.25">
      <c r="A394" s="14" t="s">
        <v>1196</v>
      </c>
      <c r="B394" s="10" t="s">
        <v>1197</v>
      </c>
      <c r="C394" s="26" t="s">
        <v>1200</v>
      </c>
      <c r="D394" s="29" t="s">
        <v>514</v>
      </c>
    </row>
    <row r="395" spans="1:4" x14ac:dyDescent="0.25">
      <c r="A395" s="14" t="s">
        <v>1204</v>
      </c>
      <c r="B395" s="10" t="s">
        <v>1205</v>
      </c>
      <c r="C395" s="26" t="s">
        <v>624</v>
      </c>
      <c r="D395" s="29" t="s">
        <v>625</v>
      </c>
    </row>
  </sheetData>
  <conditionalFormatting sqref="A7:D8">
    <cfRule type="duplicateValues" dxfId="0"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EDB86-321B-4F07-9943-1142B2E6A54E}">
  <dimension ref="A1:P704"/>
  <sheetViews>
    <sheetView topLeftCell="K1" zoomScale="80" zoomScaleNormal="80" workbookViewId="0">
      <selection activeCell="J20" sqref="J20:N22"/>
    </sheetView>
  </sheetViews>
  <sheetFormatPr baseColWidth="10" defaultRowHeight="15" x14ac:dyDescent="0.25"/>
  <cols>
    <col min="1" max="1" width="19.85546875" style="3" customWidth="1"/>
    <col min="2" max="2" width="13.42578125" style="3" customWidth="1"/>
    <col min="3" max="3" width="20.7109375" style="3" customWidth="1"/>
    <col min="4" max="4" width="21.42578125" style="6" customWidth="1"/>
    <col min="5" max="5" width="92.7109375" customWidth="1"/>
    <col min="6" max="6" width="16.7109375" style="20" bestFit="1" customWidth="1"/>
    <col min="7" max="7" width="17.5703125" style="3" bestFit="1" customWidth="1"/>
    <col min="8" max="8" width="22.140625" style="3" customWidth="1"/>
    <col min="9" max="9" width="23.5703125" style="2" customWidth="1"/>
    <col min="10" max="10" width="23.5703125" style="6" customWidth="1"/>
    <col min="11" max="11" width="40.140625" style="6" customWidth="1"/>
    <col min="12" max="12" width="15.28515625" style="3" bestFit="1" customWidth="1"/>
    <col min="13" max="13" width="14.140625" style="3" bestFit="1" customWidth="1"/>
    <col min="14" max="14" width="77.28515625" style="3" bestFit="1" customWidth="1"/>
  </cols>
  <sheetData>
    <row r="1" spans="1:16" x14ac:dyDescent="0.25">
      <c r="A1" s="13" t="s">
        <v>2</v>
      </c>
      <c r="B1" s="13" t="s">
        <v>2203</v>
      </c>
      <c r="C1" s="18" t="s">
        <v>2211</v>
      </c>
      <c r="D1" s="18" t="s">
        <v>1</v>
      </c>
      <c r="E1" s="12" t="s">
        <v>6</v>
      </c>
      <c r="F1" s="18" t="s">
        <v>2201</v>
      </c>
      <c r="G1" s="13" t="s">
        <v>8</v>
      </c>
      <c r="H1" s="12" t="s">
        <v>9</v>
      </c>
      <c r="I1" s="24" t="s">
        <v>2204</v>
      </c>
      <c r="J1" s="18" t="s">
        <v>16</v>
      </c>
      <c r="K1" s="18" t="s">
        <v>17</v>
      </c>
      <c r="L1" s="13" t="s">
        <v>2215</v>
      </c>
      <c r="M1" s="52" t="s">
        <v>2216</v>
      </c>
      <c r="N1" s="13" t="s">
        <v>2255</v>
      </c>
      <c r="O1" s="52" t="s">
        <v>2281</v>
      </c>
      <c r="P1" s="52" t="s">
        <v>2282</v>
      </c>
    </row>
    <row r="2" spans="1:16" x14ac:dyDescent="0.25">
      <c r="A2" s="14" t="s">
        <v>1756</v>
      </c>
      <c r="B2" s="16" t="s">
        <v>2199</v>
      </c>
      <c r="C2" s="19" t="s">
        <v>28</v>
      </c>
      <c r="D2" s="19" t="s">
        <v>28</v>
      </c>
      <c r="E2" s="10" t="s">
        <v>1757</v>
      </c>
      <c r="F2" s="20">
        <v>46174</v>
      </c>
      <c r="G2" s="16">
        <v>1</v>
      </c>
      <c r="H2" s="11" t="s">
        <v>1237</v>
      </c>
      <c r="I2" s="31">
        <v>15000018</v>
      </c>
      <c r="J2" s="19" t="s">
        <v>1759</v>
      </c>
      <c r="K2" s="19" t="s">
        <v>1760</v>
      </c>
      <c r="L2" s="3" t="s">
        <v>2217</v>
      </c>
      <c r="M2" s="3" t="s">
        <v>2256</v>
      </c>
      <c r="N2" s="3" t="s">
        <v>2280</v>
      </c>
    </row>
    <row r="3" spans="1:16" x14ac:dyDescent="0.25">
      <c r="A3" s="15" t="s">
        <v>1763</v>
      </c>
      <c r="B3" s="17" t="s">
        <v>2199</v>
      </c>
      <c r="C3" s="6" t="s">
        <v>28</v>
      </c>
      <c r="D3" s="6" t="s">
        <v>28</v>
      </c>
      <c r="E3" s="7" t="s">
        <v>1764</v>
      </c>
      <c r="F3" s="20">
        <v>46174</v>
      </c>
      <c r="G3" s="17">
        <v>1</v>
      </c>
      <c r="H3" t="s">
        <v>1766</v>
      </c>
      <c r="I3" s="32">
        <v>30000000</v>
      </c>
      <c r="J3" s="19" t="s">
        <v>1759</v>
      </c>
      <c r="K3" s="6" t="s">
        <v>1760</v>
      </c>
      <c r="L3" s="3" t="s">
        <v>2217</v>
      </c>
      <c r="M3" s="3" t="s">
        <v>2256</v>
      </c>
      <c r="N3" s="3" t="s">
        <v>2280</v>
      </c>
    </row>
    <row r="4" spans="1:16" x14ac:dyDescent="0.25">
      <c r="A4" s="14" t="s">
        <v>1883</v>
      </c>
      <c r="B4" s="16" t="s">
        <v>2199</v>
      </c>
      <c r="C4" s="19" t="s">
        <v>28</v>
      </c>
      <c r="D4" s="19" t="s">
        <v>28</v>
      </c>
      <c r="E4" s="10" t="s">
        <v>1884</v>
      </c>
      <c r="F4" s="20">
        <v>46082</v>
      </c>
      <c r="G4" s="16">
        <v>1</v>
      </c>
      <c r="H4" s="11" t="s">
        <v>1886</v>
      </c>
      <c r="I4" s="31">
        <v>3550000</v>
      </c>
      <c r="J4" s="19" t="s">
        <v>1759</v>
      </c>
      <c r="K4" s="19" t="s">
        <v>1760</v>
      </c>
      <c r="L4" s="3" t="s">
        <v>2217</v>
      </c>
      <c r="M4" s="3" t="s">
        <v>2256</v>
      </c>
      <c r="N4" s="3" t="s">
        <v>2280</v>
      </c>
    </row>
    <row r="5" spans="1:16" x14ac:dyDescent="0.25">
      <c r="A5" s="15" t="s">
        <v>2102</v>
      </c>
      <c r="B5" s="17" t="s">
        <v>2199</v>
      </c>
      <c r="C5" s="6" t="s">
        <v>1238</v>
      </c>
      <c r="D5" s="6" t="s">
        <v>1238</v>
      </c>
      <c r="E5" s="7" t="s">
        <v>2103</v>
      </c>
      <c r="F5" s="20">
        <v>46082</v>
      </c>
      <c r="G5" s="17">
        <v>2</v>
      </c>
      <c r="H5" t="s">
        <v>2106</v>
      </c>
      <c r="I5" s="32">
        <v>1000000</v>
      </c>
      <c r="J5" s="19" t="s">
        <v>1759</v>
      </c>
      <c r="K5" s="6" t="s">
        <v>1760</v>
      </c>
      <c r="L5" s="3" t="s">
        <v>2217</v>
      </c>
      <c r="M5" s="3" t="s">
        <v>2256</v>
      </c>
      <c r="N5" s="3" t="s">
        <v>2280</v>
      </c>
    </row>
    <row r="6" spans="1:16" x14ac:dyDescent="0.25">
      <c r="A6" s="14" t="s">
        <v>2102</v>
      </c>
      <c r="B6" s="16" t="s">
        <v>2199</v>
      </c>
      <c r="C6" s="19" t="s">
        <v>1238</v>
      </c>
      <c r="D6" s="19" t="s">
        <v>1238</v>
      </c>
      <c r="E6" s="10" t="s">
        <v>2103</v>
      </c>
      <c r="F6" s="20">
        <v>46082</v>
      </c>
      <c r="G6" s="16">
        <v>2</v>
      </c>
      <c r="H6" s="11" t="s">
        <v>2105</v>
      </c>
      <c r="I6" s="31">
        <v>15000000</v>
      </c>
      <c r="J6" s="19" t="s">
        <v>1759</v>
      </c>
      <c r="K6" s="19" t="s">
        <v>1760</v>
      </c>
      <c r="L6" s="3" t="s">
        <v>2217</v>
      </c>
      <c r="M6" s="3" t="s">
        <v>2256</v>
      </c>
      <c r="N6" s="3" t="s">
        <v>2280</v>
      </c>
    </row>
    <row r="7" spans="1:16" x14ac:dyDescent="0.25">
      <c r="A7" s="15" t="s">
        <v>191</v>
      </c>
      <c r="B7" s="17" t="s">
        <v>2196</v>
      </c>
      <c r="C7" s="17" t="s">
        <v>2196</v>
      </c>
      <c r="D7" s="6" t="s">
        <v>28</v>
      </c>
      <c r="E7" s="7" t="s">
        <v>201</v>
      </c>
      <c r="F7" s="20">
        <v>45870</v>
      </c>
      <c r="G7" s="17">
        <v>2</v>
      </c>
      <c r="H7" t="s">
        <v>195</v>
      </c>
      <c r="I7" s="32">
        <v>74068560</v>
      </c>
      <c r="J7" s="19" t="s">
        <v>197</v>
      </c>
      <c r="K7" s="6" t="s">
        <v>198</v>
      </c>
      <c r="L7" s="3" t="s">
        <v>2217</v>
      </c>
      <c r="M7" s="3" t="s">
        <v>2256</v>
      </c>
      <c r="N7" s="3" t="s">
        <v>2280</v>
      </c>
    </row>
    <row r="8" spans="1:16" x14ac:dyDescent="0.25">
      <c r="A8" s="14" t="s">
        <v>191</v>
      </c>
      <c r="B8" s="16" t="s">
        <v>2196</v>
      </c>
      <c r="C8" s="16" t="s">
        <v>2196</v>
      </c>
      <c r="D8" s="19" t="s">
        <v>28</v>
      </c>
      <c r="E8" s="10" t="s">
        <v>193</v>
      </c>
      <c r="F8" s="20">
        <v>45992</v>
      </c>
      <c r="G8" s="16">
        <v>2</v>
      </c>
      <c r="H8" s="11" t="s">
        <v>195</v>
      </c>
      <c r="I8" s="31">
        <v>37034280</v>
      </c>
      <c r="J8" s="19" t="s">
        <v>197</v>
      </c>
      <c r="K8" s="19" t="s">
        <v>198</v>
      </c>
      <c r="L8" s="3" t="s">
        <v>2217</v>
      </c>
      <c r="M8" s="3" t="s">
        <v>2256</v>
      </c>
      <c r="N8" s="3" t="s">
        <v>2280</v>
      </c>
    </row>
    <row r="9" spans="1:16" x14ac:dyDescent="0.25">
      <c r="A9" s="15" t="s">
        <v>2121</v>
      </c>
      <c r="B9" s="17" t="s">
        <v>2199</v>
      </c>
      <c r="C9" s="6" t="s">
        <v>28</v>
      </c>
      <c r="D9" s="6" t="s">
        <v>28</v>
      </c>
      <c r="E9" s="7" t="s">
        <v>2122</v>
      </c>
      <c r="F9" s="20">
        <v>46082</v>
      </c>
      <c r="G9" s="17">
        <v>23</v>
      </c>
      <c r="H9" t="s">
        <v>2059</v>
      </c>
      <c r="I9" s="32">
        <v>35000</v>
      </c>
      <c r="J9" s="19" t="s">
        <v>2124</v>
      </c>
      <c r="K9" s="6" t="s">
        <v>1217</v>
      </c>
      <c r="L9" s="3" t="s">
        <v>2218</v>
      </c>
      <c r="M9" s="3" t="s">
        <v>2234</v>
      </c>
      <c r="N9" s="3" t="s">
        <v>2218</v>
      </c>
    </row>
    <row r="10" spans="1:16" x14ac:dyDescent="0.25">
      <c r="A10" s="14" t="s">
        <v>2121</v>
      </c>
      <c r="B10" s="16" t="s">
        <v>2199</v>
      </c>
      <c r="C10" s="19" t="s">
        <v>28</v>
      </c>
      <c r="D10" s="19" t="s">
        <v>28</v>
      </c>
      <c r="E10" s="10" t="s">
        <v>2122</v>
      </c>
      <c r="F10" s="20">
        <v>46082</v>
      </c>
      <c r="G10" s="16">
        <v>23</v>
      </c>
      <c r="H10" s="11" t="s">
        <v>359</v>
      </c>
      <c r="I10" s="31">
        <v>490000</v>
      </c>
      <c r="J10" s="19" t="s">
        <v>2124</v>
      </c>
      <c r="K10" s="19" t="s">
        <v>1217</v>
      </c>
      <c r="L10" s="3" t="s">
        <v>2218</v>
      </c>
      <c r="M10" s="3" t="s">
        <v>2234</v>
      </c>
      <c r="N10" s="3" t="s">
        <v>2218</v>
      </c>
    </row>
    <row r="11" spans="1:16" x14ac:dyDescent="0.25">
      <c r="A11" s="15" t="s">
        <v>2121</v>
      </c>
      <c r="B11" s="17" t="s">
        <v>2199</v>
      </c>
      <c r="C11" s="6" t="s">
        <v>28</v>
      </c>
      <c r="D11" s="6" t="s">
        <v>28</v>
      </c>
      <c r="E11" s="7" t="s">
        <v>2122</v>
      </c>
      <c r="F11" s="20">
        <v>46082</v>
      </c>
      <c r="G11" s="17">
        <v>23</v>
      </c>
      <c r="H11" t="s">
        <v>1864</v>
      </c>
      <c r="I11" s="32">
        <v>308000</v>
      </c>
      <c r="J11" s="19" t="s">
        <v>2124</v>
      </c>
      <c r="K11" s="6" t="s">
        <v>1217</v>
      </c>
      <c r="L11" s="3" t="s">
        <v>2218</v>
      </c>
      <c r="M11" s="3" t="s">
        <v>2234</v>
      </c>
      <c r="N11" s="3" t="s">
        <v>2218</v>
      </c>
    </row>
    <row r="12" spans="1:16" x14ac:dyDescent="0.25">
      <c r="A12" s="14" t="s">
        <v>2121</v>
      </c>
      <c r="B12" s="16" t="s">
        <v>2199</v>
      </c>
      <c r="C12" s="19" t="s">
        <v>28</v>
      </c>
      <c r="D12" s="19" t="s">
        <v>28</v>
      </c>
      <c r="E12" s="10" t="s">
        <v>2122</v>
      </c>
      <c r="F12" s="20">
        <v>46082</v>
      </c>
      <c r="G12" s="16">
        <v>23</v>
      </c>
      <c r="H12" s="11" t="s">
        <v>1938</v>
      </c>
      <c r="I12" s="31">
        <v>145040</v>
      </c>
      <c r="J12" s="19" t="s">
        <v>2124</v>
      </c>
      <c r="K12" s="19" t="s">
        <v>1217</v>
      </c>
      <c r="L12" s="3" t="s">
        <v>2218</v>
      </c>
      <c r="M12" s="3" t="s">
        <v>2234</v>
      </c>
      <c r="N12" s="3" t="s">
        <v>2218</v>
      </c>
    </row>
    <row r="13" spans="1:16" x14ac:dyDescent="0.25">
      <c r="A13" s="15" t="s">
        <v>2121</v>
      </c>
      <c r="B13" s="17" t="s">
        <v>2199</v>
      </c>
      <c r="C13" s="6" t="s">
        <v>28</v>
      </c>
      <c r="D13" s="6" t="s">
        <v>28</v>
      </c>
      <c r="E13" s="7" t="s">
        <v>2122</v>
      </c>
      <c r="F13" s="20">
        <v>46082</v>
      </c>
      <c r="G13" s="17">
        <v>23</v>
      </c>
      <c r="H13" t="s">
        <v>1251</v>
      </c>
      <c r="I13" s="32">
        <v>35000</v>
      </c>
      <c r="J13" s="19" t="s">
        <v>2124</v>
      </c>
      <c r="K13" s="6" t="s">
        <v>1217</v>
      </c>
      <c r="L13" s="3" t="s">
        <v>2218</v>
      </c>
      <c r="M13" s="3" t="s">
        <v>2234</v>
      </c>
      <c r="N13" s="3" t="s">
        <v>2218</v>
      </c>
    </row>
    <row r="14" spans="1:16" x14ac:dyDescent="0.25">
      <c r="A14" s="14" t="s">
        <v>2121</v>
      </c>
      <c r="B14" s="16" t="s">
        <v>2199</v>
      </c>
      <c r="C14" s="19" t="s">
        <v>28</v>
      </c>
      <c r="D14" s="19" t="s">
        <v>28</v>
      </c>
      <c r="E14" s="10" t="s">
        <v>2122</v>
      </c>
      <c r="F14" s="20">
        <v>46143</v>
      </c>
      <c r="G14" s="16">
        <v>23</v>
      </c>
      <c r="H14" s="11" t="s">
        <v>2134</v>
      </c>
      <c r="I14" s="31">
        <v>1000000</v>
      </c>
      <c r="J14" s="19" t="s">
        <v>2124</v>
      </c>
      <c r="K14" s="19" t="s">
        <v>1217</v>
      </c>
      <c r="L14" s="3" t="s">
        <v>2218</v>
      </c>
      <c r="M14" s="3" t="s">
        <v>2234</v>
      </c>
      <c r="N14" s="3" t="s">
        <v>2218</v>
      </c>
    </row>
    <row r="15" spans="1:16" x14ac:dyDescent="0.25">
      <c r="A15" s="15" t="s">
        <v>2121</v>
      </c>
      <c r="B15" s="17" t="s">
        <v>2199</v>
      </c>
      <c r="C15" s="6" t="s">
        <v>28</v>
      </c>
      <c r="D15" s="6" t="s">
        <v>28</v>
      </c>
      <c r="E15" s="7" t="s">
        <v>2122</v>
      </c>
      <c r="F15" s="20">
        <v>46082</v>
      </c>
      <c r="G15" s="17">
        <v>23</v>
      </c>
      <c r="H15" t="s">
        <v>2138</v>
      </c>
      <c r="I15" s="32">
        <v>40000</v>
      </c>
      <c r="J15" s="19" t="s">
        <v>2124</v>
      </c>
      <c r="K15" s="6" t="s">
        <v>1217</v>
      </c>
      <c r="L15" s="3" t="s">
        <v>2218</v>
      </c>
      <c r="M15" s="3" t="s">
        <v>2234</v>
      </c>
      <c r="N15" s="3" t="s">
        <v>2218</v>
      </c>
    </row>
    <row r="16" spans="1:16" x14ac:dyDescent="0.25">
      <c r="A16" s="14" t="s">
        <v>2121</v>
      </c>
      <c r="B16" s="16" t="s">
        <v>2199</v>
      </c>
      <c r="C16" s="19" t="s">
        <v>28</v>
      </c>
      <c r="D16" s="19" t="s">
        <v>28</v>
      </c>
      <c r="E16" s="10" t="s">
        <v>2122</v>
      </c>
      <c r="F16" s="20">
        <v>46082</v>
      </c>
      <c r="G16" s="16">
        <v>23</v>
      </c>
      <c r="H16" s="11" t="s">
        <v>2135</v>
      </c>
      <c r="I16" s="31">
        <v>2000000</v>
      </c>
      <c r="J16" s="19" t="s">
        <v>2124</v>
      </c>
      <c r="K16" s="19" t="s">
        <v>1217</v>
      </c>
      <c r="L16" s="3" t="s">
        <v>2218</v>
      </c>
      <c r="M16" s="3" t="s">
        <v>2234</v>
      </c>
      <c r="N16" s="3" t="s">
        <v>2218</v>
      </c>
    </row>
    <row r="17" spans="1:14" x14ac:dyDescent="0.25">
      <c r="A17" s="15" t="s">
        <v>2121</v>
      </c>
      <c r="B17" s="17" t="s">
        <v>2199</v>
      </c>
      <c r="C17" s="6" t="s">
        <v>28</v>
      </c>
      <c r="D17" s="6" t="s">
        <v>28</v>
      </c>
      <c r="E17" s="7" t="s">
        <v>2122</v>
      </c>
      <c r="F17" s="20">
        <v>46143</v>
      </c>
      <c r="G17" s="17">
        <v>23</v>
      </c>
      <c r="H17" t="s">
        <v>2132</v>
      </c>
      <c r="I17" s="32">
        <v>600000</v>
      </c>
      <c r="J17" s="19" t="s">
        <v>2124</v>
      </c>
      <c r="K17" s="6" t="s">
        <v>1217</v>
      </c>
      <c r="L17" s="3" t="s">
        <v>2218</v>
      </c>
      <c r="M17" s="3" t="s">
        <v>2234</v>
      </c>
      <c r="N17" s="3" t="s">
        <v>2218</v>
      </c>
    </row>
    <row r="18" spans="1:14" x14ac:dyDescent="0.25">
      <c r="A18" s="14" t="s">
        <v>2121</v>
      </c>
      <c r="B18" s="16" t="s">
        <v>2199</v>
      </c>
      <c r="C18" s="19" t="s">
        <v>28</v>
      </c>
      <c r="D18" s="19" t="s">
        <v>28</v>
      </c>
      <c r="E18" s="10" t="s">
        <v>2122</v>
      </c>
      <c r="F18" s="20">
        <v>46082</v>
      </c>
      <c r="G18" s="16">
        <v>23</v>
      </c>
      <c r="H18" s="11" t="s">
        <v>2139</v>
      </c>
      <c r="I18" s="31">
        <v>156000</v>
      </c>
      <c r="J18" s="19" t="s">
        <v>2124</v>
      </c>
      <c r="K18" s="19" t="s">
        <v>1217</v>
      </c>
      <c r="L18" s="3" t="s">
        <v>2218</v>
      </c>
      <c r="M18" s="3" t="s">
        <v>2234</v>
      </c>
      <c r="N18" s="3" t="s">
        <v>2218</v>
      </c>
    </row>
    <row r="19" spans="1:14" x14ac:dyDescent="0.25">
      <c r="A19" s="15" t="s">
        <v>2121</v>
      </c>
      <c r="B19" s="17" t="s">
        <v>2199</v>
      </c>
      <c r="C19" s="6" t="s">
        <v>28</v>
      </c>
      <c r="D19" s="6" t="s">
        <v>28</v>
      </c>
      <c r="E19" s="7" t="s">
        <v>2122</v>
      </c>
      <c r="F19" s="20">
        <v>46082</v>
      </c>
      <c r="G19" s="17">
        <v>23</v>
      </c>
      <c r="H19" t="s">
        <v>2127</v>
      </c>
      <c r="I19" s="32">
        <v>1010080</v>
      </c>
      <c r="J19" s="19" t="s">
        <v>2124</v>
      </c>
      <c r="K19" s="6" t="s">
        <v>1217</v>
      </c>
      <c r="L19" s="3" t="s">
        <v>2218</v>
      </c>
      <c r="M19" s="3" t="s">
        <v>2234</v>
      </c>
      <c r="N19" s="3" t="s">
        <v>2218</v>
      </c>
    </row>
    <row r="20" spans="1:14" x14ac:dyDescent="0.25">
      <c r="A20" s="14" t="s">
        <v>2121</v>
      </c>
      <c r="B20" s="16" t="s">
        <v>2199</v>
      </c>
      <c r="C20" s="19" t="s">
        <v>28</v>
      </c>
      <c r="D20" s="19" t="s">
        <v>28</v>
      </c>
      <c r="E20" s="10" t="s">
        <v>2122</v>
      </c>
      <c r="F20" s="20">
        <v>46082</v>
      </c>
      <c r="G20" s="16">
        <v>23</v>
      </c>
      <c r="H20" s="11" t="s">
        <v>2128</v>
      </c>
      <c r="I20" s="31">
        <v>40000</v>
      </c>
      <c r="J20" s="19" t="s">
        <v>2124</v>
      </c>
      <c r="K20" s="19" t="s">
        <v>1217</v>
      </c>
      <c r="L20" s="3" t="s">
        <v>2218</v>
      </c>
      <c r="M20" s="3" t="s">
        <v>2234</v>
      </c>
      <c r="N20" s="3" t="s">
        <v>2218</v>
      </c>
    </row>
    <row r="21" spans="1:14" x14ac:dyDescent="0.25">
      <c r="A21" s="15" t="s">
        <v>2121</v>
      </c>
      <c r="B21" s="17" t="s">
        <v>2199</v>
      </c>
      <c r="C21" s="6" t="s">
        <v>28</v>
      </c>
      <c r="D21" s="6" t="s">
        <v>28</v>
      </c>
      <c r="E21" s="7" t="s">
        <v>2122</v>
      </c>
      <c r="F21" s="20">
        <v>46113</v>
      </c>
      <c r="G21" s="17">
        <v>23</v>
      </c>
      <c r="H21" t="s">
        <v>512</v>
      </c>
      <c r="I21" s="32">
        <v>5000000</v>
      </c>
      <c r="J21" s="19" t="s">
        <v>2124</v>
      </c>
      <c r="K21" s="6" t="s">
        <v>1217</v>
      </c>
      <c r="L21" s="3" t="s">
        <v>2218</v>
      </c>
      <c r="M21" s="3" t="s">
        <v>2234</v>
      </c>
      <c r="N21" s="3" t="s">
        <v>2218</v>
      </c>
    </row>
    <row r="22" spans="1:14" x14ac:dyDescent="0.25">
      <c r="A22" s="14" t="s">
        <v>2121</v>
      </c>
      <c r="B22" s="16" t="s">
        <v>2199</v>
      </c>
      <c r="C22" s="19" t="s">
        <v>28</v>
      </c>
      <c r="D22" s="19" t="s">
        <v>28</v>
      </c>
      <c r="E22" s="10" t="s">
        <v>2122</v>
      </c>
      <c r="F22" s="20">
        <v>46082</v>
      </c>
      <c r="G22" s="16">
        <v>23</v>
      </c>
      <c r="H22" s="11" t="s">
        <v>2095</v>
      </c>
      <c r="I22" s="31">
        <v>715050</v>
      </c>
      <c r="J22" s="19" t="s">
        <v>2124</v>
      </c>
      <c r="K22" s="19" t="s">
        <v>1217</v>
      </c>
      <c r="L22" s="3" t="s">
        <v>2218</v>
      </c>
      <c r="M22" s="3" t="s">
        <v>2234</v>
      </c>
      <c r="N22" s="3" t="s">
        <v>2218</v>
      </c>
    </row>
    <row r="23" spans="1:14" x14ac:dyDescent="0.25">
      <c r="A23" s="15" t="s">
        <v>2121</v>
      </c>
      <c r="B23" s="17" t="s">
        <v>2199</v>
      </c>
      <c r="C23" s="6" t="s">
        <v>28</v>
      </c>
      <c r="D23" s="6" t="s">
        <v>28</v>
      </c>
      <c r="E23" s="7" t="s">
        <v>2122</v>
      </c>
      <c r="F23" s="20">
        <v>46143</v>
      </c>
      <c r="G23" s="17">
        <v>23</v>
      </c>
      <c r="H23" t="s">
        <v>1617</v>
      </c>
      <c r="I23" s="32">
        <v>1000000</v>
      </c>
      <c r="J23" s="19" t="s">
        <v>2124</v>
      </c>
      <c r="K23" s="6" t="s">
        <v>1217</v>
      </c>
      <c r="L23" s="3" t="s">
        <v>2218</v>
      </c>
      <c r="M23" s="3" t="s">
        <v>2234</v>
      </c>
      <c r="N23" s="3" t="s">
        <v>2218</v>
      </c>
    </row>
    <row r="24" spans="1:14" x14ac:dyDescent="0.25">
      <c r="A24" s="14" t="s">
        <v>2121</v>
      </c>
      <c r="B24" s="16" t="s">
        <v>2199</v>
      </c>
      <c r="C24" s="19" t="s">
        <v>28</v>
      </c>
      <c r="D24" s="19" t="s">
        <v>28</v>
      </c>
      <c r="E24" s="10" t="s">
        <v>2122</v>
      </c>
      <c r="F24" s="20">
        <v>46082</v>
      </c>
      <c r="G24" s="16">
        <v>23</v>
      </c>
      <c r="H24" s="11" t="s">
        <v>912</v>
      </c>
      <c r="I24" s="31">
        <v>385000</v>
      </c>
      <c r="J24" s="19" t="s">
        <v>2124</v>
      </c>
      <c r="K24" s="19" t="s">
        <v>1217</v>
      </c>
      <c r="L24" s="3" t="s">
        <v>2218</v>
      </c>
      <c r="M24" s="3" t="s">
        <v>2234</v>
      </c>
      <c r="N24" s="3" t="s">
        <v>2218</v>
      </c>
    </row>
    <row r="25" spans="1:14" x14ac:dyDescent="0.25">
      <c r="A25" s="15" t="s">
        <v>2121</v>
      </c>
      <c r="B25" s="17" t="s">
        <v>2199</v>
      </c>
      <c r="C25" s="6" t="s">
        <v>28</v>
      </c>
      <c r="D25" s="6" t="s">
        <v>28</v>
      </c>
      <c r="E25" s="7" t="s">
        <v>2122</v>
      </c>
      <c r="F25" s="20">
        <v>46113</v>
      </c>
      <c r="G25" s="17">
        <v>23</v>
      </c>
      <c r="H25" t="s">
        <v>288</v>
      </c>
      <c r="I25" s="32">
        <v>6000000</v>
      </c>
      <c r="J25" s="19" t="s">
        <v>2124</v>
      </c>
      <c r="K25" s="6" t="s">
        <v>1217</v>
      </c>
      <c r="L25" s="3" t="s">
        <v>2218</v>
      </c>
      <c r="M25" s="3" t="s">
        <v>2234</v>
      </c>
      <c r="N25" s="3" t="s">
        <v>2218</v>
      </c>
    </row>
    <row r="26" spans="1:14" x14ac:dyDescent="0.25">
      <c r="A26" s="14" t="s">
        <v>2121</v>
      </c>
      <c r="B26" s="16" t="s">
        <v>2199</v>
      </c>
      <c r="C26" s="19" t="s">
        <v>28</v>
      </c>
      <c r="D26" s="19" t="s">
        <v>28</v>
      </c>
      <c r="E26" s="10" t="s">
        <v>2122</v>
      </c>
      <c r="F26" s="20">
        <v>46143</v>
      </c>
      <c r="G26" s="16">
        <v>23</v>
      </c>
      <c r="H26" s="11" t="s">
        <v>2130</v>
      </c>
      <c r="I26" s="31">
        <v>2500000</v>
      </c>
      <c r="J26" s="19" t="s">
        <v>2124</v>
      </c>
      <c r="K26" s="19" t="s">
        <v>1217</v>
      </c>
      <c r="L26" s="3" t="s">
        <v>2218</v>
      </c>
      <c r="M26" s="3" t="s">
        <v>2234</v>
      </c>
      <c r="N26" s="3" t="s">
        <v>2218</v>
      </c>
    </row>
    <row r="27" spans="1:14" x14ac:dyDescent="0.25">
      <c r="A27" s="15" t="s">
        <v>2121</v>
      </c>
      <c r="B27" s="17" t="s">
        <v>2199</v>
      </c>
      <c r="C27" s="6" t="s">
        <v>28</v>
      </c>
      <c r="D27" s="6" t="s">
        <v>28</v>
      </c>
      <c r="E27" s="7" t="s">
        <v>2122</v>
      </c>
      <c r="F27" s="20">
        <v>46082</v>
      </c>
      <c r="G27" s="17">
        <v>23</v>
      </c>
      <c r="H27" t="s">
        <v>1939</v>
      </c>
      <c r="I27" s="32">
        <v>70000</v>
      </c>
      <c r="J27" s="19" t="s">
        <v>2124</v>
      </c>
      <c r="K27" s="6" t="s">
        <v>1217</v>
      </c>
      <c r="L27" s="3" t="s">
        <v>2218</v>
      </c>
      <c r="M27" s="3" t="s">
        <v>2234</v>
      </c>
      <c r="N27" s="3" t="s">
        <v>2218</v>
      </c>
    </row>
    <row r="28" spans="1:14" x14ac:dyDescent="0.25">
      <c r="A28" s="14" t="s">
        <v>2121</v>
      </c>
      <c r="B28" s="16" t="s">
        <v>2199</v>
      </c>
      <c r="C28" s="19" t="s">
        <v>28</v>
      </c>
      <c r="D28" s="19" t="s">
        <v>28</v>
      </c>
      <c r="E28" s="10" t="s">
        <v>2122</v>
      </c>
      <c r="F28" s="20">
        <v>46143</v>
      </c>
      <c r="G28" s="16">
        <v>23</v>
      </c>
      <c r="H28" s="11" t="s">
        <v>1936</v>
      </c>
      <c r="I28" s="31">
        <v>500000</v>
      </c>
      <c r="J28" s="19" t="s">
        <v>2124</v>
      </c>
      <c r="K28" s="19" t="s">
        <v>1217</v>
      </c>
      <c r="L28" s="3" t="s">
        <v>2218</v>
      </c>
      <c r="M28" s="3" t="s">
        <v>2234</v>
      </c>
      <c r="N28" s="3" t="s">
        <v>2218</v>
      </c>
    </row>
    <row r="29" spans="1:14" x14ac:dyDescent="0.25">
      <c r="A29" s="15" t="s">
        <v>2121</v>
      </c>
      <c r="B29" s="17" t="s">
        <v>2199</v>
      </c>
      <c r="C29" s="6" t="s">
        <v>28</v>
      </c>
      <c r="D29" s="6" t="s">
        <v>28</v>
      </c>
      <c r="E29" s="7" t="s">
        <v>2122</v>
      </c>
      <c r="F29" s="20">
        <v>46143</v>
      </c>
      <c r="G29" s="17">
        <v>23</v>
      </c>
      <c r="H29" t="s">
        <v>2136</v>
      </c>
      <c r="I29" s="32">
        <v>4000000</v>
      </c>
      <c r="J29" s="19" t="s">
        <v>2124</v>
      </c>
      <c r="K29" s="6" t="s">
        <v>1217</v>
      </c>
      <c r="L29" s="3" t="s">
        <v>2218</v>
      </c>
      <c r="M29" s="3" t="s">
        <v>2234</v>
      </c>
      <c r="N29" s="3" t="s">
        <v>2218</v>
      </c>
    </row>
    <row r="30" spans="1:14" x14ac:dyDescent="0.25">
      <c r="A30" s="14" t="s">
        <v>2121</v>
      </c>
      <c r="B30" s="16" t="s">
        <v>2199</v>
      </c>
      <c r="C30" s="19" t="s">
        <v>28</v>
      </c>
      <c r="D30" s="19" t="s">
        <v>28</v>
      </c>
      <c r="E30" s="10" t="s">
        <v>2122</v>
      </c>
      <c r="F30" s="20">
        <v>46113</v>
      </c>
      <c r="G30" s="16">
        <v>23</v>
      </c>
      <c r="H30" s="11" t="s">
        <v>1930</v>
      </c>
      <c r="I30" s="31">
        <v>1000000</v>
      </c>
      <c r="J30" s="19" t="s">
        <v>2124</v>
      </c>
      <c r="K30" s="19" t="s">
        <v>1217</v>
      </c>
      <c r="L30" s="3" t="s">
        <v>2218</v>
      </c>
      <c r="M30" s="3" t="s">
        <v>2234</v>
      </c>
      <c r="N30" s="3" t="s">
        <v>2218</v>
      </c>
    </row>
    <row r="31" spans="1:14" x14ac:dyDescent="0.25">
      <c r="A31" s="15" t="s">
        <v>2121</v>
      </c>
      <c r="B31" s="17" t="s">
        <v>2199</v>
      </c>
      <c r="C31" s="6" t="s">
        <v>28</v>
      </c>
      <c r="D31" s="6" t="s">
        <v>28</v>
      </c>
      <c r="E31" s="7" t="s">
        <v>2122</v>
      </c>
      <c r="F31" s="20">
        <v>46113</v>
      </c>
      <c r="G31" s="17">
        <v>23</v>
      </c>
      <c r="H31" t="s">
        <v>2137</v>
      </c>
      <c r="I31" s="32">
        <v>2000000</v>
      </c>
      <c r="J31" s="19" t="s">
        <v>2124</v>
      </c>
      <c r="K31" s="6" t="s">
        <v>1217</v>
      </c>
      <c r="L31" s="3" t="s">
        <v>2218</v>
      </c>
      <c r="M31" s="3" t="s">
        <v>2234</v>
      </c>
      <c r="N31" s="3" t="s">
        <v>2218</v>
      </c>
    </row>
    <row r="32" spans="1:14" x14ac:dyDescent="0.25">
      <c r="A32" s="14" t="s">
        <v>1927</v>
      </c>
      <c r="B32" s="16" t="s">
        <v>2199</v>
      </c>
      <c r="C32" s="19" t="s">
        <v>28</v>
      </c>
      <c r="D32" s="19" t="s">
        <v>28</v>
      </c>
      <c r="E32" s="10" t="s">
        <v>1928</v>
      </c>
      <c r="F32" s="20">
        <v>46174</v>
      </c>
      <c r="G32" s="16">
        <v>9</v>
      </c>
      <c r="H32" s="11" t="s">
        <v>359</v>
      </c>
      <c r="I32" s="31">
        <v>738320</v>
      </c>
      <c r="J32" s="19" t="s">
        <v>1931</v>
      </c>
      <c r="K32" s="19" t="s">
        <v>1932</v>
      </c>
      <c r="L32" s="3" t="s">
        <v>2219</v>
      </c>
      <c r="M32" s="3" t="s">
        <v>2227</v>
      </c>
      <c r="N32" s="3" t="s">
        <v>2257</v>
      </c>
    </row>
    <row r="33" spans="1:14" x14ac:dyDescent="0.25">
      <c r="A33" s="15" t="s">
        <v>1927</v>
      </c>
      <c r="B33" s="17" t="s">
        <v>2199</v>
      </c>
      <c r="C33" s="6" t="s">
        <v>28</v>
      </c>
      <c r="D33" s="6" t="s">
        <v>28</v>
      </c>
      <c r="E33" s="7" t="s">
        <v>1928</v>
      </c>
      <c r="F33" s="20">
        <v>46235</v>
      </c>
      <c r="G33" s="17">
        <v>9</v>
      </c>
      <c r="H33" t="s">
        <v>1941</v>
      </c>
      <c r="I33" s="32">
        <v>1500000</v>
      </c>
      <c r="J33" s="19" t="s">
        <v>1931</v>
      </c>
      <c r="K33" s="6" t="s">
        <v>1932</v>
      </c>
      <c r="L33" s="3" t="s">
        <v>2219</v>
      </c>
      <c r="M33" s="3" t="s">
        <v>2227</v>
      </c>
      <c r="N33" s="3" t="s">
        <v>2257</v>
      </c>
    </row>
    <row r="34" spans="1:14" x14ac:dyDescent="0.25">
      <c r="A34" s="14" t="s">
        <v>1927</v>
      </c>
      <c r="B34" s="16" t="s">
        <v>2199</v>
      </c>
      <c r="C34" s="19" t="s">
        <v>28</v>
      </c>
      <c r="D34" s="19" t="s">
        <v>28</v>
      </c>
      <c r="E34" s="10" t="s">
        <v>1928</v>
      </c>
      <c r="F34" s="20">
        <v>46174</v>
      </c>
      <c r="G34" s="16">
        <v>9</v>
      </c>
      <c r="H34" s="11" t="s">
        <v>1938</v>
      </c>
      <c r="I34" s="31">
        <v>3100800</v>
      </c>
      <c r="J34" s="19" t="s">
        <v>1931</v>
      </c>
      <c r="K34" s="19" t="s">
        <v>1932</v>
      </c>
      <c r="L34" s="3" t="s">
        <v>2219</v>
      </c>
      <c r="M34" s="3" t="s">
        <v>2227</v>
      </c>
      <c r="N34" s="3" t="s">
        <v>2257</v>
      </c>
    </row>
    <row r="35" spans="1:14" x14ac:dyDescent="0.25">
      <c r="A35" s="15" t="s">
        <v>1927</v>
      </c>
      <c r="B35" s="17" t="s">
        <v>2199</v>
      </c>
      <c r="C35" s="6" t="s">
        <v>28</v>
      </c>
      <c r="D35" s="6" t="s">
        <v>28</v>
      </c>
      <c r="E35" s="7" t="s">
        <v>1928</v>
      </c>
      <c r="F35" s="20">
        <v>46174</v>
      </c>
      <c r="G35" s="17">
        <v>9</v>
      </c>
      <c r="H35" t="s">
        <v>1940</v>
      </c>
      <c r="I35" s="32">
        <v>50000</v>
      </c>
      <c r="J35" s="19" t="s">
        <v>1931</v>
      </c>
      <c r="K35" s="6" t="s">
        <v>1932</v>
      </c>
      <c r="L35" s="3" t="s">
        <v>2219</v>
      </c>
      <c r="M35" s="3" t="s">
        <v>2227</v>
      </c>
      <c r="N35" s="3" t="s">
        <v>2257</v>
      </c>
    </row>
    <row r="36" spans="1:14" x14ac:dyDescent="0.25">
      <c r="A36" s="14" t="s">
        <v>1927</v>
      </c>
      <c r="B36" s="16" t="s">
        <v>2199</v>
      </c>
      <c r="C36" s="19" t="s">
        <v>28</v>
      </c>
      <c r="D36" s="19" t="s">
        <v>28</v>
      </c>
      <c r="E36" s="10" t="s">
        <v>1928</v>
      </c>
      <c r="F36" s="20">
        <v>46174</v>
      </c>
      <c r="G36" s="16">
        <v>9</v>
      </c>
      <c r="H36" s="11" t="s">
        <v>1907</v>
      </c>
      <c r="I36" s="31">
        <v>169040</v>
      </c>
      <c r="J36" s="19" t="s">
        <v>1931</v>
      </c>
      <c r="K36" s="19" t="s">
        <v>1932</v>
      </c>
      <c r="L36" s="3" t="s">
        <v>2219</v>
      </c>
      <c r="M36" s="3" t="s">
        <v>2227</v>
      </c>
      <c r="N36" s="3" t="s">
        <v>2257</v>
      </c>
    </row>
    <row r="37" spans="1:14" x14ac:dyDescent="0.25">
      <c r="A37" s="15" t="s">
        <v>1927</v>
      </c>
      <c r="B37" s="17" t="s">
        <v>2199</v>
      </c>
      <c r="C37" s="6" t="s">
        <v>28</v>
      </c>
      <c r="D37" s="6" t="s">
        <v>28</v>
      </c>
      <c r="E37" s="7" t="s">
        <v>1928</v>
      </c>
      <c r="F37" s="20">
        <v>46174</v>
      </c>
      <c r="G37" s="17">
        <v>9</v>
      </c>
      <c r="H37" t="s">
        <v>1939</v>
      </c>
      <c r="I37" s="32">
        <v>50000</v>
      </c>
      <c r="J37" s="19" t="s">
        <v>1931</v>
      </c>
      <c r="K37" s="6" t="s">
        <v>1932</v>
      </c>
      <c r="L37" s="3" t="s">
        <v>2219</v>
      </c>
      <c r="M37" s="3" t="s">
        <v>2227</v>
      </c>
      <c r="N37" s="3" t="s">
        <v>2257</v>
      </c>
    </row>
    <row r="38" spans="1:14" x14ac:dyDescent="0.25">
      <c r="A38" s="14" t="s">
        <v>1927</v>
      </c>
      <c r="B38" s="16" t="s">
        <v>2199</v>
      </c>
      <c r="C38" s="19" t="s">
        <v>28</v>
      </c>
      <c r="D38" s="19" t="s">
        <v>28</v>
      </c>
      <c r="E38" s="10" t="s">
        <v>1928</v>
      </c>
      <c r="F38" s="20">
        <v>46235</v>
      </c>
      <c r="G38" s="16">
        <v>9</v>
      </c>
      <c r="H38" s="11" t="s">
        <v>1936</v>
      </c>
      <c r="I38" s="31">
        <v>5400000</v>
      </c>
      <c r="J38" s="19" t="s">
        <v>1931</v>
      </c>
      <c r="K38" s="19" t="s">
        <v>1932</v>
      </c>
      <c r="L38" s="3" t="s">
        <v>2219</v>
      </c>
      <c r="M38" s="3" t="s">
        <v>2227</v>
      </c>
      <c r="N38" s="3" t="s">
        <v>2257</v>
      </c>
    </row>
    <row r="39" spans="1:14" x14ac:dyDescent="0.25">
      <c r="A39" s="15" t="s">
        <v>1927</v>
      </c>
      <c r="B39" s="17" t="s">
        <v>2199</v>
      </c>
      <c r="C39" s="6" t="s">
        <v>28</v>
      </c>
      <c r="D39" s="6" t="s">
        <v>28</v>
      </c>
      <c r="E39" s="7" t="s">
        <v>1928</v>
      </c>
      <c r="F39" s="20">
        <v>46174</v>
      </c>
      <c r="G39" s="17">
        <v>9</v>
      </c>
      <c r="H39" t="s">
        <v>1930</v>
      </c>
      <c r="I39" s="32">
        <v>195000000</v>
      </c>
      <c r="J39" s="19" t="s">
        <v>1931</v>
      </c>
      <c r="K39" s="6" t="s">
        <v>1932</v>
      </c>
      <c r="L39" s="3" t="s">
        <v>2219</v>
      </c>
      <c r="M39" s="3" t="s">
        <v>2227</v>
      </c>
      <c r="N39" s="3" t="s">
        <v>2257</v>
      </c>
    </row>
    <row r="40" spans="1:14" x14ac:dyDescent="0.25">
      <c r="A40" s="14" t="s">
        <v>1927</v>
      </c>
      <c r="B40" s="16" t="s">
        <v>2199</v>
      </c>
      <c r="C40" s="19" t="s">
        <v>28</v>
      </c>
      <c r="D40" s="19" t="s">
        <v>28</v>
      </c>
      <c r="E40" s="10" t="s">
        <v>1928</v>
      </c>
      <c r="F40" s="20">
        <v>46174</v>
      </c>
      <c r="G40" s="16">
        <v>9</v>
      </c>
      <c r="H40" s="11" t="s">
        <v>1935</v>
      </c>
      <c r="I40" s="31">
        <v>1800000</v>
      </c>
      <c r="J40" s="19" t="s">
        <v>1931</v>
      </c>
      <c r="K40" s="19" t="s">
        <v>1932</v>
      </c>
      <c r="L40" s="3" t="s">
        <v>2219</v>
      </c>
      <c r="M40" s="3" t="s">
        <v>2227</v>
      </c>
      <c r="N40" s="3" t="s">
        <v>2257</v>
      </c>
    </row>
    <row r="41" spans="1:14" x14ac:dyDescent="0.25">
      <c r="A41" s="15" t="s">
        <v>686</v>
      </c>
      <c r="B41" s="17" t="s">
        <v>2199</v>
      </c>
      <c r="C41" s="6" t="s">
        <v>28</v>
      </c>
      <c r="D41" s="6" t="s">
        <v>28</v>
      </c>
      <c r="E41" s="7" t="s">
        <v>687</v>
      </c>
      <c r="F41" s="20">
        <v>46082</v>
      </c>
      <c r="G41" s="17">
        <v>3</v>
      </c>
      <c r="H41" t="s">
        <v>692</v>
      </c>
      <c r="I41" s="32">
        <v>36406019</v>
      </c>
      <c r="J41" s="19" t="s">
        <v>227</v>
      </c>
      <c r="K41" s="6" t="s">
        <v>480</v>
      </c>
      <c r="L41" s="3" t="s">
        <v>2220</v>
      </c>
      <c r="M41" s="3" t="s">
        <v>2234</v>
      </c>
      <c r="N41" s="3" t="s">
        <v>2258</v>
      </c>
    </row>
    <row r="42" spans="1:14" x14ac:dyDescent="0.25">
      <c r="A42" s="14" t="s">
        <v>686</v>
      </c>
      <c r="B42" s="16" t="s">
        <v>2199</v>
      </c>
      <c r="C42" s="19" t="s">
        <v>28</v>
      </c>
      <c r="D42" s="19" t="s">
        <v>28</v>
      </c>
      <c r="E42" s="10" t="s">
        <v>687</v>
      </c>
      <c r="F42" s="20">
        <v>46082</v>
      </c>
      <c r="G42" s="16">
        <v>3</v>
      </c>
      <c r="H42" s="11" t="s">
        <v>689</v>
      </c>
      <c r="I42" s="31">
        <v>64787500</v>
      </c>
      <c r="J42" s="19" t="s">
        <v>227</v>
      </c>
      <c r="K42" s="19" t="s">
        <v>480</v>
      </c>
      <c r="L42" s="3" t="s">
        <v>2220</v>
      </c>
      <c r="M42" s="3" t="s">
        <v>2234</v>
      </c>
      <c r="N42" s="3" t="s">
        <v>2258</v>
      </c>
    </row>
    <row r="43" spans="1:14" x14ac:dyDescent="0.25">
      <c r="A43" s="15" t="s">
        <v>713</v>
      </c>
      <c r="B43" s="17" t="s">
        <v>2199</v>
      </c>
      <c r="C43" s="6" t="s">
        <v>28</v>
      </c>
      <c r="D43" s="6" t="s">
        <v>28</v>
      </c>
      <c r="E43" s="7" t="s">
        <v>714</v>
      </c>
      <c r="F43" s="20">
        <v>46082</v>
      </c>
      <c r="G43" s="17">
        <v>1</v>
      </c>
      <c r="H43" t="s">
        <v>716</v>
      </c>
      <c r="I43" s="32">
        <v>49483210</v>
      </c>
      <c r="J43" s="19" t="s">
        <v>227</v>
      </c>
      <c r="K43" s="6" t="s">
        <v>480</v>
      </c>
      <c r="L43" s="3" t="s">
        <v>2220</v>
      </c>
      <c r="M43" s="3" t="s">
        <v>2234</v>
      </c>
      <c r="N43" s="3" t="s">
        <v>2258</v>
      </c>
    </row>
    <row r="44" spans="1:14" x14ac:dyDescent="0.25">
      <c r="A44" s="14" t="s">
        <v>721</v>
      </c>
      <c r="B44" s="16" t="s">
        <v>2199</v>
      </c>
      <c r="C44" s="19" t="s">
        <v>28</v>
      </c>
      <c r="D44" s="19" t="s">
        <v>28</v>
      </c>
      <c r="E44" s="10" t="s">
        <v>722</v>
      </c>
      <c r="F44" s="20">
        <v>46082</v>
      </c>
      <c r="G44" s="16">
        <v>1</v>
      </c>
      <c r="H44" s="11" t="s">
        <v>716</v>
      </c>
      <c r="I44" s="31">
        <v>247689000</v>
      </c>
      <c r="J44" s="19" t="s">
        <v>227</v>
      </c>
      <c r="K44" s="19" t="s">
        <v>480</v>
      </c>
      <c r="L44" s="3" t="s">
        <v>2220</v>
      </c>
      <c r="M44" s="3" t="s">
        <v>2234</v>
      </c>
      <c r="N44" s="3" t="s">
        <v>2258</v>
      </c>
    </row>
    <row r="45" spans="1:14" x14ac:dyDescent="0.25">
      <c r="A45" s="15" t="s">
        <v>222</v>
      </c>
      <c r="B45" s="17" t="s">
        <v>2196</v>
      </c>
      <c r="C45" s="17" t="s">
        <v>2196</v>
      </c>
      <c r="D45" s="6" t="s">
        <v>28</v>
      </c>
      <c r="E45" s="7" t="s">
        <v>224</v>
      </c>
      <c r="F45" s="20">
        <v>45658</v>
      </c>
      <c r="G45" s="17">
        <v>2</v>
      </c>
      <c r="H45" t="s">
        <v>226</v>
      </c>
      <c r="I45" s="32">
        <v>48115128</v>
      </c>
      <c r="J45" s="19" t="s">
        <v>227</v>
      </c>
      <c r="K45" s="6" t="s">
        <v>228</v>
      </c>
      <c r="L45" s="3" t="s">
        <v>2220</v>
      </c>
      <c r="M45" s="3" t="s">
        <v>2234</v>
      </c>
      <c r="N45" s="3" t="s">
        <v>2258</v>
      </c>
    </row>
    <row r="46" spans="1:14" x14ac:dyDescent="0.25">
      <c r="A46" s="14" t="s">
        <v>238</v>
      </c>
      <c r="B46" s="16" t="s">
        <v>2196</v>
      </c>
      <c r="C46" s="16" t="s">
        <v>2196</v>
      </c>
      <c r="D46" s="19" t="s">
        <v>28</v>
      </c>
      <c r="E46" s="10" t="s">
        <v>239</v>
      </c>
      <c r="F46" s="20">
        <v>45658</v>
      </c>
      <c r="G46" s="16">
        <v>2</v>
      </c>
      <c r="H46" s="11" t="s">
        <v>226</v>
      </c>
      <c r="I46" s="31">
        <v>237155100</v>
      </c>
      <c r="J46" s="19" t="s">
        <v>227</v>
      </c>
      <c r="K46" s="19" t="s">
        <v>228</v>
      </c>
      <c r="L46" s="3" t="s">
        <v>2220</v>
      </c>
      <c r="M46" s="3" t="s">
        <v>2234</v>
      </c>
      <c r="N46" s="3" t="s">
        <v>2258</v>
      </c>
    </row>
    <row r="47" spans="1:14" x14ac:dyDescent="0.25">
      <c r="A47" s="15" t="s">
        <v>244</v>
      </c>
      <c r="B47" s="17" t="s">
        <v>2196</v>
      </c>
      <c r="C47" s="17" t="s">
        <v>2196</v>
      </c>
      <c r="D47" s="6" t="s">
        <v>28</v>
      </c>
      <c r="E47" s="7" t="s">
        <v>245</v>
      </c>
      <c r="F47" s="20">
        <v>45658</v>
      </c>
      <c r="G47" s="17">
        <v>2</v>
      </c>
      <c r="H47" t="s">
        <v>226</v>
      </c>
      <c r="I47" s="32">
        <v>284700000</v>
      </c>
      <c r="J47" s="19" t="s">
        <v>227</v>
      </c>
      <c r="K47" s="6" t="s">
        <v>228</v>
      </c>
      <c r="L47" s="3" t="s">
        <v>2220</v>
      </c>
      <c r="M47" s="3" t="s">
        <v>2234</v>
      </c>
      <c r="N47" s="3" t="s">
        <v>2258</v>
      </c>
    </row>
    <row r="48" spans="1:14" x14ac:dyDescent="0.25">
      <c r="A48" s="14" t="s">
        <v>476</v>
      </c>
      <c r="B48" s="16" t="s">
        <v>2196</v>
      </c>
      <c r="C48" s="16" t="s">
        <v>2196</v>
      </c>
      <c r="D48" s="19" t="s">
        <v>28</v>
      </c>
      <c r="E48" s="10" t="s">
        <v>477</v>
      </c>
      <c r="F48" s="20">
        <v>45870</v>
      </c>
      <c r="G48" s="16">
        <v>2</v>
      </c>
      <c r="H48" s="11" t="s">
        <v>481</v>
      </c>
      <c r="I48" s="31">
        <v>23924290</v>
      </c>
      <c r="J48" s="19" t="s">
        <v>227</v>
      </c>
      <c r="K48" s="19" t="s">
        <v>480</v>
      </c>
      <c r="L48" s="3" t="s">
        <v>2220</v>
      </c>
      <c r="M48" s="3" t="s">
        <v>2234</v>
      </c>
      <c r="N48" s="3" t="s">
        <v>2258</v>
      </c>
    </row>
    <row r="49" spans="1:14" x14ac:dyDescent="0.25">
      <c r="A49" s="15" t="s">
        <v>476</v>
      </c>
      <c r="B49" s="17" t="s">
        <v>2196</v>
      </c>
      <c r="C49" s="17" t="s">
        <v>2196</v>
      </c>
      <c r="D49" s="6" t="s">
        <v>28</v>
      </c>
      <c r="E49" s="7" t="s">
        <v>477</v>
      </c>
      <c r="F49" s="20">
        <v>46023</v>
      </c>
      <c r="G49" s="17">
        <v>2</v>
      </c>
      <c r="H49" t="s">
        <v>479</v>
      </c>
      <c r="I49" s="32">
        <v>90702500</v>
      </c>
      <c r="J49" s="19" t="s">
        <v>227</v>
      </c>
      <c r="K49" s="6" t="s">
        <v>480</v>
      </c>
      <c r="L49" s="3" t="s">
        <v>2220</v>
      </c>
      <c r="M49" s="3" t="s">
        <v>2234</v>
      </c>
      <c r="N49" s="3" t="s">
        <v>2258</v>
      </c>
    </row>
    <row r="50" spans="1:14" x14ac:dyDescent="0.25">
      <c r="A50" s="14" t="s">
        <v>68</v>
      </c>
      <c r="B50" s="16" t="s">
        <v>2196</v>
      </c>
      <c r="C50" s="16" t="s">
        <v>2196</v>
      </c>
      <c r="D50" s="19" t="s">
        <v>28</v>
      </c>
      <c r="E50" s="10" t="s">
        <v>70</v>
      </c>
      <c r="F50" s="20">
        <v>45474</v>
      </c>
      <c r="G50" s="16">
        <v>1</v>
      </c>
      <c r="H50" s="11" t="s">
        <v>72</v>
      </c>
      <c r="I50" s="31">
        <v>40432878</v>
      </c>
      <c r="J50" s="19" t="s">
        <v>74</v>
      </c>
      <c r="K50" s="19" t="s">
        <v>75</v>
      </c>
      <c r="L50" s="3" t="s">
        <v>2220</v>
      </c>
      <c r="M50" s="3" t="s">
        <v>2234</v>
      </c>
      <c r="N50" s="3" t="s">
        <v>2258</v>
      </c>
    </row>
    <row r="51" spans="1:14" x14ac:dyDescent="0.25">
      <c r="A51" s="15" t="s">
        <v>82</v>
      </c>
      <c r="B51" s="17" t="s">
        <v>2196</v>
      </c>
      <c r="C51" s="17" t="s">
        <v>2196</v>
      </c>
      <c r="D51" s="6" t="s">
        <v>28</v>
      </c>
      <c r="E51" s="7" t="s">
        <v>83</v>
      </c>
      <c r="F51" s="20">
        <v>45444</v>
      </c>
      <c r="G51" s="17">
        <v>1</v>
      </c>
      <c r="H51" t="s">
        <v>72</v>
      </c>
      <c r="I51" s="32">
        <v>78361124</v>
      </c>
      <c r="J51" s="19" t="s">
        <v>74</v>
      </c>
      <c r="K51" s="6" t="s">
        <v>85</v>
      </c>
      <c r="L51" s="3" t="s">
        <v>2220</v>
      </c>
      <c r="M51" s="3" t="s">
        <v>2234</v>
      </c>
      <c r="N51" s="3" t="s">
        <v>2258</v>
      </c>
    </row>
    <row r="52" spans="1:14" x14ac:dyDescent="0.25">
      <c r="A52" s="14" t="s">
        <v>91</v>
      </c>
      <c r="B52" s="16" t="s">
        <v>2196</v>
      </c>
      <c r="C52" s="16" t="s">
        <v>2196</v>
      </c>
      <c r="D52" s="19" t="s">
        <v>28</v>
      </c>
      <c r="E52" s="10" t="s">
        <v>92</v>
      </c>
      <c r="F52" s="20">
        <v>45444</v>
      </c>
      <c r="G52" s="16">
        <v>1</v>
      </c>
      <c r="H52" s="11" t="s">
        <v>72</v>
      </c>
      <c r="I52" s="31">
        <v>78361124</v>
      </c>
      <c r="J52" s="19" t="s">
        <v>74</v>
      </c>
      <c r="K52" s="19" t="s">
        <v>85</v>
      </c>
      <c r="L52" s="3" t="s">
        <v>2220</v>
      </c>
      <c r="M52" s="3" t="s">
        <v>2234</v>
      </c>
      <c r="N52" s="3" t="s">
        <v>2258</v>
      </c>
    </row>
    <row r="53" spans="1:14" x14ac:dyDescent="0.25">
      <c r="A53" s="15" t="s">
        <v>461</v>
      </c>
      <c r="B53" s="17" t="s">
        <v>2196</v>
      </c>
      <c r="C53" s="17" t="s">
        <v>2196</v>
      </c>
      <c r="D53" s="6" t="s">
        <v>28</v>
      </c>
      <c r="E53" s="7" t="s">
        <v>462</v>
      </c>
      <c r="F53" s="20">
        <v>45992</v>
      </c>
      <c r="G53" s="17">
        <v>1</v>
      </c>
      <c r="H53" t="s">
        <v>464</v>
      </c>
      <c r="I53" s="32">
        <v>246357600</v>
      </c>
      <c r="J53" s="19" t="s">
        <v>465</v>
      </c>
      <c r="K53" s="6" t="s">
        <v>466</v>
      </c>
      <c r="L53" s="3" t="s">
        <v>2220</v>
      </c>
      <c r="M53" s="3" t="s">
        <v>2234</v>
      </c>
      <c r="N53" s="3" t="s">
        <v>2258</v>
      </c>
    </row>
    <row r="54" spans="1:14" x14ac:dyDescent="0.25">
      <c r="A54" s="14" t="s">
        <v>1981</v>
      </c>
      <c r="B54" s="16" t="s">
        <v>2199</v>
      </c>
      <c r="C54" s="19" t="s">
        <v>28</v>
      </c>
      <c r="D54" s="19" t="s">
        <v>28</v>
      </c>
      <c r="E54" s="10" t="s">
        <v>1982</v>
      </c>
      <c r="F54" s="20">
        <v>46023</v>
      </c>
      <c r="G54" s="16">
        <v>2</v>
      </c>
      <c r="H54" s="11" t="s">
        <v>1984</v>
      </c>
      <c r="I54" s="31">
        <v>350200</v>
      </c>
      <c r="J54" s="19" t="s">
        <v>1985</v>
      </c>
      <c r="K54" s="19" t="s">
        <v>1986</v>
      </c>
      <c r="L54" s="3" t="s">
        <v>2221</v>
      </c>
      <c r="M54" s="3" t="s">
        <v>2234</v>
      </c>
      <c r="N54" s="3" t="s">
        <v>2259</v>
      </c>
    </row>
    <row r="55" spans="1:14" x14ac:dyDescent="0.25">
      <c r="A55" s="15" t="s">
        <v>1981</v>
      </c>
      <c r="B55" s="17" t="s">
        <v>2199</v>
      </c>
      <c r="C55" s="6" t="s">
        <v>28</v>
      </c>
      <c r="D55" s="6" t="s">
        <v>28</v>
      </c>
      <c r="E55" s="7" t="s">
        <v>1982</v>
      </c>
      <c r="F55" s="20">
        <v>46023</v>
      </c>
      <c r="G55" s="17">
        <v>2</v>
      </c>
      <c r="H55" t="s">
        <v>1989</v>
      </c>
      <c r="I55" s="32">
        <v>550800</v>
      </c>
      <c r="J55" s="19" t="s">
        <v>1985</v>
      </c>
      <c r="K55" s="6" t="s">
        <v>1986</v>
      </c>
      <c r="L55" s="3" t="s">
        <v>2221</v>
      </c>
      <c r="M55" s="3" t="s">
        <v>2234</v>
      </c>
      <c r="N55" s="3" t="s">
        <v>2259</v>
      </c>
    </row>
    <row r="56" spans="1:14" x14ac:dyDescent="0.25">
      <c r="A56" s="14" t="s">
        <v>1997</v>
      </c>
      <c r="B56" s="16" t="s">
        <v>2199</v>
      </c>
      <c r="C56" s="19" t="s">
        <v>28</v>
      </c>
      <c r="D56" s="19" t="s">
        <v>28</v>
      </c>
      <c r="E56" s="10" t="s">
        <v>1998</v>
      </c>
      <c r="F56" s="20">
        <v>46113</v>
      </c>
      <c r="G56" s="16">
        <v>1</v>
      </c>
      <c r="H56" s="11" t="s">
        <v>602</v>
      </c>
      <c r="I56" s="31">
        <v>1200000</v>
      </c>
      <c r="J56" s="19" t="s">
        <v>1985</v>
      </c>
      <c r="K56" s="19" t="s">
        <v>1986</v>
      </c>
      <c r="L56" s="3" t="s">
        <v>2221</v>
      </c>
      <c r="M56" s="3" t="s">
        <v>2234</v>
      </c>
      <c r="N56" s="3" t="s">
        <v>2259</v>
      </c>
    </row>
    <row r="57" spans="1:14" x14ac:dyDescent="0.25">
      <c r="A57" s="15" t="s">
        <v>2000</v>
      </c>
      <c r="B57" s="17" t="s">
        <v>2199</v>
      </c>
      <c r="C57" s="6" t="s">
        <v>28</v>
      </c>
      <c r="D57" s="6" t="s">
        <v>28</v>
      </c>
      <c r="E57" s="7" t="s">
        <v>2001</v>
      </c>
      <c r="F57" s="20">
        <v>46023</v>
      </c>
      <c r="G57" s="17">
        <v>2</v>
      </c>
      <c r="H57" t="s">
        <v>2003</v>
      </c>
      <c r="I57" s="32">
        <v>10000000</v>
      </c>
      <c r="J57" s="19" t="s">
        <v>1985</v>
      </c>
      <c r="K57" s="6" t="s">
        <v>1986</v>
      </c>
      <c r="L57" s="3" t="s">
        <v>2221</v>
      </c>
      <c r="M57" s="3" t="s">
        <v>2234</v>
      </c>
      <c r="N57" s="3" t="s">
        <v>2259</v>
      </c>
    </row>
    <row r="58" spans="1:14" x14ac:dyDescent="0.25">
      <c r="A58" s="14" t="s">
        <v>2000</v>
      </c>
      <c r="B58" s="16" t="s">
        <v>2199</v>
      </c>
      <c r="C58" s="19" t="s">
        <v>28</v>
      </c>
      <c r="D58" s="19" t="s">
        <v>28</v>
      </c>
      <c r="E58" s="10" t="s">
        <v>2001</v>
      </c>
      <c r="F58" s="20">
        <v>46023</v>
      </c>
      <c r="G58" s="16">
        <v>2</v>
      </c>
      <c r="H58" s="11" t="s">
        <v>2004</v>
      </c>
      <c r="I58" s="31">
        <v>10000000</v>
      </c>
      <c r="J58" s="19" t="s">
        <v>1985</v>
      </c>
      <c r="K58" s="19" t="s">
        <v>1986</v>
      </c>
      <c r="L58" s="3" t="s">
        <v>2221</v>
      </c>
      <c r="M58" s="3" t="s">
        <v>2234</v>
      </c>
      <c r="N58" s="3" t="s">
        <v>2259</v>
      </c>
    </row>
    <row r="59" spans="1:14" x14ac:dyDescent="0.25">
      <c r="A59" s="15" t="s">
        <v>2011</v>
      </c>
      <c r="B59" s="17" t="s">
        <v>2199</v>
      </c>
      <c r="C59" s="6" t="s">
        <v>28</v>
      </c>
      <c r="D59" s="6" t="s">
        <v>28</v>
      </c>
      <c r="E59" s="7" t="s">
        <v>2012</v>
      </c>
      <c r="F59" s="20">
        <v>46023</v>
      </c>
      <c r="G59" s="17">
        <v>2</v>
      </c>
      <c r="H59" t="s">
        <v>2014</v>
      </c>
      <c r="I59" s="32">
        <v>10000000</v>
      </c>
      <c r="J59" s="19" t="s">
        <v>1985</v>
      </c>
      <c r="K59" s="6" t="s">
        <v>1986</v>
      </c>
      <c r="L59" s="3" t="s">
        <v>2221</v>
      </c>
      <c r="M59" s="3" t="s">
        <v>2234</v>
      </c>
      <c r="N59" s="3" t="s">
        <v>2259</v>
      </c>
    </row>
    <row r="60" spans="1:14" x14ac:dyDescent="0.25">
      <c r="A60" s="14" t="s">
        <v>2011</v>
      </c>
      <c r="B60" s="16" t="s">
        <v>2199</v>
      </c>
      <c r="C60" s="19" t="s">
        <v>28</v>
      </c>
      <c r="D60" s="19" t="s">
        <v>28</v>
      </c>
      <c r="E60" s="10" t="s">
        <v>2012</v>
      </c>
      <c r="F60" s="20">
        <v>46023</v>
      </c>
      <c r="G60" s="16">
        <v>2</v>
      </c>
      <c r="H60" s="11" t="s">
        <v>2015</v>
      </c>
      <c r="I60" s="31">
        <v>40008000</v>
      </c>
      <c r="J60" s="19" t="s">
        <v>1985</v>
      </c>
      <c r="K60" s="19" t="s">
        <v>1986</v>
      </c>
      <c r="L60" s="3" t="s">
        <v>2221</v>
      </c>
      <c r="M60" s="3" t="s">
        <v>2234</v>
      </c>
      <c r="N60" s="3" t="s">
        <v>2259</v>
      </c>
    </row>
    <row r="61" spans="1:14" x14ac:dyDescent="0.25">
      <c r="A61" s="15" t="s">
        <v>2020</v>
      </c>
      <c r="B61" s="17" t="s">
        <v>2199</v>
      </c>
      <c r="C61" s="6" t="s">
        <v>28</v>
      </c>
      <c r="D61" s="6" t="s">
        <v>28</v>
      </c>
      <c r="E61" s="7" t="s">
        <v>2021</v>
      </c>
      <c r="F61" s="20">
        <v>46023</v>
      </c>
      <c r="G61" s="17">
        <v>1</v>
      </c>
      <c r="H61" t="s">
        <v>2023</v>
      </c>
      <c r="I61" s="32">
        <v>700005</v>
      </c>
      <c r="J61" s="19" t="s">
        <v>1985</v>
      </c>
      <c r="K61" s="6" t="s">
        <v>1986</v>
      </c>
      <c r="L61" s="3" t="s">
        <v>2221</v>
      </c>
      <c r="M61" s="3" t="s">
        <v>2234</v>
      </c>
      <c r="N61" s="3" t="s">
        <v>2259</v>
      </c>
    </row>
    <row r="62" spans="1:14" x14ac:dyDescent="0.25">
      <c r="A62" s="14" t="s">
        <v>2024</v>
      </c>
      <c r="B62" s="16" t="s">
        <v>2199</v>
      </c>
      <c r="C62" s="19" t="s">
        <v>28</v>
      </c>
      <c r="D62" s="19" t="s">
        <v>28</v>
      </c>
      <c r="E62" s="10" t="s">
        <v>2025</v>
      </c>
      <c r="F62" s="20">
        <v>46023</v>
      </c>
      <c r="G62" s="16">
        <v>1</v>
      </c>
      <c r="H62" s="11" t="s">
        <v>2027</v>
      </c>
      <c r="I62" s="31">
        <v>10000000</v>
      </c>
      <c r="J62" s="19" t="s">
        <v>1985</v>
      </c>
      <c r="K62" s="19" t="s">
        <v>1986</v>
      </c>
      <c r="L62" s="3" t="s">
        <v>2221</v>
      </c>
      <c r="M62" s="3" t="s">
        <v>2234</v>
      </c>
      <c r="N62" s="3" t="s">
        <v>2259</v>
      </c>
    </row>
    <row r="63" spans="1:14" x14ac:dyDescent="0.25">
      <c r="A63" s="15" t="s">
        <v>29</v>
      </c>
      <c r="B63" s="17" t="s">
        <v>2196</v>
      </c>
      <c r="C63" s="17" t="s">
        <v>2196</v>
      </c>
      <c r="D63" s="6" t="s">
        <v>28</v>
      </c>
      <c r="E63" s="7" t="s">
        <v>33</v>
      </c>
      <c r="F63" s="20">
        <v>45292</v>
      </c>
      <c r="G63" s="17">
        <v>2</v>
      </c>
      <c r="H63" t="s">
        <v>35</v>
      </c>
      <c r="I63" s="32">
        <v>30000000</v>
      </c>
      <c r="J63" s="19" t="s">
        <v>37</v>
      </c>
      <c r="K63" s="6" t="s">
        <v>38</v>
      </c>
      <c r="L63" s="3" t="s">
        <v>2217</v>
      </c>
      <c r="M63" s="3" t="s">
        <v>2256</v>
      </c>
      <c r="N63" s="3" t="s">
        <v>2280</v>
      </c>
    </row>
    <row r="64" spans="1:14" x14ac:dyDescent="0.25">
      <c r="A64" s="14" t="s">
        <v>44</v>
      </c>
      <c r="B64" s="16" t="s">
        <v>2196</v>
      </c>
      <c r="C64" s="16" t="s">
        <v>2196</v>
      </c>
      <c r="D64" s="19" t="s">
        <v>28</v>
      </c>
      <c r="E64" s="10" t="s">
        <v>46</v>
      </c>
      <c r="F64" s="20">
        <v>45200</v>
      </c>
      <c r="G64" s="16">
        <v>2</v>
      </c>
      <c r="H64" s="11" t="s">
        <v>48</v>
      </c>
      <c r="I64" s="31">
        <v>6711996</v>
      </c>
      <c r="J64" s="19" t="s">
        <v>37</v>
      </c>
      <c r="K64" s="19" t="s">
        <v>49</v>
      </c>
      <c r="L64" s="3" t="s">
        <v>2217</v>
      </c>
      <c r="M64" s="3" t="s">
        <v>2256</v>
      </c>
      <c r="N64" s="3" t="s">
        <v>2280</v>
      </c>
    </row>
    <row r="65" spans="1:14" x14ac:dyDescent="0.25">
      <c r="A65" s="15" t="s">
        <v>444</v>
      </c>
      <c r="B65" s="17" t="s">
        <v>2196</v>
      </c>
      <c r="C65" s="17" t="s">
        <v>2196</v>
      </c>
      <c r="D65" s="6" t="s">
        <v>28</v>
      </c>
      <c r="E65" s="7" t="s">
        <v>445</v>
      </c>
      <c r="F65" s="20">
        <v>45870</v>
      </c>
      <c r="G65" s="17">
        <v>1</v>
      </c>
      <c r="H65" t="s">
        <v>447</v>
      </c>
      <c r="I65" s="32">
        <v>89478000</v>
      </c>
      <c r="J65" s="19" t="s">
        <v>37</v>
      </c>
      <c r="K65" s="6" t="s">
        <v>449</v>
      </c>
      <c r="L65" s="3" t="s">
        <v>2217</v>
      </c>
      <c r="M65" s="3" t="s">
        <v>2256</v>
      </c>
      <c r="N65" s="3" t="s">
        <v>2280</v>
      </c>
    </row>
    <row r="66" spans="1:14" x14ac:dyDescent="0.25">
      <c r="A66" s="14" t="s">
        <v>938</v>
      </c>
      <c r="B66" s="16" t="s">
        <v>2199</v>
      </c>
      <c r="C66" s="19" t="s">
        <v>28</v>
      </c>
      <c r="D66" s="19" t="s">
        <v>28</v>
      </c>
      <c r="E66" s="10" t="s">
        <v>939</v>
      </c>
      <c r="F66" s="20">
        <v>46113</v>
      </c>
      <c r="G66" s="16">
        <v>3</v>
      </c>
      <c r="H66" s="11" t="s">
        <v>946</v>
      </c>
      <c r="I66" s="31">
        <v>2175000</v>
      </c>
      <c r="J66" s="19" t="s">
        <v>942</v>
      </c>
      <c r="K66" s="19" t="s">
        <v>943</v>
      </c>
      <c r="L66" s="3" t="s">
        <v>2222</v>
      </c>
      <c r="M66" s="3" t="s">
        <v>2234</v>
      </c>
      <c r="N66" s="3" t="s">
        <v>2260</v>
      </c>
    </row>
    <row r="67" spans="1:14" x14ac:dyDescent="0.25">
      <c r="A67" s="15" t="s">
        <v>938</v>
      </c>
      <c r="B67" s="17" t="s">
        <v>2199</v>
      </c>
      <c r="C67" s="6" t="s">
        <v>28</v>
      </c>
      <c r="D67" s="6" t="s">
        <v>28</v>
      </c>
      <c r="E67" s="7" t="s">
        <v>939</v>
      </c>
      <c r="F67" s="20">
        <v>46113</v>
      </c>
      <c r="G67" s="17">
        <v>3</v>
      </c>
      <c r="H67" t="s">
        <v>945</v>
      </c>
      <c r="I67" s="32">
        <v>8155836</v>
      </c>
      <c r="J67" s="19" t="s">
        <v>942</v>
      </c>
      <c r="K67" s="6" t="s">
        <v>943</v>
      </c>
      <c r="L67" s="3" t="s">
        <v>2222</v>
      </c>
      <c r="M67" s="3" t="s">
        <v>2234</v>
      </c>
      <c r="N67" s="3" t="s">
        <v>2260</v>
      </c>
    </row>
    <row r="68" spans="1:14" x14ac:dyDescent="0.25">
      <c r="A68" s="14" t="s">
        <v>938</v>
      </c>
      <c r="B68" s="16" t="s">
        <v>2199</v>
      </c>
      <c r="C68" s="19" t="s">
        <v>28</v>
      </c>
      <c r="D68" s="19" t="s">
        <v>28</v>
      </c>
      <c r="E68" s="10" t="s">
        <v>939</v>
      </c>
      <c r="F68" s="20">
        <v>46113</v>
      </c>
      <c r="G68" s="16">
        <v>3</v>
      </c>
      <c r="H68" s="11" t="s">
        <v>941</v>
      </c>
      <c r="I68" s="31">
        <v>1672500</v>
      </c>
      <c r="J68" s="19" t="s">
        <v>942</v>
      </c>
      <c r="K68" s="19" t="s">
        <v>943</v>
      </c>
      <c r="L68" s="3" t="s">
        <v>2222</v>
      </c>
      <c r="M68" s="3" t="s">
        <v>2234</v>
      </c>
      <c r="N68" s="3" t="s">
        <v>2260</v>
      </c>
    </row>
    <row r="69" spans="1:14" x14ac:dyDescent="0.25">
      <c r="A69" s="15" t="s">
        <v>468</v>
      </c>
      <c r="B69" s="17" t="s">
        <v>2196</v>
      </c>
      <c r="C69" s="17" t="s">
        <v>2196</v>
      </c>
      <c r="D69" s="6" t="s">
        <v>374</v>
      </c>
      <c r="E69" s="7" t="s">
        <v>470</v>
      </c>
      <c r="F69" s="20">
        <v>45870</v>
      </c>
      <c r="G69" s="17">
        <v>1</v>
      </c>
      <c r="H69" t="s">
        <v>472</v>
      </c>
      <c r="I69" s="32">
        <v>394362600</v>
      </c>
      <c r="J69" s="19" t="s">
        <v>473</v>
      </c>
      <c r="K69" s="6" t="s">
        <v>474</v>
      </c>
      <c r="L69" s="3" t="s">
        <v>2222</v>
      </c>
      <c r="M69" s="3" t="s">
        <v>2234</v>
      </c>
      <c r="N69" s="3" t="s">
        <v>2260</v>
      </c>
    </row>
    <row r="70" spans="1:14" x14ac:dyDescent="0.25">
      <c r="A70" s="14" t="s">
        <v>1213</v>
      </c>
      <c r="B70" s="16" t="s">
        <v>2199</v>
      </c>
      <c r="C70" s="19" t="s">
        <v>28</v>
      </c>
      <c r="D70" s="19" t="s">
        <v>28</v>
      </c>
      <c r="E70" s="10" t="s">
        <v>1214</v>
      </c>
      <c r="F70" s="20">
        <v>46023</v>
      </c>
      <c r="G70" s="16">
        <v>1</v>
      </c>
      <c r="H70" s="11" t="s">
        <v>1216</v>
      </c>
      <c r="I70" s="31">
        <v>126581</v>
      </c>
      <c r="J70" s="19" t="s">
        <v>395</v>
      </c>
      <c r="K70" s="19" t="s">
        <v>1217</v>
      </c>
      <c r="L70" s="3" t="s">
        <v>2223</v>
      </c>
      <c r="M70" s="3" t="s">
        <v>2234</v>
      </c>
      <c r="N70" s="3" t="s">
        <v>2258</v>
      </c>
    </row>
    <row r="71" spans="1:14" x14ac:dyDescent="0.25">
      <c r="A71" s="15" t="s">
        <v>1219</v>
      </c>
      <c r="B71" s="17" t="s">
        <v>2199</v>
      </c>
      <c r="C71" s="6" t="s">
        <v>28</v>
      </c>
      <c r="D71" s="6" t="s">
        <v>28</v>
      </c>
      <c r="E71" s="7" t="s">
        <v>1220</v>
      </c>
      <c r="F71" s="20">
        <v>46023</v>
      </c>
      <c r="G71" s="17">
        <v>2</v>
      </c>
      <c r="H71" t="s">
        <v>1223</v>
      </c>
      <c r="I71" s="32">
        <v>45000</v>
      </c>
      <c r="J71" s="19" t="s">
        <v>395</v>
      </c>
      <c r="K71" s="6" t="s">
        <v>1217</v>
      </c>
      <c r="L71" s="3" t="s">
        <v>2223</v>
      </c>
      <c r="M71" s="3" t="s">
        <v>2234</v>
      </c>
      <c r="N71" s="3" t="s">
        <v>2258</v>
      </c>
    </row>
    <row r="72" spans="1:14" x14ac:dyDescent="0.25">
      <c r="A72" s="14" t="s">
        <v>1219</v>
      </c>
      <c r="B72" s="16" t="s">
        <v>2199</v>
      </c>
      <c r="C72" s="19" t="s">
        <v>28</v>
      </c>
      <c r="D72" s="19" t="s">
        <v>28</v>
      </c>
      <c r="E72" s="10" t="s">
        <v>1220</v>
      </c>
      <c r="F72" s="20">
        <v>46023</v>
      </c>
      <c r="G72" s="16">
        <v>2</v>
      </c>
      <c r="H72" s="11" t="s">
        <v>1222</v>
      </c>
      <c r="I72" s="31">
        <v>127000</v>
      </c>
      <c r="J72" s="19" t="s">
        <v>395</v>
      </c>
      <c r="K72" s="19" t="s">
        <v>1217</v>
      </c>
      <c r="L72" s="3" t="s">
        <v>2223</v>
      </c>
      <c r="M72" s="3" t="s">
        <v>2234</v>
      </c>
      <c r="N72" s="3" t="s">
        <v>2258</v>
      </c>
    </row>
    <row r="73" spans="1:14" x14ac:dyDescent="0.25">
      <c r="A73" s="15" t="s">
        <v>1259</v>
      </c>
      <c r="B73" s="17" t="s">
        <v>2199</v>
      </c>
      <c r="C73" s="6" t="s">
        <v>28</v>
      </c>
      <c r="D73" s="6" t="s">
        <v>28</v>
      </c>
      <c r="E73" s="7" t="s">
        <v>1260</v>
      </c>
      <c r="F73" s="20">
        <v>46023</v>
      </c>
      <c r="G73" s="17">
        <v>2</v>
      </c>
      <c r="H73" t="s">
        <v>777</v>
      </c>
      <c r="I73" s="32">
        <v>90100</v>
      </c>
      <c r="J73" s="19" t="s">
        <v>395</v>
      </c>
      <c r="K73" s="6" t="s">
        <v>1217</v>
      </c>
      <c r="L73" s="3" t="s">
        <v>2223</v>
      </c>
      <c r="M73" s="3" t="s">
        <v>2234</v>
      </c>
      <c r="N73" s="3" t="s">
        <v>2258</v>
      </c>
    </row>
    <row r="74" spans="1:14" x14ac:dyDescent="0.25">
      <c r="A74" s="14" t="s">
        <v>1259</v>
      </c>
      <c r="B74" s="16" t="s">
        <v>2199</v>
      </c>
      <c r="C74" s="19" t="s">
        <v>28</v>
      </c>
      <c r="D74" s="19" t="s">
        <v>28</v>
      </c>
      <c r="E74" s="10" t="s">
        <v>1260</v>
      </c>
      <c r="F74" s="20">
        <v>46023</v>
      </c>
      <c r="G74" s="16">
        <v>2</v>
      </c>
      <c r="H74" s="11" t="s">
        <v>1263</v>
      </c>
      <c r="I74" s="31">
        <v>280000</v>
      </c>
      <c r="J74" s="19" t="s">
        <v>395</v>
      </c>
      <c r="K74" s="19" t="s">
        <v>1217</v>
      </c>
      <c r="L74" s="3" t="s">
        <v>2223</v>
      </c>
      <c r="M74" s="3" t="s">
        <v>2234</v>
      </c>
      <c r="N74" s="3" t="s">
        <v>2258</v>
      </c>
    </row>
    <row r="75" spans="1:14" x14ac:dyDescent="0.25">
      <c r="A75" s="15" t="s">
        <v>2156</v>
      </c>
      <c r="B75" s="17" t="s">
        <v>2199</v>
      </c>
      <c r="C75" s="6" t="s">
        <v>28</v>
      </c>
      <c r="D75" s="6" t="s">
        <v>28</v>
      </c>
      <c r="E75" s="7" t="s">
        <v>2157</v>
      </c>
      <c r="F75" s="20">
        <v>46023</v>
      </c>
      <c r="G75" s="17">
        <v>2</v>
      </c>
      <c r="H75" t="s">
        <v>786</v>
      </c>
      <c r="I75" s="32">
        <v>791208</v>
      </c>
      <c r="J75" s="19" t="s">
        <v>395</v>
      </c>
      <c r="K75" s="6" t="s">
        <v>1217</v>
      </c>
      <c r="L75" s="3" t="s">
        <v>2223</v>
      </c>
      <c r="M75" s="3" t="s">
        <v>2234</v>
      </c>
      <c r="N75" s="3" t="s">
        <v>2258</v>
      </c>
    </row>
    <row r="76" spans="1:14" x14ac:dyDescent="0.25">
      <c r="A76" s="14" t="s">
        <v>2156</v>
      </c>
      <c r="B76" s="16" t="s">
        <v>2199</v>
      </c>
      <c r="C76" s="19" t="s">
        <v>28</v>
      </c>
      <c r="D76" s="19" t="s">
        <v>28</v>
      </c>
      <c r="E76" s="10" t="s">
        <v>2157</v>
      </c>
      <c r="F76" s="20">
        <v>46023</v>
      </c>
      <c r="G76" s="16">
        <v>2</v>
      </c>
      <c r="H76" s="11" t="s">
        <v>1989</v>
      </c>
      <c r="I76" s="31">
        <v>30000</v>
      </c>
      <c r="J76" s="19" t="s">
        <v>395</v>
      </c>
      <c r="K76" s="19" t="s">
        <v>1217</v>
      </c>
      <c r="L76" s="3" t="s">
        <v>2223</v>
      </c>
      <c r="M76" s="3" t="s">
        <v>2234</v>
      </c>
      <c r="N76" s="3" t="s">
        <v>2258</v>
      </c>
    </row>
    <row r="77" spans="1:14" x14ac:dyDescent="0.25">
      <c r="A77" s="15" t="s">
        <v>392</v>
      </c>
      <c r="B77" s="17" t="s">
        <v>2196</v>
      </c>
      <c r="C77" s="17" t="s">
        <v>2196</v>
      </c>
      <c r="D77" s="6" t="s">
        <v>28</v>
      </c>
      <c r="E77" s="7" t="s">
        <v>393</v>
      </c>
      <c r="F77" s="20">
        <v>45870</v>
      </c>
      <c r="G77" s="17">
        <v>1</v>
      </c>
      <c r="H77" t="s">
        <v>326</v>
      </c>
      <c r="I77" s="32">
        <v>17416663</v>
      </c>
      <c r="J77" s="19" t="s">
        <v>395</v>
      </c>
      <c r="K77" s="6" t="s">
        <v>396</v>
      </c>
      <c r="L77" s="3" t="s">
        <v>2223</v>
      </c>
      <c r="M77" s="3" t="s">
        <v>2234</v>
      </c>
      <c r="N77" s="3" t="s">
        <v>2258</v>
      </c>
    </row>
    <row r="78" spans="1:14" x14ac:dyDescent="0.25">
      <c r="A78" s="14" t="s">
        <v>653</v>
      </c>
      <c r="B78" s="16" t="s">
        <v>2199</v>
      </c>
      <c r="C78" s="19" t="s">
        <v>28</v>
      </c>
      <c r="D78" s="19" t="s">
        <v>28</v>
      </c>
      <c r="E78" s="10" t="s">
        <v>655</v>
      </c>
      <c r="F78" s="20">
        <v>46327</v>
      </c>
      <c r="G78" s="16">
        <v>1</v>
      </c>
      <c r="H78" s="11" t="s">
        <v>370</v>
      </c>
      <c r="I78" s="31">
        <v>540000</v>
      </c>
      <c r="J78" s="19" t="s">
        <v>657</v>
      </c>
      <c r="K78" s="19" t="s">
        <v>658</v>
      </c>
      <c r="L78" s="3" t="s">
        <v>2220</v>
      </c>
      <c r="M78" s="3" t="s">
        <v>2234</v>
      </c>
      <c r="N78" s="3" t="s">
        <v>2258</v>
      </c>
    </row>
    <row r="79" spans="1:14" x14ac:dyDescent="0.25">
      <c r="A79" s="15" t="s">
        <v>661</v>
      </c>
      <c r="B79" s="17" t="s">
        <v>2199</v>
      </c>
      <c r="C79" s="6" t="s">
        <v>28</v>
      </c>
      <c r="D79" s="6" t="s">
        <v>28</v>
      </c>
      <c r="E79" s="7" t="s">
        <v>662</v>
      </c>
      <c r="F79" s="20">
        <v>46113</v>
      </c>
      <c r="G79" s="17">
        <v>6</v>
      </c>
      <c r="H79" t="s">
        <v>359</v>
      </c>
      <c r="I79" s="32">
        <v>135000</v>
      </c>
      <c r="J79" s="19" t="s">
        <v>657</v>
      </c>
      <c r="K79" s="6" t="s">
        <v>658</v>
      </c>
      <c r="L79" s="3" t="s">
        <v>2220</v>
      </c>
      <c r="M79" s="3" t="s">
        <v>2234</v>
      </c>
      <c r="N79" s="3" t="s">
        <v>2258</v>
      </c>
    </row>
    <row r="80" spans="1:14" x14ac:dyDescent="0.25">
      <c r="A80" s="14" t="s">
        <v>661</v>
      </c>
      <c r="B80" s="16" t="s">
        <v>2199</v>
      </c>
      <c r="C80" s="19" t="s">
        <v>28</v>
      </c>
      <c r="D80" s="19" t="s">
        <v>28</v>
      </c>
      <c r="E80" s="10" t="s">
        <v>662</v>
      </c>
      <c r="F80" s="20">
        <v>46204</v>
      </c>
      <c r="G80" s="16">
        <v>6</v>
      </c>
      <c r="H80" s="11" t="s">
        <v>359</v>
      </c>
      <c r="I80" s="31">
        <v>135000</v>
      </c>
      <c r="J80" s="19" t="s">
        <v>657</v>
      </c>
      <c r="K80" s="19" t="s">
        <v>658</v>
      </c>
      <c r="L80" s="3" t="s">
        <v>2220</v>
      </c>
      <c r="M80" s="3" t="s">
        <v>2234</v>
      </c>
      <c r="N80" s="3" t="s">
        <v>2258</v>
      </c>
    </row>
    <row r="81" spans="1:14" x14ac:dyDescent="0.25">
      <c r="A81" s="15" t="s">
        <v>661</v>
      </c>
      <c r="B81" s="17" t="s">
        <v>2199</v>
      </c>
      <c r="C81" s="6" t="s">
        <v>28</v>
      </c>
      <c r="D81" s="6" t="s">
        <v>28</v>
      </c>
      <c r="E81" s="7" t="s">
        <v>662</v>
      </c>
      <c r="F81" s="20">
        <v>46266</v>
      </c>
      <c r="G81" s="17">
        <v>6</v>
      </c>
      <c r="H81" t="s">
        <v>359</v>
      </c>
      <c r="I81" s="32">
        <v>135000</v>
      </c>
      <c r="J81" s="19" t="s">
        <v>657</v>
      </c>
      <c r="K81" s="6" t="s">
        <v>658</v>
      </c>
      <c r="L81" s="3" t="s">
        <v>2220</v>
      </c>
      <c r="M81" s="3" t="s">
        <v>2234</v>
      </c>
      <c r="N81" s="3" t="s">
        <v>2258</v>
      </c>
    </row>
    <row r="82" spans="1:14" x14ac:dyDescent="0.25">
      <c r="A82" s="14" t="s">
        <v>661</v>
      </c>
      <c r="B82" s="16" t="s">
        <v>2199</v>
      </c>
      <c r="C82" s="19" t="s">
        <v>28</v>
      </c>
      <c r="D82" s="19" t="s">
        <v>28</v>
      </c>
      <c r="E82" s="10" t="s">
        <v>662</v>
      </c>
      <c r="F82" s="20">
        <v>46357</v>
      </c>
      <c r="G82" s="16">
        <v>6</v>
      </c>
      <c r="H82" s="11" t="s">
        <v>359</v>
      </c>
      <c r="I82" s="31">
        <v>135000</v>
      </c>
      <c r="J82" s="19" t="s">
        <v>657</v>
      </c>
      <c r="K82" s="19" t="s">
        <v>658</v>
      </c>
      <c r="L82" s="3" t="s">
        <v>2220</v>
      </c>
      <c r="M82" s="3" t="s">
        <v>2234</v>
      </c>
      <c r="N82" s="3" t="s">
        <v>2258</v>
      </c>
    </row>
    <row r="83" spans="1:14" x14ac:dyDescent="0.25">
      <c r="A83" s="15" t="s">
        <v>661</v>
      </c>
      <c r="B83" s="17" t="s">
        <v>2199</v>
      </c>
      <c r="C83" s="6" t="s">
        <v>28</v>
      </c>
      <c r="D83" s="6" t="s">
        <v>28</v>
      </c>
      <c r="E83" s="7" t="s">
        <v>662</v>
      </c>
      <c r="F83" s="20">
        <v>46113</v>
      </c>
      <c r="G83" s="17">
        <v>6</v>
      </c>
      <c r="H83" t="s">
        <v>370</v>
      </c>
      <c r="I83" s="32">
        <v>135000</v>
      </c>
      <c r="J83" s="19" t="s">
        <v>657</v>
      </c>
      <c r="K83" s="6" t="s">
        <v>658</v>
      </c>
      <c r="L83" s="3" t="s">
        <v>2220</v>
      </c>
      <c r="M83" s="3" t="s">
        <v>2234</v>
      </c>
      <c r="N83" s="3" t="s">
        <v>2258</v>
      </c>
    </row>
    <row r="84" spans="1:14" x14ac:dyDescent="0.25">
      <c r="A84" s="14" t="s">
        <v>661</v>
      </c>
      <c r="B84" s="16" t="s">
        <v>2199</v>
      </c>
      <c r="C84" s="19" t="s">
        <v>28</v>
      </c>
      <c r="D84" s="19" t="s">
        <v>28</v>
      </c>
      <c r="E84" s="10" t="s">
        <v>662</v>
      </c>
      <c r="F84" s="20">
        <v>46204</v>
      </c>
      <c r="G84" s="16">
        <v>6</v>
      </c>
      <c r="H84" s="11" t="s">
        <v>370</v>
      </c>
      <c r="I84" s="31">
        <v>405000</v>
      </c>
      <c r="J84" s="19" t="s">
        <v>657</v>
      </c>
      <c r="K84" s="19" t="s">
        <v>658</v>
      </c>
      <c r="L84" s="3" t="s">
        <v>2220</v>
      </c>
      <c r="M84" s="3" t="s">
        <v>2234</v>
      </c>
      <c r="N84" s="3" t="s">
        <v>2258</v>
      </c>
    </row>
    <row r="85" spans="1:14" x14ac:dyDescent="0.25">
      <c r="A85" s="15" t="s">
        <v>665</v>
      </c>
      <c r="B85" s="17" t="s">
        <v>2199</v>
      </c>
      <c r="C85" s="6" t="s">
        <v>28</v>
      </c>
      <c r="D85" s="6" t="s">
        <v>28</v>
      </c>
      <c r="E85" s="7" t="s">
        <v>667</v>
      </c>
      <c r="F85" s="20">
        <v>46082</v>
      </c>
      <c r="G85" s="17">
        <v>1</v>
      </c>
      <c r="H85" t="s">
        <v>669</v>
      </c>
      <c r="I85" s="32">
        <v>1500000</v>
      </c>
      <c r="J85" s="19" t="s">
        <v>657</v>
      </c>
      <c r="K85" s="6" t="s">
        <v>658</v>
      </c>
      <c r="L85" s="3" t="s">
        <v>2220</v>
      </c>
      <c r="M85" s="3" t="s">
        <v>2234</v>
      </c>
      <c r="N85" s="3" t="s">
        <v>2258</v>
      </c>
    </row>
    <row r="86" spans="1:14" x14ac:dyDescent="0.25">
      <c r="A86" s="14" t="s">
        <v>670</v>
      </c>
      <c r="B86" s="16" t="s">
        <v>2199</v>
      </c>
      <c r="C86" s="19" t="s">
        <v>28</v>
      </c>
      <c r="D86" s="19" t="s">
        <v>28</v>
      </c>
      <c r="E86" s="10" t="s">
        <v>671</v>
      </c>
      <c r="F86" s="20">
        <v>46023</v>
      </c>
      <c r="G86" s="16">
        <v>1</v>
      </c>
      <c r="H86" s="11" t="s">
        <v>673</v>
      </c>
      <c r="I86" s="31">
        <v>850000</v>
      </c>
      <c r="J86" s="19" t="s">
        <v>657</v>
      </c>
      <c r="K86" s="19" t="s">
        <v>658</v>
      </c>
      <c r="L86" s="3" t="s">
        <v>2220</v>
      </c>
      <c r="M86" s="3" t="s">
        <v>2234</v>
      </c>
      <c r="N86" s="3" t="s">
        <v>2258</v>
      </c>
    </row>
    <row r="87" spans="1:14" x14ac:dyDescent="0.25">
      <c r="A87" s="15" t="s">
        <v>674</v>
      </c>
      <c r="B87" s="17" t="s">
        <v>2199</v>
      </c>
      <c r="C87" s="6" t="s">
        <v>28</v>
      </c>
      <c r="D87" s="6" t="s">
        <v>28</v>
      </c>
      <c r="E87" s="7" t="s">
        <v>675</v>
      </c>
      <c r="F87" s="20">
        <v>46143</v>
      </c>
      <c r="G87" s="17">
        <v>2</v>
      </c>
      <c r="H87" t="s">
        <v>370</v>
      </c>
      <c r="I87" s="32">
        <v>450000</v>
      </c>
      <c r="J87" s="19" t="s">
        <v>657</v>
      </c>
      <c r="K87" s="6" t="s">
        <v>658</v>
      </c>
      <c r="L87" s="3" t="s">
        <v>2220</v>
      </c>
      <c r="M87" s="3" t="s">
        <v>2234</v>
      </c>
      <c r="N87" s="3" t="s">
        <v>2258</v>
      </c>
    </row>
    <row r="88" spans="1:14" x14ac:dyDescent="0.25">
      <c r="A88" s="14" t="s">
        <v>674</v>
      </c>
      <c r="B88" s="16" t="s">
        <v>2199</v>
      </c>
      <c r="C88" s="19" t="s">
        <v>28</v>
      </c>
      <c r="D88" s="19" t="s">
        <v>28</v>
      </c>
      <c r="E88" s="10" t="s">
        <v>675</v>
      </c>
      <c r="F88" s="20">
        <v>46327</v>
      </c>
      <c r="G88" s="16">
        <v>2</v>
      </c>
      <c r="H88" s="11" t="s">
        <v>370</v>
      </c>
      <c r="I88" s="31">
        <v>450000</v>
      </c>
      <c r="J88" s="19" t="s">
        <v>657</v>
      </c>
      <c r="K88" s="19" t="s">
        <v>658</v>
      </c>
      <c r="L88" s="3" t="s">
        <v>2220</v>
      </c>
      <c r="M88" s="3" t="s">
        <v>2234</v>
      </c>
      <c r="N88" s="3" t="s">
        <v>2258</v>
      </c>
    </row>
    <row r="89" spans="1:14" x14ac:dyDescent="0.25">
      <c r="A89" s="15" t="s">
        <v>677</v>
      </c>
      <c r="B89" s="17" t="s">
        <v>2199</v>
      </c>
      <c r="C89" s="6" t="s">
        <v>28</v>
      </c>
      <c r="D89" s="6" t="s">
        <v>28</v>
      </c>
      <c r="E89" s="7" t="s">
        <v>678</v>
      </c>
      <c r="F89" s="20">
        <v>46174</v>
      </c>
      <c r="G89" s="17">
        <v>1</v>
      </c>
      <c r="H89" t="s">
        <v>370</v>
      </c>
      <c r="I89" s="32">
        <v>630000</v>
      </c>
      <c r="J89" s="19" t="s">
        <v>657</v>
      </c>
      <c r="K89" s="6" t="s">
        <v>658</v>
      </c>
      <c r="L89" s="3" t="s">
        <v>2220</v>
      </c>
      <c r="M89" s="3" t="s">
        <v>2234</v>
      </c>
      <c r="N89" s="3" t="s">
        <v>2258</v>
      </c>
    </row>
    <row r="90" spans="1:14" x14ac:dyDescent="0.25">
      <c r="A90" s="14" t="s">
        <v>680</v>
      </c>
      <c r="B90" s="16" t="s">
        <v>2199</v>
      </c>
      <c r="C90" s="19" t="s">
        <v>28</v>
      </c>
      <c r="D90" s="19" t="s">
        <v>28</v>
      </c>
      <c r="E90" s="10" t="s">
        <v>681</v>
      </c>
      <c r="F90" s="20">
        <v>46235</v>
      </c>
      <c r="G90" s="16">
        <v>1</v>
      </c>
      <c r="H90" s="11" t="s">
        <v>370</v>
      </c>
      <c r="I90" s="31">
        <v>135000</v>
      </c>
      <c r="J90" s="19" t="s">
        <v>657</v>
      </c>
      <c r="K90" s="19" t="s">
        <v>658</v>
      </c>
      <c r="L90" s="3" t="s">
        <v>2220</v>
      </c>
      <c r="M90" s="3" t="s">
        <v>2234</v>
      </c>
      <c r="N90" s="3" t="s">
        <v>2258</v>
      </c>
    </row>
    <row r="91" spans="1:14" x14ac:dyDescent="0.25">
      <c r="A91" s="15" t="s">
        <v>696</v>
      </c>
      <c r="B91" s="17" t="s">
        <v>2199</v>
      </c>
      <c r="C91" s="6" t="s">
        <v>28</v>
      </c>
      <c r="D91" s="6" t="s">
        <v>28</v>
      </c>
      <c r="E91" s="7" t="s">
        <v>697</v>
      </c>
      <c r="F91" s="20">
        <v>46143</v>
      </c>
      <c r="G91" s="17">
        <v>1</v>
      </c>
      <c r="H91" t="s">
        <v>370</v>
      </c>
      <c r="I91" s="32">
        <v>675000</v>
      </c>
      <c r="J91" s="19" t="s">
        <v>657</v>
      </c>
      <c r="K91" s="6" t="s">
        <v>658</v>
      </c>
      <c r="L91" s="3" t="s">
        <v>2220</v>
      </c>
      <c r="M91" s="3" t="s">
        <v>2234</v>
      </c>
      <c r="N91" s="3" t="s">
        <v>2258</v>
      </c>
    </row>
    <row r="92" spans="1:14" x14ac:dyDescent="0.25">
      <c r="A92" s="14" t="s">
        <v>718</v>
      </c>
      <c r="B92" s="16" t="s">
        <v>2199</v>
      </c>
      <c r="C92" s="19" t="s">
        <v>28</v>
      </c>
      <c r="D92" s="19" t="s">
        <v>28</v>
      </c>
      <c r="E92" s="10" t="s">
        <v>719</v>
      </c>
      <c r="F92" s="20">
        <v>46023</v>
      </c>
      <c r="G92" s="16">
        <v>1</v>
      </c>
      <c r="H92" s="11" t="s">
        <v>631</v>
      </c>
      <c r="I92" s="31">
        <v>430010</v>
      </c>
      <c r="J92" s="19" t="s">
        <v>657</v>
      </c>
      <c r="K92" s="19" t="s">
        <v>658</v>
      </c>
      <c r="L92" s="3" t="s">
        <v>2220</v>
      </c>
      <c r="M92" s="3" t="s">
        <v>2234</v>
      </c>
      <c r="N92" s="3" t="s">
        <v>2258</v>
      </c>
    </row>
    <row r="93" spans="1:14" x14ac:dyDescent="0.25">
      <c r="A93" s="15" t="s">
        <v>724</v>
      </c>
      <c r="B93" s="17" t="s">
        <v>2199</v>
      </c>
      <c r="C93" s="6" t="s">
        <v>28</v>
      </c>
      <c r="D93" s="6" t="s">
        <v>28</v>
      </c>
      <c r="E93" s="7" t="s">
        <v>726</v>
      </c>
      <c r="F93" s="20">
        <v>46082</v>
      </c>
      <c r="G93" s="17">
        <v>1</v>
      </c>
      <c r="H93" t="s">
        <v>728</v>
      </c>
      <c r="I93" s="32">
        <v>990002</v>
      </c>
      <c r="J93" s="19" t="s">
        <v>657</v>
      </c>
      <c r="K93" s="6" t="s">
        <v>658</v>
      </c>
      <c r="L93" s="3" t="s">
        <v>2220</v>
      </c>
      <c r="M93" s="3" t="s">
        <v>2234</v>
      </c>
      <c r="N93" s="3" t="s">
        <v>2258</v>
      </c>
    </row>
    <row r="94" spans="1:14" x14ac:dyDescent="0.25">
      <c r="A94" s="14" t="s">
        <v>744</v>
      </c>
      <c r="B94" s="16" t="s">
        <v>2199</v>
      </c>
      <c r="C94" s="19" t="s">
        <v>28</v>
      </c>
      <c r="D94" s="19" t="s">
        <v>28</v>
      </c>
      <c r="E94" s="10" t="s">
        <v>746</v>
      </c>
      <c r="F94" s="20">
        <v>46023</v>
      </c>
      <c r="G94" s="16">
        <v>1</v>
      </c>
      <c r="H94" s="11" t="s">
        <v>748</v>
      </c>
      <c r="I94" s="31">
        <v>300000</v>
      </c>
      <c r="J94" s="19" t="s">
        <v>657</v>
      </c>
      <c r="K94" s="19" t="s">
        <v>658</v>
      </c>
      <c r="L94" s="3" t="s">
        <v>2220</v>
      </c>
      <c r="M94" s="3" t="s">
        <v>2234</v>
      </c>
      <c r="N94" s="3" t="s">
        <v>2258</v>
      </c>
    </row>
    <row r="95" spans="1:14" x14ac:dyDescent="0.25">
      <c r="A95" s="15" t="s">
        <v>2041</v>
      </c>
      <c r="B95" s="17" t="s">
        <v>2199</v>
      </c>
      <c r="C95" s="6" t="s">
        <v>28</v>
      </c>
      <c r="D95" s="6" t="s">
        <v>28</v>
      </c>
      <c r="E95" s="7" t="s">
        <v>2042</v>
      </c>
      <c r="F95" s="20">
        <v>46023</v>
      </c>
      <c r="G95" s="17">
        <v>6</v>
      </c>
      <c r="H95" t="s">
        <v>2045</v>
      </c>
      <c r="I95" s="32">
        <v>280008</v>
      </c>
      <c r="J95" s="19" t="s">
        <v>657</v>
      </c>
      <c r="K95" s="6" t="s">
        <v>658</v>
      </c>
      <c r="L95" s="3" t="s">
        <v>2220</v>
      </c>
      <c r="M95" s="3" t="s">
        <v>2234</v>
      </c>
      <c r="N95" s="3" t="s">
        <v>2258</v>
      </c>
    </row>
    <row r="96" spans="1:14" x14ac:dyDescent="0.25">
      <c r="A96" s="14" t="s">
        <v>2041</v>
      </c>
      <c r="B96" s="16" t="s">
        <v>2199</v>
      </c>
      <c r="C96" s="19" t="s">
        <v>28</v>
      </c>
      <c r="D96" s="19" t="s">
        <v>28</v>
      </c>
      <c r="E96" s="10" t="s">
        <v>2042</v>
      </c>
      <c r="F96" s="20">
        <v>46023</v>
      </c>
      <c r="G96" s="16">
        <v>6</v>
      </c>
      <c r="H96" s="11" t="s">
        <v>777</v>
      </c>
      <c r="I96" s="31">
        <v>815000</v>
      </c>
      <c r="J96" s="19" t="s">
        <v>657</v>
      </c>
      <c r="K96" s="19" t="s">
        <v>658</v>
      </c>
      <c r="L96" s="3" t="s">
        <v>2220</v>
      </c>
      <c r="M96" s="3" t="s">
        <v>2234</v>
      </c>
      <c r="N96" s="3" t="s">
        <v>2258</v>
      </c>
    </row>
    <row r="97" spans="1:14" x14ac:dyDescent="0.25">
      <c r="A97" s="15" t="s">
        <v>2041</v>
      </c>
      <c r="B97" s="17" t="s">
        <v>2199</v>
      </c>
      <c r="C97" s="6" t="s">
        <v>28</v>
      </c>
      <c r="D97" s="6" t="s">
        <v>28</v>
      </c>
      <c r="E97" s="7" t="s">
        <v>2042</v>
      </c>
      <c r="F97" s="20">
        <v>46023</v>
      </c>
      <c r="G97" s="17">
        <v>6</v>
      </c>
      <c r="H97" t="s">
        <v>821</v>
      </c>
      <c r="I97" s="32">
        <v>60000</v>
      </c>
      <c r="J97" s="19" t="s">
        <v>657</v>
      </c>
      <c r="K97" s="6" t="s">
        <v>658</v>
      </c>
      <c r="L97" s="3" t="s">
        <v>2220</v>
      </c>
      <c r="M97" s="3" t="s">
        <v>2234</v>
      </c>
      <c r="N97" s="3" t="s">
        <v>2258</v>
      </c>
    </row>
    <row r="98" spans="1:14" x14ac:dyDescent="0.25">
      <c r="A98" s="14" t="s">
        <v>2041</v>
      </c>
      <c r="B98" s="16" t="s">
        <v>2199</v>
      </c>
      <c r="C98" s="19" t="s">
        <v>28</v>
      </c>
      <c r="D98" s="19" t="s">
        <v>28</v>
      </c>
      <c r="E98" s="10" t="s">
        <v>2042</v>
      </c>
      <c r="F98" s="20">
        <v>46023</v>
      </c>
      <c r="G98" s="16">
        <v>6</v>
      </c>
      <c r="H98" s="11" t="s">
        <v>2044</v>
      </c>
      <c r="I98" s="31">
        <v>833000</v>
      </c>
      <c r="J98" s="19" t="s">
        <v>657</v>
      </c>
      <c r="K98" s="19" t="s">
        <v>658</v>
      </c>
      <c r="L98" s="3" t="s">
        <v>2220</v>
      </c>
      <c r="M98" s="3" t="s">
        <v>2234</v>
      </c>
      <c r="N98" s="3" t="s">
        <v>2258</v>
      </c>
    </row>
    <row r="99" spans="1:14" x14ac:dyDescent="0.25">
      <c r="A99" s="15" t="s">
        <v>2041</v>
      </c>
      <c r="B99" s="17" t="s">
        <v>2199</v>
      </c>
      <c r="C99" s="6" t="s">
        <v>28</v>
      </c>
      <c r="D99" s="6" t="s">
        <v>28</v>
      </c>
      <c r="E99" s="7" t="s">
        <v>2042</v>
      </c>
      <c r="F99" s="20">
        <v>46023</v>
      </c>
      <c r="G99" s="17">
        <v>6</v>
      </c>
      <c r="H99" t="s">
        <v>2046</v>
      </c>
      <c r="I99" s="32">
        <v>100000</v>
      </c>
      <c r="J99" s="19" t="s">
        <v>657</v>
      </c>
      <c r="K99" s="6" t="s">
        <v>658</v>
      </c>
      <c r="L99" s="3" t="s">
        <v>2220</v>
      </c>
      <c r="M99" s="3" t="s">
        <v>2234</v>
      </c>
      <c r="N99" s="3" t="s">
        <v>2258</v>
      </c>
    </row>
    <row r="100" spans="1:14" x14ac:dyDescent="0.25">
      <c r="A100" s="14" t="s">
        <v>2041</v>
      </c>
      <c r="B100" s="16" t="s">
        <v>2199</v>
      </c>
      <c r="C100" s="19" t="s">
        <v>28</v>
      </c>
      <c r="D100" s="19" t="s">
        <v>28</v>
      </c>
      <c r="E100" s="10" t="s">
        <v>2042</v>
      </c>
      <c r="F100" s="20">
        <v>46023</v>
      </c>
      <c r="G100" s="16">
        <v>6</v>
      </c>
      <c r="H100" s="11" t="s">
        <v>760</v>
      </c>
      <c r="I100" s="31">
        <v>550002</v>
      </c>
      <c r="J100" s="19" t="s">
        <v>657</v>
      </c>
      <c r="K100" s="19" t="s">
        <v>658</v>
      </c>
      <c r="L100" s="3" t="s">
        <v>2220</v>
      </c>
      <c r="M100" s="3" t="s">
        <v>2234</v>
      </c>
      <c r="N100" s="3" t="s">
        <v>2258</v>
      </c>
    </row>
    <row r="101" spans="1:14" x14ac:dyDescent="0.25">
      <c r="A101" s="15" t="s">
        <v>683</v>
      </c>
      <c r="B101" s="17" t="s">
        <v>2199</v>
      </c>
      <c r="C101" s="6" t="s">
        <v>374</v>
      </c>
      <c r="D101" s="6" t="s">
        <v>374</v>
      </c>
      <c r="E101" s="7" t="s">
        <v>684</v>
      </c>
      <c r="F101" s="20">
        <v>46235</v>
      </c>
      <c r="G101" s="17">
        <v>1</v>
      </c>
      <c r="H101" t="s">
        <v>370</v>
      </c>
      <c r="I101" s="32">
        <v>225000</v>
      </c>
      <c r="J101" s="19" t="s">
        <v>657</v>
      </c>
      <c r="K101" s="6" t="s">
        <v>658</v>
      </c>
      <c r="L101" s="3" t="s">
        <v>2220</v>
      </c>
      <c r="M101" s="3" t="s">
        <v>2234</v>
      </c>
      <c r="N101" s="3" t="s">
        <v>2258</v>
      </c>
    </row>
    <row r="102" spans="1:14" x14ac:dyDescent="0.25">
      <c r="A102" s="14" t="s">
        <v>693</v>
      </c>
      <c r="B102" s="16" t="s">
        <v>2199</v>
      </c>
      <c r="C102" s="19" t="s">
        <v>374</v>
      </c>
      <c r="D102" s="19" t="s">
        <v>374</v>
      </c>
      <c r="E102" s="10" t="s">
        <v>694</v>
      </c>
      <c r="F102" s="20">
        <v>46054</v>
      </c>
      <c r="G102" s="16">
        <v>1</v>
      </c>
      <c r="H102" s="11" t="s">
        <v>486</v>
      </c>
      <c r="I102" s="31">
        <v>260000</v>
      </c>
      <c r="J102" s="19" t="s">
        <v>657</v>
      </c>
      <c r="K102" s="19" t="s">
        <v>658</v>
      </c>
      <c r="L102" s="3" t="s">
        <v>2220</v>
      </c>
      <c r="M102" s="3" t="s">
        <v>2234</v>
      </c>
      <c r="N102" s="3" t="s">
        <v>2258</v>
      </c>
    </row>
    <row r="103" spans="1:14" x14ac:dyDescent="0.25">
      <c r="A103" s="15" t="s">
        <v>699</v>
      </c>
      <c r="B103" s="17" t="s">
        <v>2199</v>
      </c>
      <c r="C103" s="6" t="s">
        <v>374</v>
      </c>
      <c r="D103" s="6" t="s">
        <v>374</v>
      </c>
      <c r="E103" s="7" t="s">
        <v>700</v>
      </c>
      <c r="F103" s="20">
        <v>46174</v>
      </c>
      <c r="G103" s="17">
        <v>2</v>
      </c>
      <c r="H103" t="s">
        <v>370</v>
      </c>
      <c r="I103" s="32">
        <v>450000</v>
      </c>
      <c r="J103" s="19" t="s">
        <v>657</v>
      </c>
      <c r="K103" s="6" t="s">
        <v>658</v>
      </c>
      <c r="L103" s="3" t="s">
        <v>2220</v>
      </c>
      <c r="M103" s="3" t="s">
        <v>2234</v>
      </c>
      <c r="N103" s="3" t="s">
        <v>2258</v>
      </c>
    </row>
    <row r="104" spans="1:14" x14ac:dyDescent="0.25">
      <c r="A104" s="14" t="s">
        <v>699</v>
      </c>
      <c r="B104" s="16" t="s">
        <v>2199</v>
      </c>
      <c r="C104" s="19" t="s">
        <v>374</v>
      </c>
      <c r="D104" s="19" t="s">
        <v>374</v>
      </c>
      <c r="E104" s="10" t="s">
        <v>700</v>
      </c>
      <c r="F104" s="20">
        <v>46357</v>
      </c>
      <c r="G104" s="16">
        <v>2</v>
      </c>
      <c r="H104" s="11" t="s">
        <v>370</v>
      </c>
      <c r="I104" s="31">
        <v>450000</v>
      </c>
      <c r="J104" s="19" t="s">
        <v>657</v>
      </c>
      <c r="K104" s="19" t="s">
        <v>658</v>
      </c>
      <c r="L104" s="3" t="s">
        <v>2220</v>
      </c>
      <c r="M104" s="3" t="s">
        <v>2234</v>
      </c>
      <c r="N104" s="3" t="s">
        <v>2258</v>
      </c>
    </row>
    <row r="105" spans="1:14" x14ac:dyDescent="0.25">
      <c r="A105" s="15" t="s">
        <v>702</v>
      </c>
      <c r="B105" s="17" t="s">
        <v>2199</v>
      </c>
      <c r="C105" s="6" t="s">
        <v>374</v>
      </c>
      <c r="D105" s="6" t="s">
        <v>374</v>
      </c>
      <c r="E105" s="7" t="s">
        <v>703</v>
      </c>
      <c r="F105" s="20">
        <v>46266</v>
      </c>
      <c r="G105" s="17">
        <v>1</v>
      </c>
      <c r="H105" t="s">
        <v>705</v>
      </c>
      <c r="I105" s="32">
        <v>625000</v>
      </c>
      <c r="J105" s="19" t="s">
        <v>657</v>
      </c>
      <c r="K105" s="6" t="s">
        <v>658</v>
      </c>
      <c r="L105" s="3" t="s">
        <v>2220</v>
      </c>
      <c r="M105" s="3" t="s">
        <v>2234</v>
      </c>
      <c r="N105" s="3" t="s">
        <v>2258</v>
      </c>
    </row>
    <row r="106" spans="1:14" x14ac:dyDescent="0.25">
      <c r="A106" s="14" t="s">
        <v>737</v>
      </c>
      <c r="B106" s="16" t="s">
        <v>2199</v>
      </c>
      <c r="C106" s="19" t="s">
        <v>374</v>
      </c>
      <c r="D106" s="19" t="s">
        <v>374</v>
      </c>
      <c r="E106" s="10" t="s">
        <v>738</v>
      </c>
      <c r="F106" s="20">
        <v>46023</v>
      </c>
      <c r="G106" s="16">
        <v>2</v>
      </c>
      <c r="H106" s="11" t="s">
        <v>740</v>
      </c>
      <c r="I106" s="31">
        <v>2272800</v>
      </c>
      <c r="J106" s="19" t="s">
        <v>657</v>
      </c>
      <c r="K106" s="19" t="s">
        <v>658</v>
      </c>
      <c r="L106" s="3" t="s">
        <v>2220</v>
      </c>
      <c r="M106" s="3" t="s">
        <v>2234</v>
      </c>
      <c r="N106" s="3" t="s">
        <v>2258</v>
      </c>
    </row>
    <row r="107" spans="1:14" x14ac:dyDescent="0.25">
      <c r="A107" s="15" t="s">
        <v>737</v>
      </c>
      <c r="B107" s="17" t="s">
        <v>2199</v>
      </c>
      <c r="C107" s="6" t="s">
        <v>374</v>
      </c>
      <c r="D107" s="6" t="s">
        <v>374</v>
      </c>
      <c r="E107" s="7" t="s">
        <v>738</v>
      </c>
      <c r="F107" s="20">
        <v>46023</v>
      </c>
      <c r="G107" s="17">
        <v>2</v>
      </c>
      <c r="H107" t="s">
        <v>195</v>
      </c>
      <c r="I107" s="32">
        <v>500080</v>
      </c>
      <c r="J107" s="19" t="s">
        <v>657</v>
      </c>
      <c r="K107" s="6" t="s">
        <v>658</v>
      </c>
      <c r="L107" s="3" t="s">
        <v>2220</v>
      </c>
      <c r="M107" s="3" t="s">
        <v>2234</v>
      </c>
      <c r="N107" s="3" t="s">
        <v>2258</v>
      </c>
    </row>
    <row r="108" spans="1:14" x14ac:dyDescent="0.25">
      <c r="A108" s="14" t="s">
        <v>741</v>
      </c>
      <c r="B108" s="16" t="s">
        <v>2199</v>
      </c>
      <c r="C108" s="19" t="s">
        <v>374</v>
      </c>
      <c r="D108" s="19" t="s">
        <v>374</v>
      </c>
      <c r="E108" s="10" t="s">
        <v>742</v>
      </c>
      <c r="F108" s="20">
        <v>46082</v>
      </c>
      <c r="G108" s="16">
        <v>1</v>
      </c>
      <c r="H108" s="11" t="s">
        <v>486</v>
      </c>
      <c r="I108" s="31">
        <v>1468231</v>
      </c>
      <c r="J108" s="19" t="s">
        <v>657</v>
      </c>
      <c r="K108" s="19" t="s">
        <v>658</v>
      </c>
      <c r="L108" s="3" t="s">
        <v>2220</v>
      </c>
      <c r="M108" s="3" t="s">
        <v>2234</v>
      </c>
      <c r="N108" s="3" t="s">
        <v>2258</v>
      </c>
    </row>
    <row r="109" spans="1:14" x14ac:dyDescent="0.25">
      <c r="A109" s="15" t="s">
        <v>749</v>
      </c>
      <c r="B109" s="17" t="s">
        <v>2199</v>
      </c>
      <c r="C109" s="6" t="s">
        <v>374</v>
      </c>
      <c r="D109" s="6" t="s">
        <v>374</v>
      </c>
      <c r="E109" s="7" t="s">
        <v>750</v>
      </c>
      <c r="F109" s="20">
        <v>46113</v>
      </c>
      <c r="G109" s="17">
        <v>1</v>
      </c>
      <c r="H109" t="s">
        <v>752</v>
      </c>
      <c r="I109" s="32">
        <v>350000</v>
      </c>
      <c r="J109" s="19" t="s">
        <v>657</v>
      </c>
      <c r="K109" s="6" t="s">
        <v>658</v>
      </c>
      <c r="L109" s="3" t="s">
        <v>2220</v>
      </c>
      <c r="M109" s="3" t="s">
        <v>2234</v>
      </c>
      <c r="N109" s="3" t="s">
        <v>2258</v>
      </c>
    </row>
    <row r="110" spans="1:14" x14ac:dyDescent="0.25">
      <c r="A110" s="14" t="s">
        <v>753</v>
      </c>
      <c r="B110" s="16" t="s">
        <v>2199</v>
      </c>
      <c r="C110" s="19" t="s">
        <v>374</v>
      </c>
      <c r="D110" s="19" t="s">
        <v>374</v>
      </c>
      <c r="E110" s="10" t="s">
        <v>754</v>
      </c>
      <c r="F110" s="20">
        <v>46082</v>
      </c>
      <c r="G110" s="16">
        <v>1</v>
      </c>
      <c r="H110" s="11" t="s">
        <v>359</v>
      </c>
      <c r="I110" s="31">
        <v>1287890</v>
      </c>
      <c r="J110" s="19" t="s">
        <v>657</v>
      </c>
      <c r="K110" s="19" t="s">
        <v>658</v>
      </c>
      <c r="L110" s="3" t="s">
        <v>2220</v>
      </c>
      <c r="M110" s="3" t="s">
        <v>2234</v>
      </c>
      <c r="N110" s="3" t="s">
        <v>2258</v>
      </c>
    </row>
    <row r="111" spans="1:14" x14ac:dyDescent="0.25">
      <c r="A111" s="15" t="s">
        <v>418</v>
      </c>
      <c r="B111" s="17" t="s">
        <v>2196</v>
      </c>
      <c r="C111" s="17" t="s">
        <v>2196</v>
      </c>
      <c r="D111" s="6" t="s">
        <v>28</v>
      </c>
      <c r="E111" s="7" t="s">
        <v>419</v>
      </c>
      <c r="F111" s="20">
        <v>45870</v>
      </c>
      <c r="G111" s="17">
        <v>1</v>
      </c>
      <c r="H111" t="s">
        <v>421</v>
      </c>
      <c r="I111" s="32">
        <v>87524976</v>
      </c>
      <c r="J111" s="19" t="s">
        <v>422</v>
      </c>
      <c r="K111" s="6" t="s">
        <v>423</v>
      </c>
      <c r="L111" s="3" t="s">
        <v>2224</v>
      </c>
      <c r="M111" s="3" t="s">
        <v>2227</v>
      </c>
      <c r="N111" s="3" t="s">
        <v>2261</v>
      </c>
    </row>
    <row r="112" spans="1:14" x14ac:dyDescent="0.25">
      <c r="A112" s="14" t="s">
        <v>1501</v>
      </c>
      <c r="B112" s="16" t="s">
        <v>2199</v>
      </c>
      <c r="C112" s="19" t="s">
        <v>28</v>
      </c>
      <c r="D112" s="19" t="s">
        <v>28</v>
      </c>
      <c r="E112" s="10" t="s">
        <v>1502</v>
      </c>
      <c r="F112" s="20">
        <v>46023</v>
      </c>
      <c r="G112" s="16">
        <v>1</v>
      </c>
      <c r="H112" s="11" t="s">
        <v>1504</v>
      </c>
      <c r="I112" s="31">
        <v>2400000</v>
      </c>
      <c r="J112" s="19" t="s">
        <v>1505</v>
      </c>
      <c r="K112" s="19" t="s">
        <v>423</v>
      </c>
      <c r="L112" s="3" t="s">
        <v>2224</v>
      </c>
      <c r="M112" s="3" t="s">
        <v>2227</v>
      </c>
      <c r="N112" s="3" t="s">
        <v>2261</v>
      </c>
    </row>
    <row r="113" spans="1:14" x14ac:dyDescent="0.25">
      <c r="A113" s="15" t="s">
        <v>1525</v>
      </c>
      <c r="B113" s="17" t="s">
        <v>2199</v>
      </c>
      <c r="C113" s="6" t="s">
        <v>28</v>
      </c>
      <c r="D113" s="6" t="s">
        <v>28</v>
      </c>
      <c r="E113" s="7" t="s">
        <v>1502</v>
      </c>
      <c r="F113" s="20">
        <v>46023</v>
      </c>
      <c r="G113" s="17">
        <v>1</v>
      </c>
      <c r="H113" t="s">
        <v>1527</v>
      </c>
      <c r="I113" s="32">
        <v>3861900</v>
      </c>
      <c r="J113" s="19" t="s">
        <v>1505</v>
      </c>
      <c r="K113" s="6" t="s">
        <v>423</v>
      </c>
      <c r="L113" s="3" t="s">
        <v>2224</v>
      </c>
      <c r="M113" s="3" t="s">
        <v>2227</v>
      </c>
      <c r="N113" s="3" t="s">
        <v>2261</v>
      </c>
    </row>
    <row r="114" spans="1:14" x14ac:dyDescent="0.25">
      <c r="A114" s="14" t="s">
        <v>1960</v>
      </c>
      <c r="B114" s="16" t="s">
        <v>2199</v>
      </c>
      <c r="C114" s="19" t="s">
        <v>28</v>
      </c>
      <c r="D114" s="19" t="s">
        <v>28</v>
      </c>
      <c r="E114" s="10" t="s">
        <v>1961</v>
      </c>
      <c r="F114" s="20">
        <v>46266</v>
      </c>
      <c r="G114" s="16">
        <v>3</v>
      </c>
      <c r="H114" s="11" t="s">
        <v>962</v>
      </c>
      <c r="I114" s="31">
        <v>40000</v>
      </c>
      <c r="J114" s="19" t="s">
        <v>1963</v>
      </c>
      <c r="K114" s="19" t="s">
        <v>1964</v>
      </c>
      <c r="L114" s="3" t="s">
        <v>2225</v>
      </c>
      <c r="M114" s="3" t="s">
        <v>2234</v>
      </c>
      <c r="N114" s="3" t="s">
        <v>2258</v>
      </c>
    </row>
    <row r="115" spans="1:14" x14ac:dyDescent="0.25">
      <c r="A115" s="15" t="s">
        <v>1960</v>
      </c>
      <c r="B115" s="17" t="s">
        <v>2199</v>
      </c>
      <c r="C115" s="6" t="s">
        <v>28</v>
      </c>
      <c r="D115" s="6" t="s">
        <v>28</v>
      </c>
      <c r="E115" s="7" t="s">
        <v>1961</v>
      </c>
      <c r="F115" s="20">
        <v>46266</v>
      </c>
      <c r="G115" s="17">
        <v>3</v>
      </c>
      <c r="H115" t="s">
        <v>1966</v>
      </c>
      <c r="I115" s="32">
        <v>180000</v>
      </c>
      <c r="J115" s="19" t="s">
        <v>1963</v>
      </c>
      <c r="K115" s="6" t="s">
        <v>1964</v>
      </c>
      <c r="L115" s="3" t="s">
        <v>2225</v>
      </c>
      <c r="M115" s="3" t="s">
        <v>2234</v>
      </c>
      <c r="N115" s="3" t="s">
        <v>2258</v>
      </c>
    </row>
    <row r="116" spans="1:14" x14ac:dyDescent="0.25">
      <c r="A116" s="14" t="s">
        <v>1960</v>
      </c>
      <c r="B116" s="16" t="s">
        <v>2199</v>
      </c>
      <c r="C116" s="19" t="s">
        <v>28</v>
      </c>
      <c r="D116" s="19" t="s">
        <v>28</v>
      </c>
      <c r="E116" s="10" t="s">
        <v>1961</v>
      </c>
      <c r="F116" s="20">
        <v>46266</v>
      </c>
      <c r="G116" s="16">
        <v>3</v>
      </c>
      <c r="H116" s="11" t="s">
        <v>602</v>
      </c>
      <c r="I116" s="31">
        <v>700000</v>
      </c>
      <c r="J116" s="19" t="s">
        <v>1963</v>
      </c>
      <c r="K116" s="19" t="s">
        <v>1964</v>
      </c>
      <c r="L116" s="3" t="s">
        <v>2225</v>
      </c>
      <c r="M116" s="3" t="s">
        <v>2234</v>
      </c>
      <c r="N116" s="3" t="s">
        <v>2258</v>
      </c>
    </row>
    <row r="117" spans="1:14" x14ac:dyDescent="0.25">
      <c r="A117" s="15" t="s">
        <v>2016</v>
      </c>
      <c r="B117" s="17" t="s">
        <v>2199</v>
      </c>
      <c r="C117" s="6" t="s">
        <v>28</v>
      </c>
      <c r="D117" s="6" t="s">
        <v>28</v>
      </c>
      <c r="E117" s="7" t="s">
        <v>2017</v>
      </c>
      <c r="F117" s="20">
        <v>46082</v>
      </c>
      <c r="G117" s="17">
        <v>3</v>
      </c>
      <c r="H117" t="s">
        <v>740</v>
      </c>
      <c r="I117" s="32">
        <v>65010</v>
      </c>
      <c r="J117" s="19" t="s">
        <v>1963</v>
      </c>
      <c r="K117" s="6" t="s">
        <v>1964</v>
      </c>
      <c r="L117" s="3" t="s">
        <v>2225</v>
      </c>
      <c r="M117" s="3" t="s">
        <v>2234</v>
      </c>
      <c r="N117" s="3" t="s">
        <v>2258</v>
      </c>
    </row>
    <row r="118" spans="1:14" x14ac:dyDescent="0.25">
      <c r="A118" s="14" t="s">
        <v>2016</v>
      </c>
      <c r="B118" s="16" t="s">
        <v>2199</v>
      </c>
      <c r="C118" s="19" t="s">
        <v>28</v>
      </c>
      <c r="D118" s="19" t="s">
        <v>28</v>
      </c>
      <c r="E118" s="10" t="s">
        <v>2017</v>
      </c>
      <c r="F118" s="20">
        <v>46082</v>
      </c>
      <c r="G118" s="16">
        <v>3</v>
      </c>
      <c r="H118" s="11" t="s">
        <v>2019</v>
      </c>
      <c r="I118" s="31">
        <v>45012</v>
      </c>
      <c r="J118" s="19" t="s">
        <v>1963</v>
      </c>
      <c r="K118" s="19" t="s">
        <v>1964</v>
      </c>
      <c r="L118" s="3" t="s">
        <v>2225</v>
      </c>
      <c r="M118" s="3" t="s">
        <v>2234</v>
      </c>
      <c r="N118" s="3" t="s">
        <v>2258</v>
      </c>
    </row>
    <row r="119" spans="1:14" x14ac:dyDescent="0.25">
      <c r="A119" s="15" t="s">
        <v>2016</v>
      </c>
      <c r="B119" s="17" t="s">
        <v>2199</v>
      </c>
      <c r="C119" s="6" t="s">
        <v>28</v>
      </c>
      <c r="D119" s="6" t="s">
        <v>28</v>
      </c>
      <c r="E119" s="7" t="s">
        <v>2017</v>
      </c>
      <c r="F119" s="20">
        <v>46082</v>
      </c>
      <c r="G119" s="17">
        <v>3</v>
      </c>
      <c r="H119" t="s">
        <v>962</v>
      </c>
      <c r="I119" s="32">
        <v>120010</v>
      </c>
      <c r="J119" s="19" t="s">
        <v>1963</v>
      </c>
      <c r="K119" s="6" t="s">
        <v>1964</v>
      </c>
      <c r="L119" s="3" t="s">
        <v>2225</v>
      </c>
      <c r="M119" s="3" t="s">
        <v>2234</v>
      </c>
      <c r="N119" s="3" t="s">
        <v>2258</v>
      </c>
    </row>
    <row r="120" spans="1:14" x14ac:dyDescent="0.25">
      <c r="A120" s="14" t="s">
        <v>1569</v>
      </c>
      <c r="B120" s="16" t="s">
        <v>2199</v>
      </c>
      <c r="C120" s="19" t="s">
        <v>28</v>
      </c>
      <c r="D120" s="19" t="s">
        <v>28</v>
      </c>
      <c r="E120" s="10" t="s">
        <v>1570</v>
      </c>
      <c r="F120" s="20">
        <v>46082</v>
      </c>
      <c r="G120" s="16">
        <v>1</v>
      </c>
      <c r="H120" s="11" t="s">
        <v>599</v>
      </c>
      <c r="I120" s="31">
        <v>7000000</v>
      </c>
      <c r="J120" s="19" t="s">
        <v>1572</v>
      </c>
      <c r="K120" s="19" t="s">
        <v>1573</v>
      </c>
      <c r="L120" s="3" t="s">
        <v>2222</v>
      </c>
      <c r="M120" s="3" t="s">
        <v>2234</v>
      </c>
      <c r="N120" s="3" t="s">
        <v>2260</v>
      </c>
    </row>
    <row r="121" spans="1:14" x14ac:dyDescent="0.25">
      <c r="A121" s="15" t="s">
        <v>1585</v>
      </c>
      <c r="B121" s="17" t="s">
        <v>2199</v>
      </c>
      <c r="C121" s="6" t="s">
        <v>28</v>
      </c>
      <c r="D121" s="6" t="s">
        <v>28</v>
      </c>
      <c r="E121" s="7" t="s">
        <v>1587</v>
      </c>
      <c r="F121" s="20">
        <v>46082</v>
      </c>
      <c r="G121" s="17">
        <v>1</v>
      </c>
      <c r="H121" t="s">
        <v>1589</v>
      </c>
      <c r="I121" s="32">
        <v>1428000</v>
      </c>
      <c r="J121" s="19" t="s">
        <v>1572</v>
      </c>
      <c r="K121" s="6" t="s">
        <v>1573</v>
      </c>
      <c r="L121" s="3" t="s">
        <v>2222</v>
      </c>
      <c r="M121" s="3" t="s">
        <v>2234</v>
      </c>
      <c r="N121" s="3" t="s">
        <v>2260</v>
      </c>
    </row>
    <row r="122" spans="1:14" x14ac:dyDescent="0.25">
      <c r="A122" s="14" t="s">
        <v>1600</v>
      </c>
      <c r="B122" s="16" t="s">
        <v>2199</v>
      </c>
      <c r="C122" s="19" t="s">
        <v>28</v>
      </c>
      <c r="D122" s="19" t="s">
        <v>28</v>
      </c>
      <c r="E122" s="10" t="s">
        <v>1601</v>
      </c>
      <c r="F122" s="20">
        <v>46235</v>
      </c>
      <c r="G122" s="16">
        <v>1</v>
      </c>
      <c r="H122" s="11" t="s">
        <v>1603</v>
      </c>
      <c r="I122" s="31">
        <v>1428000</v>
      </c>
      <c r="J122" s="19" t="s">
        <v>1572</v>
      </c>
      <c r="K122" s="19" t="s">
        <v>1573</v>
      </c>
      <c r="L122" s="3" t="s">
        <v>2222</v>
      </c>
      <c r="M122" s="3" t="s">
        <v>2234</v>
      </c>
      <c r="N122" s="3" t="s">
        <v>2260</v>
      </c>
    </row>
    <row r="123" spans="1:14" x14ac:dyDescent="0.25">
      <c r="A123" s="15" t="s">
        <v>1626</v>
      </c>
      <c r="B123" s="17" t="s">
        <v>2199</v>
      </c>
      <c r="C123" s="6" t="s">
        <v>28</v>
      </c>
      <c r="D123" s="6" t="s">
        <v>28</v>
      </c>
      <c r="E123" s="7" t="s">
        <v>1627</v>
      </c>
      <c r="F123" s="20">
        <v>46113</v>
      </c>
      <c r="G123" s="17">
        <v>3</v>
      </c>
      <c r="H123" t="s">
        <v>1629</v>
      </c>
      <c r="I123" s="32">
        <v>63000</v>
      </c>
      <c r="J123" s="19" t="s">
        <v>1572</v>
      </c>
      <c r="K123" s="6" t="s">
        <v>1573</v>
      </c>
      <c r="L123" s="3" t="s">
        <v>2222</v>
      </c>
      <c r="M123" s="3" t="s">
        <v>2234</v>
      </c>
      <c r="N123" s="3" t="s">
        <v>2260</v>
      </c>
    </row>
    <row r="124" spans="1:14" x14ac:dyDescent="0.25">
      <c r="A124" s="14" t="s">
        <v>1626</v>
      </c>
      <c r="B124" s="16" t="s">
        <v>2199</v>
      </c>
      <c r="C124" s="19" t="s">
        <v>28</v>
      </c>
      <c r="D124" s="19" t="s">
        <v>28</v>
      </c>
      <c r="E124" s="10" t="s">
        <v>1627</v>
      </c>
      <c r="F124" s="20">
        <v>46113</v>
      </c>
      <c r="G124" s="16">
        <v>3</v>
      </c>
      <c r="H124" s="11" t="s">
        <v>1630</v>
      </c>
      <c r="I124" s="31">
        <v>3164040</v>
      </c>
      <c r="J124" s="19" t="s">
        <v>1572</v>
      </c>
      <c r="K124" s="19" t="s">
        <v>1573</v>
      </c>
      <c r="L124" s="3" t="s">
        <v>2222</v>
      </c>
      <c r="M124" s="3" t="s">
        <v>2234</v>
      </c>
      <c r="N124" s="3" t="s">
        <v>2260</v>
      </c>
    </row>
    <row r="125" spans="1:14" x14ac:dyDescent="0.25">
      <c r="A125" s="15" t="s">
        <v>1626</v>
      </c>
      <c r="B125" s="17" t="s">
        <v>2199</v>
      </c>
      <c r="C125" s="6" t="s">
        <v>28</v>
      </c>
      <c r="D125" s="6" t="s">
        <v>28</v>
      </c>
      <c r="E125" s="7" t="s">
        <v>1627</v>
      </c>
      <c r="F125" s="20">
        <v>46113</v>
      </c>
      <c r="G125" s="17">
        <v>3</v>
      </c>
      <c r="H125" t="s">
        <v>1631</v>
      </c>
      <c r="I125" s="32">
        <v>2353780</v>
      </c>
      <c r="J125" s="19" t="s">
        <v>1572</v>
      </c>
      <c r="K125" s="6" t="s">
        <v>1573</v>
      </c>
      <c r="L125" s="3" t="s">
        <v>2222</v>
      </c>
      <c r="M125" s="3" t="s">
        <v>2234</v>
      </c>
      <c r="N125" s="3" t="s">
        <v>2260</v>
      </c>
    </row>
    <row r="126" spans="1:14" x14ac:dyDescent="0.25">
      <c r="A126" s="14" t="s">
        <v>1712</v>
      </c>
      <c r="B126" s="16" t="s">
        <v>2199</v>
      </c>
      <c r="C126" s="19" t="s">
        <v>28</v>
      </c>
      <c r="D126" s="19" t="s">
        <v>28</v>
      </c>
      <c r="E126" s="10" t="s">
        <v>1713</v>
      </c>
      <c r="F126" s="20">
        <v>46082</v>
      </c>
      <c r="G126" s="16">
        <v>1</v>
      </c>
      <c r="H126" s="11" t="s">
        <v>602</v>
      </c>
      <c r="I126" s="31">
        <v>783090</v>
      </c>
      <c r="J126" s="19" t="s">
        <v>1572</v>
      </c>
      <c r="K126" s="19" t="s">
        <v>1573</v>
      </c>
      <c r="L126" s="3" t="s">
        <v>2222</v>
      </c>
      <c r="M126" s="3" t="s">
        <v>2234</v>
      </c>
      <c r="N126" s="3" t="s">
        <v>2260</v>
      </c>
    </row>
    <row r="127" spans="1:14" x14ac:dyDescent="0.25">
      <c r="A127" s="15" t="s">
        <v>1731</v>
      </c>
      <c r="B127" s="17" t="s">
        <v>2199</v>
      </c>
      <c r="C127" s="6" t="s">
        <v>28</v>
      </c>
      <c r="D127" s="6" t="s">
        <v>28</v>
      </c>
      <c r="E127" s="7" t="s">
        <v>1732</v>
      </c>
      <c r="F127" s="20">
        <v>46082</v>
      </c>
      <c r="G127" s="17">
        <v>1</v>
      </c>
      <c r="H127" t="s">
        <v>1641</v>
      </c>
      <c r="I127" s="32">
        <v>726450</v>
      </c>
      <c r="J127" s="19" t="s">
        <v>1572</v>
      </c>
      <c r="K127" s="6" t="s">
        <v>1573</v>
      </c>
      <c r="L127" s="3" t="s">
        <v>2222</v>
      </c>
      <c r="M127" s="3" t="s">
        <v>2234</v>
      </c>
      <c r="N127" s="3" t="s">
        <v>2260</v>
      </c>
    </row>
    <row r="128" spans="1:14" x14ac:dyDescent="0.25">
      <c r="A128" s="14" t="s">
        <v>1839</v>
      </c>
      <c r="B128" s="16" t="s">
        <v>2199</v>
      </c>
      <c r="C128" s="19" t="s">
        <v>28</v>
      </c>
      <c r="D128" s="19" t="s">
        <v>28</v>
      </c>
      <c r="E128" s="10" t="s">
        <v>1840</v>
      </c>
      <c r="F128" s="20">
        <v>46113</v>
      </c>
      <c r="G128" s="16">
        <v>1</v>
      </c>
      <c r="H128" s="11" t="s">
        <v>777</v>
      </c>
      <c r="I128" s="31">
        <v>2578000</v>
      </c>
      <c r="J128" s="19" t="s">
        <v>1572</v>
      </c>
      <c r="K128" s="19" t="s">
        <v>1573</v>
      </c>
      <c r="L128" s="3" t="s">
        <v>2222</v>
      </c>
      <c r="M128" s="3" t="s">
        <v>2234</v>
      </c>
      <c r="N128" s="3" t="s">
        <v>2260</v>
      </c>
    </row>
    <row r="129" spans="1:14" x14ac:dyDescent="0.25">
      <c r="A129" s="15" t="s">
        <v>1845</v>
      </c>
      <c r="B129" s="17" t="s">
        <v>2199</v>
      </c>
      <c r="C129" s="6" t="s">
        <v>28</v>
      </c>
      <c r="D129" s="6" t="s">
        <v>28</v>
      </c>
      <c r="E129" s="7" t="s">
        <v>1846</v>
      </c>
      <c r="F129" s="20">
        <v>46266</v>
      </c>
      <c r="G129" s="17">
        <v>1</v>
      </c>
      <c r="H129" t="s">
        <v>602</v>
      </c>
      <c r="I129" s="32">
        <v>1428000</v>
      </c>
      <c r="J129" s="19" t="s">
        <v>1572</v>
      </c>
      <c r="K129" s="6" t="s">
        <v>1573</v>
      </c>
      <c r="L129" s="3" t="s">
        <v>2222</v>
      </c>
      <c r="M129" s="3" t="s">
        <v>2234</v>
      </c>
      <c r="N129" s="3" t="s">
        <v>2260</v>
      </c>
    </row>
    <row r="130" spans="1:14" x14ac:dyDescent="0.25">
      <c r="A130" s="14" t="s">
        <v>756</v>
      </c>
      <c r="B130" s="16" t="s">
        <v>2199</v>
      </c>
      <c r="C130" s="19" t="s">
        <v>28</v>
      </c>
      <c r="D130" s="19" t="s">
        <v>28</v>
      </c>
      <c r="E130" s="10" t="s">
        <v>758</v>
      </c>
      <c r="F130" s="20">
        <v>46296</v>
      </c>
      <c r="G130" s="16">
        <v>1</v>
      </c>
      <c r="H130" s="11" t="s">
        <v>760</v>
      </c>
      <c r="I130" s="31">
        <v>800000</v>
      </c>
      <c r="J130" s="19" t="s">
        <v>761</v>
      </c>
      <c r="K130" s="19" t="s">
        <v>762</v>
      </c>
      <c r="L130" s="3" t="s">
        <v>2220</v>
      </c>
      <c r="M130" s="3" t="s">
        <v>2234</v>
      </c>
      <c r="N130" s="3" t="s">
        <v>2258</v>
      </c>
    </row>
    <row r="131" spans="1:14" x14ac:dyDescent="0.25">
      <c r="A131" s="15" t="s">
        <v>827</v>
      </c>
      <c r="B131" s="17" t="s">
        <v>2199</v>
      </c>
      <c r="C131" s="6" t="s">
        <v>28</v>
      </c>
      <c r="D131" s="6" t="s">
        <v>28</v>
      </c>
      <c r="E131" s="7" t="s">
        <v>828</v>
      </c>
      <c r="F131" s="20">
        <v>46082</v>
      </c>
      <c r="G131" s="17">
        <v>4</v>
      </c>
      <c r="H131" t="s">
        <v>831</v>
      </c>
      <c r="I131" s="32">
        <v>300000</v>
      </c>
      <c r="J131" s="19" t="s">
        <v>761</v>
      </c>
      <c r="K131" s="6" t="s">
        <v>762</v>
      </c>
      <c r="L131" s="3" t="s">
        <v>2220</v>
      </c>
      <c r="M131" s="3" t="s">
        <v>2234</v>
      </c>
      <c r="N131" s="3" t="s">
        <v>2258</v>
      </c>
    </row>
    <row r="132" spans="1:14" x14ac:dyDescent="0.25">
      <c r="A132" s="14" t="s">
        <v>827</v>
      </c>
      <c r="B132" s="16" t="s">
        <v>2199</v>
      </c>
      <c r="C132" s="19" t="s">
        <v>28</v>
      </c>
      <c r="D132" s="19" t="s">
        <v>28</v>
      </c>
      <c r="E132" s="10" t="s">
        <v>828</v>
      </c>
      <c r="F132" s="20">
        <v>46082</v>
      </c>
      <c r="G132" s="16">
        <v>4</v>
      </c>
      <c r="H132" s="11" t="s">
        <v>830</v>
      </c>
      <c r="I132" s="31">
        <v>176016</v>
      </c>
      <c r="J132" s="19" t="s">
        <v>761</v>
      </c>
      <c r="K132" s="19" t="s">
        <v>762</v>
      </c>
      <c r="L132" s="3" t="s">
        <v>2220</v>
      </c>
      <c r="M132" s="3" t="s">
        <v>2234</v>
      </c>
      <c r="N132" s="3" t="s">
        <v>2258</v>
      </c>
    </row>
    <row r="133" spans="1:14" x14ac:dyDescent="0.25">
      <c r="A133" s="15" t="s">
        <v>827</v>
      </c>
      <c r="B133" s="17" t="s">
        <v>2199</v>
      </c>
      <c r="C133" s="6" t="s">
        <v>28</v>
      </c>
      <c r="D133" s="6" t="s">
        <v>28</v>
      </c>
      <c r="E133" s="7" t="s">
        <v>828</v>
      </c>
      <c r="F133" s="20">
        <v>46082</v>
      </c>
      <c r="G133" s="17">
        <v>4</v>
      </c>
      <c r="H133" t="s">
        <v>833</v>
      </c>
      <c r="I133" s="32">
        <v>1071050</v>
      </c>
      <c r="J133" s="19" t="s">
        <v>761</v>
      </c>
      <c r="K133" s="6" t="s">
        <v>762</v>
      </c>
      <c r="L133" s="3" t="s">
        <v>2220</v>
      </c>
      <c r="M133" s="3" t="s">
        <v>2234</v>
      </c>
      <c r="N133" s="3" t="s">
        <v>2258</v>
      </c>
    </row>
    <row r="134" spans="1:14" x14ac:dyDescent="0.25">
      <c r="A134" s="14" t="s">
        <v>827</v>
      </c>
      <c r="B134" s="16" t="s">
        <v>2199</v>
      </c>
      <c r="C134" s="19" t="s">
        <v>28</v>
      </c>
      <c r="D134" s="19" t="s">
        <v>28</v>
      </c>
      <c r="E134" s="10" t="s">
        <v>828</v>
      </c>
      <c r="F134" s="20">
        <v>46023</v>
      </c>
      <c r="G134" s="16">
        <v>4</v>
      </c>
      <c r="H134" s="11" t="s">
        <v>832</v>
      </c>
      <c r="I134" s="31">
        <v>150000</v>
      </c>
      <c r="J134" s="19" t="s">
        <v>761</v>
      </c>
      <c r="K134" s="19" t="s">
        <v>762</v>
      </c>
      <c r="L134" s="3" t="s">
        <v>2220</v>
      </c>
      <c r="M134" s="3" t="s">
        <v>2234</v>
      </c>
      <c r="N134" s="3" t="s">
        <v>2258</v>
      </c>
    </row>
    <row r="135" spans="1:14" x14ac:dyDescent="0.25">
      <c r="A135" s="15" t="s">
        <v>871</v>
      </c>
      <c r="B135" s="17" t="s">
        <v>2199</v>
      </c>
      <c r="C135" s="6" t="s">
        <v>28</v>
      </c>
      <c r="D135" s="6" t="s">
        <v>28</v>
      </c>
      <c r="E135" s="7" t="s">
        <v>872</v>
      </c>
      <c r="F135" s="20">
        <v>46204</v>
      </c>
      <c r="G135" s="17">
        <v>1</v>
      </c>
      <c r="H135" t="s">
        <v>874</v>
      </c>
      <c r="I135" s="32">
        <v>472004</v>
      </c>
      <c r="J135" s="19" t="s">
        <v>761</v>
      </c>
      <c r="K135" s="6" t="s">
        <v>762</v>
      </c>
      <c r="L135" s="3" t="s">
        <v>2220</v>
      </c>
      <c r="M135" s="3" t="s">
        <v>2234</v>
      </c>
      <c r="N135" s="3" t="s">
        <v>2258</v>
      </c>
    </row>
    <row r="136" spans="1:14" x14ac:dyDescent="0.25">
      <c r="A136" s="14" t="s">
        <v>875</v>
      </c>
      <c r="B136" s="16" t="s">
        <v>2199</v>
      </c>
      <c r="C136" s="19" t="s">
        <v>28</v>
      </c>
      <c r="D136" s="19" t="s">
        <v>28</v>
      </c>
      <c r="E136" s="10" t="s">
        <v>876</v>
      </c>
      <c r="F136" s="20">
        <v>46082</v>
      </c>
      <c r="G136" s="16">
        <v>1</v>
      </c>
      <c r="H136" s="11" t="s">
        <v>878</v>
      </c>
      <c r="I136" s="31">
        <v>600000</v>
      </c>
      <c r="J136" s="19" t="s">
        <v>761</v>
      </c>
      <c r="K136" s="19" t="s">
        <v>762</v>
      </c>
      <c r="L136" s="3" t="s">
        <v>2220</v>
      </c>
      <c r="M136" s="3" t="s">
        <v>2234</v>
      </c>
      <c r="N136" s="3" t="s">
        <v>2258</v>
      </c>
    </row>
    <row r="137" spans="1:14" x14ac:dyDescent="0.25">
      <c r="A137" s="15" t="s">
        <v>879</v>
      </c>
      <c r="B137" s="17" t="s">
        <v>2199</v>
      </c>
      <c r="C137" s="6" t="s">
        <v>28</v>
      </c>
      <c r="D137" s="6" t="s">
        <v>28</v>
      </c>
      <c r="E137" s="7" t="s">
        <v>880</v>
      </c>
      <c r="F137" s="20">
        <v>46143</v>
      </c>
      <c r="G137" s="17">
        <v>3</v>
      </c>
      <c r="H137" t="s">
        <v>882</v>
      </c>
      <c r="I137" s="32">
        <v>3700004</v>
      </c>
      <c r="J137" s="19" t="s">
        <v>761</v>
      </c>
      <c r="K137" s="6" t="s">
        <v>762</v>
      </c>
      <c r="L137" s="3" t="s">
        <v>2220</v>
      </c>
      <c r="M137" s="3" t="s">
        <v>2234</v>
      </c>
      <c r="N137" s="3" t="s">
        <v>2258</v>
      </c>
    </row>
    <row r="138" spans="1:14" x14ac:dyDescent="0.25">
      <c r="A138" s="14" t="s">
        <v>879</v>
      </c>
      <c r="B138" s="16" t="s">
        <v>2199</v>
      </c>
      <c r="C138" s="19" t="s">
        <v>28</v>
      </c>
      <c r="D138" s="19" t="s">
        <v>28</v>
      </c>
      <c r="E138" s="10" t="s">
        <v>880</v>
      </c>
      <c r="F138" s="20">
        <v>46143</v>
      </c>
      <c r="G138" s="16">
        <v>3</v>
      </c>
      <c r="H138" s="11" t="s">
        <v>883</v>
      </c>
      <c r="I138" s="31">
        <v>2200020</v>
      </c>
      <c r="J138" s="19" t="s">
        <v>761</v>
      </c>
      <c r="K138" s="19" t="s">
        <v>762</v>
      </c>
      <c r="L138" s="3" t="s">
        <v>2220</v>
      </c>
      <c r="M138" s="3" t="s">
        <v>2234</v>
      </c>
      <c r="N138" s="3" t="s">
        <v>2258</v>
      </c>
    </row>
    <row r="139" spans="1:14" x14ac:dyDescent="0.25">
      <c r="A139" s="15" t="s">
        <v>879</v>
      </c>
      <c r="B139" s="17" t="s">
        <v>2199</v>
      </c>
      <c r="C139" s="6" t="s">
        <v>28</v>
      </c>
      <c r="D139" s="6" t="s">
        <v>28</v>
      </c>
      <c r="E139" s="7" t="s">
        <v>880</v>
      </c>
      <c r="F139" s="20">
        <v>46143</v>
      </c>
      <c r="G139" s="17">
        <v>3</v>
      </c>
      <c r="H139" t="s">
        <v>62</v>
      </c>
      <c r="I139" s="32">
        <v>200000</v>
      </c>
      <c r="J139" s="19" t="s">
        <v>761</v>
      </c>
      <c r="K139" s="6" t="s">
        <v>762</v>
      </c>
      <c r="L139" s="3" t="s">
        <v>2220</v>
      </c>
      <c r="M139" s="3" t="s">
        <v>2234</v>
      </c>
      <c r="N139" s="3" t="s">
        <v>2258</v>
      </c>
    </row>
    <row r="140" spans="1:14" x14ac:dyDescent="0.25">
      <c r="A140" s="14" t="s">
        <v>884</v>
      </c>
      <c r="B140" s="16" t="s">
        <v>2199</v>
      </c>
      <c r="C140" s="19" t="s">
        <v>28</v>
      </c>
      <c r="D140" s="19" t="s">
        <v>28</v>
      </c>
      <c r="E140" s="10" t="s">
        <v>885</v>
      </c>
      <c r="F140" s="20">
        <v>46113</v>
      </c>
      <c r="G140" s="16">
        <v>3</v>
      </c>
      <c r="H140" s="11" t="s">
        <v>821</v>
      </c>
      <c r="I140" s="31">
        <v>1030006</v>
      </c>
      <c r="J140" s="19" t="s">
        <v>761</v>
      </c>
      <c r="K140" s="19" t="s">
        <v>762</v>
      </c>
      <c r="L140" s="3" t="s">
        <v>2220</v>
      </c>
      <c r="M140" s="3" t="s">
        <v>2234</v>
      </c>
      <c r="N140" s="3" t="s">
        <v>2258</v>
      </c>
    </row>
    <row r="141" spans="1:14" x14ac:dyDescent="0.25">
      <c r="A141" s="15" t="s">
        <v>884</v>
      </c>
      <c r="B141" s="17" t="s">
        <v>2199</v>
      </c>
      <c r="C141" s="6" t="s">
        <v>28</v>
      </c>
      <c r="D141" s="6" t="s">
        <v>28</v>
      </c>
      <c r="E141" s="7" t="s">
        <v>885</v>
      </c>
      <c r="F141" s="20">
        <v>46174</v>
      </c>
      <c r="G141" s="17">
        <v>3</v>
      </c>
      <c r="H141" t="s">
        <v>883</v>
      </c>
      <c r="I141" s="32">
        <v>800000</v>
      </c>
      <c r="J141" s="19" t="s">
        <v>761</v>
      </c>
      <c r="K141" s="6" t="s">
        <v>762</v>
      </c>
      <c r="L141" s="3" t="s">
        <v>2220</v>
      </c>
      <c r="M141" s="3" t="s">
        <v>2234</v>
      </c>
      <c r="N141" s="3" t="s">
        <v>2258</v>
      </c>
    </row>
    <row r="142" spans="1:14" x14ac:dyDescent="0.25">
      <c r="A142" s="14" t="s">
        <v>884</v>
      </c>
      <c r="B142" s="16" t="s">
        <v>2199</v>
      </c>
      <c r="C142" s="19" t="s">
        <v>28</v>
      </c>
      <c r="D142" s="19" t="s">
        <v>28</v>
      </c>
      <c r="E142" s="10" t="s">
        <v>885</v>
      </c>
      <c r="F142" s="20">
        <v>46023</v>
      </c>
      <c r="G142" s="16">
        <v>3</v>
      </c>
      <c r="H142" s="11" t="s">
        <v>887</v>
      </c>
      <c r="I142" s="31">
        <v>900000</v>
      </c>
      <c r="J142" s="19" t="s">
        <v>761</v>
      </c>
      <c r="K142" s="19" t="s">
        <v>762</v>
      </c>
      <c r="L142" s="3" t="s">
        <v>2220</v>
      </c>
      <c r="M142" s="3" t="s">
        <v>2234</v>
      </c>
      <c r="N142" s="3" t="s">
        <v>2258</v>
      </c>
    </row>
    <row r="143" spans="1:14" x14ac:dyDescent="0.25">
      <c r="A143" s="15" t="s">
        <v>1518</v>
      </c>
      <c r="B143" s="17" t="s">
        <v>2199</v>
      </c>
      <c r="C143" s="6" t="s">
        <v>28</v>
      </c>
      <c r="D143" s="6" t="s">
        <v>28</v>
      </c>
      <c r="E143" s="7" t="s">
        <v>1520</v>
      </c>
      <c r="F143" s="20">
        <v>46143</v>
      </c>
      <c r="G143" s="17">
        <v>3</v>
      </c>
      <c r="H143" t="s">
        <v>1523</v>
      </c>
      <c r="I143" s="32">
        <v>50004</v>
      </c>
      <c r="J143" s="19" t="s">
        <v>761</v>
      </c>
      <c r="K143" s="6" t="s">
        <v>762</v>
      </c>
      <c r="L143" s="3" t="s">
        <v>2220</v>
      </c>
      <c r="M143" s="3" t="s">
        <v>2234</v>
      </c>
      <c r="N143" s="3" t="s">
        <v>2258</v>
      </c>
    </row>
    <row r="144" spans="1:14" x14ac:dyDescent="0.25">
      <c r="A144" s="14" t="s">
        <v>1518</v>
      </c>
      <c r="B144" s="16" t="s">
        <v>2199</v>
      </c>
      <c r="C144" s="19" t="s">
        <v>28</v>
      </c>
      <c r="D144" s="19" t="s">
        <v>28</v>
      </c>
      <c r="E144" s="10" t="s">
        <v>1520</v>
      </c>
      <c r="F144" s="20">
        <v>46143</v>
      </c>
      <c r="G144" s="16">
        <v>3</v>
      </c>
      <c r="H144" s="11" t="s">
        <v>1524</v>
      </c>
      <c r="I144" s="31">
        <v>650000</v>
      </c>
      <c r="J144" s="19" t="s">
        <v>761</v>
      </c>
      <c r="K144" s="19" t="s">
        <v>762</v>
      </c>
      <c r="L144" s="3" t="s">
        <v>2220</v>
      </c>
      <c r="M144" s="3" t="s">
        <v>2234</v>
      </c>
      <c r="N144" s="3" t="s">
        <v>2258</v>
      </c>
    </row>
    <row r="145" spans="1:14" x14ac:dyDescent="0.25">
      <c r="A145" s="15" t="s">
        <v>1518</v>
      </c>
      <c r="B145" s="17" t="s">
        <v>2199</v>
      </c>
      <c r="C145" s="6" t="s">
        <v>28</v>
      </c>
      <c r="D145" s="6" t="s">
        <v>28</v>
      </c>
      <c r="E145" s="7" t="s">
        <v>1520</v>
      </c>
      <c r="F145" s="20">
        <v>46143</v>
      </c>
      <c r="G145" s="17">
        <v>3</v>
      </c>
      <c r="H145" t="s">
        <v>1522</v>
      </c>
      <c r="I145" s="32">
        <v>960000</v>
      </c>
      <c r="J145" s="19" t="s">
        <v>761</v>
      </c>
      <c r="K145" s="6" t="s">
        <v>762</v>
      </c>
      <c r="L145" s="3" t="s">
        <v>2220</v>
      </c>
      <c r="M145" s="3" t="s">
        <v>2234</v>
      </c>
      <c r="N145" s="3" t="s">
        <v>2258</v>
      </c>
    </row>
    <row r="146" spans="1:14" x14ac:dyDescent="0.25">
      <c r="A146" s="14" t="s">
        <v>1532</v>
      </c>
      <c r="B146" s="16" t="s">
        <v>2199</v>
      </c>
      <c r="C146" s="19" t="s">
        <v>28</v>
      </c>
      <c r="D146" s="19" t="s">
        <v>28</v>
      </c>
      <c r="E146" s="10" t="s">
        <v>1533</v>
      </c>
      <c r="F146" s="20">
        <v>46143</v>
      </c>
      <c r="G146" s="16">
        <v>5</v>
      </c>
      <c r="H146" s="11" t="s">
        <v>1536</v>
      </c>
      <c r="I146" s="31">
        <v>120000</v>
      </c>
      <c r="J146" s="19" t="s">
        <v>761</v>
      </c>
      <c r="K146" s="19" t="s">
        <v>762</v>
      </c>
      <c r="L146" s="3" t="s">
        <v>2220</v>
      </c>
      <c r="M146" s="3" t="s">
        <v>2234</v>
      </c>
      <c r="N146" s="3" t="s">
        <v>2258</v>
      </c>
    </row>
    <row r="147" spans="1:14" x14ac:dyDescent="0.25">
      <c r="A147" s="15" t="s">
        <v>1532</v>
      </c>
      <c r="B147" s="17" t="s">
        <v>2199</v>
      </c>
      <c r="C147" s="6" t="s">
        <v>28</v>
      </c>
      <c r="D147" s="6" t="s">
        <v>28</v>
      </c>
      <c r="E147" s="7" t="s">
        <v>1533</v>
      </c>
      <c r="F147" s="20">
        <v>46143</v>
      </c>
      <c r="G147" s="17">
        <v>5</v>
      </c>
      <c r="H147" t="s">
        <v>1534</v>
      </c>
      <c r="I147" s="32">
        <v>1100001</v>
      </c>
      <c r="J147" s="19" t="s">
        <v>761</v>
      </c>
      <c r="K147" s="6" t="s">
        <v>762</v>
      </c>
      <c r="L147" s="3" t="s">
        <v>2220</v>
      </c>
      <c r="M147" s="3" t="s">
        <v>2234</v>
      </c>
      <c r="N147" s="3" t="s">
        <v>2258</v>
      </c>
    </row>
    <row r="148" spans="1:14" x14ac:dyDescent="0.25">
      <c r="A148" s="14" t="s">
        <v>1532</v>
      </c>
      <c r="B148" s="16" t="s">
        <v>2199</v>
      </c>
      <c r="C148" s="19" t="s">
        <v>28</v>
      </c>
      <c r="D148" s="19" t="s">
        <v>28</v>
      </c>
      <c r="E148" s="10" t="s">
        <v>1533</v>
      </c>
      <c r="F148" s="20">
        <v>46143</v>
      </c>
      <c r="G148" s="16">
        <v>5</v>
      </c>
      <c r="H148" s="11" t="s">
        <v>1537</v>
      </c>
      <c r="I148" s="31">
        <v>30000</v>
      </c>
      <c r="J148" s="19" t="s">
        <v>761</v>
      </c>
      <c r="K148" s="19" t="s">
        <v>762</v>
      </c>
      <c r="L148" s="3" t="s">
        <v>2220</v>
      </c>
      <c r="M148" s="3" t="s">
        <v>2234</v>
      </c>
      <c r="N148" s="3" t="s">
        <v>2258</v>
      </c>
    </row>
    <row r="149" spans="1:14" x14ac:dyDescent="0.25">
      <c r="A149" s="15" t="s">
        <v>1532</v>
      </c>
      <c r="B149" s="17" t="s">
        <v>2199</v>
      </c>
      <c r="C149" s="6" t="s">
        <v>28</v>
      </c>
      <c r="D149" s="6" t="s">
        <v>28</v>
      </c>
      <c r="E149" s="7" t="s">
        <v>1533</v>
      </c>
      <c r="F149" s="20">
        <v>46143</v>
      </c>
      <c r="G149" s="17">
        <v>5</v>
      </c>
      <c r="H149" t="s">
        <v>1538</v>
      </c>
      <c r="I149" s="32">
        <v>390000</v>
      </c>
      <c r="J149" s="19" t="s">
        <v>761</v>
      </c>
      <c r="K149" s="6" t="s">
        <v>762</v>
      </c>
      <c r="L149" s="3" t="s">
        <v>2220</v>
      </c>
      <c r="M149" s="3" t="s">
        <v>2234</v>
      </c>
      <c r="N149" s="3" t="s">
        <v>2258</v>
      </c>
    </row>
    <row r="150" spans="1:14" x14ac:dyDescent="0.25">
      <c r="A150" s="14" t="s">
        <v>1532</v>
      </c>
      <c r="B150" s="16" t="s">
        <v>2199</v>
      </c>
      <c r="C150" s="19" t="s">
        <v>28</v>
      </c>
      <c r="D150" s="19" t="s">
        <v>28</v>
      </c>
      <c r="E150" s="10" t="s">
        <v>1533</v>
      </c>
      <c r="F150" s="20">
        <v>46143</v>
      </c>
      <c r="G150" s="16">
        <v>5</v>
      </c>
      <c r="H150" s="11" t="s">
        <v>1535</v>
      </c>
      <c r="I150" s="31">
        <v>1100090</v>
      </c>
      <c r="J150" s="19" t="s">
        <v>761</v>
      </c>
      <c r="K150" s="19" t="s">
        <v>762</v>
      </c>
      <c r="L150" s="3" t="s">
        <v>2220</v>
      </c>
      <c r="M150" s="3" t="s">
        <v>2234</v>
      </c>
      <c r="N150" s="3" t="s">
        <v>2258</v>
      </c>
    </row>
    <row r="151" spans="1:14" x14ac:dyDescent="0.25">
      <c r="A151" s="15" t="s">
        <v>1546</v>
      </c>
      <c r="B151" s="17" t="s">
        <v>2199</v>
      </c>
      <c r="C151" s="6" t="s">
        <v>28</v>
      </c>
      <c r="D151" s="6" t="s">
        <v>28</v>
      </c>
      <c r="E151" s="7" t="s">
        <v>1548</v>
      </c>
      <c r="F151" s="20">
        <v>46143</v>
      </c>
      <c r="G151" s="17">
        <v>3</v>
      </c>
      <c r="H151" t="s">
        <v>1549</v>
      </c>
      <c r="I151" s="32">
        <v>746010</v>
      </c>
      <c r="J151" s="19" t="s">
        <v>761</v>
      </c>
      <c r="K151" s="6" t="s">
        <v>762</v>
      </c>
      <c r="L151" s="3" t="s">
        <v>2220</v>
      </c>
      <c r="M151" s="3" t="s">
        <v>2234</v>
      </c>
      <c r="N151" s="3" t="s">
        <v>2258</v>
      </c>
    </row>
    <row r="152" spans="1:14" x14ac:dyDescent="0.25">
      <c r="A152" s="14" t="s">
        <v>1546</v>
      </c>
      <c r="B152" s="16" t="s">
        <v>2199</v>
      </c>
      <c r="C152" s="19" t="s">
        <v>28</v>
      </c>
      <c r="D152" s="19" t="s">
        <v>28</v>
      </c>
      <c r="E152" s="10" t="s">
        <v>1548</v>
      </c>
      <c r="F152" s="20">
        <v>46143</v>
      </c>
      <c r="G152" s="16">
        <v>3</v>
      </c>
      <c r="H152" s="11" t="s">
        <v>1550</v>
      </c>
      <c r="I152" s="31">
        <v>480032</v>
      </c>
      <c r="J152" s="19" t="s">
        <v>761</v>
      </c>
      <c r="K152" s="19" t="s">
        <v>762</v>
      </c>
      <c r="L152" s="3" t="s">
        <v>2220</v>
      </c>
      <c r="M152" s="3" t="s">
        <v>2234</v>
      </c>
      <c r="N152" s="3" t="s">
        <v>2258</v>
      </c>
    </row>
    <row r="153" spans="1:14" x14ac:dyDescent="0.25">
      <c r="A153" s="15" t="s">
        <v>1546</v>
      </c>
      <c r="B153" s="17" t="s">
        <v>2199</v>
      </c>
      <c r="C153" s="6" t="s">
        <v>28</v>
      </c>
      <c r="D153" s="6" t="s">
        <v>28</v>
      </c>
      <c r="E153" s="7" t="s">
        <v>1548</v>
      </c>
      <c r="F153" s="20">
        <v>46143</v>
      </c>
      <c r="G153" s="17">
        <v>3</v>
      </c>
      <c r="H153" t="s">
        <v>1227</v>
      </c>
      <c r="I153" s="32">
        <v>96000</v>
      </c>
      <c r="J153" s="19" t="s">
        <v>761</v>
      </c>
      <c r="K153" s="6" t="s">
        <v>762</v>
      </c>
      <c r="L153" s="3" t="s">
        <v>2220</v>
      </c>
      <c r="M153" s="3" t="s">
        <v>2234</v>
      </c>
      <c r="N153" s="3" t="s">
        <v>2258</v>
      </c>
    </row>
    <row r="154" spans="1:14" x14ac:dyDescent="0.25">
      <c r="A154" s="14" t="s">
        <v>1551</v>
      </c>
      <c r="B154" s="16" t="s">
        <v>2199</v>
      </c>
      <c r="C154" s="19" t="s">
        <v>28</v>
      </c>
      <c r="D154" s="19" t="s">
        <v>28</v>
      </c>
      <c r="E154" s="10" t="s">
        <v>1553</v>
      </c>
      <c r="F154" s="20">
        <v>46143</v>
      </c>
      <c r="G154" s="16">
        <v>1</v>
      </c>
      <c r="H154" s="11" t="s">
        <v>1554</v>
      </c>
      <c r="I154" s="31">
        <v>334061</v>
      </c>
      <c r="J154" s="19" t="s">
        <v>761</v>
      </c>
      <c r="K154" s="19" t="s">
        <v>762</v>
      </c>
      <c r="L154" s="3" t="s">
        <v>2220</v>
      </c>
      <c r="M154" s="3" t="s">
        <v>2234</v>
      </c>
      <c r="N154" s="3" t="s">
        <v>2258</v>
      </c>
    </row>
    <row r="155" spans="1:14" x14ac:dyDescent="0.25">
      <c r="A155" s="15" t="s">
        <v>1590</v>
      </c>
      <c r="B155" s="17" t="s">
        <v>2199</v>
      </c>
      <c r="C155" s="6" t="s">
        <v>374</v>
      </c>
      <c r="D155" s="6" t="s">
        <v>374</v>
      </c>
      <c r="E155" s="7" t="s">
        <v>1591</v>
      </c>
      <c r="F155" s="20">
        <v>46143</v>
      </c>
      <c r="G155" s="17">
        <v>3</v>
      </c>
      <c r="H155" t="s">
        <v>1592</v>
      </c>
      <c r="I155" s="32">
        <v>150000</v>
      </c>
      <c r="J155" s="19" t="s">
        <v>761</v>
      </c>
      <c r="K155" s="6" t="s">
        <v>762</v>
      </c>
      <c r="L155" s="3" t="s">
        <v>2220</v>
      </c>
      <c r="M155" s="3" t="s">
        <v>2234</v>
      </c>
      <c r="N155" s="3" t="s">
        <v>2258</v>
      </c>
    </row>
    <row r="156" spans="1:14" x14ac:dyDescent="0.25">
      <c r="A156" s="14" t="s">
        <v>1590</v>
      </c>
      <c r="B156" s="16" t="s">
        <v>2199</v>
      </c>
      <c r="C156" s="19" t="s">
        <v>374</v>
      </c>
      <c r="D156" s="19" t="s">
        <v>374</v>
      </c>
      <c r="E156" s="10" t="s">
        <v>1591</v>
      </c>
      <c r="F156" s="20">
        <v>46143</v>
      </c>
      <c r="G156" s="16">
        <v>3</v>
      </c>
      <c r="H156" s="11" t="s">
        <v>1594</v>
      </c>
      <c r="I156" s="31">
        <v>75000</v>
      </c>
      <c r="J156" s="19" t="s">
        <v>761</v>
      </c>
      <c r="K156" s="19" t="s">
        <v>762</v>
      </c>
      <c r="L156" s="3" t="s">
        <v>2220</v>
      </c>
      <c r="M156" s="3" t="s">
        <v>2234</v>
      </c>
      <c r="N156" s="3" t="s">
        <v>2258</v>
      </c>
    </row>
    <row r="157" spans="1:14" x14ac:dyDescent="0.25">
      <c r="A157" s="15" t="s">
        <v>1590</v>
      </c>
      <c r="B157" s="17" t="s">
        <v>2199</v>
      </c>
      <c r="C157" s="6" t="s">
        <v>374</v>
      </c>
      <c r="D157" s="6" t="s">
        <v>374</v>
      </c>
      <c r="E157" s="7" t="s">
        <v>1591</v>
      </c>
      <c r="F157" s="20">
        <v>46143</v>
      </c>
      <c r="G157" s="17">
        <v>3</v>
      </c>
      <c r="H157" t="s">
        <v>1593</v>
      </c>
      <c r="I157" s="32">
        <v>70000</v>
      </c>
      <c r="J157" s="19" t="s">
        <v>761</v>
      </c>
      <c r="K157" s="6" t="s">
        <v>762</v>
      </c>
      <c r="L157" s="3" t="s">
        <v>2220</v>
      </c>
      <c r="M157" s="3" t="s">
        <v>2234</v>
      </c>
      <c r="N157" s="3" t="s">
        <v>2258</v>
      </c>
    </row>
    <row r="158" spans="1:14" x14ac:dyDescent="0.25">
      <c r="A158" s="14" t="s">
        <v>1856</v>
      </c>
      <c r="B158" s="16" t="s">
        <v>2199</v>
      </c>
      <c r="C158" s="19" t="s">
        <v>28</v>
      </c>
      <c r="D158" s="19" t="s">
        <v>28</v>
      </c>
      <c r="E158" s="10" t="s">
        <v>1857</v>
      </c>
      <c r="F158" s="20">
        <v>46174</v>
      </c>
      <c r="G158" s="16">
        <v>1</v>
      </c>
      <c r="H158" s="11" t="s">
        <v>760</v>
      </c>
      <c r="I158" s="31">
        <v>1250000</v>
      </c>
      <c r="J158" s="19" t="s">
        <v>761</v>
      </c>
      <c r="K158" s="19" t="s">
        <v>762</v>
      </c>
      <c r="L158" s="3" t="s">
        <v>2220</v>
      </c>
      <c r="M158" s="3" t="s">
        <v>2234</v>
      </c>
      <c r="N158" s="3" t="s">
        <v>2258</v>
      </c>
    </row>
    <row r="159" spans="1:14" x14ac:dyDescent="0.25">
      <c r="A159" s="15" t="s">
        <v>1901</v>
      </c>
      <c r="B159" s="17" t="s">
        <v>2199</v>
      </c>
      <c r="C159" s="6" t="s">
        <v>28</v>
      </c>
      <c r="D159" s="6" t="s">
        <v>28</v>
      </c>
      <c r="E159" s="7" t="s">
        <v>1903</v>
      </c>
      <c r="F159" s="20">
        <v>46023</v>
      </c>
      <c r="G159" s="17">
        <v>3</v>
      </c>
      <c r="H159" t="s">
        <v>359</v>
      </c>
      <c r="I159" s="32">
        <v>5255136</v>
      </c>
      <c r="J159" s="19" t="s">
        <v>761</v>
      </c>
      <c r="K159" s="6" t="s">
        <v>762</v>
      </c>
      <c r="L159" s="3" t="s">
        <v>2220</v>
      </c>
      <c r="M159" s="3" t="s">
        <v>2234</v>
      </c>
      <c r="N159" s="3" t="s">
        <v>2258</v>
      </c>
    </row>
    <row r="160" spans="1:14" x14ac:dyDescent="0.25">
      <c r="A160" s="14" t="s">
        <v>1901</v>
      </c>
      <c r="B160" s="16" t="s">
        <v>2199</v>
      </c>
      <c r="C160" s="19" t="s">
        <v>28</v>
      </c>
      <c r="D160" s="19" t="s">
        <v>28</v>
      </c>
      <c r="E160" s="10" t="s">
        <v>1903</v>
      </c>
      <c r="F160" s="20">
        <v>46023</v>
      </c>
      <c r="G160" s="16">
        <v>3</v>
      </c>
      <c r="H160" s="11" t="s">
        <v>1907</v>
      </c>
      <c r="I160" s="31">
        <v>1261902</v>
      </c>
      <c r="J160" s="19" t="s">
        <v>761</v>
      </c>
      <c r="K160" s="19" t="s">
        <v>762</v>
      </c>
      <c r="L160" s="3" t="s">
        <v>2220</v>
      </c>
      <c r="M160" s="3" t="s">
        <v>2234</v>
      </c>
      <c r="N160" s="3" t="s">
        <v>2258</v>
      </c>
    </row>
    <row r="161" spans="1:14" x14ac:dyDescent="0.25">
      <c r="A161" s="15" t="s">
        <v>1942</v>
      </c>
      <c r="B161" s="17" t="s">
        <v>2199</v>
      </c>
      <c r="C161" s="6" t="s">
        <v>28</v>
      </c>
      <c r="D161" s="6" t="s">
        <v>28</v>
      </c>
      <c r="E161" s="7" t="s">
        <v>1943</v>
      </c>
      <c r="F161" s="20">
        <v>46174</v>
      </c>
      <c r="G161" s="17">
        <v>3</v>
      </c>
      <c r="H161" t="s">
        <v>1945</v>
      </c>
      <c r="I161" s="32">
        <v>239016</v>
      </c>
      <c r="J161" s="19" t="s">
        <v>761</v>
      </c>
      <c r="K161" s="6" t="s">
        <v>762</v>
      </c>
      <c r="L161" s="3" t="s">
        <v>2220</v>
      </c>
      <c r="M161" s="3" t="s">
        <v>2234</v>
      </c>
      <c r="N161" s="3" t="s">
        <v>2258</v>
      </c>
    </row>
    <row r="162" spans="1:14" x14ac:dyDescent="0.25">
      <c r="A162" s="14" t="s">
        <v>1942</v>
      </c>
      <c r="B162" s="16" t="s">
        <v>2199</v>
      </c>
      <c r="C162" s="19" t="s">
        <v>28</v>
      </c>
      <c r="D162" s="19" t="s">
        <v>28</v>
      </c>
      <c r="E162" s="10" t="s">
        <v>1943</v>
      </c>
      <c r="F162" s="20">
        <v>46174</v>
      </c>
      <c r="G162" s="16">
        <v>3</v>
      </c>
      <c r="H162" s="11" t="s">
        <v>1947</v>
      </c>
      <c r="I162" s="31">
        <v>480320</v>
      </c>
      <c r="J162" s="19" t="s">
        <v>761</v>
      </c>
      <c r="K162" s="19" t="s">
        <v>762</v>
      </c>
      <c r="L162" s="3" t="s">
        <v>2220</v>
      </c>
      <c r="M162" s="3" t="s">
        <v>2234</v>
      </c>
      <c r="N162" s="3" t="s">
        <v>2258</v>
      </c>
    </row>
    <row r="163" spans="1:14" x14ac:dyDescent="0.25">
      <c r="A163" s="15" t="s">
        <v>1942</v>
      </c>
      <c r="B163" s="17" t="s">
        <v>2199</v>
      </c>
      <c r="C163" s="6" t="s">
        <v>28</v>
      </c>
      <c r="D163" s="6" t="s">
        <v>28</v>
      </c>
      <c r="E163" s="7" t="s">
        <v>1943</v>
      </c>
      <c r="F163" s="20">
        <v>46174</v>
      </c>
      <c r="G163" s="17">
        <v>3</v>
      </c>
      <c r="H163" t="s">
        <v>1946</v>
      </c>
      <c r="I163" s="32">
        <v>1074052</v>
      </c>
      <c r="J163" s="19" t="s">
        <v>761</v>
      </c>
      <c r="K163" s="6" t="s">
        <v>762</v>
      </c>
      <c r="L163" s="3" t="s">
        <v>2220</v>
      </c>
      <c r="M163" s="3" t="s">
        <v>2234</v>
      </c>
      <c r="N163" s="3" t="s">
        <v>2258</v>
      </c>
    </row>
    <row r="164" spans="1:14" x14ac:dyDescent="0.25">
      <c r="A164" s="14" t="s">
        <v>1951</v>
      </c>
      <c r="B164" s="16" t="s">
        <v>2199</v>
      </c>
      <c r="C164" s="19" t="s">
        <v>28</v>
      </c>
      <c r="D164" s="19" t="s">
        <v>28</v>
      </c>
      <c r="E164" s="10" t="s">
        <v>1952</v>
      </c>
      <c r="F164" s="20">
        <v>46082</v>
      </c>
      <c r="G164" s="16">
        <v>2</v>
      </c>
      <c r="H164" s="11" t="s">
        <v>1864</v>
      </c>
      <c r="I164" s="31">
        <v>809217</v>
      </c>
      <c r="J164" s="19" t="s">
        <v>761</v>
      </c>
      <c r="K164" s="19" t="s">
        <v>762</v>
      </c>
      <c r="L164" s="3" t="s">
        <v>2220</v>
      </c>
      <c r="M164" s="3" t="s">
        <v>2234</v>
      </c>
      <c r="N164" s="3" t="s">
        <v>2258</v>
      </c>
    </row>
    <row r="165" spans="1:14" x14ac:dyDescent="0.25">
      <c r="A165" s="15" t="s">
        <v>1951</v>
      </c>
      <c r="B165" s="17" t="s">
        <v>2199</v>
      </c>
      <c r="C165" s="6" t="s">
        <v>28</v>
      </c>
      <c r="D165" s="6" t="s">
        <v>28</v>
      </c>
      <c r="E165" s="7" t="s">
        <v>1952</v>
      </c>
      <c r="F165" s="20">
        <v>46082</v>
      </c>
      <c r="G165" s="17">
        <v>2</v>
      </c>
      <c r="H165" t="s">
        <v>1938</v>
      </c>
      <c r="I165" s="32">
        <v>340060</v>
      </c>
      <c r="J165" s="19" t="s">
        <v>761</v>
      </c>
      <c r="K165" s="6" t="s">
        <v>762</v>
      </c>
      <c r="L165" s="3" t="s">
        <v>2220</v>
      </c>
      <c r="M165" s="3" t="s">
        <v>2234</v>
      </c>
      <c r="N165" s="3" t="s">
        <v>2258</v>
      </c>
    </row>
    <row r="166" spans="1:14" x14ac:dyDescent="0.25">
      <c r="A166" s="14" t="s">
        <v>2089</v>
      </c>
      <c r="B166" s="16" t="s">
        <v>2199</v>
      </c>
      <c r="C166" s="19" t="s">
        <v>28</v>
      </c>
      <c r="D166" s="19" t="s">
        <v>28</v>
      </c>
      <c r="E166" s="10" t="s">
        <v>2090</v>
      </c>
      <c r="F166" s="20">
        <v>46113</v>
      </c>
      <c r="G166" s="16">
        <v>6</v>
      </c>
      <c r="H166" s="11" t="s">
        <v>2096</v>
      </c>
      <c r="I166" s="31">
        <v>30000</v>
      </c>
      <c r="J166" s="19" t="s">
        <v>761</v>
      </c>
      <c r="K166" s="19" t="s">
        <v>762</v>
      </c>
      <c r="L166" s="3" t="s">
        <v>2220</v>
      </c>
      <c r="M166" s="3" t="s">
        <v>2234</v>
      </c>
      <c r="N166" s="3" t="s">
        <v>2258</v>
      </c>
    </row>
    <row r="167" spans="1:14" x14ac:dyDescent="0.25">
      <c r="A167" s="15" t="s">
        <v>2089</v>
      </c>
      <c r="B167" s="17" t="s">
        <v>2199</v>
      </c>
      <c r="C167" s="6" t="s">
        <v>28</v>
      </c>
      <c r="D167" s="6" t="s">
        <v>28</v>
      </c>
      <c r="E167" s="7" t="s">
        <v>2090</v>
      </c>
      <c r="F167" s="20">
        <v>46113</v>
      </c>
      <c r="G167" s="17">
        <v>6</v>
      </c>
      <c r="H167" t="s">
        <v>2092</v>
      </c>
      <c r="I167" s="32">
        <v>343480</v>
      </c>
      <c r="J167" s="19" t="s">
        <v>761</v>
      </c>
      <c r="K167" s="6" t="s">
        <v>762</v>
      </c>
      <c r="L167" s="3" t="s">
        <v>2220</v>
      </c>
      <c r="M167" s="3" t="s">
        <v>2234</v>
      </c>
      <c r="N167" s="3" t="s">
        <v>2258</v>
      </c>
    </row>
    <row r="168" spans="1:14" x14ac:dyDescent="0.25">
      <c r="A168" s="14" t="s">
        <v>2089</v>
      </c>
      <c r="B168" s="16" t="s">
        <v>2199</v>
      </c>
      <c r="C168" s="19" t="s">
        <v>28</v>
      </c>
      <c r="D168" s="19" t="s">
        <v>28</v>
      </c>
      <c r="E168" s="10" t="s">
        <v>2090</v>
      </c>
      <c r="F168" s="20">
        <v>46113</v>
      </c>
      <c r="G168" s="16">
        <v>6</v>
      </c>
      <c r="H168" s="11" t="s">
        <v>1864</v>
      </c>
      <c r="I168" s="31">
        <v>230040</v>
      </c>
      <c r="J168" s="19" t="s">
        <v>761</v>
      </c>
      <c r="K168" s="19" t="s">
        <v>762</v>
      </c>
      <c r="L168" s="3" t="s">
        <v>2220</v>
      </c>
      <c r="M168" s="3" t="s">
        <v>2234</v>
      </c>
      <c r="N168" s="3" t="s">
        <v>2258</v>
      </c>
    </row>
    <row r="169" spans="1:14" x14ac:dyDescent="0.25">
      <c r="A169" s="15" t="s">
        <v>2089</v>
      </c>
      <c r="B169" s="17" t="s">
        <v>2199</v>
      </c>
      <c r="C169" s="6" t="s">
        <v>28</v>
      </c>
      <c r="D169" s="6" t="s">
        <v>28</v>
      </c>
      <c r="E169" s="7" t="s">
        <v>2090</v>
      </c>
      <c r="F169" s="20">
        <v>46113</v>
      </c>
      <c r="G169" s="17">
        <v>6</v>
      </c>
      <c r="H169" t="s">
        <v>1938</v>
      </c>
      <c r="I169" s="32">
        <v>220110</v>
      </c>
      <c r="J169" s="19" t="s">
        <v>761</v>
      </c>
      <c r="K169" s="6" t="s">
        <v>762</v>
      </c>
      <c r="L169" s="3" t="s">
        <v>2220</v>
      </c>
      <c r="M169" s="3" t="s">
        <v>2234</v>
      </c>
      <c r="N169" s="3" t="s">
        <v>2258</v>
      </c>
    </row>
    <row r="170" spans="1:14" x14ac:dyDescent="0.25">
      <c r="A170" s="14" t="s">
        <v>2089</v>
      </c>
      <c r="B170" s="16" t="s">
        <v>2199</v>
      </c>
      <c r="C170" s="19" t="s">
        <v>28</v>
      </c>
      <c r="D170" s="19" t="s">
        <v>28</v>
      </c>
      <c r="E170" s="10" t="s">
        <v>2090</v>
      </c>
      <c r="F170" s="20">
        <v>46113</v>
      </c>
      <c r="G170" s="16">
        <v>6</v>
      </c>
      <c r="H170" s="11" t="s">
        <v>2093</v>
      </c>
      <c r="I170" s="31">
        <v>100000</v>
      </c>
      <c r="J170" s="19" t="s">
        <v>761</v>
      </c>
      <c r="K170" s="19" t="s">
        <v>762</v>
      </c>
      <c r="L170" s="3" t="s">
        <v>2220</v>
      </c>
      <c r="M170" s="3" t="s">
        <v>2234</v>
      </c>
      <c r="N170" s="3" t="s">
        <v>2258</v>
      </c>
    </row>
    <row r="171" spans="1:14" x14ac:dyDescent="0.25">
      <c r="A171" s="15" t="s">
        <v>2089</v>
      </c>
      <c r="B171" s="17" t="s">
        <v>2199</v>
      </c>
      <c r="C171" s="6" t="s">
        <v>28</v>
      </c>
      <c r="D171" s="6" t="s">
        <v>28</v>
      </c>
      <c r="E171" s="7" t="s">
        <v>2090</v>
      </c>
      <c r="F171" s="20">
        <v>46113</v>
      </c>
      <c r="G171" s="17">
        <v>6</v>
      </c>
      <c r="H171" t="s">
        <v>2095</v>
      </c>
      <c r="I171" s="32">
        <v>2364300</v>
      </c>
      <c r="J171" s="19" t="s">
        <v>761</v>
      </c>
      <c r="K171" s="6" t="s">
        <v>762</v>
      </c>
      <c r="L171" s="3" t="s">
        <v>2220</v>
      </c>
      <c r="M171" s="3" t="s">
        <v>2234</v>
      </c>
      <c r="N171" s="3" t="s">
        <v>2258</v>
      </c>
    </row>
    <row r="172" spans="1:14" x14ac:dyDescent="0.25">
      <c r="A172" s="14" t="s">
        <v>2107</v>
      </c>
      <c r="B172" s="16" t="s">
        <v>2199</v>
      </c>
      <c r="C172" s="19" t="s">
        <v>28</v>
      </c>
      <c r="D172" s="19" t="s">
        <v>28</v>
      </c>
      <c r="E172" s="10" t="s">
        <v>2108</v>
      </c>
      <c r="F172" s="20">
        <v>46054</v>
      </c>
      <c r="G172" s="16">
        <v>3</v>
      </c>
      <c r="H172" s="11" t="s">
        <v>486</v>
      </c>
      <c r="I172" s="31">
        <v>1975000</v>
      </c>
      <c r="J172" s="19" t="s">
        <v>761</v>
      </c>
      <c r="K172" s="19" t="s">
        <v>762</v>
      </c>
      <c r="L172" s="3" t="s">
        <v>2220</v>
      </c>
      <c r="M172" s="3" t="s">
        <v>2234</v>
      </c>
      <c r="N172" s="3" t="s">
        <v>2258</v>
      </c>
    </row>
    <row r="173" spans="1:14" x14ac:dyDescent="0.25">
      <c r="A173" s="15" t="s">
        <v>2107</v>
      </c>
      <c r="B173" s="17" t="s">
        <v>2199</v>
      </c>
      <c r="C173" s="6" t="s">
        <v>28</v>
      </c>
      <c r="D173" s="6" t="s">
        <v>28</v>
      </c>
      <c r="E173" s="7" t="s">
        <v>2108</v>
      </c>
      <c r="F173" s="20">
        <v>46054</v>
      </c>
      <c r="G173" s="17">
        <v>3</v>
      </c>
      <c r="H173" t="s">
        <v>1683</v>
      </c>
      <c r="I173" s="32">
        <v>50000</v>
      </c>
      <c r="J173" s="19" t="s">
        <v>761</v>
      </c>
      <c r="K173" s="6" t="s">
        <v>762</v>
      </c>
      <c r="L173" s="3" t="s">
        <v>2220</v>
      </c>
      <c r="M173" s="3" t="s">
        <v>2234</v>
      </c>
      <c r="N173" s="3" t="s">
        <v>2258</v>
      </c>
    </row>
    <row r="174" spans="1:14" x14ac:dyDescent="0.25">
      <c r="A174" s="14" t="s">
        <v>2107</v>
      </c>
      <c r="B174" s="16" t="s">
        <v>2199</v>
      </c>
      <c r="C174" s="19" t="s">
        <v>28</v>
      </c>
      <c r="D174" s="19" t="s">
        <v>28</v>
      </c>
      <c r="E174" s="10" t="s">
        <v>2108</v>
      </c>
      <c r="F174" s="20">
        <v>46054</v>
      </c>
      <c r="G174" s="16">
        <v>3</v>
      </c>
      <c r="H174" s="11" t="s">
        <v>953</v>
      </c>
      <c r="I174" s="31">
        <v>500004</v>
      </c>
      <c r="J174" s="19" t="s">
        <v>761</v>
      </c>
      <c r="K174" s="19" t="s">
        <v>762</v>
      </c>
      <c r="L174" s="3" t="s">
        <v>2220</v>
      </c>
      <c r="M174" s="3" t="s">
        <v>2234</v>
      </c>
      <c r="N174" s="3" t="s">
        <v>2258</v>
      </c>
    </row>
    <row r="175" spans="1:14" x14ac:dyDescent="0.25">
      <c r="A175" s="15" t="s">
        <v>2115</v>
      </c>
      <c r="B175" s="17" t="s">
        <v>2199</v>
      </c>
      <c r="C175" s="6" t="s">
        <v>28</v>
      </c>
      <c r="D175" s="6" t="s">
        <v>28</v>
      </c>
      <c r="E175" s="7" t="s">
        <v>2116</v>
      </c>
      <c r="F175" s="20">
        <v>46266</v>
      </c>
      <c r="G175" s="17">
        <v>4</v>
      </c>
      <c r="H175" t="s">
        <v>359</v>
      </c>
      <c r="I175" s="32">
        <v>679980</v>
      </c>
      <c r="J175" s="19" t="s">
        <v>761</v>
      </c>
      <c r="K175" s="6" t="s">
        <v>762</v>
      </c>
      <c r="L175" s="3" t="s">
        <v>2220</v>
      </c>
      <c r="M175" s="3" t="s">
        <v>2234</v>
      </c>
      <c r="N175" s="3" t="s">
        <v>2258</v>
      </c>
    </row>
    <row r="176" spans="1:14" x14ac:dyDescent="0.25">
      <c r="A176" s="14" t="s">
        <v>2115</v>
      </c>
      <c r="B176" s="16" t="s">
        <v>2199</v>
      </c>
      <c r="C176" s="19" t="s">
        <v>28</v>
      </c>
      <c r="D176" s="19" t="s">
        <v>28</v>
      </c>
      <c r="E176" s="10" t="s">
        <v>2116</v>
      </c>
      <c r="F176" s="20">
        <v>46266</v>
      </c>
      <c r="G176" s="16">
        <v>4</v>
      </c>
      <c r="H176" s="11" t="s">
        <v>2118</v>
      </c>
      <c r="I176" s="31">
        <v>1000000</v>
      </c>
      <c r="J176" s="19" t="s">
        <v>761</v>
      </c>
      <c r="K176" s="19" t="s">
        <v>762</v>
      </c>
      <c r="L176" s="3" t="s">
        <v>2220</v>
      </c>
      <c r="M176" s="3" t="s">
        <v>2234</v>
      </c>
      <c r="N176" s="3" t="s">
        <v>2258</v>
      </c>
    </row>
    <row r="177" spans="1:14" x14ac:dyDescent="0.25">
      <c r="A177" s="15" t="s">
        <v>2115</v>
      </c>
      <c r="B177" s="17" t="s">
        <v>2199</v>
      </c>
      <c r="C177" s="6" t="s">
        <v>28</v>
      </c>
      <c r="D177" s="6" t="s">
        <v>28</v>
      </c>
      <c r="E177" s="7" t="s">
        <v>2116</v>
      </c>
      <c r="F177" s="20">
        <v>46266</v>
      </c>
      <c r="G177" s="17">
        <v>4</v>
      </c>
      <c r="H177" t="s">
        <v>2120</v>
      </c>
      <c r="I177" s="32">
        <v>186000</v>
      </c>
      <c r="J177" s="19" t="s">
        <v>761</v>
      </c>
      <c r="K177" s="6" t="s">
        <v>762</v>
      </c>
      <c r="L177" s="3" t="s">
        <v>2220</v>
      </c>
      <c r="M177" s="3" t="s">
        <v>2234</v>
      </c>
      <c r="N177" s="3" t="s">
        <v>2258</v>
      </c>
    </row>
    <row r="178" spans="1:14" x14ac:dyDescent="0.25">
      <c r="A178" s="14" t="s">
        <v>2115</v>
      </c>
      <c r="B178" s="16" t="s">
        <v>2199</v>
      </c>
      <c r="C178" s="19" t="s">
        <v>28</v>
      </c>
      <c r="D178" s="19" t="s">
        <v>28</v>
      </c>
      <c r="E178" s="10" t="s">
        <v>2116</v>
      </c>
      <c r="F178" s="20">
        <v>46266</v>
      </c>
      <c r="G178" s="16">
        <v>4</v>
      </c>
      <c r="H178" s="11" t="s">
        <v>2119</v>
      </c>
      <c r="I178" s="31">
        <v>360000</v>
      </c>
      <c r="J178" s="19" t="s">
        <v>761</v>
      </c>
      <c r="K178" s="19" t="s">
        <v>762</v>
      </c>
      <c r="L178" s="3" t="s">
        <v>2220</v>
      </c>
      <c r="M178" s="3" t="s">
        <v>2234</v>
      </c>
      <c r="N178" s="3" t="s">
        <v>2258</v>
      </c>
    </row>
    <row r="179" spans="1:14" x14ac:dyDescent="0.25">
      <c r="A179" s="15" t="s">
        <v>2183</v>
      </c>
      <c r="B179" s="17" t="s">
        <v>2199</v>
      </c>
      <c r="C179" s="6" t="s">
        <v>28</v>
      </c>
      <c r="D179" s="6" t="s">
        <v>28</v>
      </c>
      <c r="E179" s="7" t="s">
        <v>2184</v>
      </c>
      <c r="F179" s="20">
        <v>46143</v>
      </c>
      <c r="G179" s="17">
        <v>11</v>
      </c>
      <c r="H179" t="s">
        <v>2188</v>
      </c>
      <c r="I179" s="32">
        <v>960000</v>
      </c>
      <c r="J179" s="19" t="s">
        <v>761</v>
      </c>
      <c r="K179" s="6" t="s">
        <v>762</v>
      </c>
      <c r="L179" s="3" t="s">
        <v>2220</v>
      </c>
      <c r="M179" s="3" t="s">
        <v>2234</v>
      </c>
      <c r="N179" s="3" t="s">
        <v>2258</v>
      </c>
    </row>
    <row r="180" spans="1:14" x14ac:dyDescent="0.25">
      <c r="A180" s="14" t="s">
        <v>2183</v>
      </c>
      <c r="B180" s="16" t="s">
        <v>2199</v>
      </c>
      <c r="C180" s="19" t="s">
        <v>28</v>
      </c>
      <c r="D180" s="19" t="s">
        <v>28</v>
      </c>
      <c r="E180" s="10" t="s">
        <v>2184</v>
      </c>
      <c r="F180" s="20">
        <v>46143</v>
      </c>
      <c r="G180" s="16">
        <v>11</v>
      </c>
      <c r="H180" s="11" t="s">
        <v>2191</v>
      </c>
      <c r="I180" s="31">
        <v>500004</v>
      </c>
      <c r="J180" s="19" t="s">
        <v>761</v>
      </c>
      <c r="K180" s="19" t="s">
        <v>762</v>
      </c>
      <c r="L180" s="3" t="s">
        <v>2220</v>
      </c>
      <c r="M180" s="3" t="s">
        <v>2234</v>
      </c>
      <c r="N180" s="3" t="s">
        <v>2258</v>
      </c>
    </row>
    <row r="181" spans="1:14" x14ac:dyDescent="0.25">
      <c r="A181" s="15" t="s">
        <v>2183</v>
      </c>
      <c r="B181" s="17" t="s">
        <v>2199</v>
      </c>
      <c r="C181" s="6" t="s">
        <v>28</v>
      </c>
      <c r="D181" s="6" t="s">
        <v>28</v>
      </c>
      <c r="E181" s="7" t="s">
        <v>2184</v>
      </c>
      <c r="F181" s="20">
        <v>46143</v>
      </c>
      <c r="G181" s="17">
        <v>11</v>
      </c>
      <c r="H181" t="s">
        <v>2187</v>
      </c>
      <c r="I181" s="32">
        <v>1201970</v>
      </c>
      <c r="J181" s="19" t="s">
        <v>761</v>
      </c>
      <c r="K181" s="6" t="s">
        <v>762</v>
      </c>
      <c r="L181" s="3" t="s">
        <v>2220</v>
      </c>
      <c r="M181" s="3" t="s">
        <v>2234</v>
      </c>
      <c r="N181" s="3" t="s">
        <v>2258</v>
      </c>
    </row>
    <row r="182" spans="1:14" x14ac:dyDescent="0.25">
      <c r="A182" s="14" t="s">
        <v>2183</v>
      </c>
      <c r="B182" s="16" t="s">
        <v>2199</v>
      </c>
      <c r="C182" s="19" t="s">
        <v>28</v>
      </c>
      <c r="D182" s="19" t="s">
        <v>28</v>
      </c>
      <c r="E182" s="10" t="s">
        <v>2184</v>
      </c>
      <c r="F182" s="20">
        <v>46143</v>
      </c>
      <c r="G182" s="16">
        <v>11</v>
      </c>
      <c r="H182" s="11" t="s">
        <v>855</v>
      </c>
      <c r="I182" s="31">
        <v>2563440</v>
      </c>
      <c r="J182" s="19" t="s">
        <v>761</v>
      </c>
      <c r="K182" s="19" t="s">
        <v>762</v>
      </c>
      <c r="L182" s="3" t="s">
        <v>2220</v>
      </c>
      <c r="M182" s="3" t="s">
        <v>2234</v>
      </c>
      <c r="N182" s="3" t="s">
        <v>2258</v>
      </c>
    </row>
    <row r="183" spans="1:14" x14ac:dyDescent="0.25">
      <c r="A183" s="15" t="s">
        <v>2183</v>
      </c>
      <c r="B183" s="17" t="s">
        <v>2199</v>
      </c>
      <c r="C183" s="6" t="s">
        <v>28</v>
      </c>
      <c r="D183" s="6" t="s">
        <v>28</v>
      </c>
      <c r="E183" s="7" t="s">
        <v>2184</v>
      </c>
      <c r="F183" s="20">
        <v>46143</v>
      </c>
      <c r="G183" s="17">
        <v>11</v>
      </c>
      <c r="H183" t="s">
        <v>2190</v>
      </c>
      <c r="I183" s="32">
        <v>549000</v>
      </c>
      <c r="J183" s="19" t="s">
        <v>761</v>
      </c>
      <c r="K183" s="6" t="s">
        <v>762</v>
      </c>
      <c r="L183" s="3" t="s">
        <v>2220</v>
      </c>
      <c r="M183" s="3" t="s">
        <v>2234</v>
      </c>
      <c r="N183" s="3" t="s">
        <v>2258</v>
      </c>
    </row>
    <row r="184" spans="1:14" x14ac:dyDescent="0.25">
      <c r="A184" s="14" t="s">
        <v>2183</v>
      </c>
      <c r="B184" s="16" t="s">
        <v>2199</v>
      </c>
      <c r="C184" s="19" t="s">
        <v>28</v>
      </c>
      <c r="D184" s="19" t="s">
        <v>28</v>
      </c>
      <c r="E184" s="10" t="s">
        <v>2184</v>
      </c>
      <c r="F184" s="20">
        <v>46143</v>
      </c>
      <c r="G184" s="16">
        <v>11</v>
      </c>
      <c r="H184" s="11" t="s">
        <v>2194</v>
      </c>
      <c r="I184" s="31">
        <v>55008</v>
      </c>
      <c r="J184" s="19" t="s">
        <v>761</v>
      </c>
      <c r="K184" s="19" t="s">
        <v>762</v>
      </c>
      <c r="L184" s="3" t="s">
        <v>2220</v>
      </c>
      <c r="M184" s="3" t="s">
        <v>2234</v>
      </c>
      <c r="N184" s="3" t="s">
        <v>2258</v>
      </c>
    </row>
    <row r="185" spans="1:14" x14ac:dyDescent="0.25">
      <c r="A185" s="15" t="s">
        <v>2183</v>
      </c>
      <c r="B185" s="17" t="s">
        <v>2199</v>
      </c>
      <c r="C185" s="6" t="s">
        <v>28</v>
      </c>
      <c r="D185" s="6" t="s">
        <v>28</v>
      </c>
      <c r="E185" s="7" t="s">
        <v>2184</v>
      </c>
      <c r="F185" s="20">
        <v>46143</v>
      </c>
      <c r="G185" s="17">
        <v>11</v>
      </c>
      <c r="H185" t="s">
        <v>2193</v>
      </c>
      <c r="I185" s="32">
        <v>120000</v>
      </c>
      <c r="J185" s="19" t="s">
        <v>761</v>
      </c>
      <c r="K185" s="6" t="s">
        <v>762</v>
      </c>
      <c r="L185" s="3" t="s">
        <v>2220</v>
      </c>
      <c r="M185" s="3" t="s">
        <v>2234</v>
      </c>
      <c r="N185" s="3" t="s">
        <v>2258</v>
      </c>
    </row>
    <row r="186" spans="1:14" x14ac:dyDescent="0.25">
      <c r="A186" s="14" t="s">
        <v>2183</v>
      </c>
      <c r="B186" s="16" t="s">
        <v>2199</v>
      </c>
      <c r="C186" s="19" t="s">
        <v>28</v>
      </c>
      <c r="D186" s="19" t="s">
        <v>28</v>
      </c>
      <c r="E186" s="10" t="s">
        <v>2184</v>
      </c>
      <c r="F186" s="20">
        <v>46143</v>
      </c>
      <c r="G186" s="16">
        <v>11</v>
      </c>
      <c r="H186" s="11" t="s">
        <v>2192</v>
      </c>
      <c r="I186" s="31">
        <v>290017</v>
      </c>
      <c r="J186" s="19" t="s">
        <v>761</v>
      </c>
      <c r="K186" s="19" t="s">
        <v>762</v>
      </c>
      <c r="L186" s="3" t="s">
        <v>2220</v>
      </c>
      <c r="M186" s="3" t="s">
        <v>2234</v>
      </c>
      <c r="N186" s="3" t="s">
        <v>2258</v>
      </c>
    </row>
    <row r="187" spans="1:14" x14ac:dyDescent="0.25">
      <c r="A187" s="15" t="s">
        <v>2183</v>
      </c>
      <c r="B187" s="17" t="s">
        <v>2199</v>
      </c>
      <c r="C187" s="6" t="s">
        <v>28</v>
      </c>
      <c r="D187" s="6" t="s">
        <v>28</v>
      </c>
      <c r="E187" s="7" t="s">
        <v>2184</v>
      </c>
      <c r="F187" s="20">
        <v>46143</v>
      </c>
      <c r="G187" s="17">
        <v>11</v>
      </c>
      <c r="H187" t="s">
        <v>2189</v>
      </c>
      <c r="I187" s="32">
        <v>948047</v>
      </c>
      <c r="J187" s="19" t="s">
        <v>761</v>
      </c>
      <c r="K187" s="6" t="s">
        <v>762</v>
      </c>
      <c r="L187" s="3" t="s">
        <v>2220</v>
      </c>
      <c r="M187" s="3" t="s">
        <v>2234</v>
      </c>
      <c r="N187" s="3" t="s">
        <v>2258</v>
      </c>
    </row>
    <row r="188" spans="1:14" x14ac:dyDescent="0.25">
      <c r="A188" s="14" t="s">
        <v>2183</v>
      </c>
      <c r="B188" s="16" t="s">
        <v>2199</v>
      </c>
      <c r="C188" s="19" t="s">
        <v>28</v>
      </c>
      <c r="D188" s="19" t="s">
        <v>28</v>
      </c>
      <c r="E188" s="10" t="s">
        <v>2184</v>
      </c>
      <c r="F188" s="20">
        <v>46143</v>
      </c>
      <c r="G188" s="16">
        <v>11</v>
      </c>
      <c r="H188" s="11" t="s">
        <v>2186</v>
      </c>
      <c r="I188" s="31">
        <v>4093285</v>
      </c>
      <c r="J188" s="19" t="s">
        <v>761</v>
      </c>
      <c r="K188" s="19" t="s">
        <v>762</v>
      </c>
      <c r="L188" s="3" t="s">
        <v>2220</v>
      </c>
      <c r="M188" s="3" t="s">
        <v>2234</v>
      </c>
      <c r="N188" s="3" t="s">
        <v>2258</v>
      </c>
    </row>
    <row r="189" spans="1:14" x14ac:dyDescent="0.25">
      <c r="A189" s="15" t="s">
        <v>2183</v>
      </c>
      <c r="B189" s="17" t="s">
        <v>2199</v>
      </c>
      <c r="C189" s="6" t="s">
        <v>28</v>
      </c>
      <c r="D189" s="6" t="s">
        <v>28</v>
      </c>
      <c r="E189" s="7" t="s">
        <v>2184</v>
      </c>
      <c r="F189" s="20">
        <v>46143</v>
      </c>
      <c r="G189" s="17">
        <v>11</v>
      </c>
      <c r="H189" t="s">
        <v>2195</v>
      </c>
      <c r="I189" s="32">
        <v>30000</v>
      </c>
      <c r="J189" s="19" t="s">
        <v>761</v>
      </c>
      <c r="K189" s="6" t="s">
        <v>762</v>
      </c>
      <c r="L189" s="3" t="s">
        <v>2220</v>
      </c>
      <c r="M189" s="3" t="s">
        <v>2234</v>
      </c>
      <c r="N189" s="3" t="s">
        <v>2258</v>
      </c>
    </row>
    <row r="190" spans="1:14" x14ac:dyDescent="0.25">
      <c r="A190" s="14" t="s">
        <v>1575</v>
      </c>
      <c r="B190" s="16" t="s">
        <v>2199</v>
      </c>
      <c r="C190" s="19" t="s">
        <v>374</v>
      </c>
      <c r="D190" s="19" t="s">
        <v>374</v>
      </c>
      <c r="E190" s="10" t="s">
        <v>1576</v>
      </c>
      <c r="F190" s="20">
        <v>46054</v>
      </c>
      <c r="G190" s="16">
        <v>7</v>
      </c>
      <c r="H190" s="11" t="s">
        <v>1580</v>
      </c>
      <c r="I190" s="31">
        <v>2760000</v>
      </c>
      <c r="J190" s="19" t="s">
        <v>761</v>
      </c>
      <c r="K190" s="19" t="s">
        <v>762</v>
      </c>
      <c r="L190" s="3" t="s">
        <v>2220</v>
      </c>
      <c r="M190" s="3" t="s">
        <v>2234</v>
      </c>
      <c r="N190" s="3" t="s">
        <v>2258</v>
      </c>
    </row>
    <row r="191" spans="1:14" x14ac:dyDescent="0.25">
      <c r="A191" s="15" t="s">
        <v>1575</v>
      </c>
      <c r="B191" s="17" t="s">
        <v>2199</v>
      </c>
      <c r="C191" s="6" t="s">
        <v>374</v>
      </c>
      <c r="D191" s="6" t="s">
        <v>374</v>
      </c>
      <c r="E191" s="7" t="s">
        <v>1576</v>
      </c>
      <c r="F191" s="20">
        <v>46054</v>
      </c>
      <c r="G191" s="17">
        <v>7</v>
      </c>
      <c r="H191" t="s">
        <v>1579</v>
      </c>
      <c r="I191" s="32">
        <v>450000</v>
      </c>
      <c r="J191" s="19" t="s">
        <v>761</v>
      </c>
      <c r="K191" s="6" t="s">
        <v>762</v>
      </c>
      <c r="L191" s="3" t="s">
        <v>2220</v>
      </c>
      <c r="M191" s="3" t="s">
        <v>2234</v>
      </c>
      <c r="N191" s="3" t="s">
        <v>2258</v>
      </c>
    </row>
    <row r="192" spans="1:14" x14ac:dyDescent="0.25">
      <c r="A192" s="14" t="s">
        <v>1575</v>
      </c>
      <c r="B192" s="16" t="s">
        <v>2199</v>
      </c>
      <c r="C192" s="19" t="s">
        <v>374</v>
      </c>
      <c r="D192" s="19" t="s">
        <v>374</v>
      </c>
      <c r="E192" s="10" t="s">
        <v>1576</v>
      </c>
      <c r="F192" s="20">
        <v>46054</v>
      </c>
      <c r="G192" s="16">
        <v>7</v>
      </c>
      <c r="H192" s="11" t="s">
        <v>1582</v>
      </c>
      <c r="I192" s="31">
        <v>800000</v>
      </c>
      <c r="J192" s="19" t="s">
        <v>761</v>
      </c>
      <c r="K192" s="19" t="s">
        <v>762</v>
      </c>
      <c r="L192" s="3" t="s">
        <v>2220</v>
      </c>
      <c r="M192" s="3" t="s">
        <v>2234</v>
      </c>
      <c r="N192" s="3" t="s">
        <v>2258</v>
      </c>
    </row>
    <row r="193" spans="1:14" x14ac:dyDescent="0.25">
      <c r="A193" s="15" t="s">
        <v>1575</v>
      </c>
      <c r="B193" s="17" t="s">
        <v>2199</v>
      </c>
      <c r="C193" s="6" t="s">
        <v>374</v>
      </c>
      <c r="D193" s="6" t="s">
        <v>374</v>
      </c>
      <c r="E193" s="7" t="s">
        <v>1576</v>
      </c>
      <c r="F193" s="20">
        <v>46054</v>
      </c>
      <c r="G193" s="17">
        <v>7</v>
      </c>
      <c r="H193" t="s">
        <v>1583</v>
      </c>
      <c r="I193" s="32">
        <v>240000</v>
      </c>
      <c r="J193" s="19" t="s">
        <v>761</v>
      </c>
      <c r="K193" s="6" t="s">
        <v>762</v>
      </c>
      <c r="L193" s="3" t="s">
        <v>2220</v>
      </c>
      <c r="M193" s="3" t="s">
        <v>2234</v>
      </c>
      <c r="N193" s="3" t="s">
        <v>2258</v>
      </c>
    </row>
    <row r="194" spans="1:14" x14ac:dyDescent="0.25">
      <c r="A194" s="14" t="s">
        <v>1575</v>
      </c>
      <c r="B194" s="16" t="s">
        <v>2199</v>
      </c>
      <c r="C194" s="19" t="s">
        <v>374</v>
      </c>
      <c r="D194" s="19" t="s">
        <v>374</v>
      </c>
      <c r="E194" s="10" t="s">
        <v>1576</v>
      </c>
      <c r="F194" s="20">
        <v>46054</v>
      </c>
      <c r="G194" s="16">
        <v>7</v>
      </c>
      <c r="H194" s="11" t="s">
        <v>1578</v>
      </c>
      <c r="I194" s="31">
        <v>120000</v>
      </c>
      <c r="J194" s="19" t="s">
        <v>761</v>
      </c>
      <c r="K194" s="19" t="s">
        <v>762</v>
      </c>
      <c r="L194" s="3" t="s">
        <v>2220</v>
      </c>
      <c r="M194" s="3" t="s">
        <v>2234</v>
      </c>
      <c r="N194" s="3" t="s">
        <v>2258</v>
      </c>
    </row>
    <row r="195" spans="1:14" x14ac:dyDescent="0.25">
      <c r="A195" s="15" t="s">
        <v>1575</v>
      </c>
      <c r="B195" s="17" t="s">
        <v>2199</v>
      </c>
      <c r="C195" s="6" t="s">
        <v>374</v>
      </c>
      <c r="D195" s="6" t="s">
        <v>374</v>
      </c>
      <c r="E195" s="7" t="s">
        <v>1576</v>
      </c>
      <c r="F195" s="20">
        <v>46054</v>
      </c>
      <c r="G195" s="17">
        <v>7</v>
      </c>
      <c r="H195" t="s">
        <v>1584</v>
      </c>
      <c r="I195" s="32">
        <v>30000</v>
      </c>
      <c r="J195" s="19" t="s">
        <v>761</v>
      </c>
      <c r="K195" s="6" t="s">
        <v>762</v>
      </c>
      <c r="L195" s="3" t="s">
        <v>2220</v>
      </c>
      <c r="M195" s="3" t="s">
        <v>2234</v>
      </c>
      <c r="N195" s="3" t="s">
        <v>2258</v>
      </c>
    </row>
    <row r="196" spans="1:14" x14ac:dyDescent="0.25">
      <c r="A196" s="14" t="s">
        <v>1575</v>
      </c>
      <c r="B196" s="16" t="s">
        <v>2199</v>
      </c>
      <c r="C196" s="19" t="s">
        <v>374</v>
      </c>
      <c r="D196" s="19" t="s">
        <v>374</v>
      </c>
      <c r="E196" s="10" t="s">
        <v>1576</v>
      </c>
      <c r="F196" s="20">
        <v>46054</v>
      </c>
      <c r="G196" s="16">
        <v>7</v>
      </c>
      <c r="H196" s="11" t="s">
        <v>1581</v>
      </c>
      <c r="I196" s="31">
        <v>2310000</v>
      </c>
      <c r="J196" s="19" t="s">
        <v>761</v>
      </c>
      <c r="K196" s="19" t="s">
        <v>762</v>
      </c>
      <c r="L196" s="3" t="s">
        <v>2220</v>
      </c>
      <c r="M196" s="3" t="s">
        <v>2234</v>
      </c>
      <c r="N196" s="3" t="s">
        <v>2258</v>
      </c>
    </row>
    <row r="197" spans="1:14" x14ac:dyDescent="0.25">
      <c r="A197" s="15" t="s">
        <v>1595</v>
      </c>
      <c r="B197" s="17" t="s">
        <v>2199</v>
      </c>
      <c r="C197" s="6" t="s">
        <v>374</v>
      </c>
      <c r="D197" s="6" t="s">
        <v>374</v>
      </c>
      <c r="E197" s="7" t="s">
        <v>1597</v>
      </c>
      <c r="F197" s="20">
        <v>46054</v>
      </c>
      <c r="G197" s="17">
        <v>1</v>
      </c>
      <c r="H197" t="s">
        <v>1599</v>
      </c>
      <c r="I197" s="32">
        <v>360000</v>
      </c>
      <c r="J197" s="19" t="s">
        <v>761</v>
      </c>
      <c r="K197" s="6" t="s">
        <v>762</v>
      </c>
      <c r="L197" s="3" t="s">
        <v>2220</v>
      </c>
      <c r="M197" s="3" t="s">
        <v>2234</v>
      </c>
      <c r="N197" s="3" t="s">
        <v>2258</v>
      </c>
    </row>
    <row r="198" spans="1:14" x14ac:dyDescent="0.25">
      <c r="A198" s="14" t="s">
        <v>1650</v>
      </c>
      <c r="B198" s="16" t="s">
        <v>2199</v>
      </c>
      <c r="C198" s="19" t="s">
        <v>374</v>
      </c>
      <c r="D198" s="19" t="s">
        <v>374</v>
      </c>
      <c r="E198" s="10" t="s">
        <v>1651</v>
      </c>
      <c r="F198" s="20">
        <v>46143</v>
      </c>
      <c r="G198" s="16">
        <v>1</v>
      </c>
      <c r="H198" s="11" t="s">
        <v>1653</v>
      </c>
      <c r="I198" s="31">
        <v>200004</v>
      </c>
      <c r="J198" s="19" t="s">
        <v>761</v>
      </c>
      <c r="K198" s="19" t="s">
        <v>762</v>
      </c>
      <c r="L198" s="3" t="s">
        <v>2220</v>
      </c>
      <c r="M198" s="3" t="s">
        <v>2234</v>
      </c>
      <c r="N198" s="3" t="s">
        <v>2258</v>
      </c>
    </row>
    <row r="199" spans="1:14" x14ac:dyDescent="0.25">
      <c r="A199" s="15" t="s">
        <v>1654</v>
      </c>
      <c r="B199" s="17" t="s">
        <v>2199</v>
      </c>
      <c r="C199" s="6" t="s">
        <v>374</v>
      </c>
      <c r="D199" s="6" t="s">
        <v>374</v>
      </c>
      <c r="E199" s="7" t="s">
        <v>1655</v>
      </c>
      <c r="F199" s="20">
        <v>46143</v>
      </c>
      <c r="G199" s="17">
        <v>3</v>
      </c>
      <c r="H199" t="s">
        <v>1592</v>
      </c>
      <c r="I199" s="32">
        <v>150000</v>
      </c>
      <c r="J199" s="19" t="s">
        <v>761</v>
      </c>
      <c r="K199" s="6" t="s">
        <v>762</v>
      </c>
      <c r="L199" s="3" t="s">
        <v>2220</v>
      </c>
      <c r="M199" s="3" t="s">
        <v>2234</v>
      </c>
      <c r="N199" s="3" t="s">
        <v>2258</v>
      </c>
    </row>
    <row r="200" spans="1:14" x14ac:dyDescent="0.25">
      <c r="A200" s="14" t="s">
        <v>1654</v>
      </c>
      <c r="B200" s="16" t="s">
        <v>2199</v>
      </c>
      <c r="C200" s="19" t="s">
        <v>374</v>
      </c>
      <c r="D200" s="19" t="s">
        <v>374</v>
      </c>
      <c r="E200" s="10" t="s">
        <v>1655</v>
      </c>
      <c r="F200" s="20">
        <v>46143</v>
      </c>
      <c r="G200" s="16">
        <v>3</v>
      </c>
      <c r="H200" s="11" t="s">
        <v>1656</v>
      </c>
      <c r="I200" s="31">
        <v>60000</v>
      </c>
      <c r="J200" s="19" t="s">
        <v>761</v>
      </c>
      <c r="K200" s="19" t="s">
        <v>762</v>
      </c>
      <c r="L200" s="3" t="s">
        <v>2220</v>
      </c>
      <c r="M200" s="3" t="s">
        <v>2234</v>
      </c>
      <c r="N200" s="3" t="s">
        <v>2258</v>
      </c>
    </row>
    <row r="201" spans="1:14" x14ac:dyDescent="0.25">
      <c r="A201" s="15" t="s">
        <v>1654</v>
      </c>
      <c r="B201" s="17" t="s">
        <v>2199</v>
      </c>
      <c r="C201" s="6" t="s">
        <v>374</v>
      </c>
      <c r="D201" s="6" t="s">
        <v>374</v>
      </c>
      <c r="E201" s="7" t="s">
        <v>1655</v>
      </c>
      <c r="F201" s="20">
        <v>46143</v>
      </c>
      <c r="G201" s="17">
        <v>3</v>
      </c>
      <c r="H201" t="s">
        <v>1593</v>
      </c>
      <c r="I201" s="32">
        <v>70000</v>
      </c>
      <c r="J201" s="19" t="s">
        <v>761</v>
      </c>
      <c r="K201" s="6" t="s">
        <v>762</v>
      </c>
      <c r="L201" s="3" t="s">
        <v>2220</v>
      </c>
      <c r="M201" s="3" t="s">
        <v>2234</v>
      </c>
      <c r="N201" s="3" t="s">
        <v>2258</v>
      </c>
    </row>
    <row r="202" spans="1:14" x14ac:dyDescent="0.25">
      <c r="A202" s="14" t="s">
        <v>2159</v>
      </c>
      <c r="B202" s="16" t="s">
        <v>2199</v>
      </c>
      <c r="C202" s="19" t="s">
        <v>374</v>
      </c>
      <c r="D202" s="19" t="s">
        <v>374</v>
      </c>
      <c r="E202" s="10" t="s">
        <v>2160</v>
      </c>
      <c r="F202" s="20">
        <v>46054</v>
      </c>
      <c r="G202" s="16">
        <v>7</v>
      </c>
      <c r="H202" s="11" t="s">
        <v>2165</v>
      </c>
      <c r="I202" s="31">
        <v>500000</v>
      </c>
      <c r="J202" s="19" t="s">
        <v>761</v>
      </c>
      <c r="K202" s="19" t="s">
        <v>762</v>
      </c>
      <c r="L202" s="3" t="s">
        <v>2220</v>
      </c>
      <c r="M202" s="3" t="s">
        <v>2234</v>
      </c>
      <c r="N202" s="3" t="s">
        <v>2258</v>
      </c>
    </row>
    <row r="203" spans="1:14" x14ac:dyDescent="0.25">
      <c r="A203" s="15" t="s">
        <v>2159</v>
      </c>
      <c r="B203" s="17" t="s">
        <v>2199</v>
      </c>
      <c r="C203" s="6" t="s">
        <v>374</v>
      </c>
      <c r="D203" s="6" t="s">
        <v>374</v>
      </c>
      <c r="E203" s="7" t="s">
        <v>2160</v>
      </c>
      <c r="F203" s="20">
        <v>46054</v>
      </c>
      <c r="G203" s="17">
        <v>7</v>
      </c>
      <c r="H203" t="s">
        <v>2164</v>
      </c>
      <c r="I203" s="32">
        <v>470007</v>
      </c>
      <c r="J203" s="19" t="s">
        <v>761</v>
      </c>
      <c r="K203" s="6" t="s">
        <v>762</v>
      </c>
      <c r="L203" s="3" t="s">
        <v>2220</v>
      </c>
      <c r="M203" s="3" t="s">
        <v>2234</v>
      </c>
      <c r="N203" s="3" t="s">
        <v>2258</v>
      </c>
    </row>
    <row r="204" spans="1:14" x14ac:dyDescent="0.25">
      <c r="A204" s="14" t="s">
        <v>2159</v>
      </c>
      <c r="B204" s="16" t="s">
        <v>2199</v>
      </c>
      <c r="C204" s="19" t="s">
        <v>374</v>
      </c>
      <c r="D204" s="19" t="s">
        <v>374</v>
      </c>
      <c r="E204" s="10" t="s">
        <v>2160</v>
      </c>
      <c r="F204" s="20">
        <v>46174</v>
      </c>
      <c r="G204" s="16">
        <v>7</v>
      </c>
      <c r="H204" s="11" t="s">
        <v>2163</v>
      </c>
      <c r="I204" s="31">
        <v>2060002</v>
      </c>
      <c r="J204" s="19" t="s">
        <v>761</v>
      </c>
      <c r="K204" s="19" t="s">
        <v>762</v>
      </c>
      <c r="L204" s="3" t="s">
        <v>2220</v>
      </c>
      <c r="M204" s="3" t="s">
        <v>2234</v>
      </c>
      <c r="N204" s="3" t="s">
        <v>2258</v>
      </c>
    </row>
    <row r="205" spans="1:14" x14ac:dyDescent="0.25">
      <c r="A205" s="15" t="s">
        <v>2159</v>
      </c>
      <c r="B205" s="17" t="s">
        <v>2199</v>
      </c>
      <c r="C205" s="6" t="s">
        <v>374</v>
      </c>
      <c r="D205" s="6" t="s">
        <v>374</v>
      </c>
      <c r="E205" s="7" t="s">
        <v>2160</v>
      </c>
      <c r="F205" s="20">
        <v>46174</v>
      </c>
      <c r="G205" s="17">
        <v>7</v>
      </c>
      <c r="H205" t="s">
        <v>1578</v>
      </c>
      <c r="I205" s="32">
        <v>120000</v>
      </c>
      <c r="J205" s="19" t="s">
        <v>761</v>
      </c>
      <c r="K205" s="6" t="s">
        <v>762</v>
      </c>
      <c r="L205" s="3" t="s">
        <v>2220</v>
      </c>
      <c r="M205" s="3" t="s">
        <v>2234</v>
      </c>
      <c r="N205" s="3" t="s">
        <v>2258</v>
      </c>
    </row>
    <row r="206" spans="1:14" x14ac:dyDescent="0.25">
      <c r="A206" s="14" t="s">
        <v>2159</v>
      </c>
      <c r="B206" s="16" t="s">
        <v>2199</v>
      </c>
      <c r="C206" s="19" t="s">
        <v>374</v>
      </c>
      <c r="D206" s="19" t="s">
        <v>374</v>
      </c>
      <c r="E206" s="10" t="s">
        <v>2160</v>
      </c>
      <c r="F206" s="20">
        <v>46174</v>
      </c>
      <c r="G206" s="16">
        <v>7</v>
      </c>
      <c r="H206" s="11" t="s">
        <v>820</v>
      </c>
      <c r="I206" s="31">
        <v>700000</v>
      </c>
      <c r="J206" s="19" t="s">
        <v>761</v>
      </c>
      <c r="K206" s="19" t="s">
        <v>762</v>
      </c>
      <c r="L206" s="3" t="s">
        <v>2220</v>
      </c>
      <c r="M206" s="3" t="s">
        <v>2234</v>
      </c>
      <c r="N206" s="3" t="s">
        <v>2258</v>
      </c>
    </row>
    <row r="207" spans="1:14" x14ac:dyDescent="0.25">
      <c r="A207" s="15" t="s">
        <v>2159</v>
      </c>
      <c r="B207" s="17" t="s">
        <v>2199</v>
      </c>
      <c r="C207" s="6" t="s">
        <v>374</v>
      </c>
      <c r="D207" s="6" t="s">
        <v>374</v>
      </c>
      <c r="E207" s="7" t="s">
        <v>2160</v>
      </c>
      <c r="F207" s="20">
        <v>46054</v>
      </c>
      <c r="G207" s="17">
        <v>7</v>
      </c>
      <c r="H207" t="s">
        <v>2161</v>
      </c>
      <c r="I207" s="32">
        <v>2700016</v>
      </c>
      <c r="J207" s="19" t="s">
        <v>761</v>
      </c>
      <c r="K207" s="6" t="s">
        <v>762</v>
      </c>
      <c r="L207" s="3" t="s">
        <v>2220</v>
      </c>
      <c r="M207" s="3" t="s">
        <v>2234</v>
      </c>
      <c r="N207" s="3" t="s">
        <v>2258</v>
      </c>
    </row>
    <row r="208" spans="1:14" x14ac:dyDescent="0.25">
      <c r="A208" s="14" t="s">
        <v>2159</v>
      </c>
      <c r="B208" s="16" t="s">
        <v>2199</v>
      </c>
      <c r="C208" s="19" t="s">
        <v>374</v>
      </c>
      <c r="D208" s="19" t="s">
        <v>374</v>
      </c>
      <c r="E208" s="10" t="s">
        <v>2160</v>
      </c>
      <c r="F208" s="20">
        <v>46054</v>
      </c>
      <c r="G208" s="16">
        <v>7</v>
      </c>
      <c r="H208" s="11" t="s">
        <v>2162</v>
      </c>
      <c r="I208" s="31">
        <v>1260000</v>
      </c>
      <c r="J208" s="19" t="s">
        <v>761</v>
      </c>
      <c r="K208" s="19" t="s">
        <v>762</v>
      </c>
      <c r="L208" s="3" t="s">
        <v>2220</v>
      </c>
      <c r="M208" s="3" t="s">
        <v>2234</v>
      </c>
      <c r="N208" s="3" t="s">
        <v>2258</v>
      </c>
    </row>
    <row r="209" spans="1:14" x14ac:dyDescent="0.25">
      <c r="A209" s="15" t="s">
        <v>2181</v>
      </c>
      <c r="B209" s="17" t="s">
        <v>2199</v>
      </c>
      <c r="C209" s="6" t="s">
        <v>374</v>
      </c>
      <c r="D209" s="6" t="s">
        <v>374</v>
      </c>
      <c r="E209" s="7" t="s">
        <v>2182</v>
      </c>
      <c r="F209" s="20">
        <v>46143</v>
      </c>
      <c r="G209" s="17">
        <v>1</v>
      </c>
      <c r="H209" t="s">
        <v>1653</v>
      </c>
      <c r="I209" s="32">
        <v>280008</v>
      </c>
      <c r="J209" s="19" t="s">
        <v>761</v>
      </c>
      <c r="K209" s="6" t="s">
        <v>762</v>
      </c>
      <c r="L209" s="3" t="s">
        <v>2220</v>
      </c>
      <c r="M209" s="3" t="s">
        <v>2234</v>
      </c>
      <c r="N209" s="3" t="s">
        <v>2258</v>
      </c>
    </row>
    <row r="210" spans="1:14" x14ac:dyDescent="0.25">
      <c r="A210" s="14" t="s">
        <v>1645</v>
      </c>
      <c r="B210" s="16" t="s">
        <v>2199</v>
      </c>
      <c r="C210" s="19" t="s">
        <v>374</v>
      </c>
      <c r="D210" s="19" t="s">
        <v>374</v>
      </c>
      <c r="E210" s="10" t="s">
        <v>1646</v>
      </c>
      <c r="F210" s="20">
        <v>46235</v>
      </c>
      <c r="G210" s="16">
        <v>1</v>
      </c>
      <c r="H210" s="11" t="s">
        <v>1648</v>
      </c>
      <c r="I210" s="31">
        <v>4160004</v>
      </c>
      <c r="J210" s="19" t="s">
        <v>1649</v>
      </c>
      <c r="K210" s="19" t="s">
        <v>762</v>
      </c>
      <c r="L210" s="3" t="s">
        <v>2220</v>
      </c>
      <c r="M210" s="3" t="s">
        <v>2234</v>
      </c>
      <c r="N210" s="3" t="s">
        <v>2258</v>
      </c>
    </row>
    <row r="211" spans="1:14" x14ac:dyDescent="0.25">
      <c r="A211" s="15" t="s">
        <v>1228</v>
      </c>
      <c r="B211" s="17" t="s">
        <v>2199</v>
      </c>
      <c r="C211" s="6" t="s">
        <v>28</v>
      </c>
      <c r="D211" s="6" t="s">
        <v>28</v>
      </c>
      <c r="E211" s="7" t="s">
        <v>1229</v>
      </c>
      <c r="F211" s="20">
        <v>46023</v>
      </c>
      <c r="G211" s="17">
        <v>2</v>
      </c>
      <c r="H211" t="s">
        <v>781</v>
      </c>
      <c r="I211" s="32">
        <v>30000</v>
      </c>
      <c r="J211" s="19" t="s">
        <v>1231</v>
      </c>
      <c r="K211" s="6" t="s">
        <v>65</v>
      </c>
      <c r="L211" s="3" t="s">
        <v>2226</v>
      </c>
      <c r="M211" s="3" t="s">
        <v>2262</v>
      </c>
      <c r="N211" s="3" t="s">
        <v>2226</v>
      </c>
    </row>
    <row r="212" spans="1:14" x14ac:dyDescent="0.25">
      <c r="A212" s="14" t="s">
        <v>1228</v>
      </c>
      <c r="B212" s="16" t="s">
        <v>2199</v>
      </c>
      <c r="C212" s="19" t="s">
        <v>28</v>
      </c>
      <c r="D212" s="19" t="s">
        <v>28</v>
      </c>
      <c r="E212" s="10" t="s">
        <v>1229</v>
      </c>
      <c r="F212" s="20">
        <v>46023</v>
      </c>
      <c r="G212" s="16">
        <v>2</v>
      </c>
      <c r="H212" s="11" t="s">
        <v>1233</v>
      </c>
      <c r="I212" s="31">
        <v>900000</v>
      </c>
      <c r="J212" s="19" t="s">
        <v>1231</v>
      </c>
      <c r="K212" s="19" t="s">
        <v>65</v>
      </c>
      <c r="L212" s="3" t="s">
        <v>2226</v>
      </c>
      <c r="M212" s="3" t="s">
        <v>2262</v>
      </c>
      <c r="N212" s="3" t="s">
        <v>2226</v>
      </c>
    </row>
    <row r="213" spans="1:14" x14ac:dyDescent="0.25">
      <c r="A213" s="15" t="s">
        <v>1234</v>
      </c>
      <c r="B213" s="17" t="s">
        <v>2199</v>
      </c>
      <c r="C213" s="6" t="s">
        <v>28</v>
      </c>
      <c r="D213" s="6" t="s">
        <v>28</v>
      </c>
      <c r="E213" s="7" t="s">
        <v>1235</v>
      </c>
      <c r="F213" s="20">
        <v>46023</v>
      </c>
      <c r="G213" s="17">
        <v>1</v>
      </c>
      <c r="H213" t="s">
        <v>1237</v>
      </c>
      <c r="I213" s="32">
        <v>1400000</v>
      </c>
      <c r="J213" s="19" t="s">
        <v>1231</v>
      </c>
      <c r="K213" s="6" t="s">
        <v>65</v>
      </c>
      <c r="L213" s="3" t="s">
        <v>2226</v>
      </c>
      <c r="M213" s="3" t="s">
        <v>2262</v>
      </c>
      <c r="N213" s="3" t="s">
        <v>2226</v>
      </c>
    </row>
    <row r="214" spans="1:14" x14ac:dyDescent="0.25">
      <c r="A214" s="14" t="s">
        <v>1395</v>
      </c>
      <c r="B214" s="16" t="s">
        <v>2199</v>
      </c>
      <c r="C214" s="19" t="s">
        <v>28</v>
      </c>
      <c r="D214" s="19" t="s">
        <v>28</v>
      </c>
      <c r="E214" s="10" t="s">
        <v>1396</v>
      </c>
      <c r="F214" s="20">
        <v>46054</v>
      </c>
      <c r="G214" s="16">
        <v>1</v>
      </c>
      <c r="H214" s="11" t="s">
        <v>1133</v>
      </c>
      <c r="I214" s="31">
        <v>500004</v>
      </c>
      <c r="J214" s="19" t="s">
        <v>1231</v>
      </c>
      <c r="K214" s="19" t="s">
        <v>65</v>
      </c>
      <c r="L214" s="3" t="s">
        <v>2226</v>
      </c>
      <c r="M214" s="3" t="s">
        <v>2262</v>
      </c>
      <c r="N214" s="3" t="s">
        <v>2226</v>
      </c>
    </row>
    <row r="215" spans="1:14" x14ac:dyDescent="0.25">
      <c r="A215" s="15" t="s">
        <v>1436</v>
      </c>
      <c r="B215" s="17" t="s">
        <v>2199</v>
      </c>
      <c r="C215" s="6" t="s">
        <v>28</v>
      </c>
      <c r="D215" s="6" t="s">
        <v>28</v>
      </c>
      <c r="E215" s="7" t="s">
        <v>1438</v>
      </c>
      <c r="F215" s="20">
        <v>46235</v>
      </c>
      <c r="G215" s="17">
        <v>3</v>
      </c>
      <c r="H215" t="s">
        <v>1440</v>
      </c>
      <c r="I215" s="32">
        <v>50000</v>
      </c>
      <c r="J215" s="19" t="s">
        <v>1231</v>
      </c>
      <c r="K215" s="6" t="s">
        <v>65</v>
      </c>
      <c r="L215" s="3" t="s">
        <v>2226</v>
      </c>
      <c r="M215" s="3" t="s">
        <v>2262</v>
      </c>
      <c r="N215" s="3" t="s">
        <v>2226</v>
      </c>
    </row>
    <row r="216" spans="1:14" x14ac:dyDescent="0.25">
      <c r="A216" s="14" t="s">
        <v>1436</v>
      </c>
      <c r="B216" s="16" t="s">
        <v>2199</v>
      </c>
      <c r="C216" s="19" t="s">
        <v>28</v>
      </c>
      <c r="D216" s="19" t="s">
        <v>28</v>
      </c>
      <c r="E216" s="10" t="s">
        <v>1438</v>
      </c>
      <c r="F216" s="20">
        <v>46235</v>
      </c>
      <c r="G216" s="16">
        <v>3</v>
      </c>
      <c r="H216" s="11" t="s">
        <v>1441</v>
      </c>
      <c r="I216" s="31">
        <v>420000</v>
      </c>
      <c r="J216" s="19" t="s">
        <v>1231</v>
      </c>
      <c r="K216" s="19" t="s">
        <v>65</v>
      </c>
      <c r="L216" s="3" t="s">
        <v>2226</v>
      </c>
      <c r="M216" s="3" t="s">
        <v>2262</v>
      </c>
      <c r="N216" s="3" t="s">
        <v>2226</v>
      </c>
    </row>
    <row r="217" spans="1:14" x14ac:dyDescent="0.25">
      <c r="A217" s="15" t="s">
        <v>1436</v>
      </c>
      <c r="B217" s="17" t="s">
        <v>2199</v>
      </c>
      <c r="C217" s="6" t="s">
        <v>28</v>
      </c>
      <c r="D217" s="6" t="s">
        <v>28</v>
      </c>
      <c r="E217" s="7" t="s">
        <v>1438</v>
      </c>
      <c r="F217" s="20">
        <v>46235</v>
      </c>
      <c r="G217" s="17">
        <v>3</v>
      </c>
      <c r="H217" t="s">
        <v>1276</v>
      </c>
      <c r="I217" s="32">
        <v>30000</v>
      </c>
      <c r="J217" s="19" t="s">
        <v>1231</v>
      </c>
      <c r="K217" s="6" t="s">
        <v>65</v>
      </c>
      <c r="L217" s="3" t="s">
        <v>2226</v>
      </c>
      <c r="M217" s="3" t="s">
        <v>2262</v>
      </c>
      <c r="N217" s="3" t="s">
        <v>2226</v>
      </c>
    </row>
    <row r="218" spans="1:14" x14ac:dyDescent="0.25">
      <c r="A218" s="14" t="s">
        <v>1667</v>
      </c>
      <c r="B218" s="16" t="s">
        <v>2199</v>
      </c>
      <c r="C218" s="19" t="s">
        <v>28</v>
      </c>
      <c r="D218" s="19" t="s">
        <v>28</v>
      </c>
      <c r="E218" s="10" t="s">
        <v>1668</v>
      </c>
      <c r="F218" s="20">
        <v>46082</v>
      </c>
      <c r="G218" s="16">
        <v>3</v>
      </c>
      <c r="H218" s="11" t="s">
        <v>359</v>
      </c>
      <c r="I218" s="31">
        <v>367136</v>
      </c>
      <c r="J218" s="19" t="s">
        <v>1231</v>
      </c>
      <c r="K218" s="19" t="s">
        <v>65</v>
      </c>
      <c r="L218" s="3" t="s">
        <v>2226</v>
      </c>
      <c r="M218" s="3" t="s">
        <v>2262</v>
      </c>
      <c r="N218" s="3" t="s">
        <v>2226</v>
      </c>
    </row>
    <row r="219" spans="1:14" x14ac:dyDescent="0.25">
      <c r="A219" s="15" t="s">
        <v>1667</v>
      </c>
      <c r="B219" s="17" t="s">
        <v>2199</v>
      </c>
      <c r="C219" s="6" t="s">
        <v>28</v>
      </c>
      <c r="D219" s="6" t="s">
        <v>28</v>
      </c>
      <c r="E219" s="7" t="s">
        <v>1668</v>
      </c>
      <c r="F219" s="20">
        <v>46054</v>
      </c>
      <c r="G219" s="17">
        <v>3</v>
      </c>
      <c r="H219" t="s">
        <v>1670</v>
      </c>
      <c r="I219" s="32">
        <v>150000</v>
      </c>
      <c r="J219" s="19" t="s">
        <v>1231</v>
      </c>
      <c r="K219" s="6" t="s">
        <v>65</v>
      </c>
      <c r="L219" s="3" t="s">
        <v>2226</v>
      </c>
      <c r="M219" s="3" t="s">
        <v>2262</v>
      </c>
      <c r="N219" s="3" t="s">
        <v>2226</v>
      </c>
    </row>
    <row r="220" spans="1:14" x14ac:dyDescent="0.25">
      <c r="A220" s="14" t="s">
        <v>1667</v>
      </c>
      <c r="B220" s="16" t="s">
        <v>2199</v>
      </c>
      <c r="C220" s="19" t="s">
        <v>28</v>
      </c>
      <c r="D220" s="19" t="s">
        <v>28</v>
      </c>
      <c r="E220" s="10" t="s">
        <v>1668</v>
      </c>
      <c r="F220" s="20">
        <v>46054</v>
      </c>
      <c r="G220" s="16">
        <v>3</v>
      </c>
      <c r="H220" s="11" t="s">
        <v>1671</v>
      </c>
      <c r="I220" s="31">
        <v>25017</v>
      </c>
      <c r="J220" s="19" t="s">
        <v>1231</v>
      </c>
      <c r="K220" s="19" t="s">
        <v>65</v>
      </c>
      <c r="L220" s="3" t="s">
        <v>2226</v>
      </c>
      <c r="M220" s="3" t="s">
        <v>2262</v>
      </c>
      <c r="N220" s="3" t="s">
        <v>2226</v>
      </c>
    </row>
    <row r="221" spans="1:14" x14ac:dyDescent="0.25">
      <c r="A221" s="15" t="s">
        <v>2144</v>
      </c>
      <c r="B221" s="17" t="s">
        <v>2199</v>
      </c>
      <c r="C221" s="6" t="s">
        <v>28</v>
      </c>
      <c r="D221" s="6" t="s">
        <v>28</v>
      </c>
      <c r="E221" s="7" t="s">
        <v>2145</v>
      </c>
      <c r="F221" s="20">
        <v>46113</v>
      </c>
      <c r="G221" s="17">
        <v>4</v>
      </c>
      <c r="H221" t="s">
        <v>359</v>
      </c>
      <c r="I221" s="32">
        <v>364000</v>
      </c>
      <c r="J221" s="19" t="s">
        <v>1231</v>
      </c>
      <c r="K221" s="6" t="s">
        <v>65</v>
      </c>
      <c r="L221" s="3" t="s">
        <v>2226</v>
      </c>
      <c r="M221" s="3" t="s">
        <v>2262</v>
      </c>
      <c r="N221" s="3" t="s">
        <v>2226</v>
      </c>
    </row>
    <row r="222" spans="1:14" x14ac:dyDescent="0.25">
      <c r="A222" s="14" t="s">
        <v>2144</v>
      </c>
      <c r="B222" s="16" t="s">
        <v>2199</v>
      </c>
      <c r="C222" s="19" t="s">
        <v>28</v>
      </c>
      <c r="D222" s="19" t="s">
        <v>28</v>
      </c>
      <c r="E222" s="10" t="s">
        <v>2145</v>
      </c>
      <c r="F222" s="20">
        <v>46113</v>
      </c>
      <c r="G222" s="16">
        <v>4</v>
      </c>
      <c r="H222" s="11" t="s">
        <v>2147</v>
      </c>
      <c r="I222" s="31">
        <v>166036</v>
      </c>
      <c r="J222" s="19" t="s">
        <v>1231</v>
      </c>
      <c r="K222" s="19" t="s">
        <v>65</v>
      </c>
      <c r="L222" s="3" t="s">
        <v>2226</v>
      </c>
      <c r="M222" s="3" t="s">
        <v>2262</v>
      </c>
      <c r="N222" s="3" t="s">
        <v>2226</v>
      </c>
    </row>
    <row r="223" spans="1:14" x14ac:dyDescent="0.25">
      <c r="A223" s="15" t="s">
        <v>2144</v>
      </c>
      <c r="B223" s="17" t="s">
        <v>2199</v>
      </c>
      <c r="C223" s="6" t="s">
        <v>28</v>
      </c>
      <c r="D223" s="6" t="s">
        <v>28</v>
      </c>
      <c r="E223" s="7" t="s">
        <v>2145</v>
      </c>
      <c r="F223" s="20">
        <v>46113</v>
      </c>
      <c r="G223" s="17">
        <v>4</v>
      </c>
      <c r="H223" t="s">
        <v>855</v>
      </c>
      <c r="I223" s="32">
        <v>73472</v>
      </c>
      <c r="J223" s="19" t="s">
        <v>1231</v>
      </c>
      <c r="K223" s="6" t="s">
        <v>65</v>
      </c>
      <c r="L223" s="3" t="s">
        <v>2226</v>
      </c>
      <c r="M223" s="3" t="s">
        <v>2262</v>
      </c>
      <c r="N223" s="3" t="s">
        <v>2226</v>
      </c>
    </row>
    <row r="224" spans="1:14" x14ac:dyDescent="0.25">
      <c r="A224" s="14" t="s">
        <v>2144</v>
      </c>
      <c r="B224" s="16" t="s">
        <v>2199</v>
      </c>
      <c r="C224" s="19" t="s">
        <v>28</v>
      </c>
      <c r="D224" s="19" t="s">
        <v>28</v>
      </c>
      <c r="E224" s="10" t="s">
        <v>2145</v>
      </c>
      <c r="F224" s="20">
        <v>46113</v>
      </c>
      <c r="G224" s="16">
        <v>4</v>
      </c>
      <c r="H224" s="11" t="s">
        <v>2148</v>
      </c>
      <c r="I224" s="31">
        <v>1350000</v>
      </c>
      <c r="J224" s="19" t="s">
        <v>1231</v>
      </c>
      <c r="K224" s="19" t="s">
        <v>65</v>
      </c>
      <c r="L224" s="3" t="s">
        <v>2226</v>
      </c>
      <c r="M224" s="3" t="s">
        <v>2262</v>
      </c>
      <c r="N224" s="3" t="s">
        <v>2226</v>
      </c>
    </row>
    <row r="225" spans="1:14" x14ac:dyDescent="0.25">
      <c r="A225" s="15" t="s">
        <v>2166</v>
      </c>
      <c r="B225" s="17" t="s">
        <v>2199</v>
      </c>
      <c r="C225" s="6" t="s">
        <v>28</v>
      </c>
      <c r="D225" s="6" t="s">
        <v>28</v>
      </c>
      <c r="E225" s="7" t="s">
        <v>2167</v>
      </c>
      <c r="F225" s="20">
        <v>46054</v>
      </c>
      <c r="G225" s="17">
        <v>3</v>
      </c>
      <c r="H225" t="s">
        <v>1550</v>
      </c>
      <c r="I225" s="32">
        <v>40000</v>
      </c>
      <c r="J225" s="19" t="s">
        <v>1231</v>
      </c>
      <c r="K225" s="6" t="s">
        <v>65</v>
      </c>
      <c r="L225" s="3" t="s">
        <v>2226</v>
      </c>
      <c r="M225" s="3" t="s">
        <v>2262</v>
      </c>
      <c r="N225" s="3" t="s">
        <v>2226</v>
      </c>
    </row>
    <row r="226" spans="1:14" x14ac:dyDescent="0.25">
      <c r="A226" s="14" t="s">
        <v>2166</v>
      </c>
      <c r="B226" s="16" t="s">
        <v>2199</v>
      </c>
      <c r="C226" s="19" t="s">
        <v>28</v>
      </c>
      <c r="D226" s="19" t="s">
        <v>28</v>
      </c>
      <c r="E226" s="10" t="s">
        <v>2167</v>
      </c>
      <c r="F226" s="20">
        <v>46054</v>
      </c>
      <c r="G226" s="16">
        <v>3</v>
      </c>
      <c r="H226" s="11" t="s">
        <v>486</v>
      </c>
      <c r="I226" s="31">
        <v>275496</v>
      </c>
      <c r="J226" s="19" t="s">
        <v>1231</v>
      </c>
      <c r="K226" s="19" t="s">
        <v>65</v>
      </c>
      <c r="L226" s="3" t="s">
        <v>2226</v>
      </c>
      <c r="M226" s="3" t="s">
        <v>2262</v>
      </c>
      <c r="N226" s="3" t="s">
        <v>2226</v>
      </c>
    </row>
    <row r="227" spans="1:14" x14ac:dyDescent="0.25">
      <c r="A227" s="15" t="s">
        <v>2166</v>
      </c>
      <c r="B227" s="17" t="s">
        <v>2199</v>
      </c>
      <c r="C227" s="6" t="s">
        <v>28</v>
      </c>
      <c r="D227" s="6" t="s">
        <v>28</v>
      </c>
      <c r="E227" s="7" t="s">
        <v>2167</v>
      </c>
      <c r="F227" s="20">
        <v>46054</v>
      </c>
      <c r="G227" s="17">
        <v>3</v>
      </c>
      <c r="H227" t="s">
        <v>832</v>
      </c>
      <c r="I227" s="32">
        <v>80000</v>
      </c>
      <c r="J227" s="19" t="s">
        <v>1231</v>
      </c>
      <c r="K227" s="6" t="s">
        <v>65</v>
      </c>
      <c r="L227" s="3" t="s">
        <v>2226</v>
      </c>
      <c r="M227" s="3" t="s">
        <v>2262</v>
      </c>
      <c r="N227" s="3" t="s">
        <v>2226</v>
      </c>
    </row>
    <row r="228" spans="1:14" x14ac:dyDescent="0.25">
      <c r="A228" s="14" t="s">
        <v>59</v>
      </c>
      <c r="B228" s="16" t="s">
        <v>2196</v>
      </c>
      <c r="C228" s="16" t="s">
        <v>2196</v>
      </c>
      <c r="D228" s="19" t="s">
        <v>28</v>
      </c>
      <c r="E228" s="10" t="s">
        <v>60</v>
      </c>
      <c r="F228" s="20">
        <v>45413</v>
      </c>
      <c r="G228" s="16">
        <v>1</v>
      </c>
      <c r="H228" s="11" t="s">
        <v>62</v>
      </c>
      <c r="I228" s="31">
        <v>43333332</v>
      </c>
      <c r="J228" s="19" t="s">
        <v>1231</v>
      </c>
      <c r="K228" s="19" t="s">
        <v>65</v>
      </c>
      <c r="L228" s="3" t="s">
        <v>2226</v>
      </c>
      <c r="M228" s="3" t="s">
        <v>2262</v>
      </c>
      <c r="N228" s="3" t="s">
        <v>2226</v>
      </c>
    </row>
    <row r="229" spans="1:14" x14ac:dyDescent="0.25">
      <c r="A229" s="15" t="s">
        <v>165</v>
      </c>
      <c r="B229" s="17" t="s">
        <v>2196</v>
      </c>
      <c r="C229" s="17" t="s">
        <v>2196</v>
      </c>
      <c r="D229" s="6" t="s">
        <v>28</v>
      </c>
      <c r="E229" s="7" t="s">
        <v>167</v>
      </c>
      <c r="F229" s="20">
        <v>45444</v>
      </c>
      <c r="G229" s="17">
        <v>1</v>
      </c>
      <c r="H229" t="s">
        <v>62</v>
      </c>
      <c r="I229" s="32">
        <v>10000004</v>
      </c>
      <c r="J229" s="19" t="s">
        <v>565</v>
      </c>
      <c r="K229" s="6" t="s">
        <v>65</v>
      </c>
      <c r="L229" s="3" t="s">
        <v>2226</v>
      </c>
      <c r="M229" s="3" t="s">
        <v>2262</v>
      </c>
      <c r="N229" s="3" t="s">
        <v>2226</v>
      </c>
    </row>
    <row r="230" spans="1:14" x14ac:dyDescent="0.25">
      <c r="A230" s="14" t="s">
        <v>560</v>
      </c>
      <c r="B230" s="16" t="s">
        <v>2196</v>
      </c>
      <c r="C230" s="16" t="s">
        <v>2196</v>
      </c>
      <c r="D230" s="19" t="s">
        <v>28</v>
      </c>
      <c r="E230" s="10" t="s">
        <v>562</v>
      </c>
      <c r="F230" s="20">
        <v>45992</v>
      </c>
      <c r="G230" s="16">
        <v>1</v>
      </c>
      <c r="H230" s="11" t="s">
        <v>564</v>
      </c>
      <c r="I230" s="31">
        <v>69333336</v>
      </c>
      <c r="J230" s="19" t="s">
        <v>565</v>
      </c>
      <c r="K230" s="19" t="s">
        <v>65</v>
      </c>
      <c r="L230" s="3" t="s">
        <v>2226</v>
      </c>
      <c r="M230" s="3" t="s">
        <v>2262</v>
      </c>
      <c r="N230" s="3" t="s">
        <v>2226</v>
      </c>
    </row>
    <row r="231" spans="1:14" x14ac:dyDescent="0.25">
      <c r="A231" s="15" t="s">
        <v>482</v>
      </c>
      <c r="B231" s="17" t="s">
        <v>2196</v>
      </c>
      <c r="C231" s="17" t="s">
        <v>2196</v>
      </c>
      <c r="D231" s="6" t="s">
        <v>28</v>
      </c>
      <c r="E231" s="7" t="s">
        <v>484</v>
      </c>
      <c r="F231" s="20">
        <v>45870</v>
      </c>
      <c r="G231" s="17">
        <v>1</v>
      </c>
      <c r="H231" t="s">
        <v>486</v>
      </c>
      <c r="I231" s="32">
        <v>16817500</v>
      </c>
      <c r="J231" s="19" t="s">
        <v>487</v>
      </c>
      <c r="K231" s="6" t="s">
        <v>488</v>
      </c>
      <c r="L231" s="3" t="s">
        <v>2244</v>
      </c>
      <c r="M231" s="3" t="s">
        <v>2256</v>
      </c>
      <c r="N231" s="3" t="s">
        <v>2268</v>
      </c>
    </row>
    <row r="232" spans="1:14" x14ac:dyDescent="0.25">
      <c r="A232" s="14" t="s">
        <v>605</v>
      </c>
      <c r="B232" s="16" t="s">
        <v>2199</v>
      </c>
      <c r="C232" s="19" t="s">
        <v>374</v>
      </c>
      <c r="D232" s="19" t="s">
        <v>374</v>
      </c>
      <c r="E232" s="10" t="s">
        <v>607</v>
      </c>
      <c r="F232" s="20">
        <v>46143</v>
      </c>
      <c r="G232" s="16">
        <v>2</v>
      </c>
      <c r="H232" s="11" t="s">
        <v>613</v>
      </c>
      <c r="I232" s="31">
        <v>30000000</v>
      </c>
      <c r="J232" s="19" t="s">
        <v>609</v>
      </c>
      <c r="K232" s="19" t="s">
        <v>610</v>
      </c>
      <c r="L232" s="3" t="s">
        <v>2221</v>
      </c>
      <c r="M232" s="3" t="s">
        <v>2234</v>
      </c>
      <c r="N232" s="3" t="s">
        <v>2259</v>
      </c>
    </row>
    <row r="233" spans="1:14" x14ac:dyDescent="0.25">
      <c r="A233" s="15" t="s">
        <v>605</v>
      </c>
      <c r="B233" s="17" t="s">
        <v>2199</v>
      </c>
      <c r="C233" s="6" t="s">
        <v>374</v>
      </c>
      <c r="D233" s="6" t="s">
        <v>374</v>
      </c>
      <c r="E233" s="7" t="s">
        <v>607</v>
      </c>
      <c r="F233" s="20">
        <v>46113</v>
      </c>
      <c r="G233" s="17">
        <v>2</v>
      </c>
      <c r="H233" t="s">
        <v>288</v>
      </c>
      <c r="I233" s="32">
        <v>30000000</v>
      </c>
      <c r="J233" s="19" t="s">
        <v>609</v>
      </c>
      <c r="K233" s="6" t="s">
        <v>610</v>
      </c>
      <c r="L233" s="3" t="s">
        <v>2221</v>
      </c>
      <c r="M233" s="3" t="s">
        <v>2234</v>
      </c>
      <c r="N233" s="3" t="s">
        <v>2259</v>
      </c>
    </row>
    <row r="234" spans="1:14" x14ac:dyDescent="0.25">
      <c r="A234" s="14" t="s">
        <v>568</v>
      </c>
      <c r="B234" s="16" t="s">
        <v>2199</v>
      </c>
      <c r="C234" s="19" t="s">
        <v>567</v>
      </c>
      <c r="D234" s="19" t="s">
        <v>567</v>
      </c>
      <c r="E234" s="10" t="s">
        <v>570</v>
      </c>
      <c r="F234" s="20">
        <v>46327</v>
      </c>
      <c r="G234" s="16">
        <v>8</v>
      </c>
      <c r="H234" s="11" t="s">
        <v>583</v>
      </c>
      <c r="I234" s="31">
        <v>18000000</v>
      </c>
      <c r="J234" s="19" t="s">
        <v>573</v>
      </c>
      <c r="K234" s="19" t="s">
        <v>574</v>
      </c>
      <c r="L234" s="3" t="s">
        <v>2227</v>
      </c>
      <c r="M234" s="3" t="s">
        <v>2227</v>
      </c>
      <c r="N234" s="3" t="s">
        <v>2263</v>
      </c>
    </row>
    <row r="235" spans="1:14" x14ac:dyDescent="0.25">
      <c r="A235" s="15" t="s">
        <v>568</v>
      </c>
      <c r="B235" s="17" t="s">
        <v>2199</v>
      </c>
      <c r="C235" s="6" t="s">
        <v>567</v>
      </c>
      <c r="D235" s="6" t="s">
        <v>567</v>
      </c>
      <c r="E235" s="7" t="s">
        <v>570</v>
      </c>
      <c r="F235" s="20">
        <v>46174</v>
      </c>
      <c r="G235" s="17">
        <v>8</v>
      </c>
      <c r="H235" t="s">
        <v>577</v>
      </c>
      <c r="I235" s="32">
        <v>1000000</v>
      </c>
      <c r="J235" s="19" t="s">
        <v>573</v>
      </c>
      <c r="K235" s="6" t="s">
        <v>574</v>
      </c>
      <c r="L235" s="3" t="s">
        <v>2227</v>
      </c>
      <c r="M235" s="3" t="s">
        <v>2227</v>
      </c>
      <c r="N235" s="3" t="s">
        <v>2263</v>
      </c>
    </row>
    <row r="236" spans="1:14" x14ac:dyDescent="0.25">
      <c r="A236" s="14" t="s">
        <v>568</v>
      </c>
      <c r="B236" s="16" t="s">
        <v>2199</v>
      </c>
      <c r="C236" s="19" t="s">
        <v>567</v>
      </c>
      <c r="D236" s="19" t="s">
        <v>567</v>
      </c>
      <c r="E236" s="10" t="s">
        <v>570</v>
      </c>
      <c r="F236" s="20">
        <v>46174</v>
      </c>
      <c r="G236" s="16">
        <v>8</v>
      </c>
      <c r="H236" s="11" t="s">
        <v>578</v>
      </c>
      <c r="I236" s="31">
        <v>2000000</v>
      </c>
      <c r="J236" s="19" t="s">
        <v>573</v>
      </c>
      <c r="K236" s="19" t="s">
        <v>574</v>
      </c>
      <c r="L236" s="3" t="s">
        <v>2227</v>
      </c>
      <c r="M236" s="3" t="s">
        <v>2227</v>
      </c>
      <c r="N236" s="3" t="s">
        <v>2263</v>
      </c>
    </row>
    <row r="237" spans="1:14" x14ac:dyDescent="0.25">
      <c r="A237" s="15" t="s">
        <v>568</v>
      </c>
      <c r="B237" s="17" t="s">
        <v>2199</v>
      </c>
      <c r="C237" s="6" t="s">
        <v>567</v>
      </c>
      <c r="D237" s="6" t="s">
        <v>567</v>
      </c>
      <c r="E237" s="7" t="s">
        <v>570</v>
      </c>
      <c r="F237" s="20">
        <v>46296</v>
      </c>
      <c r="G237" s="17">
        <v>8</v>
      </c>
      <c r="H237" t="s">
        <v>580</v>
      </c>
      <c r="I237" s="32">
        <v>35000000</v>
      </c>
      <c r="J237" s="19" t="s">
        <v>573</v>
      </c>
      <c r="K237" s="6" t="s">
        <v>574</v>
      </c>
      <c r="L237" s="3" t="s">
        <v>2227</v>
      </c>
      <c r="M237" s="3" t="s">
        <v>2227</v>
      </c>
      <c r="N237" s="3" t="s">
        <v>2263</v>
      </c>
    </row>
    <row r="238" spans="1:14" x14ac:dyDescent="0.25">
      <c r="A238" s="14" t="s">
        <v>568</v>
      </c>
      <c r="B238" s="16" t="s">
        <v>2199</v>
      </c>
      <c r="C238" s="19" t="s">
        <v>567</v>
      </c>
      <c r="D238" s="19" t="s">
        <v>567</v>
      </c>
      <c r="E238" s="10" t="s">
        <v>570</v>
      </c>
      <c r="F238" s="20">
        <v>46266</v>
      </c>
      <c r="G238" s="16">
        <v>8</v>
      </c>
      <c r="H238" s="11" t="s">
        <v>579</v>
      </c>
      <c r="I238" s="31">
        <v>25000000</v>
      </c>
      <c r="J238" s="19" t="s">
        <v>573</v>
      </c>
      <c r="K238" s="19" t="s">
        <v>574</v>
      </c>
      <c r="L238" s="3" t="s">
        <v>2227</v>
      </c>
      <c r="M238" s="3" t="s">
        <v>2227</v>
      </c>
      <c r="N238" s="3" t="s">
        <v>2263</v>
      </c>
    </row>
    <row r="239" spans="1:14" x14ac:dyDescent="0.25">
      <c r="A239" s="15" t="s">
        <v>568</v>
      </c>
      <c r="B239" s="17" t="s">
        <v>2199</v>
      </c>
      <c r="C239" s="6" t="s">
        <v>567</v>
      </c>
      <c r="D239" s="6" t="s">
        <v>567</v>
      </c>
      <c r="E239" s="7" t="s">
        <v>570</v>
      </c>
      <c r="F239" s="20">
        <v>46327</v>
      </c>
      <c r="G239" s="17">
        <v>8</v>
      </c>
      <c r="H239" t="s">
        <v>582</v>
      </c>
      <c r="I239" s="32">
        <v>20000000</v>
      </c>
      <c r="J239" s="19" t="s">
        <v>573</v>
      </c>
      <c r="K239" s="6" t="s">
        <v>574</v>
      </c>
      <c r="L239" s="3" t="s">
        <v>2227</v>
      </c>
      <c r="M239" s="3" t="s">
        <v>2227</v>
      </c>
      <c r="N239" s="3" t="s">
        <v>2263</v>
      </c>
    </row>
    <row r="240" spans="1:14" x14ac:dyDescent="0.25">
      <c r="A240" s="14" t="s">
        <v>568</v>
      </c>
      <c r="B240" s="16" t="s">
        <v>2199</v>
      </c>
      <c r="C240" s="19" t="s">
        <v>567</v>
      </c>
      <c r="D240" s="19" t="s">
        <v>567</v>
      </c>
      <c r="E240" s="10" t="s">
        <v>570</v>
      </c>
      <c r="F240" s="20">
        <v>46327</v>
      </c>
      <c r="G240" s="16">
        <v>8</v>
      </c>
      <c r="H240" s="11" t="s">
        <v>581</v>
      </c>
      <c r="I240" s="31">
        <v>15000000</v>
      </c>
      <c r="J240" s="19" t="s">
        <v>573</v>
      </c>
      <c r="K240" s="19" t="s">
        <v>574</v>
      </c>
      <c r="L240" s="3" t="s">
        <v>2227</v>
      </c>
      <c r="M240" s="3" t="s">
        <v>2227</v>
      </c>
      <c r="N240" s="3" t="s">
        <v>2263</v>
      </c>
    </row>
    <row r="241" spans="1:14" x14ac:dyDescent="0.25">
      <c r="A241" s="15" t="s">
        <v>568</v>
      </c>
      <c r="B241" s="17" t="s">
        <v>2199</v>
      </c>
      <c r="C241" s="6" t="s">
        <v>567</v>
      </c>
      <c r="D241" s="6" t="s">
        <v>567</v>
      </c>
      <c r="E241" s="7" t="s">
        <v>570</v>
      </c>
      <c r="F241" s="20">
        <v>46113</v>
      </c>
      <c r="G241" s="17">
        <v>8</v>
      </c>
      <c r="H241" t="s">
        <v>572</v>
      </c>
      <c r="I241" s="32">
        <v>40000000</v>
      </c>
      <c r="J241" s="19" t="s">
        <v>573</v>
      </c>
      <c r="K241" s="6" t="s">
        <v>574</v>
      </c>
      <c r="L241" s="3" t="s">
        <v>2227</v>
      </c>
      <c r="M241" s="3" t="s">
        <v>2227</v>
      </c>
      <c r="N241" s="3" t="s">
        <v>2263</v>
      </c>
    </row>
    <row r="242" spans="1:14" x14ac:dyDescent="0.25">
      <c r="A242" s="14" t="s">
        <v>1099</v>
      </c>
      <c r="B242" s="16" t="s">
        <v>2199</v>
      </c>
      <c r="C242" s="19" t="s">
        <v>28</v>
      </c>
      <c r="D242" s="19" t="s">
        <v>28</v>
      </c>
      <c r="E242" s="10" t="s">
        <v>1100</v>
      </c>
      <c r="F242" s="20">
        <v>46174</v>
      </c>
      <c r="G242" s="16">
        <v>2</v>
      </c>
      <c r="H242" s="11" t="s">
        <v>359</v>
      </c>
      <c r="I242" s="31">
        <v>123178</v>
      </c>
      <c r="J242" s="19" t="s">
        <v>457</v>
      </c>
      <c r="K242" s="19" t="s">
        <v>458</v>
      </c>
      <c r="L242" s="3" t="s">
        <v>2228</v>
      </c>
      <c r="M242" s="3" t="s">
        <v>2227</v>
      </c>
      <c r="N242" s="3" t="s">
        <v>2261</v>
      </c>
    </row>
    <row r="243" spans="1:14" x14ac:dyDescent="0.25">
      <c r="A243" s="15" t="s">
        <v>1099</v>
      </c>
      <c r="B243" s="17" t="s">
        <v>2199</v>
      </c>
      <c r="C243" s="6" t="s">
        <v>28</v>
      </c>
      <c r="D243" s="6" t="s">
        <v>28</v>
      </c>
      <c r="E243" s="7" t="s">
        <v>1100</v>
      </c>
      <c r="F243" s="20">
        <v>46174</v>
      </c>
      <c r="G243" s="17">
        <v>2</v>
      </c>
      <c r="H243" t="s">
        <v>855</v>
      </c>
      <c r="I243" s="32">
        <v>60060</v>
      </c>
      <c r="J243" s="19" t="s">
        <v>457</v>
      </c>
      <c r="K243" s="6" t="s">
        <v>458</v>
      </c>
      <c r="L243" s="3" t="s">
        <v>2228</v>
      </c>
      <c r="M243" s="3" t="s">
        <v>2227</v>
      </c>
      <c r="N243" s="3" t="s">
        <v>2261</v>
      </c>
    </row>
    <row r="244" spans="1:14" x14ac:dyDescent="0.25">
      <c r="A244" s="14" t="s">
        <v>1110</v>
      </c>
      <c r="B244" s="16" t="s">
        <v>2199</v>
      </c>
      <c r="C244" s="19" t="s">
        <v>28</v>
      </c>
      <c r="D244" s="19" t="s">
        <v>28</v>
      </c>
      <c r="E244" s="10" t="s">
        <v>1111</v>
      </c>
      <c r="F244" s="20">
        <v>46204</v>
      </c>
      <c r="G244" s="16">
        <v>2</v>
      </c>
      <c r="H244" s="11" t="s">
        <v>359</v>
      </c>
      <c r="I244" s="31">
        <v>150006</v>
      </c>
      <c r="J244" s="19" t="s">
        <v>457</v>
      </c>
      <c r="K244" s="19" t="s">
        <v>458</v>
      </c>
      <c r="L244" s="3" t="s">
        <v>2228</v>
      </c>
      <c r="M244" s="3" t="s">
        <v>2227</v>
      </c>
      <c r="N244" s="3" t="s">
        <v>2261</v>
      </c>
    </row>
    <row r="245" spans="1:14" x14ac:dyDescent="0.25">
      <c r="A245" s="15" t="s">
        <v>1110</v>
      </c>
      <c r="B245" s="17" t="s">
        <v>2199</v>
      </c>
      <c r="C245" s="6" t="s">
        <v>28</v>
      </c>
      <c r="D245" s="6" t="s">
        <v>28</v>
      </c>
      <c r="E245" s="7" t="s">
        <v>1111</v>
      </c>
      <c r="F245" s="20">
        <v>46204</v>
      </c>
      <c r="G245" s="17">
        <v>2</v>
      </c>
      <c r="H245" t="s">
        <v>962</v>
      </c>
      <c r="I245" s="32">
        <v>75040</v>
      </c>
      <c r="J245" s="19" t="s">
        <v>457</v>
      </c>
      <c r="K245" s="6" t="s">
        <v>458</v>
      </c>
      <c r="L245" s="3" t="s">
        <v>2228</v>
      </c>
      <c r="M245" s="3" t="s">
        <v>2227</v>
      </c>
      <c r="N245" s="3" t="s">
        <v>2261</v>
      </c>
    </row>
    <row r="246" spans="1:14" x14ac:dyDescent="0.25">
      <c r="A246" s="14" t="s">
        <v>1679</v>
      </c>
      <c r="B246" s="16" t="s">
        <v>2199</v>
      </c>
      <c r="C246" s="19" t="s">
        <v>28</v>
      </c>
      <c r="D246" s="19" t="s">
        <v>28</v>
      </c>
      <c r="E246" s="10" t="s">
        <v>1680</v>
      </c>
      <c r="F246" s="20">
        <v>46023</v>
      </c>
      <c r="G246" s="16">
        <v>3</v>
      </c>
      <c r="H246" s="11" t="s">
        <v>1550</v>
      </c>
      <c r="I246" s="31">
        <v>18000</v>
      </c>
      <c r="J246" s="19" t="s">
        <v>457</v>
      </c>
      <c r="K246" s="19" t="s">
        <v>1682</v>
      </c>
      <c r="L246" s="3" t="s">
        <v>2228</v>
      </c>
      <c r="M246" s="3" t="s">
        <v>2227</v>
      </c>
      <c r="N246" s="3" t="s">
        <v>2261</v>
      </c>
    </row>
    <row r="247" spans="1:14" x14ac:dyDescent="0.25">
      <c r="A247" s="15" t="s">
        <v>1679</v>
      </c>
      <c r="B247" s="17" t="s">
        <v>2199</v>
      </c>
      <c r="C247" s="6" t="s">
        <v>28</v>
      </c>
      <c r="D247" s="6" t="s">
        <v>28</v>
      </c>
      <c r="E247" s="7" t="s">
        <v>1680</v>
      </c>
      <c r="F247" s="20">
        <v>46023</v>
      </c>
      <c r="G247" s="17">
        <v>3</v>
      </c>
      <c r="H247" t="s">
        <v>486</v>
      </c>
      <c r="I247" s="32">
        <v>184014</v>
      </c>
      <c r="J247" s="19" t="s">
        <v>457</v>
      </c>
      <c r="K247" s="6" t="s">
        <v>1682</v>
      </c>
      <c r="L247" s="3" t="s">
        <v>2228</v>
      </c>
      <c r="M247" s="3" t="s">
        <v>2227</v>
      </c>
      <c r="N247" s="3" t="s">
        <v>2261</v>
      </c>
    </row>
    <row r="248" spans="1:14" x14ac:dyDescent="0.25">
      <c r="A248" s="14" t="s">
        <v>1679</v>
      </c>
      <c r="B248" s="16" t="s">
        <v>2199</v>
      </c>
      <c r="C248" s="19" t="s">
        <v>28</v>
      </c>
      <c r="D248" s="19" t="s">
        <v>28</v>
      </c>
      <c r="E248" s="10" t="s">
        <v>1680</v>
      </c>
      <c r="F248" s="20">
        <v>46023</v>
      </c>
      <c r="G248" s="16">
        <v>3</v>
      </c>
      <c r="H248" s="11" t="s">
        <v>1683</v>
      </c>
      <c r="I248" s="31">
        <v>20000</v>
      </c>
      <c r="J248" s="19" t="s">
        <v>457</v>
      </c>
      <c r="K248" s="19" t="s">
        <v>1682</v>
      </c>
      <c r="L248" s="3" t="s">
        <v>2228</v>
      </c>
      <c r="M248" s="3" t="s">
        <v>2227</v>
      </c>
      <c r="N248" s="3" t="s">
        <v>2261</v>
      </c>
    </row>
    <row r="249" spans="1:14" x14ac:dyDescent="0.25">
      <c r="A249" s="15" t="s">
        <v>452</v>
      </c>
      <c r="B249" s="17" t="s">
        <v>2196</v>
      </c>
      <c r="C249" s="17" t="s">
        <v>2196</v>
      </c>
      <c r="D249" s="6" t="s">
        <v>28</v>
      </c>
      <c r="E249" s="7" t="s">
        <v>454</v>
      </c>
      <c r="F249" s="20">
        <v>45870</v>
      </c>
      <c r="G249" s="17">
        <v>1</v>
      </c>
      <c r="H249" t="s">
        <v>456</v>
      </c>
      <c r="I249" s="32">
        <v>189933326</v>
      </c>
      <c r="J249" s="19" t="s">
        <v>457</v>
      </c>
      <c r="K249" s="6" t="s">
        <v>458</v>
      </c>
      <c r="L249" s="3" t="s">
        <v>2228</v>
      </c>
      <c r="M249" s="3" t="s">
        <v>2227</v>
      </c>
      <c r="N249" s="3" t="s">
        <v>2261</v>
      </c>
    </row>
    <row r="250" spans="1:14" x14ac:dyDescent="0.25">
      <c r="A250" s="14" t="s">
        <v>1921</v>
      </c>
      <c r="B250" s="16" t="s">
        <v>2199</v>
      </c>
      <c r="C250" s="19" t="s">
        <v>28</v>
      </c>
      <c r="D250" s="19" t="s">
        <v>28</v>
      </c>
      <c r="E250" s="10" t="s">
        <v>1922</v>
      </c>
      <c r="F250" s="20">
        <v>46023</v>
      </c>
      <c r="G250" s="16">
        <v>2</v>
      </c>
      <c r="H250" s="11" t="s">
        <v>359</v>
      </c>
      <c r="I250" s="31">
        <v>380078</v>
      </c>
      <c r="J250" s="19" t="s">
        <v>1924</v>
      </c>
      <c r="K250" s="19" t="s">
        <v>1869</v>
      </c>
      <c r="L250" s="3" t="s">
        <v>2229</v>
      </c>
      <c r="M250" s="3" t="s">
        <v>2262</v>
      </c>
      <c r="N250" s="3" t="s">
        <v>2262</v>
      </c>
    </row>
    <row r="251" spans="1:14" x14ac:dyDescent="0.25">
      <c r="A251" s="15" t="s">
        <v>1921</v>
      </c>
      <c r="B251" s="17" t="s">
        <v>2199</v>
      </c>
      <c r="C251" s="6" t="s">
        <v>28</v>
      </c>
      <c r="D251" s="6" t="s">
        <v>28</v>
      </c>
      <c r="E251" s="7" t="s">
        <v>1922</v>
      </c>
      <c r="F251" s="20">
        <v>46023</v>
      </c>
      <c r="G251" s="17">
        <v>2</v>
      </c>
      <c r="H251" t="s">
        <v>855</v>
      </c>
      <c r="I251" s="32">
        <v>131430</v>
      </c>
      <c r="J251" s="19" t="s">
        <v>1924</v>
      </c>
      <c r="K251" s="6" t="s">
        <v>1869</v>
      </c>
      <c r="L251" s="3" t="s">
        <v>2229</v>
      </c>
      <c r="M251" s="3" t="s">
        <v>2262</v>
      </c>
      <c r="N251" s="3" t="s">
        <v>2262</v>
      </c>
    </row>
    <row r="252" spans="1:14" x14ac:dyDescent="0.25">
      <c r="A252" s="14" t="s">
        <v>1793</v>
      </c>
      <c r="B252" s="16" t="s">
        <v>2199</v>
      </c>
      <c r="C252" s="19" t="s">
        <v>28</v>
      </c>
      <c r="D252" s="19" t="s">
        <v>28</v>
      </c>
      <c r="E252" s="10" t="s">
        <v>1794</v>
      </c>
      <c r="F252" s="20">
        <v>46023</v>
      </c>
      <c r="G252" s="16">
        <v>2</v>
      </c>
      <c r="H252" s="11" t="s">
        <v>1796</v>
      </c>
      <c r="I252" s="31">
        <v>65000</v>
      </c>
      <c r="J252" s="19" t="s">
        <v>1797</v>
      </c>
      <c r="K252" s="19" t="s">
        <v>1798</v>
      </c>
      <c r="L252" s="3" t="s">
        <v>2230</v>
      </c>
      <c r="M252" s="3" t="s">
        <v>2227</v>
      </c>
      <c r="N252" s="3" t="s">
        <v>2261</v>
      </c>
    </row>
    <row r="253" spans="1:14" x14ac:dyDescent="0.25">
      <c r="A253" s="15" t="s">
        <v>1793</v>
      </c>
      <c r="B253" s="17" t="s">
        <v>2199</v>
      </c>
      <c r="C253" s="6" t="s">
        <v>28</v>
      </c>
      <c r="D253" s="6" t="s">
        <v>28</v>
      </c>
      <c r="E253" s="7" t="s">
        <v>1794</v>
      </c>
      <c r="F253" s="20">
        <v>46023</v>
      </c>
      <c r="G253" s="17">
        <v>2</v>
      </c>
      <c r="H253" t="s">
        <v>1801</v>
      </c>
      <c r="I253" s="32">
        <v>45000</v>
      </c>
      <c r="J253" s="19" t="s">
        <v>1797</v>
      </c>
      <c r="K253" s="6" t="s">
        <v>1798</v>
      </c>
      <c r="L253" s="3" t="s">
        <v>2230</v>
      </c>
      <c r="M253" s="3" t="s">
        <v>2227</v>
      </c>
      <c r="N253" s="3" t="s">
        <v>2261</v>
      </c>
    </row>
    <row r="254" spans="1:14" x14ac:dyDescent="0.25">
      <c r="A254" s="14" t="s">
        <v>1811</v>
      </c>
      <c r="B254" s="16" t="s">
        <v>2199</v>
      </c>
      <c r="C254" s="19" t="s">
        <v>28</v>
      </c>
      <c r="D254" s="19" t="s">
        <v>28</v>
      </c>
      <c r="E254" s="10" t="s">
        <v>1812</v>
      </c>
      <c r="F254" s="20">
        <v>46023</v>
      </c>
      <c r="G254" s="16">
        <v>1</v>
      </c>
      <c r="H254" s="11" t="s">
        <v>1814</v>
      </c>
      <c r="I254" s="31">
        <v>500000</v>
      </c>
      <c r="J254" s="19" t="s">
        <v>1797</v>
      </c>
      <c r="K254" s="19" t="s">
        <v>1798</v>
      </c>
      <c r="L254" s="3" t="s">
        <v>2230</v>
      </c>
      <c r="M254" s="3" t="s">
        <v>2227</v>
      </c>
      <c r="N254" s="3" t="s">
        <v>2261</v>
      </c>
    </row>
    <row r="255" spans="1:14" x14ac:dyDescent="0.25">
      <c r="A255" s="15" t="s">
        <v>1860</v>
      </c>
      <c r="B255" s="17" t="s">
        <v>2199</v>
      </c>
      <c r="C255" s="6" t="s">
        <v>28</v>
      </c>
      <c r="D255" s="6" t="s">
        <v>28</v>
      </c>
      <c r="E255" s="7" t="s">
        <v>1861</v>
      </c>
      <c r="F255" s="20">
        <v>46023</v>
      </c>
      <c r="G255" s="17">
        <v>3</v>
      </c>
      <c r="H255" t="s">
        <v>1864</v>
      </c>
      <c r="I255" s="32">
        <v>58014</v>
      </c>
      <c r="J255" s="19" t="s">
        <v>1797</v>
      </c>
      <c r="K255" s="6" t="s">
        <v>1798</v>
      </c>
      <c r="L255" s="3" t="s">
        <v>2230</v>
      </c>
      <c r="M255" s="3" t="s">
        <v>2227</v>
      </c>
      <c r="N255" s="3" t="s">
        <v>2261</v>
      </c>
    </row>
    <row r="256" spans="1:14" x14ac:dyDescent="0.25">
      <c r="A256" s="14" t="s">
        <v>1860</v>
      </c>
      <c r="B256" s="16" t="s">
        <v>2199</v>
      </c>
      <c r="C256" s="19" t="s">
        <v>28</v>
      </c>
      <c r="D256" s="19" t="s">
        <v>28</v>
      </c>
      <c r="E256" s="10" t="s">
        <v>1861</v>
      </c>
      <c r="F256" s="20">
        <v>46023</v>
      </c>
      <c r="G256" s="16">
        <v>3</v>
      </c>
      <c r="H256" s="11" t="s">
        <v>1863</v>
      </c>
      <c r="I256" s="31">
        <v>120000</v>
      </c>
      <c r="J256" s="19" t="s">
        <v>1797</v>
      </c>
      <c r="K256" s="19" t="s">
        <v>1798</v>
      </c>
      <c r="L256" s="3" t="s">
        <v>2230</v>
      </c>
      <c r="M256" s="3" t="s">
        <v>2227</v>
      </c>
      <c r="N256" s="3" t="s">
        <v>2261</v>
      </c>
    </row>
    <row r="257" spans="1:14" x14ac:dyDescent="0.25">
      <c r="A257" s="15" t="s">
        <v>1860</v>
      </c>
      <c r="B257" s="17" t="s">
        <v>2199</v>
      </c>
      <c r="C257" s="6" t="s">
        <v>28</v>
      </c>
      <c r="D257" s="6" t="s">
        <v>28</v>
      </c>
      <c r="E257" s="7" t="s">
        <v>1861</v>
      </c>
      <c r="F257" s="20">
        <v>46023</v>
      </c>
      <c r="G257" s="17">
        <v>3</v>
      </c>
      <c r="H257" t="s">
        <v>486</v>
      </c>
      <c r="I257" s="32">
        <v>271072</v>
      </c>
      <c r="J257" s="19" t="s">
        <v>1797</v>
      </c>
      <c r="K257" s="6" t="s">
        <v>1798</v>
      </c>
      <c r="L257" s="3" t="s">
        <v>2230</v>
      </c>
      <c r="M257" s="3" t="s">
        <v>2227</v>
      </c>
      <c r="N257" s="3" t="s">
        <v>2261</v>
      </c>
    </row>
    <row r="258" spans="1:14" x14ac:dyDescent="0.25">
      <c r="A258" s="14" t="s">
        <v>1897</v>
      </c>
      <c r="B258" s="16" t="s">
        <v>2199</v>
      </c>
      <c r="C258" s="19" t="s">
        <v>28</v>
      </c>
      <c r="D258" s="19" t="s">
        <v>28</v>
      </c>
      <c r="E258" s="10" t="s">
        <v>1898</v>
      </c>
      <c r="F258" s="20">
        <v>46023</v>
      </c>
      <c r="G258" s="16">
        <v>3</v>
      </c>
      <c r="H258" s="11" t="s">
        <v>1550</v>
      </c>
      <c r="I258" s="31">
        <v>35000</v>
      </c>
      <c r="J258" s="19" t="s">
        <v>1797</v>
      </c>
      <c r="K258" s="19" t="s">
        <v>1798</v>
      </c>
      <c r="L258" s="3" t="s">
        <v>2230</v>
      </c>
      <c r="M258" s="3" t="s">
        <v>2227</v>
      </c>
      <c r="N258" s="3" t="s">
        <v>2261</v>
      </c>
    </row>
    <row r="259" spans="1:14" x14ac:dyDescent="0.25">
      <c r="A259" s="15" t="s">
        <v>1897</v>
      </c>
      <c r="B259" s="17" t="s">
        <v>2199</v>
      </c>
      <c r="C259" s="6" t="s">
        <v>28</v>
      </c>
      <c r="D259" s="6" t="s">
        <v>28</v>
      </c>
      <c r="E259" s="7" t="s">
        <v>1898</v>
      </c>
      <c r="F259" s="20">
        <v>46023</v>
      </c>
      <c r="G259" s="17">
        <v>3</v>
      </c>
      <c r="H259" t="s">
        <v>486</v>
      </c>
      <c r="I259" s="32">
        <v>120000</v>
      </c>
      <c r="J259" s="19" t="s">
        <v>1797</v>
      </c>
      <c r="K259" s="6" t="s">
        <v>1798</v>
      </c>
      <c r="L259" s="3" t="s">
        <v>2230</v>
      </c>
      <c r="M259" s="3" t="s">
        <v>2227</v>
      </c>
      <c r="N259" s="3" t="s">
        <v>2261</v>
      </c>
    </row>
    <row r="260" spans="1:14" x14ac:dyDescent="0.25">
      <c r="A260" s="14" t="s">
        <v>1897</v>
      </c>
      <c r="B260" s="16" t="s">
        <v>2199</v>
      </c>
      <c r="C260" s="19" t="s">
        <v>28</v>
      </c>
      <c r="D260" s="19" t="s">
        <v>28</v>
      </c>
      <c r="E260" s="10" t="s">
        <v>1898</v>
      </c>
      <c r="F260" s="20">
        <v>46023</v>
      </c>
      <c r="G260" s="16">
        <v>3</v>
      </c>
      <c r="H260" s="11" t="s">
        <v>1058</v>
      </c>
      <c r="I260" s="31">
        <v>180000</v>
      </c>
      <c r="J260" s="19" t="s">
        <v>1797</v>
      </c>
      <c r="K260" s="19" t="s">
        <v>1798</v>
      </c>
      <c r="L260" s="3" t="s">
        <v>2230</v>
      </c>
      <c r="M260" s="3" t="s">
        <v>2227</v>
      </c>
      <c r="N260" s="3" t="s">
        <v>2261</v>
      </c>
    </row>
    <row r="261" spans="1:14" x14ac:dyDescent="0.25">
      <c r="A261" s="15" t="s">
        <v>1908</v>
      </c>
      <c r="B261" s="17" t="s">
        <v>2199</v>
      </c>
      <c r="C261" s="6" t="s">
        <v>28</v>
      </c>
      <c r="D261" s="6" t="s">
        <v>28</v>
      </c>
      <c r="E261" s="7" t="s">
        <v>1909</v>
      </c>
      <c r="F261" s="20">
        <v>46023</v>
      </c>
      <c r="G261" s="17">
        <v>1</v>
      </c>
      <c r="H261" t="s">
        <v>740</v>
      </c>
      <c r="I261" s="32">
        <v>170000</v>
      </c>
      <c r="J261" s="19" t="s">
        <v>1797</v>
      </c>
      <c r="K261" s="6" t="s">
        <v>1798</v>
      </c>
      <c r="L261" s="3" t="s">
        <v>2230</v>
      </c>
      <c r="M261" s="3" t="s">
        <v>2227</v>
      </c>
      <c r="N261" s="3" t="s">
        <v>2261</v>
      </c>
    </row>
    <row r="262" spans="1:14" x14ac:dyDescent="0.25">
      <c r="A262" s="14" t="s">
        <v>1694</v>
      </c>
      <c r="B262" s="16" t="s">
        <v>2199</v>
      </c>
      <c r="C262" s="19" t="s">
        <v>28</v>
      </c>
      <c r="D262" s="19" t="s">
        <v>28</v>
      </c>
      <c r="E262" s="10" t="s">
        <v>1695</v>
      </c>
      <c r="F262" s="20">
        <v>46143</v>
      </c>
      <c r="G262" s="16">
        <v>1</v>
      </c>
      <c r="H262" s="11" t="s">
        <v>815</v>
      </c>
      <c r="I262" s="31">
        <v>2500008</v>
      </c>
      <c r="J262" s="19" t="s">
        <v>414</v>
      </c>
      <c r="K262" s="19" t="s">
        <v>1697</v>
      </c>
      <c r="L262" s="3" t="s">
        <v>2222</v>
      </c>
      <c r="M262" s="3" t="s">
        <v>2234</v>
      </c>
      <c r="N262" s="3" t="s">
        <v>2260</v>
      </c>
    </row>
    <row r="263" spans="1:14" x14ac:dyDescent="0.25">
      <c r="A263" s="15" t="s">
        <v>1848</v>
      </c>
      <c r="B263" s="17" t="s">
        <v>2199</v>
      </c>
      <c r="C263" s="6" t="s">
        <v>28</v>
      </c>
      <c r="D263" s="6" t="s">
        <v>28</v>
      </c>
      <c r="E263" s="7" t="s">
        <v>1849</v>
      </c>
      <c r="F263" s="20">
        <v>46082</v>
      </c>
      <c r="G263" s="17">
        <v>1</v>
      </c>
      <c r="H263" t="s">
        <v>1851</v>
      </c>
      <c r="I263" s="32">
        <v>9000000</v>
      </c>
      <c r="J263" s="19" t="s">
        <v>414</v>
      </c>
      <c r="K263" s="6" t="s">
        <v>1852</v>
      </c>
      <c r="L263" s="3" t="s">
        <v>2222</v>
      </c>
      <c r="M263" s="3" t="s">
        <v>2234</v>
      </c>
      <c r="N263" s="3" t="s">
        <v>2260</v>
      </c>
    </row>
    <row r="264" spans="1:14" x14ac:dyDescent="0.25">
      <c r="A264" s="14" t="s">
        <v>1948</v>
      </c>
      <c r="B264" s="16" t="s">
        <v>2199</v>
      </c>
      <c r="C264" s="19" t="s">
        <v>28</v>
      </c>
      <c r="D264" s="19" t="s">
        <v>28</v>
      </c>
      <c r="E264" s="10" t="s">
        <v>1949</v>
      </c>
      <c r="F264" s="20">
        <v>46082</v>
      </c>
      <c r="G264" s="16">
        <v>1</v>
      </c>
      <c r="H264" s="11" t="s">
        <v>777</v>
      </c>
      <c r="I264" s="31">
        <v>10002100</v>
      </c>
      <c r="J264" s="19" t="s">
        <v>414</v>
      </c>
      <c r="K264" s="19" t="s">
        <v>1852</v>
      </c>
      <c r="L264" s="3" t="s">
        <v>2222</v>
      </c>
      <c r="M264" s="3" t="s">
        <v>2234</v>
      </c>
      <c r="N264" s="3" t="s">
        <v>2260</v>
      </c>
    </row>
    <row r="265" spans="1:14" x14ac:dyDescent="0.25">
      <c r="A265" s="15" t="s">
        <v>1955</v>
      </c>
      <c r="B265" s="17" t="s">
        <v>2199</v>
      </c>
      <c r="C265" s="6" t="s">
        <v>28</v>
      </c>
      <c r="D265" s="6" t="s">
        <v>28</v>
      </c>
      <c r="E265" s="7" t="s">
        <v>1956</v>
      </c>
      <c r="F265" s="20">
        <v>46082</v>
      </c>
      <c r="G265" s="17">
        <v>3</v>
      </c>
      <c r="H265" t="s">
        <v>1303</v>
      </c>
      <c r="I265" s="32">
        <v>3960000</v>
      </c>
      <c r="J265" s="19" t="s">
        <v>414</v>
      </c>
      <c r="K265" s="6" t="s">
        <v>1852</v>
      </c>
      <c r="L265" s="3" t="s">
        <v>2222</v>
      </c>
      <c r="M265" s="3" t="s">
        <v>2234</v>
      </c>
      <c r="N265" s="3" t="s">
        <v>2260</v>
      </c>
    </row>
    <row r="266" spans="1:14" x14ac:dyDescent="0.25">
      <c r="A266" s="14" t="s">
        <v>1955</v>
      </c>
      <c r="B266" s="16" t="s">
        <v>2199</v>
      </c>
      <c r="C266" s="19" t="s">
        <v>28</v>
      </c>
      <c r="D266" s="19" t="s">
        <v>28</v>
      </c>
      <c r="E266" s="10" t="s">
        <v>1956</v>
      </c>
      <c r="F266" s="20">
        <v>46082</v>
      </c>
      <c r="G266" s="16">
        <v>3</v>
      </c>
      <c r="H266" s="11" t="s">
        <v>1958</v>
      </c>
      <c r="I266" s="31">
        <v>600000</v>
      </c>
      <c r="J266" s="19" t="s">
        <v>414</v>
      </c>
      <c r="K266" s="19" t="s">
        <v>1852</v>
      </c>
      <c r="L266" s="3" t="s">
        <v>2222</v>
      </c>
      <c r="M266" s="3" t="s">
        <v>2234</v>
      </c>
      <c r="N266" s="3" t="s">
        <v>2260</v>
      </c>
    </row>
    <row r="267" spans="1:14" x14ac:dyDescent="0.25">
      <c r="A267" s="15" t="s">
        <v>1955</v>
      </c>
      <c r="B267" s="17" t="s">
        <v>2199</v>
      </c>
      <c r="C267" s="6" t="s">
        <v>28</v>
      </c>
      <c r="D267" s="6" t="s">
        <v>28</v>
      </c>
      <c r="E267" s="7" t="s">
        <v>1956</v>
      </c>
      <c r="F267" s="20">
        <v>46082</v>
      </c>
      <c r="G267" s="17">
        <v>3</v>
      </c>
      <c r="H267" t="s">
        <v>1959</v>
      </c>
      <c r="I267" s="32">
        <v>1000000</v>
      </c>
      <c r="J267" s="19" t="s">
        <v>414</v>
      </c>
      <c r="K267" s="6" t="s">
        <v>1852</v>
      </c>
      <c r="L267" s="3" t="s">
        <v>2222</v>
      </c>
      <c r="M267" s="3" t="s">
        <v>2234</v>
      </c>
      <c r="N267" s="3" t="s">
        <v>2260</v>
      </c>
    </row>
    <row r="268" spans="1:14" x14ac:dyDescent="0.25">
      <c r="A268" s="14" t="s">
        <v>1990</v>
      </c>
      <c r="B268" s="16" t="s">
        <v>2199</v>
      </c>
      <c r="C268" s="19" t="s">
        <v>28</v>
      </c>
      <c r="D268" s="19" t="s">
        <v>28</v>
      </c>
      <c r="E268" s="10" t="s">
        <v>1991</v>
      </c>
      <c r="F268" s="20">
        <v>46082</v>
      </c>
      <c r="G268" s="16">
        <v>1</v>
      </c>
      <c r="H268" s="11" t="s">
        <v>1303</v>
      </c>
      <c r="I268" s="31">
        <v>3500000</v>
      </c>
      <c r="J268" s="19" t="s">
        <v>414</v>
      </c>
      <c r="K268" s="19" t="s">
        <v>1852</v>
      </c>
      <c r="L268" s="3" t="s">
        <v>2222</v>
      </c>
      <c r="M268" s="3" t="s">
        <v>2234</v>
      </c>
      <c r="N268" s="3" t="s">
        <v>2260</v>
      </c>
    </row>
    <row r="269" spans="1:14" x14ac:dyDescent="0.25">
      <c r="A269" s="15" t="s">
        <v>1993</v>
      </c>
      <c r="B269" s="17" t="s">
        <v>2199</v>
      </c>
      <c r="C269" s="6" t="s">
        <v>28</v>
      </c>
      <c r="D269" s="6" t="s">
        <v>28</v>
      </c>
      <c r="E269" s="7" t="s">
        <v>1994</v>
      </c>
      <c r="F269" s="20">
        <v>46082</v>
      </c>
      <c r="G269" s="17">
        <v>1</v>
      </c>
      <c r="H269" t="s">
        <v>1959</v>
      </c>
      <c r="I269" s="32">
        <v>15135390</v>
      </c>
      <c r="J269" s="19" t="s">
        <v>414</v>
      </c>
      <c r="K269" s="6" t="s">
        <v>1996</v>
      </c>
      <c r="L269" s="3" t="s">
        <v>2222</v>
      </c>
      <c r="M269" s="3" t="s">
        <v>2234</v>
      </c>
      <c r="N269" s="3" t="s">
        <v>2260</v>
      </c>
    </row>
    <row r="270" spans="1:14" x14ac:dyDescent="0.25">
      <c r="A270" s="14" t="s">
        <v>408</v>
      </c>
      <c r="B270" s="16" t="s">
        <v>2196</v>
      </c>
      <c r="C270" s="16" t="s">
        <v>2196</v>
      </c>
      <c r="D270" s="19" t="s">
        <v>28</v>
      </c>
      <c r="E270" s="10" t="s">
        <v>410</v>
      </c>
      <c r="F270" s="20">
        <v>45870</v>
      </c>
      <c r="G270" s="16">
        <v>1</v>
      </c>
      <c r="H270" s="11" t="s">
        <v>412</v>
      </c>
      <c r="I270" s="31">
        <v>500000000</v>
      </c>
      <c r="J270" s="19" t="s">
        <v>414</v>
      </c>
      <c r="K270" s="19" t="s">
        <v>415</v>
      </c>
      <c r="L270" s="3" t="s">
        <v>2222</v>
      </c>
      <c r="M270" s="3" t="s">
        <v>2234</v>
      </c>
      <c r="N270" s="3" t="s">
        <v>2260</v>
      </c>
    </row>
    <row r="271" spans="1:14" x14ac:dyDescent="0.25">
      <c r="A271" s="15" t="s">
        <v>545</v>
      </c>
      <c r="B271" s="17" t="s">
        <v>2196</v>
      </c>
      <c r="C271" s="17" t="s">
        <v>2196</v>
      </c>
      <c r="D271" s="6" t="s">
        <v>374</v>
      </c>
      <c r="E271" s="7" t="s">
        <v>546</v>
      </c>
      <c r="F271" s="20">
        <v>45870</v>
      </c>
      <c r="G271" s="17">
        <v>1</v>
      </c>
      <c r="H271" t="s">
        <v>496</v>
      </c>
      <c r="I271" s="32">
        <v>30800000</v>
      </c>
      <c r="J271" s="19" t="s">
        <v>414</v>
      </c>
      <c r="K271" s="6" t="s">
        <v>415</v>
      </c>
      <c r="L271" s="3" t="s">
        <v>2222</v>
      </c>
      <c r="M271" s="3" t="s">
        <v>2234</v>
      </c>
      <c r="N271" s="3" t="s">
        <v>2260</v>
      </c>
    </row>
    <row r="272" spans="1:14" x14ac:dyDescent="0.25">
      <c r="A272" s="14" t="s">
        <v>1890</v>
      </c>
      <c r="B272" s="16" t="s">
        <v>2199</v>
      </c>
      <c r="C272" s="19" t="s">
        <v>28</v>
      </c>
      <c r="D272" s="19" t="s">
        <v>28</v>
      </c>
      <c r="E272" s="10" t="s">
        <v>1891</v>
      </c>
      <c r="F272" s="20">
        <v>46023</v>
      </c>
      <c r="G272" s="16">
        <v>1</v>
      </c>
      <c r="H272" s="11" t="s">
        <v>1527</v>
      </c>
      <c r="I272" s="31">
        <v>70000</v>
      </c>
      <c r="J272" s="19" t="s">
        <v>1893</v>
      </c>
      <c r="K272" s="19" t="s">
        <v>1894</v>
      </c>
      <c r="L272" s="3" t="s">
        <v>2231</v>
      </c>
      <c r="M272" s="3" t="s">
        <v>2262</v>
      </c>
      <c r="N272" s="3" t="s">
        <v>2264</v>
      </c>
    </row>
    <row r="273" spans="1:14" x14ac:dyDescent="0.25">
      <c r="A273" s="15" t="s">
        <v>1911</v>
      </c>
      <c r="B273" s="17" t="s">
        <v>2199</v>
      </c>
      <c r="C273" s="6" t="s">
        <v>28</v>
      </c>
      <c r="D273" s="6" t="s">
        <v>28</v>
      </c>
      <c r="E273" s="7" t="s">
        <v>1912</v>
      </c>
      <c r="F273" s="20">
        <v>46023</v>
      </c>
      <c r="G273" s="17">
        <v>1</v>
      </c>
      <c r="H273" t="s">
        <v>840</v>
      </c>
      <c r="I273" s="32">
        <v>100000</v>
      </c>
      <c r="J273" s="19" t="s">
        <v>1893</v>
      </c>
      <c r="K273" s="6" t="s">
        <v>1894</v>
      </c>
      <c r="L273" s="3" t="s">
        <v>2231</v>
      </c>
      <c r="M273" s="3" t="s">
        <v>2262</v>
      </c>
      <c r="N273" s="3" t="s">
        <v>2264</v>
      </c>
    </row>
    <row r="274" spans="1:14" x14ac:dyDescent="0.25">
      <c r="A274" s="14" t="s">
        <v>2174</v>
      </c>
      <c r="B274" s="16" t="s">
        <v>2199</v>
      </c>
      <c r="C274" s="19" t="s">
        <v>28</v>
      </c>
      <c r="D274" s="19" t="s">
        <v>28</v>
      </c>
      <c r="E274" s="10" t="s">
        <v>2175</v>
      </c>
      <c r="F274" s="20">
        <v>46023</v>
      </c>
      <c r="G274" s="16">
        <v>2</v>
      </c>
      <c r="H274" s="11" t="s">
        <v>2106</v>
      </c>
      <c r="I274" s="31">
        <v>250000</v>
      </c>
      <c r="J274" s="19" t="s">
        <v>1893</v>
      </c>
      <c r="K274" s="19" t="s">
        <v>2177</v>
      </c>
      <c r="L274" s="3" t="s">
        <v>2231</v>
      </c>
      <c r="M274" s="3" t="s">
        <v>2262</v>
      </c>
      <c r="N274" s="3" t="s">
        <v>2264</v>
      </c>
    </row>
    <row r="275" spans="1:14" x14ac:dyDescent="0.25">
      <c r="A275" s="15" t="s">
        <v>2174</v>
      </c>
      <c r="B275" s="17" t="s">
        <v>2199</v>
      </c>
      <c r="C275" s="6" t="s">
        <v>28</v>
      </c>
      <c r="D275" s="6" t="s">
        <v>28</v>
      </c>
      <c r="E275" s="7" t="s">
        <v>2175</v>
      </c>
      <c r="F275" s="20">
        <v>46023</v>
      </c>
      <c r="G275" s="17">
        <v>2</v>
      </c>
      <c r="H275" t="s">
        <v>486</v>
      </c>
      <c r="I275" s="32">
        <v>239000</v>
      </c>
      <c r="J275" s="19" t="s">
        <v>1893</v>
      </c>
      <c r="K275" s="6" t="s">
        <v>2177</v>
      </c>
      <c r="L275" s="3" t="s">
        <v>2231</v>
      </c>
      <c r="M275" s="3" t="s">
        <v>2262</v>
      </c>
      <c r="N275" s="3" t="s">
        <v>2264</v>
      </c>
    </row>
    <row r="276" spans="1:14" x14ac:dyDescent="0.25">
      <c r="A276" s="14" t="s">
        <v>2074</v>
      </c>
      <c r="B276" s="16" t="s">
        <v>2199</v>
      </c>
      <c r="C276" s="19" t="s">
        <v>28</v>
      </c>
      <c r="D276" s="19" t="s">
        <v>28</v>
      </c>
      <c r="E276" s="10" t="s">
        <v>788</v>
      </c>
      <c r="F276" s="20">
        <v>46082</v>
      </c>
      <c r="G276" s="16">
        <v>2</v>
      </c>
      <c r="H276" s="11" t="s">
        <v>359</v>
      </c>
      <c r="I276" s="31">
        <v>2280150</v>
      </c>
      <c r="J276" s="19" t="s">
        <v>2076</v>
      </c>
      <c r="K276" s="19" t="s">
        <v>2077</v>
      </c>
      <c r="L276" s="3" t="s">
        <v>2232</v>
      </c>
      <c r="M276" s="3" t="s">
        <v>2234</v>
      </c>
      <c r="N276" s="3" t="s">
        <v>2265</v>
      </c>
    </row>
    <row r="277" spans="1:14" x14ac:dyDescent="0.25">
      <c r="A277" s="15" t="s">
        <v>2074</v>
      </c>
      <c r="B277" s="17" t="s">
        <v>2199</v>
      </c>
      <c r="C277" s="6" t="s">
        <v>28</v>
      </c>
      <c r="D277" s="6" t="s">
        <v>28</v>
      </c>
      <c r="E277" s="7" t="s">
        <v>788</v>
      </c>
      <c r="F277" s="20">
        <v>46082</v>
      </c>
      <c r="G277" s="17">
        <v>2</v>
      </c>
      <c r="H277" t="s">
        <v>855</v>
      </c>
      <c r="I277" s="32">
        <v>193760</v>
      </c>
      <c r="J277" s="19" t="s">
        <v>2076</v>
      </c>
      <c r="K277" s="6" t="s">
        <v>2077</v>
      </c>
      <c r="L277" s="3" t="s">
        <v>2232</v>
      </c>
      <c r="M277" s="3" t="s">
        <v>2234</v>
      </c>
      <c r="N277" s="3" t="s">
        <v>2265</v>
      </c>
    </row>
    <row r="278" spans="1:14" x14ac:dyDescent="0.25">
      <c r="A278" s="14" t="s">
        <v>787</v>
      </c>
      <c r="B278" s="16" t="s">
        <v>2199</v>
      </c>
      <c r="C278" s="19" t="s">
        <v>28</v>
      </c>
      <c r="D278" s="19" t="s">
        <v>28</v>
      </c>
      <c r="E278" s="10" t="s">
        <v>788</v>
      </c>
      <c r="F278" s="20">
        <v>46082</v>
      </c>
      <c r="G278" s="16">
        <v>2</v>
      </c>
      <c r="H278" s="11" t="s">
        <v>359</v>
      </c>
      <c r="I278" s="31">
        <v>921162</v>
      </c>
      <c r="J278" s="19" t="s">
        <v>790</v>
      </c>
      <c r="K278" s="19" t="s">
        <v>791</v>
      </c>
      <c r="L278" s="3" t="s">
        <v>2232</v>
      </c>
      <c r="M278" s="3" t="s">
        <v>2234</v>
      </c>
      <c r="N278" s="3" t="s">
        <v>2265</v>
      </c>
    </row>
    <row r="279" spans="1:14" x14ac:dyDescent="0.25">
      <c r="A279" s="15" t="s">
        <v>787</v>
      </c>
      <c r="B279" s="17" t="s">
        <v>2199</v>
      </c>
      <c r="C279" s="6" t="s">
        <v>28</v>
      </c>
      <c r="D279" s="6" t="s">
        <v>28</v>
      </c>
      <c r="E279" s="7" t="s">
        <v>788</v>
      </c>
      <c r="F279" s="20">
        <v>46082</v>
      </c>
      <c r="G279" s="17">
        <v>2</v>
      </c>
      <c r="H279" t="s">
        <v>195</v>
      </c>
      <c r="I279" s="32">
        <v>86299</v>
      </c>
      <c r="J279" s="19" t="s">
        <v>790</v>
      </c>
      <c r="K279" s="6" t="s">
        <v>791</v>
      </c>
      <c r="L279" s="3" t="s">
        <v>2232</v>
      </c>
      <c r="M279" s="3" t="s">
        <v>2234</v>
      </c>
      <c r="N279" s="3" t="s">
        <v>2265</v>
      </c>
    </row>
    <row r="280" spans="1:14" x14ac:dyDescent="0.25">
      <c r="A280" s="14" t="s">
        <v>811</v>
      </c>
      <c r="B280" s="16" t="s">
        <v>2199</v>
      </c>
      <c r="C280" s="19" t="s">
        <v>28</v>
      </c>
      <c r="D280" s="19" t="s">
        <v>28</v>
      </c>
      <c r="E280" s="10" t="s">
        <v>813</v>
      </c>
      <c r="F280" s="20">
        <v>46082</v>
      </c>
      <c r="G280" s="16">
        <v>1</v>
      </c>
      <c r="H280" s="11" t="s">
        <v>815</v>
      </c>
      <c r="I280" s="31">
        <v>400000</v>
      </c>
      <c r="J280" s="19" t="s">
        <v>790</v>
      </c>
      <c r="K280" s="19" t="s">
        <v>791</v>
      </c>
      <c r="L280" s="3" t="s">
        <v>2232</v>
      </c>
      <c r="M280" s="3" t="s">
        <v>2234</v>
      </c>
      <c r="N280" s="3" t="s">
        <v>2265</v>
      </c>
    </row>
    <row r="281" spans="1:14" x14ac:dyDescent="0.25">
      <c r="A281" s="15" t="s">
        <v>834</v>
      </c>
      <c r="B281" s="17" t="s">
        <v>2199</v>
      </c>
      <c r="C281" s="6" t="s">
        <v>28</v>
      </c>
      <c r="D281" s="6" t="s">
        <v>28</v>
      </c>
      <c r="E281" s="7" t="s">
        <v>835</v>
      </c>
      <c r="F281" s="20">
        <v>46204</v>
      </c>
      <c r="G281" s="17">
        <v>1</v>
      </c>
      <c r="H281" t="s">
        <v>370</v>
      </c>
      <c r="I281" s="32">
        <v>400000</v>
      </c>
      <c r="J281" s="19" t="s">
        <v>790</v>
      </c>
      <c r="K281" s="6" t="s">
        <v>791</v>
      </c>
      <c r="L281" s="3" t="s">
        <v>2232</v>
      </c>
      <c r="M281" s="3" t="s">
        <v>2234</v>
      </c>
      <c r="N281" s="3" t="s">
        <v>2265</v>
      </c>
    </row>
    <row r="282" spans="1:14" x14ac:dyDescent="0.25">
      <c r="A282" s="14" t="s">
        <v>1059</v>
      </c>
      <c r="B282" s="16" t="s">
        <v>2199</v>
      </c>
      <c r="C282" s="19" t="s">
        <v>28</v>
      </c>
      <c r="D282" s="19" t="s">
        <v>28</v>
      </c>
      <c r="E282" s="10" t="s">
        <v>1060</v>
      </c>
      <c r="F282" s="20">
        <v>46296</v>
      </c>
      <c r="G282" s="16">
        <v>2</v>
      </c>
      <c r="H282" s="11" t="s">
        <v>1062</v>
      </c>
      <c r="I282" s="31">
        <v>400000</v>
      </c>
      <c r="J282" s="19" t="s">
        <v>790</v>
      </c>
      <c r="K282" s="19" t="s">
        <v>791</v>
      </c>
      <c r="L282" s="3" t="s">
        <v>2232</v>
      </c>
      <c r="M282" s="3" t="s">
        <v>2234</v>
      </c>
      <c r="N282" s="3" t="s">
        <v>2265</v>
      </c>
    </row>
    <row r="283" spans="1:14" x14ac:dyDescent="0.25">
      <c r="A283" s="15" t="s">
        <v>1059</v>
      </c>
      <c r="B283" s="17" t="s">
        <v>2199</v>
      </c>
      <c r="C283" s="6" t="s">
        <v>28</v>
      </c>
      <c r="D283" s="6" t="s">
        <v>28</v>
      </c>
      <c r="E283" s="7" t="s">
        <v>1060</v>
      </c>
      <c r="F283" s="20">
        <v>46296</v>
      </c>
      <c r="G283" s="17">
        <v>2</v>
      </c>
      <c r="H283" t="s">
        <v>486</v>
      </c>
      <c r="I283" s="32">
        <v>110006</v>
      </c>
      <c r="J283" s="19" t="s">
        <v>790</v>
      </c>
      <c r="K283" s="6" t="s">
        <v>791</v>
      </c>
      <c r="L283" s="3" t="s">
        <v>2232</v>
      </c>
      <c r="M283" s="3" t="s">
        <v>2234</v>
      </c>
      <c r="N283" s="3" t="s">
        <v>2265</v>
      </c>
    </row>
    <row r="284" spans="1:14" x14ac:dyDescent="0.25">
      <c r="A284" s="14" t="s">
        <v>1063</v>
      </c>
      <c r="B284" s="16" t="s">
        <v>2199</v>
      </c>
      <c r="C284" s="19" t="s">
        <v>28</v>
      </c>
      <c r="D284" s="19" t="s">
        <v>28</v>
      </c>
      <c r="E284" s="10" t="s">
        <v>1064</v>
      </c>
      <c r="F284" s="20">
        <v>46296</v>
      </c>
      <c r="G284" s="16">
        <v>2</v>
      </c>
      <c r="H284" s="11" t="s">
        <v>486</v>
      </c>
      <c r="I284" s="31">
        <v>50000</v>
      </c>
      <c r="J284" s="19" t="s">
        <v>790</v>
      </c>
      <c r="K284" s="19" t="s">
        <v>791</v>
      </c>
      <c r="L284" s="3" t="s">
        <v>2232</v>
      </c>
      <c r="M284" s="3" t="s">
        <v>2234</v>
      </c>
      <c r="N284" s="3" t="s">
        <v>2265</v>
      </c>
    </row>
    <row r="285" spans="1:14" x14ac:dyDescent="0.25">
      <c r="A285" s="15" t="s">
        <v>1063</v>
      </c>
      <c r="B285" s="17" t="s">
        <v>2199</v>
      </c>
      <c r="C285" s="6" t="s">
        <v>28</v>
      </c>
      <c r="D285" s="6" t="s">
        <v>28</v>
      </c>
      <c r="E285" s="7" t="s">
        <v>1064</v>
      </c>
      <c r="F285" s="20">
        <v>46296</v>
      </c>
      <c r="G285" s="17">
        <v>2</v>
      </c>
      <c r="H285" t="s">
        <v>602</v>
      </c>
      <c r="I285" s="32">
        <v>400000</v>
      </c>
      <c r="J285" s="19" t="s">
        <v>790</v>
      </c>
      <c r="K285" s="6" t="s">
        <v>791</v>
      </c>
      <c r="L285" s="3" t="s">
        <v>2232</v>
      </c>
      <c r="M285" s="3" t="s">
        <v>2234</v>
      </c>
      <c r="N285" s="3" t="s">
        <v>2265</v>
      </c>
    </row>
    <row r="286" spans="1:14" x14ac:dyDescent="0.25">
      <c r="A286" s="14" t="s">
        <v>1183</v>
      </c>
      <c r="B286" s="16" t="s">
        <v>2199</v>
      </c>
      <c r="C286" s="19" t="s">
        <v>28</v>
      </c>
      <c r="D286" s="19" t="s">
        <v>28</v>
      </c>
      <c r="E286" s="10" t="s">
        <v>1185</v>
      </c>
      <c r="F286" s="20">
        <v>46143</v>
      </c>
      <c r="G286" s="16">
        <v>1</v>
      </c>
      <c r="H286" s="11" t="s">
        <v>1187</v>
      </c>
      <c r="I286" s="31">
        <v>2885085</v>
      </c>
      <c r="J286" s="19" t="s">
        <v>790</v>
      </c>
      <c r="K286" s="19" t="s">
        <v>791</v>
      </c>
      <c r="L286" s="3" t="s">
        <v>2232</v>
      </c>
      <c r="M286" s="3" t="s">
        <v>2234</v>
      </c>
      <c r="N286" s="3" t="s">
        <v>2265</v>
      </c>
    </row>
    <row r="287" spans="1:14" x14ac:dyDescent="0.25">
      <c r="A287" s="15" t="s">
        <v>1188</v>
      </c>
      <c r="B287" s="17" t="s">
        <v>2199</v>
      </c>
      <c r="C287" s="6" t="s">
        <v>28</v>
      </c>
      <c r="D287" s="6" t="s">
        <v>28</v>
      </c>
      <c r="E287" s="7" t="s">
        <v>1189</v>
      </c>
      <c r="F287" s="20">
        <v>46296</v>
      </c>
      <c r="G287" s="17">
        <v>5</v>
      </c>
      <c r="H287" t="s">
        <v>1191</v>
      </c>
      <c r="I287" s="32">
        <v>1000000</v>
      </c>
      <c r="J287" s="19" t="s">
        <v>790</v>
      </c>
      <c r="K287" s="6" t="s">
        <v>791</v>
      </c>
      <c r="L287" s="3" t="s">
        <v>2232</v>
      </c>
      <c r="M287" s="3" t="s">
        <v>2234</v>
      </c>
      <c r="N287" s="3" t="s">
        <v>2265</v>
      </c>
    </row>
    <row r="288" spans="1:14" x14ac:dyDescent="0.25">
      <c r="A288" s="14" t="s">
        <v>1188</v>
      </c>
      <c r="B288" s="16" t="s">
        <v>2199</v>
      </c>
      <c r="C288" s="19" t="s">
        <v>28</v>
      </c>
      <c r="D288" s="19" t="s">
        <v>28</v>
      </c>
      <c r="E288" s="10" t="s">
        <v>1189</v>
      </c>
      <c r="F288" s="20">
        <v>46296</v>
      </c>
      <c r="G288" s="16">
        <v>5</v>
      </c>
      <c r="H288" s="11" t="s">
        <v>486</v>
      </c>
      <c r="I288" s="31">
        <v>300000</v>
      </c>
      <c r="J288" s="19" t="s">
        <v>790</v>
      </c>
      <c r="K288" s="19" t="s">
        <v>791</v>
      </c>
      <c r="L288" s="3" t="s">
        <v>2232</v>
      </c>
      <c r="M288" s="3" t="s">
        <v>2234</v>
      </c>
      <c r="N288" s="3" t="s">
        <v>2265</v>
      </c>
    </row>
    <row r="289" spans="1:14" x14ac:dyDescent="0.25">
      <c r="A289" s="15" t="s">
        <v>1188</v>
      </c>
      <c r="B289" s="17" t="s">
        <v>2199</v>
      </c>
      <c r="C289" s="6" t="s">
        <v>28</v>
      </c>
      <c r="D289" s="6" t="s">
        <v>28</v>
      </c>
      <c r="E289" s="7" t="s">
        <v>1189</v>
      </c>
      <c r="F289" s="20">
        <v>46296</v>
      </c>
      <c r="G289" s="17">
        <v>5</v>
      </c>
      <c r="H289" t="s">
        <v>855</v>
      </c>
      <c r="I289" s="32">
        <v>47268</v>
      </c>
      <c r="J289" s="19" t="s">
        <v>790</v>
      </c>
      <c r="K289" s="6" t="s">
        <v>791</v>
      </c>
      <c r="L289" s="3" t="s">
        <v>2232</v>
      </c>
      <c r="M289" s="3" t="s">
        <v>2234</v>
      </c>
      <c r="N289" s="3" t="s">
        <v>2265</v>
      </c>
    </row>
    <row r="290" spans="1:14" x14ac:dyDescent="0.25">
      <c r="A290" s="14" t="s">
        <v>1188</v>
      </c>
      <c r="B290" s="16" t="s">
        <v>2199</v>
      </c>
      <c r="C290" s="19" t="s">
        <v>28</v>
      </c>
      <c r="D290" s="19" t="s">
        <v>28</v>
      </c>
      <c r="E290" s="10" t="s">
        <v>1189</v>
      </c>
      <c r="F290" s="20">
        <v>46296</v>
      </c>
      <c r="G290" s="16">
        <v>5</v>
      </c>
      <c r="H290" s="11" t="s">
        <v>602</v>
      </c>
      <c r="I290" s="31">
        <v>1500000</v>
      </c>
      <c r="J290" s="19" t="s">
        <v>790</v>
      </c>
      <c r="K290" s="19" t="s">
        <v>791</v>
      </c>
      <c r="L290" s="3" t="s">
        <v>2232</v>
      </c>
      <c r="M290" s="3" t="s">
        <v>2234</v>
      </c>
      <c r="N290" s="3" t="s">
        <v>2265</v>
      </c>
    </row>
    <row r="291" spans="1:14" x14ac:dyDescent="0.25">
      <c r="A291" s="15" t="s">
        <v>1188</v>
      </c>
      <c r="B291" s="17" t="s">
        <v>2199</v>
      </c>
      <c r="C291" s="6" t="s">
        <v>28</v>
      </c>
      <c r="D291" s="6" t="s">
        <v>28</v>
      </c>
      <c r="E291" s="7" t="s">
        <v>1189</v>
      </c>
      <c r="F291" s="20">
        <v>46296</v>
      </c>
      <c r="G291" s="17">
        <v>5</v>
      </c>
      <c r="H291" t="s">
        <v>1192</v>
      </c>
      <c r="I291" s="32">
        <v>150000</v>
      </c>
      <c r="J291" s="19" t="s">
        <v>790</v>
      </c>
      <c r="K291" s="6" t="s">
        <v>791</v>
      </c>
      <c r="L291" s="3" t="s">
        <v>2232</v>
      </c>
      <c r="M291" s="3" t="s">
        <v>2234</v>
      </c>
      <c r="N291" s="3" t="s">
        <v>2265</v>
      </c>
    </row>
    <row r="292" spans="1:14" x14ac:dyDescent="0.25">
      <c r="A292" s="14" t="s">
        <v>1066</v>
      </c>
      <c r="B292" s="16" t="s">
        <v>2199</v>
      </c>
      <c r="C292" s="19" t="s">
        <v>374</v>
      </c>
      <c r="D292" s="19" t="s">
        <v>374</v>
      </c>
      <c r="E292" s="10" t="s">
        <v>1067</v>
      </c>
      <c r="F292" s="20">
        <v>46266</v>
      </c>
      <c r="G292" s="16">
        <v>2</v>
      </c>
      <c r="H292" s="11" t="s">
        <v>486</v>
      </c>
      <c r="I292" s="31">
        <v>250000</v>
      </c>
      <c r="J292" s="19" t="s">
        <v>790</v>
      </c>
      <c r="K292" s="19" t="s">
        <v>791</v>
      </c>
      <c r="L292" s="3" t="s">
        <v>2232</v>
      </c>
      <c r="M292" s="3" t="s">
        <v>2234</v>
      </c>
      <c r="N292" s="3" t="s">
        <v>2265</v>
      </c>
    </row>
    <row r="293" spans="1:14" x14ac:dyDescent="0.25">
      <c r="A293" s="15" t="s">
        <v>1066</v>
      </c>
      <c r="B293" s="17" t="s">
        <v>2199</v>
      </c>
      <c r="C293" s="6" t="s">
        <v>374</v>
      </c>
      <c r="D293" s="6" t="s">
        <v>374</v>
      </c>
      <c r="E293" s="7" t="s">
        <v>1067</v>
      </c>
      <c r="F293" s="20">
        <v>46296</v>
      </c>
      <c r="G293" s="17">
        <v>2</v>
      </c>
      <c r="H293" t="s">
        <v>602</v>
      </c>
      <c r="I293" s="32">
        <v>1500000</v>
      </c>
      <c r="J293" s="19" t="s">
        <v>790</v>
      </c>
      <c r="K293" s="6" t="s">
        <v>791</v>
      </c>
      <c r="L293" s="3" t="s">
        <v>2232</v>
      </c>
      <c r="M293" s="3" t="s">
        <v>2234</v>
      </c>
      <c r="N293" s="3" t="s">
        <v>2265</v>
      </c>
    </row>
    <row r="294" spans="1:14" x14ac:dyDescent="0.25">
      <c r="A294" s="14" t="s">
        <v>954</v>
      </c>
      <c r="B294" s="16" t="s">
        <v>2199</v>
      </c>
      <c r="C294" s="19" t="s">
        <v>28</v>
      </c>
      <c r="D294" s="19" t="s">
        <v>28</v>
      </c>
      <c r="E294" s="10" t="s">
        <v>955</v>
      </c>
      <c r="F294" s="20">
        <v>46235</v>
      </c>
      <c r="G294" s="16">
        <v>3</v>
      </c>
      <c r="H294" s="11" t="s">
        <v>359</v>
      </c>
      <c r="I294" s="31">
        <v>185040</v>
      </c>
      <c r="J294" s="19" t="s">
        <v>958</v>
      </c>
      <c r="K294" s="19" t="s">
        <v>959</v>
      </c>
      <c r="L294" s="3" t="s">
        <v>2230</v>
      </c>
      <c r="M294" s="3" t="s">
        <v>2227</v>
      </c>
      <c r="N294" s="3" t="s">
        <v>2261</v>
      </c>
    </row>
    <row r="295" spans="1:14" x14ac:dyDescent="0.25">
      <c r="A295" s="15" t="s">
        <v>954</v>
      </c>
      <c r="B295" s="17" t="s">
        <v>2199</v>
      </c>
      <c r="C295" s="6" t="s">
        <v>28</v>
      </c>
      <c r="D295" s="6" t="s">
        <v>28</v>
      </c>
      <c r="E295" s="7" t="s">
        <v>955</v>
      </c>
      <c r="F295" s="20">
        <v>46235</v>
      </c>
      <c r="G295" s="17">
        <v>3</v>
      </c>
      <c r="H295" t="s">
        <v>962</v>
      </c>
      <c r="I295" s="32">
        <v>270160</v>
      </c>
      <c r="J295" s="19" t="s">
        <v>958</v>
      </c>
      <c r="K295" s="6" t="s">
        <v>959</v>
      </c>
      <c r="L295" s="3" t="s">
        <v>2230</v>
      </c>
      <c r="M295" s="3" t="s">
        <v>2227</v>
      </c>
      <c r="N295" s="3" t="s">
        <v>2261</v>
      </c>
    </row>
    <row r="296" spans="1:14" x14ac:dyDescent="0.25">
      <c r="A296" s="14" t="s">
        <v>954</v>
      </c>
      <c r="B296" s="16" t="s">
        <v>2199</v>
      </c>
      <c r="C296" s="19" t="s">
        <v>28</v>
      </c>
      <c r="D296" s="19" t="s">
        <v>28</v>
      </c>
      <c r="E296" s="10" t="s">
        <v>955</v>
      </c>
      <c r="F296" s="20">
        <v>46235</v>
      </c>
      <c r="G296" s="16">
        <v>3</v>
      </c>
      <c r="H296" s="11" t="s">
        <v>957</v>
      </c>
      <c r="I296" s="31">
        <v>220000</v>
      </c>
      <c r="J296" s="19" t="s">
        <v>958</v>
      </c>
      <c r="K296" s="19" t="s">
        <v>959</v>
      </c>
      <c r="L296" s="3" t="s">
        <v>2230</v>
      </c>
      <c r="M296" s="3" t="s">
        <v>2227</v>
      </c>
      <c r="N296" s="3" t="s">
        <v>2261</v>
      </c>
    </row>
    <row r="297" spans="1:14" x14ac:dyDescent="0.25">
      <c r="A297" s="15" t="s">
        <v>1708</v>
      </c>
      <c r="B297" s="17" t="s">
        <v>2199</v>
      </c>
      <c r="C297" s="6" t="s">
        <v>28</v>
      </c>
      <c r="D297" s="6" t="s">
        <v>28</v>
      </c>
      <c r="E297" s="7" t="s">
        <v>1709</v>
      </c>
      <c r="F297" s="20">
        <v>46023</v>
      </c>
      <c r="G297" s="17">
        <v>1</v>
      </c>
      <c r="H297" t="s">
        <v>1711</v>
      </c>
      <c r="I297" s="32">
        <v>550000</v>
      </c>
      <c r="J297" s="19" t="s">
        <v>958</v>
      </c>
      <c r="K297" s="6" t="s">
        <v>959</v>
      </c>
      <c r="L297" s="3" t="s">
        <v>2230</v>
      </c>
      <c r="M297" s="3" t="s">
        <v>2227</v>
      </c>
      <c r="N297" s="3" t="s">
        <v>2261</v>
      </c>
    </row>
    <row r="298" spans="1:14" x14ac:dyDescent="0.25">
      <c r="A298" s="14" t="s">
        <v>1715</v>
      </c>
      <c r="B298" s="16" t="s">
        <v>2199</v>
      </c>
      <c r="C298" s="19" t="s">
        <v>28</v>
      </c>
      <c r="D298" s="19" t="s">
        <v>28</v>
      </c>
      <c r="E298" s="10" t="s">
        <v>1716</v>
      </c>
      <c r="F298" s="20">
        <v>46023</v>
      </c>
      <c r="G298" s="16">
        <v>1</v>
      </c>
      <c r="H298" s="11" t="s">
        <v>1592</v>
      </c>
      <c r="I298" s="31">
        <v>60000</v>
      </c>
      <c r="J298" s="19" t="s">
        <v>958</v>
      </c>
      <c r="K298" s="19" t="s">
        <v>959</v>
      </c>
      <c r="L298" s="3" t="s">
        <v>2230</v>
      </c>
      <c r="M298" s="3" t="s">
        <v>2227</v>
      </c>
      <c r="N298" s="3" t="s">
        <v>2261</v>
      </c>
    </row>
    <row r="299" spans="1:14" x14ac:dyDescent="0.25">
      <c r="A299" s="15" t="s">
        <v>493</v>
      </c>
      <c r="B299" s="17" t="s">
        <v>2196</v>
      </c>
      <c r="C299" s="17" t="s">
        <v>2196</v>
      </c>
      <c r="D299" s="6" t="s">
        <v>28</v>
      </c>
      <c r="E299" s="7" t="s">
        <v>494</v>
      </c>
      <c r="F299" s="20">
        <v>45870</v>
      </c>
      <c r="G299" s="17">
        <v>1</v>
      </c>
      <c r="H299" t="s">
        <v>496</v>
      </c>
      <c r="I299" s="32">
        <v>72999996</v>
      </c>
      <c r="J299" s="19" t="s">
        <v>497</v>
      </c>
      <c r="K299" s="6" t="s">
        <v>302</v>
      </c>
      <c r="L299" s="3" t="s">
        <v>2230</v>
      </c>
      <c r="M299" s="3" t="s">
        <v>2227</v>
      </c>
      <c r="N299" s="3" t="s">
        <v>2261</v>
      </c>
    </row>
    <row r="300" spans="1:14" x14ac:dyDescent="0.25">
      <c r="A300" s="14" t="s">
        <v>922</v>
      </c>
      <c r="B300" s="16" t="s">
        <v>2199</v>
      </c>
      <c r="C300" s="19" t="s">
        <v>28</v>
      </c>
      <c r="D300" s="19" t="s">
        <v>28</v>
      </c>
      <c r="E300" s="10" t="s">
        <v>923</v>
      </c>
      <c r="F300" s="20">
        <v>46143</v>
      </c>
      <c r="G300" s="16">
        <v>1</v>
      </c>
      <c r="H300" s="11" t="s">
        <v>891</v>
      </c>
      <c r="I300" s="31">
        <v>23333328</v>
      </c>
      <c r="J300" s="19" t="s">
        <v>926</v>
      </c>
      <c r="K300" s="19" t="s">
        <v>893</v>
      </c>
      <c r="L300" s="3" t="s">
        <v>2221</v>
      </c>
      <c r="M300" s="3" t="s">
        <v>2234</v>
      </c>
      <c r="N300" s="3" t="s">
        <v>2259</v>
      </c>
    </row>
    <row r="301" spans="1:14" x14ac:dyDescent="0.25">
      <c r="A301" s="15" t="s">
        <v>1429</v>
      </c>
      <c r="B301" s="17" t="s">
        <v>2199</v>
      </c>
      <c r="C301" s="6" t="s">
        <v>28</v>
      </c>
      <c r="D301" s="6" t="s">
        <v>28</v>
      </c>
      <c r="E301" s="7" t="s">
        <v>1430</v>
      </c>
      <c r="F301" s="20">
        <v>46296</v>
      </c>
      <c r="G301" s="17">
        <v>1</v>
      </c>
      <c r="H301" t="s">
        <v>623</v>
      </c>
      <c r="I301" s="32">
        <v>35304528</v>
      </c>
      <c r="J301" s="19" t="s">
        <v>1432</v>
      </c>
      <c r="K301" s="6" t="s">
        <v>1433</v>
      </c>
      <c r="L301" s="3" t="s">
        <v>2233</v>
      </c>
      <c r="M301" s="3" t="s">
        <v>2256</v>
      </c>
      <c r="N301" s="3" t="s">
        <v>2266</v>
      </c>
    </row>
    <row r="302" spans="1:14" x14ac:dyDescent="0.25">
      <c r="A302" s="14" t="s">
        <v>284</v>
      </c>
      <c r="B302" s="16" t="s">
        <v>2196</v>
      </c>
      <c r="C302" s="16" t="s">
        <v>2196</v>
      </c>
      <c r="D302" s="19" t="s">
        <v>28</v>
      </c>
      <c r="E302" s="10" t="s">
        <v>286</v>
      </c>
      <c r="F302" s="20">
        <v>45748</v>
      </c>
      <c r="G302" s="16">
        <v>1</v>
      </c>
      <c r="H302" s="11" t="s">
        <v>288</v>
      </c>
      <c r="I302" s="31">
        <v>75000000</v>
      </c>
      <c r="J302" s="19" t="s">
        <v>2205</v>
      </c>
      <c r="K302" s="19" t="s">
        <v>291</v>
      </c>
      <c r="L302" s="3" t="s">
        <v>2233</v>
      </c>
      <c r="M302" s="3" t="s">
        <v>2256</v>
      </c>
      <c r="N302" s="3" t="s">
        <v>2266</v>
      </c>
    </row>
    <row r="303" spans="1:14" x14ac:dyDescent="0.25">
      <c r="A303" s="15" t="s">
        <v>1473</v>
      </c>
      <c r="B303" s="17" t="s">
        <v>2199</v>
      </c>
      <c r="C303" s="6" t="s">
        <v>28</v>
      </c>
      <c r="D303" s="6" t="s">
        <v>28</v>
      </c>
      <c r="E303" s="7" t="s">
        <v>1474</v>
      </c>
      <c r="F303" s="20">
        <v>46023</v>
      </c>
      <c r="G303" s="17">
        <v>1</v>
      </c>
      <c r="H303" t="s">
        <v>1476</v>
      </c>
      <c r="I303" s="32">
        <v>300006</v>
      </c>
      <c r="J303" s="19" t="s">
        <v>1477</v>
      </c>
      <c r="K303" s="6" t="s">
        <v>219</v>
      </c>
      <c r="L303" s="3" t="s">
        <v>2226</v>
      </c>
      <c r="M303" s="3" t="s">
        <v>2262</v>
      </c>
      <c r="N303" s="3" t="s">
        <v>2226</v>
      </c>
    </row>
    <row r="304" spans="1:14" x14ac:dyDescent="0.25">
      <c r="A304" s="14" t="s">
        <v>1482</v>
      </c>
      <c r="B304" s="16" t="s">
        <v>2199</v>
      </c>
      <c r="C304" s="19" t="s">
        <v>28</v>
      </c>
      <c r="D304" s="19" t="s">
        <v>28</v>
      </c>
      <c r="E304" s="10" t="s">
        <v>1483</v>
      </c>
      <c r="F304" s="20">
        <v>46023</v>
      </c>
      <c r="G304" s="16">
        <v>1</v>
      </c>
      <c r="H304" s="11" t="s">
        <v>1459</v>
      </c>
      <c r="I304" s="31">
        <v>1500018</v>
      </c>
      <c r="J304" s="19" t="s">
        <v>1477</v>
      </c>
      <c r="K304" s="19" t="s">
        <v>219</v>
      </c>
      <c r="L304" s="3" t="s">
        <v>2226</v>
      </c>
      <c r="M304" s="3" t="s">
        <v>2262</v>
      </c>
      <c r="N304" s="3" t="s">
        <v>2226</v>
      </c>
    </row>
    <row r="305" spans="1:14" x14ac:dyDescent="0.25">
      <c r="A305" s="15" t="s">
        <v>214</v>
      </c>
      <c r="B305" s="17" t="s">
        <v>2196</v>
      </c>
      <c r="C305" s="17" t="s">
        <v>2196</v>
      </c>
      <c r="D305" s="6" t="s">
        <v>28</v>
      </c>
      <c r="E305" s="7" t="s">
        <v>216</v>
      </c>
      <c r="F305" s="20">
        <v>45658</v>
      </c>
      <c r="G305" s="17">
        <v>2</v>
      </c>
      <c r="H305" t="s">
        <v>121</v>
      </c>
      <c r="I305" s="32">
        <v>6255504</v>
      </c>
      <c r="J305" s="19" t="s">
        <v>2206</v>
      </c>
      <c r="K305" s="6" t="s">
        <v>219</v>
      </c>
      <c r="L305" s="3" t="s">
        <v>2226</v>
      </c>
      <c r="M305" s="3" t="s">
        <v>2262</v>
      </c>
      <c r="N305" s="3" t="s">
        <v>2226</v>
      </c>
    </row>
    <row r="306" spans="1:14" x14ac:dyDescent="0.25">
      <c r="A306" s="14" t="s">
        <v>1865</v>
      </c>
      <c r="B306" s="16" t="s">
        <v>2199</v>
      </c>
      <c r="C306" s="19" t="s">
        <v>28</v>
      </c>
      <c r="D306" s="19" t="s">
        <v>28</v>
      </c>
      <c r="E306" s="10" t="s">
        <v>1866</v>
      </c>
      <c r="F306" s="20">
        <v>46023</v>
      </c>
      <c r="G306" s="16">
        <v>2</v>
      </c>
      <c r="H306" s="11" t="s">
        <v>359</v>
      </c>
      <c r="I306" s="31">
        <v>385050</v>
      </c>
      <c r="J306" s="19" t="s">
        <v>1868</v>
      </c>
      <c r="K306" s="19" t="s">
        <v>1869</v>
      </c>
      <c r="L306" s="3" t="s">
        <v>2234</v>
      </c>
      <c r="M306" s="3" t="s">
        <v>2234</v>
      </c>
      <c r="N306" s="3" t="s">
        <v>2267</v>
      </c>
    </row>
    <row r="307" spans="1:14" x14ac:dyDescent="0.25">
      <c r="A307" s="15" t="s">
        <v>1865</v>
      </c>
      <c r="B307" s="17" t="s">
        <v>2199</v>
      </c>
      <c r="C307" s="6" t="s">
        <v>28</v>
      </c>
      <c r="D307" s="6" t="s">
        <v>28</v>
      </c>
      <c r="E307" s="7" t="s">
        <v>1866</v>
      </c>
      <c r="F307" s="20">
        <v>46023</v>
      </c>
      <c r="G307" s="17">
        <v>2</v>
      </c>
      <c r="H307" t="s">
        <v>855</v>
      </c>
      <c r="I307" s="32">
        <v>121800</v>
      </c>
      <c r="J307" s="19" t="s">
        <v>1868</v>
      </c>
      <c r="K307" s="6" t="s">
        <v>1869</v>
      </c>
      <c r="L307" s="3" t="s">
        <v>2234</v>
      </c>
      <c r="M307" s="3" t="s">
        <v>2234</v>
      </c>
      <c r="N307" s="3" t="s">
        <v>2267</v>
      </c>
    </row>
    <row r="308" spans="1:14" x14ac:dyDescent="0.25">
      <c r="A308" s="14" t="s">
        <v>1149</v>
      </c>
      <c r="B308" s="16" t="s">
        <v>2199</v>
      </c>
      <c r="C308" s="19" t="s">
        <v>374</v>
      </c>
      <c r="D308" s="19" t="s">
        <v>374</v>
      </c>
      <c r="E308" s="10" t="s">
        <v>1150</v>
      </c>
      <c r="F308" s="20">
        <v>46113</v>
      </c>
      <c r="G308" s="16">
        <v>3</v>
      </c>
      <c r="H308" s="11" t="s">
        <v>831</v>
      </c>
      <c r="I308" s="31">
        <v>50000</v>
      </c>
      <c r="J308" s="19" t="s">
        <v>1152</v>
      </c>
      <c r="K308" s="19" t="s">
        <v>1153</v>
      </c>
      <c r="L308" s="3" t="s">
        <v>2222</v>
      </c>
      <c r="M308" s="3" t="s">
        <v>2234</v>
      </c>
      <c r="N308" s="3" t="s">
        <v>2260</v>
      </c>
    </row>
    <row r="309" spans="1:14" x14ac:dyDescent="0.25">
      <c r="A309" s="15" t="s">
        <v>1149</v>
      </c>
      <c r="B309" s="17" t="s">
        <v>2199</v>
      </c>
      <c r="C309" s="6" t="s">
        <v>374</v>
      </c>
      <c r="D309" s="6" t="s">
        <v>374</v>
      </c>
      <c r="E309" s="7" t="s">
        <v>1150</v>
      </c>
      <c r="F309" s="20">
        <v>46113</v>
      </c>
      <c r="G309" s="17">
        <v>3</v>
      </c>
      <c r="H309" t="s">
        <v>486</v>
      </c>
      <c r="I309" s="32">
        <v>352240</v>
      </c>
      <c r="J309" s="19" t="s">
        <v>1152</v>
      </c>
      <c r="K309" s="6" t="s">
        <v>1153</v>
      </c>
      <c r="L309" s="3" t="s">
        <v>2222</v>
      </c>
      <c r="M309" s="3" t="s">
        <v>2234</v>
      </c>
      <c r="N309" s="3" t="s">
        <v>2260</v>
      </c>
    </row>
    <row r="310" spans="1:14" x14ac:dyDescent="0.25">
      <c r="A310" s="14" t="s">
        <v>1149</v>
      </c>
      <c r="B310" s="16" t="s">
        <v>2199</v>
      </c>
      <c r="C310" s="19" t="s">
        <v>374</v>
      </c>
      <c r="D310" s="19" t="s">
        <v>374</v>
      </c>
      <c r="E310" s="10" t="s">
        <v>1150</v>
      </c>
      <c r="F310" s="20">
        <v>46113</v>
      </c>
      <c r="G310" s="16">
        <v>3</v>
      </c>
      <c r="H310" s="11" t="s">
        <v>602</v>
      </c>
      <c r="I310" s="31">
        <v>270000</v>
      </c>
      <c r="J310" s="19" t="s">
        <v>1152</v>
      </c>
      <c r="K310" s="19" t="s">
        <v>1153</v>
      </c>
      <c r="L310" s="3" t="s">
        <v>2222</v>
      </c>
      <c r="M310" s="3" t="s">
        <v>2234</v>
      </c>
      <c r="N310" s="3" t="s">
        <v>2260</v>
      </c>
    </row>
    <row r="311" spans="1:14" x14ac:dyDescent="0.25">
      <c r="A311" s="15" t="s">
        <v>1171</v>
      </c>
      <c r="B311" s="17" t="s">
        <v>2199</v>
      </c>
      <c r="C311" s="6" t="s">
        <v>374</v>
      </c>
      <c r="D311" s="6" t="s">
        <v>374</v>
      </c>
      <c r="E311" s="7" t="s">
        <v>1172</v>
      </c>
      <c r="F311" s="20">
        <v>46174</v>
      </c>
      <c r="G311" s="17">
        <v>4</v>
      </c>
      <c r="H311" t="s">
        <v>780</v>
      </c>
      <c r="I311" s="32">
        <v>50000</v>
      </c>
      <c r="J311" s="19" t="s">
        <v>1152</v>
      </c>
      <c r="K311" s="6" t="s">
        <v>1153</v>
      </c>
      <c r="L311" s="3" t="s">
        <v>2222</v>
      </c>
      <c r="M311" s="3" t="s">
        <v>2234</v>
      </c>
      <c r="N311" s="3" t="s">
        <v>2260</v>
      </c>
    </row>
    <row r="312" spans="1:14" x14ac:dyDescent="0.25">
      <c r="A312" s="14" t="s">
        <v>1171</v>
      </c>
      <c r="B312" s="16" t="s">
        <v>2199</v>
      </c>
      <c r="C312" s="19" t="s">
        <v>374</v>
      </c>
      <c r="D312" s="19" t="s">
        <v>374</v>
      </c>
      <c r="E312" s="10" t="s">
        <v>1172</v>
      </c>
      <c r="F312" s="20">
        <v>46174</v>
      </c>
      <c r="G312" s="16">
        <v>4</v>
      </c>
      <c r="H312" s="11" t="s">
        <v>1175</v>
      </c>
      <c r="I312" s="31">
        <v>580665</v>
      </c>
      <c r="J312" s="19" t="s">
        <v>1152</v>
      </c>
      <c r="K312" s="19" t="s">
        <v>1153</v>
      </c>
      <c r="L312" s="3" t="s">
        <v>2222</v>
      </c>
      <c r="M312" s="3" t="s">
        <v>2234</v>
      </c>
      <c r="N312" s="3" t="s">
        <v>2260</v>
      </c>
    </row>
    <row r="313" spans="1:14" x14ac:dyDescent="0.25">
      <c r="A313" s="15" t="s">
        <v>1171</v>
      </c>
      <c r="B313" s="17" t="s">
        <v>2199</v>
      </c>
      <c r="C313" s="6" t="s">
        <v>374</v>
      </c>
      <c r="D313" s="6" t="s">
        <v>374</v>
      </c>
      <c r="E313" s="7" t="s">
        <v>1172</v>
      </c>
      <c r="F313" s="20">
        <v>46174</v>
      </c>
      <c r="G313" s="17">
        <v>4</v>
      </c>
      <c r="H313" t="s">
        <v>1174</v>
      </c>
      <c r="I313" s="32">
        <v>994896</v>
      </c>
      <c r="J313" s="19" t="s">
        <v>1152</v>
      </c>
      <c r="K313" s="6" t="s">
        <v>1153</v>
      </c>
      <c r="L313" s="3" t="s">
        <v>2222</v>
      </c>
      <c r="M313" s="3" t="s">
        <v>2234</v>
      </c>
      <c r="N313" s="3" t="s">
        <v>2260</v>
      </c>
    </row>
    <row r="314" spans="1:14" x14ac:dyDescent="0.25">
      <c r="A314" s="14" t="s">
        <v>1171</v>
      </c>
      <c r="B314" s="16" t="s">
        <v>2199</v>
      </c>
      <c r="C314" s="19" t="s">
        <v>374</v>
      </c>
      <c r="D314" s="19" t="s">
        <v>374</v>
      </c>
      <c r="E314" s="10" t="s">
        <v>1172</v>
      </c>
      <c r="F314" s="20">
        <v>46174</v>
      </c>
      <c r="G314" s="16">
        <v>4</v>
      </c>
      <c r="H314" s="11" t="s">
        <v>874</v>
      </c>
      <c r="I314" s="31">
        <v>1350000</v>
      </c>
      <c r="J314" s="19" t="s">
        <v>1152</v>
      </c>
      <c r="K314" s="19" t="s">
        <v>1153</v>
      </c>
      <c r="L314" s="3" t="s">
        <v>2222</v>
      </c>
      <c r="M314" s="3" t="s">
        <v>2234</v>
      </c>
      <c r="N314" s="3" t="s">
        <v>2260</v>
      </c>
    </row>
    <row r="315" spans="1:14" x14ac:dyDescent="0.25">
      <c r="A315" s="15" t="s">
        <v>2047</v>
      </c>
      <c r="B315" s="17" t="s">
        <v>2199</v>
      </c>
      <c r="C315" s="6" t="s">
        <v>28</v>
      </c>
      <c r="D315" s="6" t="s">
        <v>28</v>
      </c>
      <c r="E315" s="7" t="s">
        <v>2048</v>
      </c>
      <c r="F315" s="20">
        <v>46143</v>
      </c>
      <c r="G315" s="17">
        <v>3</v>
      </c>
      <c r="H315" t="s">
        <v>2054</v>
      </c>
      <c r="I315" s="32">
        <v>684735</v>
      </c>
      <c r="J315" s="19" t="s">
        <v>2051</v>
      </c>
      <c r="K315" s="6" t="s">
        <v>2052</v>
      </c>
      <c r="L315" s="3" t="s">
        <v>2222</v>
      </c>
      <c r="M315" s="3" t="s">
        <v>2234</v>
      </c>
      <c r="N315" s="3" t="s">
        <v>2260</v>
      </c>
    </row>
    <row r="316" spans="1:14" x14ac:dyDescent="0.25">
      <c r="A316" s="14" t="s">
        <v>2047</v>
      </c>
      <c r="B316" s="16" t="s">
        <v>2199</v>
      </c>
      <c r="C316" s="19" t="s">
        <v>28</v>
      </c>
      <c r="D316" s="19" t="s">
        <v>28</v>
      </c>
      <c r="E316" s="10" t="s">
        <v>2048</v>
      </c>
      <c r="F316" s="20">
        <v>46143</v>
      </c>
      <c r="G316" s="16">
        <v>3</v>
      </c>
      <c r="H316" s="11" t="s">
        <v>2055</v>
      </c>
      <c r="I316" s="31">
        <v>204100</v>
      </c>
      <c r="J316" s="19" t="s">
        <v>2051</v>
      </c>
      <c r="K316" s="19" t="s">
        <v>2052</v>
      </c>
      <c r="L316" s="3" t="s">
        <v>2222</v>
      </c>
      <c r="M316" s="3" t="s">
        <v>2234</v>
      </c>
      <c r="N316" s="3" t="s">
        <v>2260</v>
      </c>
    </row>
    <row r="317" spans="1:14" x14ac:dyDescent="0.25">
      <c r="A317" s="15" t="s">
        <v>2047</v>
      </c>
      <c r="B317" s="17" t="s">
        <v>2199</v>
      </c>
      <c r="C317" s="6" t="s">
        <v>28</v>
      </c>
      <c r="D317" s="6" t="s">
        <v>28</v>
      </c>
      <c r="E317" s="7" t="s">
        <v>2048</v>
      </c>
      <c r="F317" s="20">
        <v>46143</v>
      </c>
      <c r="G317" s="17">
        <v>3</v>
      </c>
      <c r="H317" t="s">
        <v>1936</v>
      </c>
      <c r="I317" s="32">
        <v>360000</v>
      </c>
      <c r="J317" s="19" t="s">
        <v>2051</v>
      </c>
      <c r="K317" s="6" t="s">
        <v>2052</v>
      </c>
      <c r="L317" s="3" t="s">
        <v>2222</v>
      </c>
      <c r="M317" s="3" t="s">
        <v>2234</v>
      </c>
      <c r="N317" s="3" t="s">
        <v>2260</v>
      </c>
    </row>
    <row r="318" spans="1:14" x14ac:dyDescent="0.25">
      <c r="A318" s="14" t="s">
        <v>1176</v>
      </c>
      <c r="B318" s="16" t="s">
        <v>2199</v>
      </c>
      <c r="C318" s="19" t="s">
        <v>28</v>
      </c>
      <c r="D318" s="19" t="s">
        <v>28</v>
      </c>
      <c r="E318" s="10" t="s">
        <v>1177</v>
      </c>
      <c r="F318" s="20">
        <v>46082</v>
      </c>
      <c r="G318" s="16">
        <v>1</v>
      </c>
      <c r="H318" s="11" t="s">
        <v>1179</v>
      </c>
      <c r="I318" s="31">
        <v>696000</v>
      </c>
      <c r="J318" s="19" t="s">
        <v>1180</v>
      </c>
      <c r="K318" s="19" t="s">
        <v>1181</v>
      </c>
      <c r="L318" s="3" t="s">
        <v>2230</v>
      </c>
      <c r="M318" s="3" t="s">
        <v>2227</v>
      </c>
      <c r="N318" s="3" t="s">
        <v>2261</v>
      </c>
    </row>
    <row r="319" spans="1:14" x14ac:dyDescent="0.25">
      <c r="A319" s="15" t="s">
        <v>1637</v>
      </c>
      <c r="B319" s="17" t="s">
        <v>2199</v>
      </c>
      <c r="C319" s="6" t="s">
        <v>28</v>
      </c>
      <c r="D319" s="6" t="s">
        <v>28</v>
      </c>
      <c r="E319" s="7" t="s">
        <v>1177</v>
      </c>
      <c r="F319" s="20">
        <v>46082</v>
      </c>
      <c r="G319" s="17">
        <v>1</v>
      </c>
      <c r="H319" t="s">
        <v>1179</v>
      </c>
      <c r="I319" s="32">
        <v>115003</v>
      </c>
      <c r="J319" s="19" t="s">
        <v>1180</v>
      </c>
      <c r="K319" s="6" t="s">
        <v>1181</v>
      </c>
      <c r="L319" s="3" t="s">
        <v>2230</v>
      </c>
      <c r="M319" s="3" t="s">
        <v>2227</v>
      </c>
      <c r="N319" s="3" t="s">
        <v>2261</v>
      </c>
    </row>
    <row r="320" spans="1:14" x14ac:dyDescent="0.25">
      <c r="A320" s="14" t="s">
        <v>1245</v>
      </c>
      <c r="B320" s="16" t="s">
        <v>2199</v>
      </c>
      <c r="C320" s="19" t="s">
        <v>28</v>
      </c>
      <c r="D320" s="19" t="s">
        <v>28</v>
      </c>
      <c r="E320" s="10" t="s">
        <v>1247</v>
      </c>
      <c r="F320" s="20">
        <v>46054</v>
      </c>
      <c r="G320" s="16">
        <v>3</v>
      </c>
      <c r="H320" s="11" t="s">
        <v>1251</v>
      </c>
      <c r="I320" s="31">
        <v>60000</v>
      </c>
      <c r="J320" s="19" t="s">
        <v>122</v>
      </c>
      <c r="K320" s="19" t="s">
        <v>544</v>
      </c>
      <c r="L320" s="3" t="s">
        <v>2235</v>
      </c>
      <c r="M320" s="3" t="s">
        <v>2256</v>
      </c>
      <c r="N320" s="3" t="s">
        <v>2268</v>
      </c>
    </row>
    <row r="321" spans="1:14" x14ac:dyDescent="0.25">
      <c r="A321" s="15" t="s">
        <v>1245</v>
      </c>
      <c r="B321" s="17" t="s">
        <v>2199</v>
      </c>
      <c r="C321" s="6" t="s">
        <v>28</v>
      </c>
      <c r="D321" s="6" t="s">
        <v>28</v>
      </c>
      <c r="E321" s="7" t="s">
        <v>1247</v>
      </c>
      <c r="F321" s="20">
        <v>46054</v>
      </c>
      <c r="G321" s="17">
        <v>3</v>
      </c>
      <c r="H321" t="s">
        <v>1249</v>
      </c>
      <c r="I321" s="32">
        <v>160000</v>
      </c>
      <c r="J321" s="19" t="s">
        <v>122</v>
      </c>
      <c r="K321" s="6" t="s">
        <v>544</v>
      </c>
      <c r="L321" s="3" t="s">
        <v>2235</v>
      </c>
      <c r="M321" s="3" t="s">
        <v>2256</v>
      </c>
      <c r="N321" s="3" t="s">
        <v>2268</v>
      </c>
    </row>
    <row r="322" spans="1:14" x14ac:dyDescent="0.25">
      <c r="A322" s="14" t="s">
        <v>1245</v>
      </c>
      <c r="B322" s="16" t="s">
        <v>2199</v>
      </c>
      <c r="C322" s="19" t="s">
        <v>28</v>
      </c>
      <c r="D322" s="19" t="s">
        <v>28</v>
      </c>
      <c r="E322" s="10" t="s">
        <v>1247</v>
      </c>
      <c r="F322" s="20">
        <v>46054</v>
      </c>
      <c r="G322" s="16">
        <v>3</v>
      </c>
      <c r="H322" s="11" t="s">
        <v>1250</v>
      </c>
      <c r="I322" s="31">
        <v>390000</v>
      </c>
      <c r="J322" s="19" t="s">
        <v>122</v>
      </c>
      <c r="K322" s="19" t="s">
        <v>544</v>
      </c>
      <c r="L322" s="3" t="s">
        <v>2235</v>
      </c>
      <c r="M322" s="3" t="s">
        <v>2256</v>
      </c>
      <c r="N322" s="3" t="s">
        <v>2268</v>
      </c>
    </row>
    <row r="323" spans="1:14" x14ac:dyDescent="0.25">
      <c r="A323" s="15" t="s">
        <v>1842</v>
      </c>
      <c r="B323" s="17" t="s">
        <v>2199</v>
      </c>
      <c r="C323" s="6" t="s">
        <v>28</v>
      </c>
      <c r="D323" s="6" t="s">
        <v>28</v>
      </c>
      <c r="E323" s="7" t="s">
        <v>1843</v>
      </c>
      <c r="F323" s="20">
        <v>46143</v>
      </c>
      <c r="G323" s="17">
        <v>1</v>
      </c>
      <c r="H323" t="s">
        <v>1844</v>
      </c>
      <c r="I323" s="32">
        <v>3000000</v>
      </c>
      <c r="J323" s="19" t="s">
        <v>122</v>
      </c>
      <c r="K323" s="6" t="s">
        <v>544</v>
      </c>
      <c r="L323" s="3" t="s">
        <v>2235</v>
      </c>
      <c r="M323" s="3" t="s">
        <v>2256</v>
      </c>
      <c r="N323" s="3" t="s">
        <v>2268</v>
      </c>
    </row>
    <row r="324" spans="1:14" x14ac:dyDescent="0.25">
      <c r="A324" s="14" t="s">
        <v>1239</v>
      </c>
      <c r="B324" s="16" t="s">
        <v>2199</v>
      </c>
      <c r="C324" s="19" t="s">
        <v>1238</v>
      </c>
      <c r="D324" s="19" t="s">
        <v>1238</v>
      </c>
      <c r="E324" s="10" t="s">
        <v>1241</v>
      </c>
      <c r="F324" s="20">
        <v>46113</v>
      </c>
      <c r="G324" s="16">
        <v>1</v>
      </c>
      <c r="H324" s="11" t="s">
        <v>1243</v>
      </c>
      <c r="I324" s="31">
        <v>108183000</v>
      </c>
      <c r="J324" s="19" t="s">
        <v>122</v>
      </c>
      <c r="K324" s="19" t="s">
        <v>544</v>
      </c>
      <c r="L324" s="3" t="s">
        <v>2235</v>
      </c>
      <c r="M324" s="3" t="s">
        <v>2256</v>
      </c>
      <c r="N324" s="3" t="s">
        <v>2268</v>
      </c>
    </row>
    <row r="325" spans="1:14" x14ac:dyDescent="0.25">
      <c r="A325" s="15" t="s">
        <v>117</v>
      </c>
      <c r="B325" s="17" t="s">
        <v>2196</v>
      </c>
      <c r="C325" s="17" t="s">
        <v>2196</v>
      </c>
      <c r="D325" s="6" t="s">
        <v>28</v>
      </c>
      <c r="E325" s="7" t="s">
        <v>119</v>
      </c>
      <c r="F325" s="20">
        <v>45474</v>
      </c>
      <c r="G325" s="17">
        <v>1</v>
      </c>
      <c r="H325" t="s">
        <v>121</v>
      </c>
      <c r="I325" s="32">
        <v>150000000</v>
      </c>
      <c r="J325" s="19" t="s">
        <v>122</v>
      </c>
      <c r="K325" s="6" t="s">
        <v>123</v>
      </c>
      <c r="L325" s="3" t="s">
        <v>2235</v>
      </c>
      <c r="M325" s="3" t="s">
        <v>2256</v>
      </c>
      <c r="N325" s="3" t="s">
        <v>2268</v>
      </c>
    </row>
    <row r="326" spans="1:14" x14ac:dyDescent="0.25">
      <c r="A326" s="14" t="s">
        <v>552</v>
      </c>
      <c r="B326" s="16" t="s">
        <v>2196</v>
      </c>
      <c r="C326" s="16" t="s">
        <v>2196</v>
      </c>
      <c r="D326" s="19" t="s">
        <v>28</v>
      </c>
      <c r="E326" s="10" t="s">
        <v>553</v>
      </c>
      <c r="F326" s="20">
        <v>45870</v>
      </c>
      <c r="G326" s="16">
        <v>1</v>
      </c>
      <c r="H326" s="11" t="s">
        <v>512</v>
      </c>
      <c r="I326" s="31">
        <v>100200000</v>
      </c>
      <c r="J326" s="19" t="s">
        <v>122</v>
      </c>
      <c r="K326" s="19" t="s">
        <v>555</v>
      </c>
      <c r="L326" s="3" t="s">
        <v>2235</v>
      </c>
      <c r="M326" s="3" t="s">
        <v>2256</v>
      </c>
      <c r="N326" s="3" t="s">
        <v>2268</v>
      </c>
    </row>
    <row r="327" spans="1:14" x14ac:dyDescent="0.25">
      <c r="A327" s="15" t="s">
        <v>557</v>
      </c>
      <c r="B327" s="17" t="s">
        <v>2196</v>
      </c>
      <c r="C327" s="17" t="s">
        <v>2196</v>
      </c>
      <c r="D327" s="6" t="s">
        <v>28</v>
      </c>
      <c r="E327" s="7" t="s">
        <v>558</v>
      </c>
      <c r="F327" s="20">
        <v>45870</v>
      </c>
      <c r="G327" s="17">
        <v>1</v>
      </c>
      <c r="H327" t="s">
        <v>496</v>
      </c>
      <c r="I327" s="32">
        <v>30000000</v>
      </c>
      <c r="J327" s="19" t="s">
        <v>122</v>
      </c>
      <c r="K327" s="6" t="s">
        <v>555</v>
      </c>
      <c r="L327" s="3" t="s">
        <v>2235</v>
      </c>
      <c r="M327" s="3" t="s">
        <v>2256</v>
      </c>
      <c r="N327" s="3" t="s">
        <v>2268</v>
      </c>
    </row>
    <row r="328" spans="1:14" x14ac:dyDescent="0.25">
      <c r="A328" s="14" t="s">
        <v>51</v>
      </c>
      <c r="B328" s="16" t="s">
        <v>2196</v>
      </c>
      <c r="C328" s="16" t="s">
        <v>2196</v>
      </c>
      <c r="D328" s="19" t="s">
        <v>28</v>
      </c>
      <c r="E328" s="10" t="s">
        <v>52</v>
      </c>
      <c r="F328" s="20">
        <v>45292</v>
      </c>
      <c r="G328" s="16">
        <v>1</v>
      </c>
      <c r="H328" s="11" t="s">
        <v>54</v>
      </c>
      <c r="I328" s="31">
        <v>6712008</v>
      </c>
      <c r="J328" s="19" t="s">
        <v>55</v>
      </c>
      <c r="K328" s="19" t="s">
        <v>56</v>
      </c>
      <c r="L328" s="3" t="s">
        <v>2235</v>
      </c>
      <c r="M328" s="3" t="s">
        <v>2256</v>
      </c>
      <c r="N328" s="3" t="s">
        <v>2268</v>
      </c>
    </row>
    <row r="329" spans="1:14" x14ac:dyDescent="0.25">
      <c r="A329" s="15" t="s">
        <v>539</v>
      </c>
      <c r="B329" s="17" t="s">
        <v>2196</v>
      </c>
      <c r="C329" s="17" t="s">
        <v>2196</v>
      </c>
      <c r="D329" s="6" t="s">
        <v>28</v>
      </c>
      <c r="E329" s="7" t="s">
        <v>541</v>
      </c>
      <c r="F329" s="20">
        <v>45870</v>
      </c>
      <c r="G329" s="17">
        <v>1</v>
      </c>
      <c r="H329" t="s">
        <v>543</v>
      </c>
      <c r="I329" s="32">
        <v>39999996</v>
      </c>
      <c r="J329" s="19" t="s">
        <v>55</v>
      </c>
      <c r="K329" s="6" t="s">
        <v>544</v>
      </c>
      <c r="L329" s="3" t="s">
        <v>2235</v>
      </c>
      <c r="M329" s="3" t="s">
        <v>2256</v>
      </c>
      <c r="N329" s="3" t="s">
        <v>2268</v>
      </c>
    </row>
    <row r="330" spans="1:14" x14ac:dyDescent="0.25">
      <c r="A330" s="14" t="s">
        <v>548</v>
      </c>
      <c r="B330" s="16" t="s">
        <v>2196</v>
      </c>
      <c r="C330" s="16" t="s">
        <v>2196</v>
      </c>
      <c r="D330" s="19" t="s">
        <v>28</v>
      </c>
      <c r="E330" s="10" t="s">
        <v>550</v>
      </c>
      <c r="F330" s="20">
        <v>45870</v>
      </c>
      <c r="G330" s="16">
        <v>1</v>
      </c>
      <c r="H330" s="11" t="s">
        <v>496</v>
      </c>
      <c r="I330" s="31">
        <v>96100000</v>
      </c>
      <c r="J330" s="19" t="s">
        <v>55</v>
      </c>
      <c r="K330" s="19" t="s">
        <v>544</v>
      </c>
      <c r="L330" s="3" t="s">
        <v>2235</v>
      </c>
      <c r="M330" s="3" t="s">
        <v>2256</v>
      </c>
      <c r="N330" s="3" t="s">
        <v>2268</v>
      </c>
    </row>
    <row r="331" spans="1:14" x14ac:dyDescent="0.25">
      <c r="A331" s="15" t="s">
        <v>947</v>
      </c>
      <c r="B331" s="17" t="s">
        <v>2199</v>
      </c>
      <c r="C331" s="6" t="s">
        <v>28</v>
      </c>
      <c r="D331" s="6" t="s">
        <v>28</v>
      </c>
      <c r="E331" s="7" t="s">
        <v>948</v>
      </c>
      <c r="F331" s="20">
        <v>46082</v>
      </c>
      <c r="G331" s="17">
        <v>2</v>
      </c>
      <c r="H331" t="s">
        <v>486</v>
      </c>
      <c r="I331" s="32">
        <v>509936</v>
      </c>
      <c r="J331" s="19" t="s">
        <v>950</v>
      </c>
      <c r="K331" s="6" t="s">
        <v>951</v>
      </c>
      <c r="L331" s="3" t="s">
        <v>2236</v>
      </c>
      <c r="M331" s="3" t="s">
        <v>2234</v>
      </c>
      <c r="N331" s="3" t="s">
        <v>2259</v>
      </c>
    </row>
    <row r="332" spans="1:14" x14ac:dyDescent="0.25">
      <c r="A332" s="14" t="s">
        <v>947</v>
      </c>
      <c r="B332" s="16" t="s">
        <v>2199</v>
      </c>
      <c r="C332" s="19" t="s">
        <v>28</v>
      </c>
      <c r="D332" s="19" t="s">
        <v>28</v>
      </c>
      <c r="E332" s="10" t="s">
        <v>948</v>
      </c>
      <c r="F332" s="20">
        <v>46082</v>
      </c>
      <c r="G332" s="16">
        <v>2</v>
      </c>
      <c r="H332" s="11" t="s">
        <v>953</v>
      </c>
      <c r="I332" s="31">
        <v>48000</v>
      </c>
      <c r="J332" s="19" t="s">
        <v>950</v>
      </c>
      <c r="K332" s="19" t="s">
        <v>951</v>
      </c>
      <c r="L332" s="3" t="s">
        <v>2236</v>
      </c>
      <c r="M332" s="3" t="s">
        <v>2234</v>
      </c>
      <c r="N332" s="3" t="s">
        <v>2259</v>
      </c>
    </row>
    <row r="333" spans="1:14" x14ac:dyDescent="0.25">
      <c r="A333" s="15" t="s">
        <v>2178</v>
      </c>
      <c r="B333" s="17" t="s">
        <v>2199</v>
      </c>
      <c r="C333" s="6" t="s">
        <v>28</v>
      </c>
      <c r="D333" s="6" t="s">
        <v>28</v>
      </c>
      <c r="E333" s="7" t="s">
        <v>2179</v>
      </c>
      <c r="F333" s="20">
        <v>46113</v>
      </c>
      <c r="G333" s="17">
        <v>1</v>
      </c>
      <c r="H333" t="s">
        <v>760</v>
      </c>
      <c r="I333" s="32">
        <v>57500000</v>
      </c>
      <c r="J333" s="19" t="s">
        <v>950</v>
      </c>
      <c r="K333" s="6" t="s">
        <v>951</v>
      </c>
      <c r="L333" s="3" t="s">
        <v>2236</v>
      </c>
      <c r="M333" s="3" t="s">
        <v>2234</v>
      </c>
      <c r="N333" s="3" t="s">
        <v>2259</v>
      </c>
    </row>
    <row r="334" spans="1:14" x14ac:dyDescent="0.25">
      <c r="A334" s="14" t="s">
        <v>1339</v>
      </c>
      <c r="B334" s="16" t="s">
        <v>2199</v>
      </c>
      <c r="C334" s="19" t="s">
        <v>1304</v>
      </c>
      <c r="D334" s="19" t="s">
        <v>1304</v>
      </c>
      <c r="E334" s="10" t="s">
        <v>1340</v>
      </c>
      <c r="F334" s="20">
        <v>46174</v>
      </c>
      <c r="G334" s="16">
        <v>1</v>
      </c>
      <c r="H334" s="11" t="s">
        <v>807</v>
      </c>
      <c r="I334" s="31">
        <v>525000</v>
      </c>
      <c r="J334" s="19" t="s">
        <v>1342</v>
      </c>
      <c r="K334" s="19" t="s">
        <v>1343</v>
      </c>
      <c r="L334" s="3" t="s">
        <v>2237</v>
      </c>
      <c r="M334" s="3" t="s">
        <v>2256</v>
      </c>
      <c r="N334" s="3" t="s">
        <v>2266</v>
      </c>
    </row>
    <row r="335" spans="1:14" x14ac:dyDescent="0.25">
      <c r="A335" s="15" t="s">
        <v>1389</v>
      </c>
      <c r="B335" s="17" t="s">
        <v>2199</v>
      </c>
      <c r="C335" s="6" t="s">
        <v>1304</v>
      </c>
      <c r="D335" s="6" t="s">
        <v>1304</v>
      </c>
      <c r="E335" s="7" t="s">
        <v>1390</v>
      </c>
      <c r="F335" s="20">
        <v>46174</v>
      </c>
      <c r="G335" s="17">
        <v>1</v>
      </c>
      <c r="H335" t="s">
        <v>807</v>
      </c>
      <c r="I335" s="32">
        <v>630000</v>
      </c>
      <c r="J335" s="19" t="s">
        <v>1342</v>
      </c>
      <c r="K335" s="6" t="s">
        <v>1392</v>
      </c>
      <c r="L335" s="3" t="s">
        <v>2237</v>
      </c>
      <c r="M335" s="3" t="s">
        <v>2256</v>
      </c>
      <c r="N335" s="3" t="s">
        <v>2266</v>
      </c>
    </row>
    <row r="336" spans="1:14" x14ac:dyDescent="0.25">
      <c r="A336" s="14" t="s">
        <v>1442</v>
      </c>
      <c r="B336" s="16" t="s">
        <v>2199</v>
      </c>
      <c r="C336" s="19" t="s">
        <v>28</v>
      </c>
      <c r="D336" s="19" t="s">
        <v>28</v>
      </c>
      <c r="E336" s="10" t="s">
        <v>1443</v>
      </c>
      <c r="F336" s="20">
        <v>46054</v>
      </c>
      <c r="G336" s="16">
        <v>1</v>
      </c>
      <c r="H336" s="11" t="s">
        <v>786</v>
      </c>
      <c r="I336" s="31">
        <v>299940</v>
      </c>
      <c r="J336" s="19" t="s">
        <v>1445</v>
      </c>
      <c r="K336" s="19" t="s">
        <v>1446</v>
      </c>
      <c r="L336" s="3" t="s">
        <v>2222</v>
      </c>
      <c r="M336" s="3" t="s">
        <v>2234</v>
      </c>
      <c r="N336" s="3" t="s">
        <v>2260</v>
      </c>
    </row>
    <row r="337" spans="1:14" x14ac:dyDescent="0.25">
      <c r="A337" s="15" t="s">
        <v>1453</v>
      </c>
      <c r="B337" s="17" t="s">
        <v>2199</v>
      </c>
      <c r="C337" s="6" t="s">
        <v>28</v>
      </c>
      <c r="D337" s="6" t="s">
        <v>28</v>
      </c>
      <c r="E337" s="7" t="s">
        <v>1454</v>
      </c>
      <c r="F337" s="20">
        <v>46113</v>
      </c>
      <c r="G337" s="17">
        <v>1</v>
      </c>
      <c r="H337" t="s">
        <v>602</v>
      </c>
      <c r="I337" s="32">
        <v>720000</v>
      </c>
      <c r="J337" s="19" t="s">
        <v>1445</v>
      </c>
      <c r="K337" s="6" t="s">
        <v>1446</v>
      </c>
      <c r="L337" s="3" t="s">
        <v>2222</v>
      </c>
      <c r="M337" s="3" t="s">
        <v>2234</v>
      </c>
      <c r="N337" s="3" t="s">
        <v>2260</v>
      </c>
    </row>
    <row r="338" spans="1:14" x14ac:dyDescent="0.25">
      <c r="A338" s="14" t="s">
        <v>1479</v>
      </c>
      <c r="B338" s="16" t="s">
        <v>2199</v>
      </c>
      <c r="C338" s="19" t="s">
        <v>28</v>
      </c>
      <c r="D338" s="19" t="s">
        <v>28</v>
      </c>
      <c r="E338" s="10" t="s">
        <v>1480</v>
      </c>
      <c r="F338" s="20">
        <v>46113</v>
      </c>
      <c r="G338" s="16">
        <v>1</v>
      </c>
      <c r="H338" s="11" t="s">
        <v>602</v>
      </c>
      <c r="I338" s="31">
        <v>220000</v>
      </c>
      <c r="J338" s="19" t="s">
        <v>1445</v>
      </c>
      <c r="K338" s="19" t="s">
        <v>1446</v>
      </c>
      <c r="L338" s="3" t="s">
        <v>2222</v>
      </c>
      <c r="M338" s="3" t="s">
        <v>2234</v>
      </c>
      <c r="N338" s="3" t="s">
        <v>2260</v>
      </c>
    </row>
    <row r="339" spans="1:14" x14ac:dyDescent="0.25">
      <c r="A339" s="15" t="s">
        <v>1853</v>
      </c>
      <c r="B339" s="17" t="s">
        <v>2199</v>
      </c>
      <c r="C339" s="6" t="s">
        <v>28</v>
      </c>
      <c r="D339" s="6" t="s">
        <v>28</v>
      </c>
      <c r="E339" s="7" t="s">
        <v>1854</v>
      </c>
      <c r="F339" s="20">
        <v>46054</v>
      </c>
      <c r="G339" s="17">
        <v>1</v>
      </c>
      <c r="H339" t="s">
        <v>1175</v>
      </c>
      <c r="I339" s="32">
        <v>3000000</v>
      </c>
      <c r="J339" s="19" t="s">
        <v>1445</v>
      </c>
      <c r="K339" s="6" t="s">
        <v>1446</v>
      </c>
      <c r="L339" s="3" t="s">
        <v>2222</v>
      </c>
      <c r="M339" s="3" t="s">
        <v>2234</v>
      </c>
      <c r="N339" s="3" t="s">
        <v>2260</v>
      </c>
    </row>
    <row r="340" spans="1:14" x14ac:dyDescent="0.25">
      <c r="A340" s="14" t="s">
        <v>1914</v>
      </c>
      <c r="B340" s="16" t="s">
        <v>2199</v>
      </c>
      <c r="C340" s="19" t="s">
        <v>28</v>
      </c>
      <c r="D340" s="19" t="s">
        <v>28</v>
      </c>
      <c r="E340" s="10" t="s">
        <v>1916</v>
      </c>
      <c r="F340" s="20">
        <v>46054</v>
      </c>
      <c r="G340" s="16">
        <v>2</v>
      </c>
      <c r="H340" s="11" t="s">
        <v>1920</v>
      </c>
      <c r="I340" s="31">
        <v>150000</v>
      </c>
      <c r="J340" s="19" t="s">
        <v>1445</v>
      </c>
      <c r="K340" s="19" t="s">
        <v>1446</v>
      </c>
      <c r="L340" s="3" t="s">
        <v>2222</v>
      </c>
      <c r="M340" s="3" t="s">
        <v>2234</v>
      </c>
      <c r="N340" s="3" t="s">
        <v>2260</v>
      </c>
    </row>
    <row r="341" spans="1:14" x14ac:dyDescent="0.25">
      <c r="A341" s="15" t="s">
        <v>1914</v>
      </c>
      <c r="B341" s="17" t="s">
        <v>2199</v>
      </c>
      <c r="C341" s="6" t="s">
        <v>28</v>
      </c>
      <c r="D341" s="6" t="s">
        <v>28</v>
      </c>
      <c r="E341" s="7" t="s">
        <v>1916</v>
      </c>
      <c r="F341" s="20">
        <v>46054</v>
      </c>
      <c r="G341" s="17">
        <v>2</v>
      </c>
      <c r="H341" t="s">
        <v>1918</v>
      </c>
      <c r="I341" s="32">
        <v>70000</v>
      </c>
      <c r="J341" s="19" t="s">
        <v>1445</v>
      </c>
      <c r="K341" s="6" t="s">
        <v>1446</v>
      </c>
      <c r="L341" s="3" t="s">
        <v>2222</v>
      </c>
      <c r="M341" s="3" t="s">
        <v>2234</v>
      </c>
      <c r="N341" s="3" t="s">
        <v>2260</v>
      </c>
    </row>
    <row r="342" spans="1:14" x14ac:dyDescent="0.25">
      <c r="A342" s="14" t="s">
        <v>2083</v>
      </c>
      <c r="B342" s="16" t="s">
        <v>2199</v>
      </c>
      <c r="C342" s="19" t="s">
        <v>28</v>
      </c>
      <c r="D342" s="19" t="s">
        <v>28</v>
      </c>
      <c r="E342" s="10" t="s">
        <v>1916</v>
      </c>
      <c r="F342" s="20">
        <v>46054</v>
      </c>
      <c r="G342" s="16">
        <v>1</v>
      </c>
      <c r="H342" s="11" t="s">
        <v>2085</v>
      </c>
      <c r="I342" s="31">
        <v>200000</v>
      </c>
      <c r="J342" s="19" t="s">
        <v>1445</v>
      </c>
      <c r="K342" s="19" t="s">
        <v>1446</v>
      </c>
      <c r="L342" s="3" t="s">
        <v>2222</v>
      </c>
      <c r="M342" s="3" t="s">
        <v>2234</v>
      </c>
      <c r="N342" s="3" t="s">
        <v>2260</v>
      </c>
    </row>
    <row r="343" spans="1:14" x14ac:dyDescent="0.25">
      <c r="A343" s="15" t="s">
        <v>1610</v>
      </c>
      <c r="B343" s="17" t="s">
        <v>2199</v>
      </c>
      <c r="C343" s="6" t="s">
        <v>28</v>
      </c>
      <c r="D343" s="6" t="s">
        <v>28</v>
      </c>
      <c r="E343" s="7" t="s">
        <v>1611</v>
      </c>
      <c r="F343" s="20">
        <v>46054</v>
      </c>
      <c r="G343" s="17">
        <v>4</v>
      </c>
      <c r="H343" t="s">
        <v>1618</v>
      </c>
      <c r="I343" s="32">
        <v>5000001</v>
      </c>
      <c r="J343" s="19" t="s">
        <v>1613</v>
      </c>
      <c r="K343" s="6" t="s">
        <v>1614</v>
      </c>
      <c r="L343" s="3" t="s">
        <v>2221</v>
      </c>
      <c r="M343" s="3" t="s">
        <v>2234</v>
      </c>
      <c r="N343" s="3" t="s">
        <v>2259</v>
      </c>
    </row>
    <row r="344" spans="1:14" x14ac:dyDescent="0.25">
      <c r="A344" s="14" t="s">
        <v>1610</v>
      </c>
      <c r="B344" s="16" t="s">
        <v>2199</v>
      </c>
      <c r="C344" s="19" t="s">
        <v>28</v>
      </c>
      <c r="D344" s="19" t="s">
        <v>28</v>
      </c>
      <c r="E344" s="10" t="s">
        <v>1611</v>
      </c>
      <c r="F344" s="20">
        <v>46082</v>
      </c>
      <c r="G344" s="16">
        <v>4</v>
      </c>
      <c r="H344" s="11" t="s">
        <v>1617</v>
      </c>
      <c r="I344" s="31">
        <v>5000001</v>
      </c>
      <c r="J344" s="19" t="s">
        <v>1613</v>
      </c>
      <c r="K344" s="19" t="s">
        <v>1614</v>
      </c>
      <c r="L344" s="3" t="s">
        <v>2221</v>
      </c>
      <c r="M344" s="3" t="s">
        <v>2234</v>
      </c>
      <c r="N344" s="3" t="s">
        <v>2259</v>
      </c>
    </row>
    <row r="345" spans="1:14" x14ac:dyDescent="0.25">
      <c r="A345" s="15" t="s">
        <v>1610</v>
      </c>
      <c r="B345" s="17" t="s">
        <v>2199</v>
      </c>
      <c r="C345" s="6" t="s">
        <v>28</v>
      </c>
      <c r="D345" s="6" t="s">
        <v>28</v>
      </c>
      <c r="E345" s="7" t="s">
        <v>1611</v>
      </c>
      <c r="F345" s="20">
        <v>46054</v>
      </c>
      <c r="G345" s="17">
        <v>4</v>
      </c>
      <c r="H345" t="s">
        <v>602</v>
      </c>
      <c r="I345" s="32">
        <v>1500000</v>
      </c>
      <c r="J345" s="19" t="s">
        <v>1613</v>
      </c>
      <c r="K345" s="6" t="s">
        <v>1614</v>
      </c>
      <c r="L345" s="3" t="s">
        <v>2221</v>
      </c>
      <c r="M345" s="3" t="s">
        <v>2234</v>
      </c>
      <c r="N345" s="3" t="s">
        <v>2259</v>
      </c>
    </row>
    <row r="346" spans="1:14" x14ac:dyDescent="0.25">
      <c r="A346" s="14" t="s">
        <v>1610</v>
      </c>
      <c r="B346" s="16" t="s">
        <v>2199</v>
      </c>
      <c r="C346" s="19" t="s">
        <v>28</v>
      </c>
      <c r="D346" s="19" t="s">
        <v>28</v>
      </c>
      <c r="E346" s="10" t="s">
        <v>1611</v>
      </c>
      <c r="F346" s="20">
        <v>46023</v>
      </c>
      <c r="G346" s="16">
        <v>4</v>
      </c>
      <c r="H346" s="11" t="s">
        <v>1619</v>
      </c>
      <c r="I346" s="31">
        <v>50932000</v>
      </c>
      <c r="J346" s="19" t="s">
        <v>1613</v>
      </c>
      <c r="K346" s="19" t="s">
        <v>1614</v>
      </c>
      <c r="L346" s="3" t="s">
        <v>2221</v>
      </c>
      <c r="M346" s="3" t="s">
        <v>2234</v>
      </c>
      <c r="N346" s="3" t="s">
        <v>2259</v>
      </c>
    </row>
    <row r="347" spans="1:14" x14ac:dyDescent="0.25">
      <c r="A347" s="15" t="s">
        <v>1411</v>
      </c>
      <c r="B347" s="17" t="s">
        <v>2199</v>
      </c>
      <c r="C347" s="6" t="s">
        <v>28</v>
      </c>
      <c r="D347" s="6" t="s">
        <v>28</v>
      </c>
      <c r="E347" s="7" t="s">
        <v>1413</v>
      </c>
      <c r="F347" s="20">
        <v>46174</v>
      </c>
      <c r="G347" s="17">
        <v>1</v>
      </c>
      <c r="H347" t="s">
        <v>882</v>
      </c>
      <c r="I347" s="32">
        <v>2000000</v>
      </c>
      <c r="J347" s="19" t="s">
        <v>1415</v>
      </c>
      <c r="K347" s="6" t="s">
        <v>514</v>
      </c>
      <c r="L347" s="3" t="s">
        <v>2233</v>
      </c>
      <c r="M347" s="3" t="s">
        <v>2256</v>
      </c>
      <c r="N347" s="3" t="s">
        <v>2266</v>
      </c>
    </row>
    <row r="348" spans="1:14" x14ac:dyDescent="0.25">
      <c r="A348" s="14" t="s">
        <v>1416</v>
      </c>
      <c r="B348" s="16" t="s">
        <v>2199</v>
      </c>
      <c r="C348" s="19" t="s">
        <v>28</v>
      </c>
      <c r="D348" s="19" t="s">
        <v>28</v>
      </c>
      <c r="E348" s="10" t="s">
        <v>1417</v>
      </c>
      <c r="F348" s="20">
        <v>46357</v>
      </c>
      <c r="G348" s="16">
        <v>1</v>
      </c>
      <c r="H348" s="11" t="s">
        <v>623</v>
      </c>
      <c r="I348" s="31">
        <v>6000000</v>
      </c>
      <c r="J348" s="19" t="s">
        <v>1415</v>
      </c>
      <c r="K348" s="19" t="s">
        <v>514</v>
      </c>
      <c r="L348" s="3" t="s">
        <v>2233</v>
      </c>
      <c r="M348" s="3" t="s">
        <v>2256</v>
      </c>
      <c r="N348" s="3" t="s">
        <v>2266</v>
      </c>
    </row>
    <row r="349" spans="1:14" x14ac:dyDescent="0.25">
      <c r="A349" s="15" t="s">
        <v>1419</v>
      </c>
      <c r="B349" s="17" t="s">
        <v>2199</v>
      </c>
      <c r="C349" s="6" t="s">
        <v>28</v>
      </c>
      <c r="D349" s="6" t="s">
        <v>28</v>
      </c>
      <c r="E349" s="7" t="s">
        <v>1420</v>
      </c>
      <c r="F349" s="20">
        <v>46357</v>
      </c>
      <c r="G349" s="17">
        <v>1</v>
      </c>
      <c r="H349" t="s">
        <v>882</v>
      </c>
      <c r="I349" s="32">
        <v>0</v>
      </c>
      <c r="J349" s="19" t="s">
        <v>1415</v>
      </c>
      <c r="K349" s="6" t="s">
        <v>514</v>
      </c>
      <c r="L349" s="3" t="s">
        <v>2233</v>
      </c>
      <c r="M349" s="3" t="s">
        <v>2256</v>
      </c>
      <c r="N349" s="3" t="s">
        <v>2266</v>
      </c>
    </row>
    <row r="350" spans="1:14" x14ac:dyDescent="0.25">
      <c r="A350" s="14" t="s">
        <v>1422</v>
      </c>
      <c r="B350" s="16" t="s">
        <v>2199</v>
      </c>
      <c r="C350" s="19" t="s">
        <v>28</v>
      </c>
      <c r="D350" s="19" t="s">
        <v>28</v>
      </c>
      <c r="E350" s="10" t="s">
        <v>1423</v>
      </c>
      <c r="F350" s="20">
        <v>46327</v>
      </c>
      <c r="G350" s="16">
        <v>1</v>
      </c>
      <c r="H350" s="11" t="s">
        <v>1425</v>
      </c>
      <c r="I350" s="31">
        <v>25000000</v>
      </c>
      <c r="J350" s="19" t="s">
        <v>1415</v>
      </c>
      <c r="K350" s="19" t="s">
        <v>514</v>
      </c>
      <c r="L350" s="3" t="s">
        <v>2233</v>
      </c>
      <c r="M350" s="3" t="s">
        <v>2256</v>
      </c>
      <c r="N350" s="3" t="s">
        <v>2266</v>
      </c>
    </row>
    <row r="351" spans="1:14" x14ac:dyDescent="0.25">
      <c r="A351" s="15" t="s">
        <v>1426</v>
      </c>
      <c r="B351" s="17" t="s">
        <v>2199</v>
      </c>
      <c r="C351" s="6" t="s">
        <v>28</v>
      </c>
      <c r="D351" s="6" t="s">
        <v>28</v>
      </c>
      <c r="E351" s="7" t="s">
        <v>1427</v>
      </c>
      <c r="F351" s="20">
        <v>46327</v>
      </c>
      <c r="G351" s="17">
        <v>1</v>
      </c>
      <c r="H351" t="s">
        <v>623</v>
      </c>
      <c r="I351" s="32">
        <v>10000000</v>
      </c>
      <c r="J351" s="19" t="s">
        <v>1415</v>
      </c>
      <c r="K351" s="6" t="s">
        <v>514</v>
      </c>
      <c r="L351" s="3" t="s">
        <v>2233</v>
      </c>
      <c r="M351" s="3" t="s">
        <v>2256</v>
      </c>
      <c r="N351" s="3" t="s">
        <v>2266</v>
      </c>
    </row>
    <row r="352" spans="1:14" x14ac:dyDescent="0.25">
      <c r="A352" s="14" t="s">
        <v>509</v>
      </c>
      <c r="B352" s="16" t="s">
        <v>2196</v>
      </c>
      <c r="C352" s="16" t="s">
        <v>2196</v>
      </c>
      <c r="D352" s="19" t="s">
        <v>28</v>
      </c>
      <c r="E352" s="10" t="s">
        <v>510</v>
      </c>
      <c r="F352" s="20">
        <v>45870</v>
      </c>
      <c r="G352" s="16">
        <v>1</v>
      </c>
      <c r="H352" s="11" t="s">
        <v>512</v>
      </c>
      <c r="I352" s="31">
        <v>83594337</v>
      </c>
      <c r="J352" s="19" t="s">
        <v>513</v>
      </c>
      <c r="K352" s="19" t="s">
        <v>514</v>
      </c>
      <c r="L352" s="3" t="s">
        <v>2233</v>
      </c>
      <c r="M352" s="3" t="s">
        <v>2256</v>
      </c>
      <c r="N352" s="3" t="s">
        <v>2266</v>
      </c>
    </row>
    <row r="353" spans="1:14" x14ac:dyDescent="0.25">
      <c r="A353" s="15" t="s">
        <v>1700</v>
      </c>
      <c r="B353" s="17" t="s">
        <v>2199</v>
      </c>
      <c r="C353" s="6" t="s">
        <v>28</v>
      </c>
      <c r="D353" s="6" t="s">
        <v>28</v>
      </c>
      <c r="E353" s="7" t="s">
        <v>1701</v>
      </c>
      <c r="F353" s="20">
        <v>46143</v>
      </c>
      <c r="G353" s="17">
        <v>1</v>
      </c>
      <c r="H353" t="s">
        <v>1703</v>
      </c>
      <c r="I353" s="32">
        <v>4059825</v>
      </c>
      <c r="J353" s="19" t="s">
        <v>1704</v>
      </c>
      <c r="K353" s="6" t="s">
        <v>1705</v>
      </c>
      <c r="L353" s="3" t="s">
        <v>2222</v>
      </c>
      <c r="M353" s="3" t="s">
        <v>2234</v>
      </c>
      <c r="N353" s="3" t="s">
        <v>2260</v>
      </c>
    </row>
    <row r="354" spans="1:14" x14ac:dyDescent="0.25">
      <c r="A354" s="14" t="s">
        <v>1466</v>
      </c>
      <c r="B354" s="16" t="s">
        <v>2199</v>
      </c>
      <c r="C354" s="19" t="s">
        <v>28</v>
      </c>
      <c r="D354" s="19" t="s">
        <v>28</v>
      </c>
      <c r="E354" s="10" t="s">
        <v>1467</v>
      </c>
      <c r="F354" s="20">
        <v>46054</v>
      </c>
      <c r="G354" s="16">
        <v>1</v>
      </c>
      <c r="H354" s="11" t="s">
        <v>760</v>
      </c>
      <c r="I354" s="31">
        <v>5000001</v>
      </c>
      <c r="J354" s="19" t="s">
        <v>1469</v>
      </c>
      <c r="K354" s="19" t="s">
        <v>1470</v>
      </c>
      <c r="L354" s="3" t="s">
        <v>2238</v>
      </c>
      <c r="M354" s="3" t="s">
        <v>2227</v>
      </c>
      <c r="N354" s="3" t="s">
        <v>2269</v>
      </c>
    </row>
    <row r="355" spans="1:14" x14ac:dyDescent="0.25">
      <c r="A355" s="15" t="s">
        <v>2005</v>
      </c>
      <c r="B355" s="17" t="s">
        <v>2199</v>
      </c>
      <c r="C355" s="6" t="s">
        <v>28</v>
      </c>
      <c r="D355" s="6" t="s">
        <v>28</v>
      </c>
      <c r="E355" s="7" t="s">
        <v>2006</v>
      </c>
      <c r="F355" s="20">
        <v>46082</v>
      </c>
      <c r="G355" s="17">
        <v>4</v>
      </c>
      <c r="H355" t="s">
        <v>359</v>
      </c>
      <c r="I355" s="32">
        <v>158235</v>
      </c>
      <c r="J355" s="19" t="s">
        <v>1469</v>
      </c>
      <c r="K355" s="6" t="s">
        <v>2008</v>
      </c>
      <c r="L355" s="3" t="s">
        <v>2238</v>
      </c>
      <c r="M355" s="3" t="s">
        <v>2227</v>
      </c>
      <c r="N355" s="3" t="s">
        <v>2269</v>
      </c>
    </row>
    <row r="356" spans="1:14" x14ac:dyDescent="0.25">
      <c r="A356" s="14" t="s">
        <v>2005</v>
      </c>
      <c r="B356" s="16" t="s">
        <v>2199</v>
      </c>
      <c r="C356" s="19" t="s">
        <v>28</v>
      </c>
      <c r="D356" s="19" t="s">
        <v>28</v>
      </c>
      <c r="E356" s="10" t="s">
        <v>2006</v>
      </c>
      <c r="F356" s="20">
        <v>46054</v>
      </c>
      <c r="G356" s="16">
        <v>4</v>
      </c>
      <c r="H356" s="11" t="s">
        <v>1938</v>
      </c>
      <c r="I356" s="31">
        <v>729076</v>
      </c>
      <c r="J356" s="19" t="s">
        <v>1469</v>
      </c>
      <c r="K356" s="19" t="s">
        <v>2008</v>
      </c>
      <c r="L356" s="3" t="s">
        <v>2238</v>
      </c>
      <c r="M356" s="3" t="s">
        <v>2227</v>
      </c>
      <c r="N356" s="3" t="s">
        <v>2269</v>
      </c>
    </row>
    <row r="357" spans="1:14" x14ac:dyDescent="0.25">
      <c r="A357" s="15" t="s">
        <v>2005</v>
      </c>
      <c r="B357" s="17" t="s">
        <v>2199</v>
      </c>
      <c r="C357" s="6" t="s">
        <v>28</v>
      </c>
      <c r="D357" s="6" t="s">
        <v>28</v>
      </c>
      <c r="E357" s="7" t="s">
        <v>2006</v>
      </c>
      <c r="F357" s="20">
        <v>46143</v>
      </c>
      <c r="G357" s="17">
        <v>4</v>
      </c>
      <c r="H357" t="s">
        <v>1406</v>
      </c>
      <c r="I357" s="32">
        <v>4000</v>
      </c>
      <c r="J357" s="19" t="s">
        <v>1469</v>
      </c>
      <c r="K357" s="6" t="s">
        <v>2008</v>
      </c>
      <c r="L357" s="3" t="s">
        <v>2238</v>
      </c>
      <c r="M357" s="3" t="s">
        <v>2227</v>
      </c>
      <c r="N357" s="3" t="s">
        <v>2269</v>
      </c>
    </row>
    <row r="358" spans="1:14" x14ac:dyDescent="0.25">
      <c r="A358" s="14" t="s">
        <v>2005</v>
      </c>
      <c r="B358" s="16" t="s">
        <v>2199</v>
      </c>
      <c r="C358" s="19" t="s">
        <v>28</v>
      </c>
      <c r="D358" s="19" t="s">
        <v>28</v>
      </c>
      <c r="E358" s="10" t="s">
        <v>2006</v>
      </c>
      <c r="F358" s="20">
        <v>46143</v>
      </c>
      <c r="G358" s="16">
        <v>4</v>
      </c>
      <c r="H358" s="11" t="s">
        <v>2010</v>
      </c>
      <c r="I358" s="31">
        <v>20000</v>
      </c>
      <c r="J358" s="19" t="s">
        <v>1469</v>
      </c>
      <c r="K358" s="19" t="s">
        <v>2008</v>
      </c>
      <c r="L358" s="3" t="s">
        <v>2238</v>
      </c>
      <c r="M358" s="3" t="s">
        <v>2227</v>
      </c>
      <c r="N358" s="3" t="s">
        <v>2269</v>
      </c>
    </row>
    <row r="359" spans="1:14" x14ac:dyDescent="0.25">
      <c r="A359" s="15" t="s">
        <v>1252</v>
      </c>
      <c r="B359" s="17" t="s">
        <v>2199</v>
      </c>
      <c r="C359" s="6" t="s">
        <v>28</v>
      </c>
      <c r="D359" s="6" t="s">
        <v>28</v>
      </c>
      <c r="E359" s="7" t="s">
        <v>1253</v>
      </c>
      <c r="F359" s="20">
        <v>46054</v>
      </c>
      <c r="G359" s="17">
        <v>1</v>
      </c>
      <c r="H359" t="s">
        <v>140</v>
      </c>
      <c r="I359" s="32">
        <v>52000</v>
      </c>
      <c r="J359" s="19" t="s">
        <v>1255</v>
      </c>
      <c r="K359" s="6" t="s">
        <v>1256</v>
      </c>
      <c r="L359" s="3" t="s">
        <v>2239</v>
      </c>
      <c r="M359" s="3" t="s">
        <v>2227</v>
      </c>
      <c r="N359" s="3" t="s">
        <v>2269</v>
      </c>
    </row>
    <row r="360" spans="1:14" x14ac:dyDescent="0.25">
      <c r="A360" s="14" t="s">
        <v>1371</v>
      </c>
      <c r="B360" s="16" t="s">
        <v>2199</v>
      </c>
      <c r="C360" s="19" t="s">
        <v>1304</v>
      </c>
      <c r="D360" s="19" t="s">
        <v>1304</v>
      </c>
      <c r="E360" s="10" t="s">
        <v>1373</v>
      </c>
      <c r="F360" s="20">
        <v>46113</v>
      </c>
      <c r="G360" s="16">
        <v>1</v>
      </c>
      <c r="H360" s="11" t="s">
        <v>1375</v>
      </c>
      <c r="I360" s="31">
        <v>1058222000</v>
      </c>
      <c r="J360" s="19" t="s">
        <v>1200</v>
      </c>
      <c r="K360" s="19" t="s">
        <v>514</v>
      </c>
      <c r="L360" s="3" t="s">
        <v>2237</v>
      </c>
      <c r="M360" s="3" t="s">
        <v>2256</v>
      </c>
      <c r="N360" s="3" t="s">
        <v>2266</v>
      </c>
    </row>
    <row r="361" spans="1:14" x14ac:dyDescent="0.25">
      <c r="A361" s="15" t="s">
        <v>1376</v>
      </c>
      <c r="B361" s="17" t="s">
        <v>2199</v>
      </c>
      <c r="C361" s="6" t="s">
        <v>1304</v>
      </c>
      <c r="D361" s="6" t="s">
        <v>1304</v>
      </c>
      <c r="E361" s="7" t="s">
        <v>1377</v>
      </c>
      <c r="F361" s="20">
        <v>46113</v>
      </c>
      <c r="G361" s="17">
        <v>1</v>
      </c>
      <c r="H361" t="s">
        <v>1375</v>
      </c>
      <c r="I361" s="32">
        <v>916961000</v>
      </c>
      <c r="J361" s="19" t="s">
        <v>1200</v>
      </c>
      <c r="K361" s="6" t="s">
        <v>514</v>
      </c>
      <c r="L361" s="3" t="s">
        <v>2237</v>
      </c>
      <c r="M361" s="3" t="s">
        <v>2256</v>
      </c>
      <c r="N361" s="3" t="s">
        <v>2266</v>
      </c>
    </row>
    <row r="362" spans="1:14" x14ac:dyDescent="0.25">
      <c r="A362" s="14" t="s">
        <v>1379</v>
      </c>
      <c r="B362" s="16" t="s">
        <v>2199</v>
      </c>
      <c r="C362" s="19" t="s">
        <v>1304</v>
      </c>
      <c r="D362" s="19" t="s">
        <v>1304</v>
      </c>
      <c r="E362" s="10" t="s">
        <v>1380</v>
      </c>
      <c r="F362" s="20">
        <v>46113</v>
      </c>
      <c r="G362" s="16">
        <v>1</v>
      </c>
      <c r="H362" s="11" t="s">
        <v>1375</v>
      </c>
      <c r="I362" s="31">
        <v>888441000</v>
      </c>
      <c r="J362" s="19" t="s">
        <v>1200</v>
      </c>
      <c r="K362" s="19" t="s">
        <v>514</v>
      </c>
      <c r="L362" s="3" t="s">
        <v>2237</v>
      </c>
      <c r="M362" s="3" t="s">
        <v>2256</v>
      </c>
      <c r="N362" s="3" t="s">
        <v>2266</v>
      </c>
    </row>
    <row r="363" spans="1:14" x14ac:dyDescent="0.25">
      <c r="A363" s="15" t="s">
        <v>1887</v>
      </c>
      <c r="B363" s="17" t="s">
        <v>2199</v>
      </c>
      <c r="C363" s="6" t="s">
        <v>1304</v>
      </c>
      <c r="D363" s="6" t="s">
        <v>1304</v>
      </c>
      <c r="E363" s="7" t="s">
        <v>1888</v>
      </c>
      <c r="F363" s="20">
        <v>46082</v>
      </c>
      <c r="G363" s="17">
        <v>4</v>
      </c>
      <c r="H363" t="s">
        <v>1199</v>
      </c>
      <c r="I363" s="32">
        <v>493463899</v>
      </c>
      <c r="J363" s="19" t="s">
        <v>1200</v>
      </c>
      <c r="K363" s="6" t="s">
        <v>514</v>
      </c>
      <c r="L363" s="3" t="s">
        <v>2237</v>
      </c>
      <c r="M363" s="3" t="s">
        <v>2256</v>
      </c>
      <c r="N363" s="3" t="s">
        <v>2266</v>
      </c>
    </row>
    <row r="364" spans="1:14" x14ac:dyDescent="0.25">
      <c r="A364" s="14" t="s">
        <v>1887</v>
      </c>
      <c r="B364" s="16" t="s">
        <v>2199</v>
      </c>
      <c r="C364" s="19" t="s">
        <v>1304</v>
      </c>
      <c r="D364" s="19" t="s">
        <v>1304</v>
      </c>
      <c r="E364" s="10" t="s">
        <v>1888</v>
      </c>
      <c r="F364" s="20">
        <v>46113</v>
      </c>
      <c r="G364" s="16">
        <v>4</v>
      </c>
      <c r="H364" s="11" t="s">
        <v>1199</v>
      </c>
      <c r="I364" s="31">
        <v>424384098</v>
      </c>
      <c r="J364" s="19" t="s">
        <v>1200</v>
      </c>
      <c r="K364" s="19" t="s">
        <v>514</v>
      </c>
      <c r="L364" s="3" t="s">
        <v>2237</v>
      </c>
      <c r="M364" s="3" t="s">
        <v>2256</v>
      </c>
      <c r="N364" s="3" t="s">
        <v>2266</v>
      </c>
    </row>
    <row r="365" spans="1:14" x14ac:dyDescent="0.25">
      <c r="A365" s="15" t="s">
        <v>1887</v>
      </c>
      <c r="B365" s="17" t="s">
        <v>2199</v>
      </c>
      <c r="C365" s="6" t="s">
        <v>1304</v>
      </c>
      <c r="D365" s="6" t="s">
        <v>1304</v>
      </c>
      <c r="E365" s="7" t="s">
        <v>1888</v>
      </c>
      <c r="F365" s="20">
        <v>46357</v>
      </c>
      <c r="G365" s="17">
        <v>4</v>
      </c>
      <c r="H365" t="s">
        <v>1199</v>
      </c>
      <c r="I365" s="32">
        <v>1157231542</v>
      </c>
      <c r="J365" s="19" t="s">
        <v>1200</v>
      </c>
      <c r="K365" s="6" t="s">
        <v>514</v>
      </c>
      <c r="L365" s="3" t="s">
        <v>2237</v>
      </c>
      <c r="M365" s="3" t="s">
        <v>2256</v>
      </c>
      <c r="N365" s="3" t="s">
        <v>2266</v>
      </c>
    </row>
    <row r="366" spans="1:14" x14ac:dyDescent="0.25">
      <c r="A366" s="14" t="s">
        <v>1196</v>
      </c>
      <c r="B366" s="16" t="s">
        <v>2199</v>
      </c>
      <c r="C366" s="19" t="s">
        <v>594</v>
      </c>
      <c r="D366" s="19" t="s">
        <v>594</v>
      </c>
      <c r="E366" s="10" t="s">
        <v>1197</v>
      </c>
      <c r="F366" s="20">
        <v>46357</v>
      </c>
      <c r="G366" s="16">
        <v>1</v>
      </c>
      <c r="H366" s="11" t="s">
        <v>1199</v>
      </c>
      <c r="I366" s="31">
        <v>3430002</v>
      </c>
      <c r="J366" s="19" t="s">
        <v>1200</v>
      </c>
      <c r="K366" s="19" t="s">
        <v>514</v>
      </c>
      <c r="L366" s="3" t="s">
        <v>2237</v>
      </c>
      <c r="M366" s="3" t="s">
        <v>2256</v>
      </c>
      <c r="N366" s="3" t="s">
        <v>2266</v>
      </c>
    </row>
    <row r="367" spans="1:14" x14ac:dyDescent="0.25">
      <c r="A367" s="15" t="s">
        <v>1872</v>
      </c>
      <c r="B367" s="17" t="s">
        <v>2199</v>
      </c>
      <c r="C367" s="6" t="s">
        <v>28</v>
      </c>
      <c r="D367" s="6" t="s">
        <v>28</v>
      </c>
      <c r="E367" s="7" t="s">
        <v>1873</v>
      </c>
      <c r="F367" s="20">
        <v>46082</v>
      </c>
      <c r="G367" s="17">
        <v>3</v>
      </c>
      <c r="H367" t="s">
        <v>359</v>
      </c>
      <c r="I367" s="32">
        <v>68000</v>
      </c>
      <c r="J367" s="19" t="s">
        <v>1875</v>
      </c>
      <c r="K367" s="6" t="s">
        <v>1876</v>
      </c>
      <c r="L367" s="3" t="s">
        <v>2230</v>
      </c>
      <c r="M367" s="3" t="s">
        <v>2227</v>
      </c>
      <c r="N367" s="3" t="s">
        <v>2261</v>
      </c>
    </row>
    <row r="368" spans="1:14" x14ac:dyDescent="0.25">
      <c r="A368" s="14" t="s">
        <v>1872</v>
      </c>
      <c r="B368" s="16" t="s">
        <v>2199</v>
      </c>
      <c r="C368" s="19" t="s">
        <v>28</v>
      </c>
      <c r="D368" s="19" t="s">
        <v>28</v>
      </c>
      <c r="E368" s="10" t="s">
        <v>1873</v>
      </c>
      <c r="F368" s="20">
        <v>46082</v>
      </c>
      <c r="G368" s="16">
        <v>3</v>
      </c>
      <c r="H368" s="11" t="s">
        <v>1878</v>
      </c>
      <c r="I368" s="31">
        <v>305000</v>
      </c>
      <c r="J368" s="19" t="s">
        <v>1875</v>
      </c>
      <c r="K368" s="19" t="s">
        <v>1876</v>
      </c>
      <c r="L368" s="3" t="s">
        <v>2230</v>
      </c>
      <c r="M368" s="3" t="s">
        <v>2227</v>
      </c>
      <c r="N368" s="3" t="s">
        <v>2261</v>
      </c>
    </row>
    <row r="369" spans="1:14" x14ac:dyDescent="0.25">
      <c r="A369" s="15" t="s">
        <v>1872</v>
      </c>
      <c r="B369" s="17" t="s">
        <v>2199</v>
      </c>
      <c r="C369" s="6" t="s">
        <v>28</v>
      </c>
      <c r="D369" s="6" t="s">
        <v>28</v>
      </c>
      <c r="E369" s="7" t="s">
        <v>1873</v>
      </c>
      <c r="F369" s="20">
        <v>46082</v>
      </c>
      <c r="G369" s="17">
        <v>3</v>
      </c>
      <c r="H369" t="s">
        <v>486</v>
      </c>
      <c r="I369" s="32">
        <v>132068</v>
      </c>
      <c r="J369" s="19" t="s">
        <v>1875</v>
      </c>
      <c r="K369" s="6" t="s">
        <v>1876</v>
      </c>
      <c r="L369" s="3" t="s">
        <v>2230</v>
      </c>
      <c r="M369" s="3" t="s">
        <v>2227</v>
      </c>
      <c r="N369" s="3" t="s">
        <v>2261</v>
      </c>
    </row>
    <row r="370" spans="1:14" x14ac:dyDescent="0.25">
      <c r="A370" s="14" t="s">
        <v>1322</v>
      </c>
      <c r="B370" s="16" t="s">
        <v>2199</v>
      </c>
      <c r="C370" s="19" t="s">
        <v>1304</v>
      </c>
      <c r="D370" s="19" t="s">
        <v>1304</v>
      </c>
      <c r="E370" s="10" t="s">
        <v>1323</v>
      </c>
      <c r="F370" s="20">
        <v>46296</v>
      </c>
      <c r="G370" s="16">
        <v>1</v>
      </c>
      <c r="H370" s="11" t="s">
        <v>807</v>
      </c>
      <c r="I370" s="31">
        <v>80000000</v>
      </c>
      <c r="J370" s="19" t="s">
        <v>1325</v>
      </c>
      <c r="K370" s="19" t="s">
        <v>1326</v>
      </c>
      <c r="L370" s="3" t="s">
        <v>2240</v>
      </c>
      <c r="M370" s="3" t="s">
        <v>2256</v>
      </c>
      <c r="N370" s="3" t="s">
        <v>2270</v>
      </c>
    </row>
    <row r="371" spans="1:14" x14ac:dyDescent="0.25">
      <c r="A371" s="15" t="s">
        <v>1328</v>
      </c>
      <c r="B371" s="17" t="s">
        <v>2199</v>
      </c>
      <c r="C371" s="6" t="s">
        <v>1304</v>
      </c>
      <c r="D371" s="6" t="s">
        <v>1304</v>
      </c>
      <c r="E371" s="7" t="s">
        <v>1329</v>
      </c>
      <c r="F371" s="20">
        <v>46296</v>
      </c>
      <c r="G371" s="17">
        <v>1</v>
      </c>
      <c r="H371" t="s">
        <v>807</v>
      </c>
      <c r="I371" s="32">
        <v>80000000</v>
      </c>
      <c r="J371" s="19" t="s">
        <v>1325</v>
      </c>
      <c r="K371" s="6" t="s">
        <v>1326</v>
      </c>
      <c r="L371" s="3" t="s">
        <v>2240</v>
      </c>
      <c r="M371" s="3" t="s">
        <v>2256</v>
      </c>
      <c r="N371" s="3" t="s">
        <v>2270</v>
      </c>
    </row>
    <row r="372" spans="1:14" x14ac:dyDescent="0.25">
      <c r="A372" s="14" t="s">
        <v>426</v>
      </c>
      <c r="B372" s="16" t="s">
        <v>2196</v>
      </c>
      <c r="C372" s="16" t="s">
        <v>2196</v>
      </c>
      <c r="D372" s="19" t="s">
        <v>28</v>
      </c>
      <c r="E372" s="10" t="s">
        <v>428</v>
      </c>
      <c r="F372" s="20">
        <v>45870</v>
      </c>
      <c r="G372" s="16">
        <v>1</v>
      </c>
      <c r="H372" s="11" t="s">
        <v>412</v>
      </c>
      <c r="I372" s="31">
        <v>48583326</v>
      </c>
      <c r="J372" s="19" t="s">
        <v>430</v>
      </c>
      <c r="K372" s="19" t="s">
        <v>431</v>
      </c>
      <c r="L372" s="53" t="s">
        <v>2222</v>
      </c>
      <c r="M372" s="53" t="s">
        <v>2234</v>
      </c>
      <c r="N372" s="3" t="s">
        <v>2260</v>
      </c>
    </row>
    <row r="373" spans="1:14" x14ac:dyDescent="0.25">
      <c r="A373" s="15" t="s">
        <v>903</v>
      </c>
      <c r="B373" s="17" t="s">
        <v>2199</v>
      </c>
      <c r="C373" s="6" t="s">
        <v>28</v>
      </c>
      <c r="D373" s="6" t="s">
        <v>28</v>
      </c>
      <c r="E373" s="7" t="s">
        <v>904</v>
      </c>
      <c r="F373" s="20">
        <v>46054</v>
      </c>
      <c r="G373" s="17">
        <v>7</v>
      </c>
      <c r="H373" t="s">
        <v>359</v>
      </c>
      <c r="I373" s="32">
        <v>107000</v>
      </c>
      <c r="J373" s="19" t="s">
        <v>906</v>
      </c>
      <c r="K373" s="6" t="s">
        <v>907</v>
      </c>
      <c r="L373" s="3" t="s">
        <v>2241</v>
      </c>
      <c r="M373" s="3" t="s">
        <v>2227</v>
      </c>
      <c r="N373" s="3" t="s">
        <v>2271</v>
      </c>
    </row>
    <row r="374" spans="1:14" x14ac:dyDescent="0.25">
      <c r="A374" s="14" t="s">
        <v>903</v>
      </c>
      <c r="B374" s="16" t="s">
        <v>2199</v>
      </c>
      <c r="C374" s="19" t="s">
        <v>28</v>
      </c>
      <c r="D374" s="19" t="s">
        <v>28</v>
      </c>
      <c r="E374" s="10" t="s">
        <v>904</v>
      </c>
      <c r="F374" s="20">
        <v>46054</v>
      </c>
      <c r="G374" s="16">
        <v>7</v>
      </c>
      <c r="H374" s="11" t="s">
        <v>912</v>
      </c>
      <c r="I374" s="31">
        <v>15000</v>
      </c>
      <c r="J374" s="19" t="s">
        <v>906</v>
      </c>
      <c r="K374" s="19" t="s">
        <v>907</v>
      </c>
      <c r="L374" s="3" t="s">
        <v>2241</v>
      </c>
      <c r="M374" s="3" t="s">
        <v>2227</v>
      </c>
      <c r="N374" s="3" t="s">
        <v>2271</v>
      </c>
    </row>
    <row r="375" spans="1:14" x14ac:dyDescent="0.25">
      <c r="A375" s="15" t="s">
        <v>903</v>
      </c>
      <c r="B375" s="17" t="s">
        <v>2199</v>
      </c>
      <c r="C375" s="6" t="s">
        <v>28</v>
      </c>
      <c r="D375" s="6" t="s">
        <v>28</v>
      </c>
      <c r="E375" s="7" t="s">
        <v>904</v>
      </c>
      <c r="F375" s="20">
        <v>46054</v>
      </c>
      <c r="G375" s="17">
        <v>7</v>
      </c>
      <c r="H375" t="s">
        <v>914</v>
      </c>
      <c r="I375" s="32">
        <v>10000</v>
      </c>
      <c r="J375" s="19" t="s">
        <v>906</v>
      </c>
      <c r="K375" s="6" t="s">
        <v>907</v>
      </c>
      <c r="L375" s="3" t="s">
        <v>2241</v>
      </c>
      <c r="M375" s="3" t="s">
        <v>2227</v>
      </c>
      <c r="N375" s="3" t="s">
        <v>2271</v>
      </c>
    </row>
    <row r="376" spans="1:14" x14ac:dyDescent="0.25">
      <c r="A376" s="14" t="s">
        <v>903</v>
      </c>
      <c r="B376" s="16" t="s">
        <v>2199</v>
      </c>
      <c r="C376" s="19" t="s">
        <v>28</v>
      </c>
      <c r="D376" s="19" t="s">
        <v>28</v>
      </c>
      <c r="E376" s="10" t="s">
        <v>904</v>
      </c>
      <c r="F376" s="20">
        <v>46143</v>
      </c>
      <c r="G376" s="16">
        <v>7</v>
      </c>
      <c r="H376" s="11" t="s">
        <v>911</v>
      </c>
      <c r="I376" s="31">
        <v>25000</v>
      </c>
      <c r="J376" s="19" t="s">
        <v>906</v>
      </c>
      <c r="K376" s="19" t="s">
        <v>907</v>
      </c>
      <c r="L376" s="3" t="s">
        <v>2241</v>
      </c>
      <c r="M376" s="3" t="s">
        <v>2227</v>
      </c>
      <c r="N376" s="3" t="s">
        <v>2271</v>
      </c>
    </row>
    <row r="377" spans="1:14" x14ac:dyDescent="0.25">
      <c r="A377" s="15" t="s">
        <v>903</v>
      </c>
      <c r="B377" s="17" t="s">
        <v>2199</v>
      </c>
      <c r="C377" s="6" t="s">
        <v>28</v>
      </c>
      <c r="D377" s="6" t="s">
        <v>28</v>
      </c>
      <c r="E377" s="7" t="s">
        <v>904</v>
      </c>
      <c r="F377" s="20">
        <v>46327</v>
      </c>
      <c r="G377" s="17">
        <v>7</v>
      </c>
      <c r="H377" t="s">
        <v>913</v>
      </c>
      <c r="I377" s="32">
        <v>120000</v>
      </c>
      <c r="J377" s="19" t="s">
        <v>906</v>
      </c>
      <c r="K377" s="6" t="s">
        <v>907</v>
      </c>
      <c r="L377" s="3" t="s">
        <v>2241</v>
      </c>
      <c r="M377" s="3" t="s">
        <v>2227</v>
      </c>
      <c r="N377" s="3" t="s">
        <v>2271</v>
      </c>
    </row>
    <row r="378" spans="1:14" x14ac:dyDescent="0.25">
      <c r="A378" s="14" t="s">
        <v>903</v>
      </c>
      <c r="B378" s="16" t="s">
        <v>2199</v>
      </c>
      <c r="C378" s="19" t="s">
        <v>28</v>
      </c>
      <c r="D378" s="19" t="s">
        <v>28</v>
      </c>
      <c r="E378" s="10" t="s">
        <v>904</v>
      </c>
      <c r="F378" s="20">
        <v>46143</v>
      </c>
      <c r="G378" s="16">
        <v>7</v>
      </c>
      <c r="H378" s="11" t="s">
        <v>602</v>
      </c>
      <c r="I378" s="31">
        <v>1400001</v>
      </c>
      <c r="J378" s="19" t="s">
        <v>906</v>
      </c>
      <c r="K378" s="19" t="s">
        <v>907</v>
      </c>
      <c r="L378" s="3" t="s">
        <v>2241</v>
      </c>
      <c r="M378" s="3" t="s">
        <v>2227</v>
      </c>
      <c r="N378" s="3" t="s">
        <v>2271</v>
      </c>
    </row>
    <row r="379" spans="1:14" x14ac:dyDescent="0.25">
      <c r="A379" s="15" t="s">
        <v>903</v>
      </c>
      <c r="B379" s="17" t="s">
        <v>2199</v>
      </c>
      <c r="C379" s="6" t="s">
        <v>28</v>
      </c>
      <c r="D379" s="6" t="s">
        <v>28</v>
      </c>
      <c r="E379" s="7" t="s">
        <v>904</v>
      </c>
      <c r="F379" s="20">
        <v>46143</v>
      </c>
      <c r="G379" s="17">
        <v>7</v>
      </c>
      <c r="H379" t="s">
        <v>910</v>
      </c>
      <c r="I379" s="32">
        <v>45000000</v>
      </c>
      <c r="J379" s="19" t="s">
        <v>906</v>
      </c>
      <c r="K379" s="6" t="s">
        <v>907</v>
      </c>
      <c r="L379" s="3" t="s">
        <v>2241</v>
      </c>
      <c r="M379" s="3" t="s">
        <v>2227</v>
      </c>
      <c r="N379" s="3" t="s">
        <v>2271</v>
      </c>
    </row>
    <row r="380" spans="1:14" x14ac:dyDescent="0.25">
      <c r="A380" s="14" t="s">
        <v>136</v>
      </c>
      <c r="B380" s="16" t="s">
        <v>2196</v>
      </c>
      <c r="C380" s="16" t="s">
        <v>2196</v>
      </c>
      <c r="D380" s="19" t="s">
        <v>28</v>
      </c>
      <c r="E380" s="10" t="s">
        <v>138</v>
      </c>
      <c r="F380" s="20">
        <v>45444</v>
      </c>
      <c r="G380" s="16">
        <v>1</v>
      </c>
      <c r="H380" s="11" t="s">
        <v>140</v>
      </c>
      <c r="I380" s="31">
        <v>496977708</v>
      </c>
      <c r="J380" s="19" t="s">
        <v>2208</v>
      </c>
      <c r="K380" s="19" t="s">
        <v>142</v>
      </c>
      <c r="L380" s="53" t="s">
        <v>2250</v>
      </c>
      <c r="M380" s="53" t="s">
        <v>2227</v>
      </c>
      <c r="N380" s="3" t="s">
        <v>2261</v>
      </c>
    </row>
    <row r="381" spans="1:14" x14ac:dyDescent="0.25">
      <c r="A381" s="15" t="s">
        <v>1269</v>
      </c>
      <c r="B381" s="17" t="s">
        <v>2199</v>
      </c>
      <c r="C381" s="6" t="s">
        <v>28</v>
      </c>
      <c r="D381" s="6" t="s">
        <v>28</v>
      </c>
      <c r="E381" s="7" t="s">
        <v>1270</v>
      </c>
      <c r="F381" s="20">
        <v>46082</v>
      </c>
      <c r="G381" s="17">
        <v>5</v>
      </c>
      <c r="H381" t="s">
        <v>1277</v>
      </c>
      <c r="I381" s="32">
        <v>164000</v>
      </c>
      <c r="J381" s="19" t="s">
        <v>1273</v>
      </c>
      <c r="K381" s="6" t="s">
        <v>514</v>
      </c>
      <c r="L381" s="3" t="s">
        <v>2242</v>
      </c>
      <c r="M381" s="3" t="s">
        <v>2227</v>
      </c>
      <c r="N381" s="3" t="s">
        <v>2271</v>
      </c>
    </row>
    <row r="382" spans="1:14" x14ac:dyDescent="0.25">
      <c r="A382" s="14" t="s">
        <v>1269</v>
      </c>
      <c r="B382" s="16" t="s">
        <v>2199</v>
      </c>
      <c r="C382" s="19" t="s">
        <v>28</v>
      </c>
      <c r="D382" s="19" t="s">
        <v>28</v>
      </c>
      <c r="E382" s="10" t="s">
        <v>1270</v>
      </c>
      <c r="F382" s="20">
        <v>46023</v>
      </c>
      <c r="G382" s="16">
        <v>5</v>
      </c>
      <c r="H382" s="11" t="s">
        <v>1272</v>
      </c>
      <c r="I382" s="31">
        <v>198000</v>
      </c>
      <c r="J382" s="19" t="s">
        <v>1273</v>
      </c>
      <c r="K382" s="19" t="s">
        <v>514</v>
      </c>
      <c r="L382" s="3" t="s">
        <v>2242</v>
      </c>
      <c r="M382" s="3" t="s">
        <v>2227</v>
      </c>
      <c r="N382" s="3" t="s">
        <v>2271</v>
      </c>
    </row>
    <row r="383" spans="1:14" x14ac:dyDescent="0.25">
      <c r="A383" s="15" t="s">
        <v>1269</v>
      </c>
      <c r="B383" s="17" t="s">
        <v>2199</v>
      </c>
      <c r="C383" s="6" t="s">
        <v>28</v>
      </c>
      <c r="D383" s="6" t="s">
        <v>28</v>
      </c>
      <c r="E383" s="7" t="s">
        <v>1270</v>
      </c>
      <c r="F383" s="20">
        <v>46082</v>
      </c>
      <c r="G383" s="17">
        <v>5</v>
      </c>
      <c r="H383" t="s">
        <v>1279</v>
      </c>
      <c r="I383" s="32">
        <v>75000</v>
      </c>
      <c r="J383" s="19" t="s">
        <v>1273</v>
      </c>
      <c r="K383" s="6" t="s">
        <v>514</v>
      </c>
      <c r="L383" s="3" t="s">
        <v>2242</v>
      </c>
      <c r="M383" s="3" t="s">
        <v>2227</v>
      </c>
      <c r="N383" s="3" t="s">
        <v>2271</v>
      </c>
    </row>
    <row r="384" spans="1:14" x14ac:dyDescent="0.25">
      <c r="A384" s="14" t="s">
        <v>1269</v>
      </c>
      <c r="B384" s="16" t="s">
        <v>2199</v>
      </c>
      <c r="C384" s="19" t="s">
        <v>28</v>
      </c>
      <c r="D384" s="19" t="s">
        <v>28</v>
      </c>
      <c r="E384" s="10" t="s">
        <v>1270</v>
      </c>
      <c r="F384" s="20">
        <v>46023</v>
      </c>
      <c r="G384" s="16">
        <v>5</v>
      </c>
      <c r="H384" s="11" t="s">
        <v>1276</v>
      </c>
      <c r="I384" s="31">
        <v>106000</v>
      </c>
      <c r="J384" s="19" t="s">
        <v>1273</v>
      </c>
      <c r="K384" s="19" t="s">
        <v>514</v>
      </c>
      <c r="L384" s="3" t="s">
        <v>2242</v>
      </c>
      <c r="M384" s="3" t="s">
        <v>2227</v>
      </c>
      <c r="N384" s="3" t="s">
        <v>2271</v>
      </c>
    </row>
    <row r="385" spans="1:14" x14ac:dyDescent="0.25">
      <c r="A385" s="15" t="s">
        <v>1269</v>
      </c>
      <c r="B385" s="17" t="s">
        <v>2199</v>
      </c>
      <c r="C385" s="6" t="s">
        <v>28</v>
      </c>
      <c r="D385" s="6" t="s">
        <v>28</v>
      </c>
      <c r="E385" s="7" t="s">
        <v>1270</v>
      </c>
      <c r="F385" s="20">
        <v>46082</v>
      </c>
      <c r="G385" s="17">
        <v>5</v>
      </c>
      <c r="H385" t="s">
        <v>1278</v>
      </c>
      <c r="I385" s="32">
        <v>60000</v>
      </c>
      <c r="J385" s="19" t="s">
        <v>1273</v>
      </c>
      <c r="K385" s="6" t="s">
        <v>514</v>
      </c>
      <c r="L385" s="3" t="s">
        <v>2242</v>
      </c>
      <c r="M385" s="3" t="s">
        <v>2227</v>
      </c>
      <c r="N385" s="3" t="s">
        <v>2271</v>
      </c>
    </row>
    <row r="386" spans="1:14" x14ac:dyDescent="0.25">
      <c r="A386" s="14" t="s">
        <v>706</v>
      </c>
      <c r="B386" s="16" t="s">
        <v>2199</v>
      </c>
      <c r="C386" s="19" t="s">
        <v>28</v>
      </c>
      <c r="D386" s="19" t="s">
        <v>28</v>
      </c>
      <c r="E386" s="10" t="s">
        <v>707</v>
      </c>
      <c r="F386" s="20">
        <v>46082</v>
      </c>
      <c r="G386" s="16">
        <v>1</v>
      </c>
      <c r="H386" s="11" t="s">
        <v>486</v>
      </c>
      <c r="I386" s="31">
        <v>190000</v>
      </c>
      <c r="J386" s="19" t="s">
        <v>590</v>
      </c>
      <c r="K386" s="19" t="s">
        <v>591</v>
      </c>
      <c r="L386" s="3" t="s">
        <v>2222</v>
      </c>
      <c r="M386" s="3" t="s">
        <v>2234</v>
      </c>
      <c r="N386" s="3" t="s">
        <v>2260</v>
      </c>
    </row>
    <row r="387" spans="1:14" x14ac:dyDescent="0.25">
      <c r="A387" s="15" t="s">
        <v>1407</v>
      </c>
      <c r="B387" s="17" t="s">
        <v>2199</v>
      </c>
      <c r="C387" s="6" t="s">
        <v>28</v>
      </c>
      <c r="D387" s="6" t="s">
        <v>28</v>
      </c>
      <c r="E387" s="7" t="s">
        <v>1408</v>
      </c>
      <c r="F387" s="20">
        <v>46082</v>
      </c>
      <c r="G387" s="17">
        <v>1</v>
      </c>
      <c r="H387" t="s">
        <v>1410</v>
      </c>
      <c r="I387" s="32">
        <v>80000</v>
      </c>
      <c r="J387" s="19" t="s">
        <v>590</v>
      </c>
      <c r="K387" s="6" t="s">
        <v>591</v>
      </c>
      <c r="L387" s="3" t="s">
        <v>2222</v>
      </c>
      <c r="M387" s="3" t="s">
        <v>2234</v>
      </c>
      <c r="N387" s="3" t="s">
        <v>2260</v>
      </c>
    </row>
    <row r="388" spans="1:14" x14ac:dyDescent="0.25">
      <c r="A388" s="14" t="s">
        <v>1492</v>
      </c>
      <c r="B388" s="16" t="s">
        <v>2199</v>
      </c>
      <c r="C388" s="19" t="s">
        <v>28</v>
      </c>
      <c r="D388" s="19" t="s">
        <v>28</v>
      </c>
      <c r="E388" s="10" t="s">
        <v>1494</v>
      </c>
      <c r="F388" s="20">
        <v>46082</v>
      </c>
      <c r="G388" s="16">
        <v>1</v>
      </c>
      <c r="H388" s="11" t="s">
        <v>1410</v>
      </c>
      <c r="I388" s="31">
        <v>100000</v>
      </c>
      <c r="J388" s="19" t="s">
        <v>590</v>
      </c>
      <c r="K388" s="19" t="s">
        <v>591</v>
      </c>
      <c r="L388" s="3" t="s">
        <v>2222</v>
      </c>
      <c r="M388" s="3" t="s">
        <v>2234</v>
      </c>
      <c r="N388" s="3" t="s">
        <v>2260</v>
      </c>
    </row>
    <row r="389" spans="1:14" x14ac:dyDescent="0.25">
      <c r="A389" s="15" t="s">
        <v>1509</v>
      </c>
      <c r="B389" s="17" t="s">
        <v>2199</v>
      </c>
      <c r="C389" s="6" t="s">
        <v>28</v>
      </c>
      <c r="D389" s="6" t="s">
        <v>28</v>
      </c>
      <c r="E389" s="7" t="s">
        <v>1510</v>
      </c>
      <c r="F389" s="20">
        <v>46113</v>
      </c>
      <c r="G389" s="17">
        <v>2</v>
      </c>
      <c r="H389" t="s">
        <v>1512</v>
      </c>
      <c r="I389" s="32">
        <v>76086</v>
      </c>
      <c r="J389" s="19" t="s">
        <v>590</v>
      </c>
      <c r="K389" s="6" t="s">
        <v>591</v>
      </c>
      <c r="L389" s="3" t="s">
        <v>2222</v>
      </c>
      <c r="M389" s="3" t="s">
        <v>2234</v>
      </c>
      <c r="N389" s="3" t="s">
        <v>2260</v>
      </c>
    </row>
    <row r="390" spans="1:14" x14ac:dyDescent="0.25">
      <c r="A390" s="14" t="s">
        <v>1509</v>
      </c>
      <c r="B390" s="16" t="s">
        <v>2199</v>
      </c>
      <c r="C390" s="19" t="s">
        <v>28</v>
      </c>
      <c r="D390" s="19" t="s">
        <v>28</v>
      </c>
      <c r="E390" s="10" t="s">
        <v>1510</v>
      </c>
      <c r="F390" s="20">
        <v>46113</v>
      </c>
      <c r="G390" s="16">
        <v>2</v>
      </c>
      <c r="H390" s="11" t="s">
        <v>1513</v>
      </c>
      <c r="I390" s="31">
        <v>224004</v>
      </c>
      <c r="J390" s="19" t="s">
        <v>590</v>
      </c>
      <c r="K390" s="19" t="s">
        <v>591</v>
      </c>
      <c r="L390" s="3" t="s">
        <v>2222</v>
      </c>
      <c r="M390" s="3" t="s">
        <v>2234</v>
      </c>
      <c r="N390" s="3" t="s">
        <v>2260</v>
      </c>
    </row>
    <row r="391" spans="1:14" x14ac:dyDescent="0.25">
      <c r="A391" s="15" t="s">
        <v>2067</v>
      </c>
      <c r="B391" s="17" t="s">
        <v>2199</v>
      </c>
      <c r="C391" s="6" t="s">
        <v>28</v>
      </c>
      <c r="D391" s="6" t="s">
        <v>28</v>
      </c>
      <c r="E391" s="7" t="s">
        <v>2068</v>
      </c>
      <c r="F391" s="20">
        <v>46082</v>
      </c>
      <c r="G391" s="17">
        <v>1</v>
      </c>
      <c r="H391" t="s">
        <v>486</v>
      </c>
      <c r="I391" s="32">
        <v>490280</v>
      </c>
      <c r="J391" s="19" t="s">
        <v>590</v>
      </c>
      <c r="K391" s="6" t="s">
        <v>591</v>
      </c>
      <c r="L391" s="3" t="s">
        <v>2222</v>
      </c>
      <c r="M391" s="3" t="s">
        <v>2234</v>
      </c>
      <c r="N391" s="3" t="s">
        <v>2260</v>
      </c>
    </row>
    <row r="392" spans="1:14" x14ac:dyDescent="0.25">
      <c r="A392" s="14" t="s">
        <v>2097</v>
      </c>
      <c r="B392" s="16" t="s">
        <v>2199</v>
      </c>
      <c r="C392" s="19" t="s">
        <v>28</v>
      </c>
      <c r="D392" s="19" t="s">
        <v>28</v>
      </c>
      <c r="E392" s="10" t="s">
        <v>2098</v>
      </c>
      <c r="F392" s="20">
        <v>46113</v>
      </c>
      <c r="G392" s="16">
        <v>3</v>
      </c>
      <c r="H392" s="11" t="s">
        <v>2101</v>
      </c>
      <c r="I392" s="31">
        <v>1559097</v>
      </c>
      <c r="J392" s="19" t="s">
        <v>590</v>
      </c>
      <c r="K392" s="19" t="s">
        <v>591</v>
      </c>
      <c r="L392" s="3" t="s">
        <v>2222</v>
      </c>
      <c r="M392" s="3" t="s">
        <v>2234</v>
      </c>
      <c r="N392" s="3" t="s">
        <v>2260</v>
      </c>
    </row>
    <row r="393" spans="1:14" x14ac:dyDescent="0.25">
      <c r="A393" s="15" t="s">
        <v>2097</v>
      </c>
      <c r="B393" s="17" t="s">
        <v>2199</v>
      </c>
      <c r="C393" s="6" t="s">
        <v>28</v>
      </c>
      <c r="D393" s="6" t="s">
        <v>28</v>
      </c>
      <c r="E393" s="7" t="s">
        <v>2098</v>
      </c>
      <c r="F393" s="20">
        <v>46113</v>
      </c>
      <c r="G393" s="17">
        <v>3</v>
      </c>
      <c r="H393" t="s">
        <v>1940</v>
      </c>
      <c r="I393" s="32">
        <v>150000</v>
      </c>
      <c r="J393" s="19" t="s">
        <v>590</v>
      </c>
      <c r="K393" s="6" t="s">
        <v>591</v>
      </c>
      <c r="L393" s="3" t="s">
        <v>2222</v>
      </c>
      <c r="M393" s="3" t="s">
        <v>2234</v>
      </c>
      <c r="N393" s="3" t="s">
        <v>2260</v>
      </c>
    </row>
    <row r="394" spans="1:14" x14ac:dyDescent="0.25">
      <c r="A394" s="14" t="s">
        <v>2097</v>
      </c>
      <c r="B394" s="16" t="s">
        <v>2199</v>
      </c>
      <c r="C394" s="19" t="s">
        <v>28</v>
      </c>
      <c r="D394" s="19" t="s">
        <v>28</v>
      </c>
      <c r="E394" s="10" t="s">
        <v>2098</v>
      </c>
      <c r="F394" s="20">
        <v>46082</v>
      </c>
      <c r="G394" s="16">
        <v>3</v>
      </c>
      <c r="H394" s="11" t="s">
        <v>2055</v>
      </c>
      <c r="I394" s="31">
        <v>464009</v>
      </c>
      <c r="J394" s="19" t="s">
        <v>590</v>
      </c>
      <c r="K394" s="19" t="s">
        <v>591</v>
      </c>
      <c r="L394" s="3" t="s">
        <v>2222</v>
      </c>
      <c r="M394" s="3" t="s">
        <v>2234</v>
      </c>
      <c r="N394" s="3" t="s">
        <v>2260</v>
      </c>
    </row>
    <row r="395" spans="1:14" x14ac:dyDescent="0.25">
      <c r="A395" s="15" t="s">
        <v>584</v>
      </c>
      <c r="B395" s="17" t="s">
        <v>2199</v>
      </c>
      <c r="C395" s="6" t="s">
        <v>374</v>
      </c>
      <c r="D395" s="6" t="s">
        <v>374</v>
      </c>
      <c r="E395" s="7" t="s">
        <v>586</v>
      </c>
      <c r="F395" s="20">
        <v>46054</v>
      </c>
      <c r="G395" s="17">
        <v>1</v>
      </c>
      <c r="H395" t="s">
        <v>588</v>
      </c>
      <c r="I395" s="32">
        <v>56320000</v>
      </c>
      <c r="J395" s="19" t="s">
        <v>590</v>
      </c>
      <c r="K395" s="6" t="s">
        <v>591</v>
      </c>
      <c r="L395" s="3" t="s">
        <v>2222</v>
      </c>
      <c r="M395" s="3" t="s">
        <v>2234</v>
      </c>
      <c r="N395" s="3" t="s">
        <v>2260</v>
      </c>
    </row>
    <row r="396" spans="1:14" x14ac:dyDescent="0.25">
      <c r="A396" s="14" t="s">
        <v>614</v>
      </c>
      <c r="B396" s="16" t="s">
        <v>2199</v>
      </c>
      <c r="C396" s="19" t="s">
        <v>374</v>
      </c>
      <c r="D396" s="19" t="s">
        <v>374</v>
      </c>
      <c r="E396" s="10" t="s">
        <v>616</v>
      </c>
      <c r="F396" s="20">
        <v>46082</v>
      </c>
      <c r="G396" s="16">
        <v>1</v>
      </c>
      <c r="H396" s="11" t="s">
        <v>618</v>
      </c>
      <c r="I396" s="31">
        <v>410000</v>
      </c>
      <c r="J396" s="19" t="s">
        <v>590</v>
      </c>
      <c r="K396" s="19" t="s">
        <v>591</v>
      </c>
      <c r="L396" s="3" t="s">
        <v>2222</v>
      </c>
      <c r="M396" s="3" t="s">
        <v>2234</v>
      </c>
      <c r="N396" s="3" t="s">
        <v>2260</v>
      </c>
    </row>
    <row r="397" spans="1:14" x14ac:dyDescent="0.25">
      <c r="A397" s="15" t="s">
        <v>709</v>
      </c>
      <c r="B397" s="17" t="s">
        <v>2199</v>
      </c>
      <c r="C397" s="6" t="s">
        <v>374</v>
      </c>
      <c r="D397" s="6" t="s">
        <v>374</v>
      </c>
      <c r="E397" s="7" t="s">
        <v>710</v>
      </c>
      <c r="F397" s="20">
        <v>46082</v>
      </c>
      <c r="G397" s="17">
        <v>1</v>
      </c>
      <c r="H397" t="s">
        <v>712</v>
      </c>
      <c r="I397" s="32">
        <v>150000</v>
      </c>
      <c r="J397" s="19" t="s">
        <v>590</v>
      </c>
      <c r="K397" s="6" t="s">
        <v>591</v>
      </c>
      <c r="L397" s="3" t="s">
        <v>2222</v>
      </c>
      <c r="M397" s="3" t="s">
        <v>2234</v>
      </c>
      <c r="N397" s="3" t="s">
        <v>2260</v>
      </c>
    </row>
    <row r="398" spans="1:14" x14ac:dyDescent="0.25">
      <c r="A398" s="14" t="s">
        <v>595</v>
      </c>
      <c r="B398" s="16" t="s">
        <v>2199</v>
      </c>
      <c r="C398" s="19" t="s">
        <v>594</v>
      </c>
      <c r="D398" s="19" t="s">
        <v>594</v>
      </c>
      <c r="E398" s="10" t="s">
        <v>597</v>
      </c>
      <c r="F398" s="20">
        <v>46143</v>
      </c>
      <c r="G398" s="16">
        <v>6</v>
      </c>
      <c r="H398" s="11" t="s">
        <v>600</v>
      </c>
      <c r="I398" s="31">
        <v>96000000</v>
      </c>
      <c r="J398" s="19" t="s">
        <v>590</v>
      </c>
      <c r="K398" s="19" t="s">
        <v>591</v>
      </c>
      <c r="L398" s="3" t="s">
        <v>2222</v>
      </c>
      <c r="M398" s="3" t="s">
        <v>2234</v>
      </c>
      <c r="N398" s="3" t="s">
        <v>2260</v>
      </c>
    </row>
    <row r="399" spans="1:14" x14ac:dyDescent="0.25">
      <c r="A399" s="15" t="s">
        <v>595</v>
      </c>
      <c r="B399" s="17" t="s">
        <v>2199</v>
      </c>
      <c r="C399" s="6" t="s">
        <v>594</v>
      </c>
      <c r="D399" s="6" t="s">
        <v>594</v>
      </c>
      <c r="E399" s="7" t="s">
        <v>597</v>
      </c>
      <c r="F399" s="20">
        <v>46082</v>
      </c>
      <c r="G399" s="17">
        <v>6</v>
      </c>
      <c r="H399" t="s">
        <v>601</v>
      </c>
      <c r="I399" s="32">
        <v>24115000</v>
      </c>
      <c r="J399" s="19" t="s">
        <v>590</v>
      </c>
      <c r="K399" s="6" t="s">
        <v>591</v>
      </c>
      <c r="L399" s="3" t="s">
        <v>2222</v>
      </c>
      <c r="M399" s="3" t="s">
        <v>2234</v>
      </c>
      <c r="N399" s="3" t="s">
        <v>2260</v>
      </c>
    </row>
    <row r="400" spans="1:14" x14ac:dyDescent="0.25">
      <c r="A400" s="14" t="s">
        <v>595</v>
      </c>
      <c r="B400" s="16" t="s">
        <v>2199</v>
      </c>
      <c r="C400" s="19" t="s">
        <v>594</v>
      </c>
      <c r="D400" s="19" t="s">
        <v>594</v>
      </c>
      <c r="E400" s="10" t="s">
        <v>597</v>
      </c>
      <c r="F400" s="20">
        <v>46143</v>
      </c>
      <c r="G400" s="16">
        <v>6</v>
      </c>
      <c r="H400" s="11" t="s">
        <v>604</v>
      </c>
      <c r="I400" s="31">
        <v>122000004</v>
      </c>
      <c r="J400" s="19" t="s">
        <v>590</v>
      </c>
      <c r="K400" s="19" t="s">
        <v>591</v>
      </c>
      <c r="L400" s="3" t="s">
        <v>2222</v>
      </c>
      <c r="M400" s="3" t="s">
        <v>2234</v>
      </c>
      <c r="N400" s="3" t="s">
        <v>2260</v>
      </c>
    </row>
    <row r="401" spans="1:14" x14ac:dyDescent="0.25">
      <c r="A401" s="15" t="s">
        <v>595</v>
      </c>
      <c r="B401" s="17" t="s">
        <v>2199</v>
      </c>
      <c r="C401" s="6" t="s">
        <v>594</v>
      </c>
      <c r="D401" s="6" t="s">
        <v>594</v>
      </c>
      <c r="E401" s="7" t="s">
        <v>597</v>
      </c>
      <c r="F401" s="20">
        <v>46143</v>
      </c>
      <c r="G401" s="17">
        <v>6</v>
      </c>
      <c r="H401" t="s">
        <v>603</v>
      </c>
      <c r="I401" s="32">
        <v>5000002</v>
      </c>
      <c r="J401" s="19" t="s">
        <v>590</v>
      </c>
      <c r="K401" s="6" t="s">
        <v>591</v>
      </c>
      <c r="L401" s="3" t="s">
        <v>2222</v>
      </c>
      <c r="M401" s="3" t="s">
        <v>2234</v>
      </c>
      <c r="N401" s="3" t="s">
        <v>2260</v>
      </c>
    </row>
    <row r="402" spans="1:14" x14ac:dyDescent="0.25">
      <c r="A402" s="14" t="s">
        <v>595</v>
      </c>
      <c r="B402" s="16" t="s">
        <v>2199</v>
      </c>
      <c r="C402" s="19" t="s">
        <v>594</v>
      </c>
      <c r="D402" s="19" t="s">
        <v>594</v>
      </c>
      <c r="E402" s="10" t="s">
        <v>597</v>
      </c>
      <c r="F402" s="20">
        <v>46266</v>
      </c>
      <c r="G402" s="16">
        <v>6</v>
      </c>
      <c r="H402" s="11" t="s">
        <v>602</v>
      </c>
      <c r="I402" s="31">
        <v>3500000</v>
      </c>
      <c r="J402" s="19" t="s">
        <v>590</v>
      </c>
      <c r="K402" s="19" t="s">
        <v>591</v>
      </c>
      <c r="L402" s="3" t="s">
        <v>2222</v>
      </c>
      <c r="M402" s="3" t="s">
        <v>2234</v>
      </c>
      <c r="N402" s="3" t="s">
        <v>2260</v>
      </c>
    </row>
    <row r="403" spans="1:14" x14ac:dyDescent="0.25">
      <c r="A403" s="15" t="s">
        <v>595</v>
      </c>
      <c r="B403" s="17" t="s">
        <v>2199</v>
      </c>
      <c r="C403" s="6" t="s">
        <v>594</v>
      </c>
      <c r="D403" s="6" t="s">
        <v>594</v>
      </c>
      <c r="E403" s="7" t="s">
        <v>597</v>
      </c>
      <c r="F403" s="20">
        <v>46143</v>
      </c>
      <c r="G403" s="17">
        <v>6</v>
      </c>
      <c r="H403" t="s">
        <v>599</v>
      </c>
      <c r="I403" s="32">
        <v>28000000</v>
      </c>
      <c r="J403" s="19" t="s">
        <v>590</v>
      </c>
      <c r="K403" s="6" t="s">
        <v>591</v>
      </c>
      <c r="L403" s="3" t="s">
        <v>2222</v>
      </c>
      <c r="M403" s="3" t="s">
        <v>2234</v>
      </c>
      <c r="N403" s="3" t="s">
        <v>2260</v>
      </c>
    </row>
    <row r="404" spans="1:14" x14ac:dyDescent="0.25">
      <c r="A404" s="14" t="s">
        <v>103</v>
      </c>
      <c r="B404" s="16" t="s">
        <v>2196</v>
      </c>
      <c r="C404" s="16" t="s">
        <v>2196</v>
      </c>
      <c r="D404" s="19" t="s">
        <v>28</v>
      </c>
      <c r="E404" s="10" t="s">
        <v>105</v>
      </c>
      <c r="F404" s="20">
        <v>45444</v>
      </c>
      <c r="G404" s="16">
        <v>1</v>
      </c>
      <c r="H404" s="11" t="s">
        <v>107</v>
      </c>
      <c r="I404" s="31">
        <v>18060000</v>
      </c>
      <c r="J404" s="19" t="s">
        <v>2207</v>
      </c>
      <c r="K404" s="19" t="s">
        <v>110</v>
      </c>
      <c r="L404" s="3" t="s">
        <v>2250</v>
      </c>
      <c r="M404" s="3" t="s">
        <v>2227</v>
      </c>
      <c r="N404" s="54" t="s">
        <v>2261</v>
      </c>
    </row>
    <row r="405" spans="1:14" x14ac:dyDescent="0.25">
      <c r="A405" s="15" t="s">
        <v>128</v>
      </c>
      <c r="B405" s="17" t="s">
        <v>2196</v>
      </c>
      <c r="C405" s="17" t="s">
        <v>2196</v>
      </c>
      <c r="D405" s="6" t="s">
        <v>28</v>
      </c>
      <c r="E405" s="7" t="s">
        <v>130</v>
      </c>
      <c r="F405" s="20">
        <v>45505</v>
      </c>
      <c r="G405" s="17">
        <v>1</v>
      </c>
      <c r="H405" t="s">
        <v>132</v>
      </c>
      <c r="I405" s="32">
        <v>397359215</v>
      </c>
      <c r="J405" s="19" t="s">
        <v>2207</v>
      </c>
      <c r="K405" s="6" t="s">
        <v>133</v>
      </c>
      <c r="L405" s="3" t="s">
        <v>2250</v>
      </c>
      <c r="M405" s="3" t="s">
        <v>2227</v>
      </c>
      <c r="N405" s="54" t="s">
        <v>2261</v>
      </c>
    </row>
    <row r="406" spans="1:14" x14ac:dyDescent="0.25">
      <c r="A406" s="14" t="s">
        <v>1403</v>
      </c>
      <c r="B406" s="16" t="s">
        <v>2199</v>
      </c>
      <c r="C406" s="19" t="s">
        <v>28</v>
      </c>
      <c r="D406" s="19" t="s">
        <v>28</v>
      </c>
      <c r="E406" s="10" t="s">
        <v>1404</v>
      </c>
      <c r="F406" s="20">
        <v>46327</v>
      </c>
      <c r="G406" s="16">
        <v>3</v>
      </c>
      <c r="H406" s="11" t="s">
        <v>359</v>
      </c>
      <c r="I406" s="31">
        <v>153624</v>
      </c>
      <c r="J406" s="19" t="s">
        <v>1035</v>
      </c>
      <c r="K406" s="19" t="s">
        <v>1036</v>
      </c>
      <c r="L406" s="3" t="s">
        <v>2230</v>
      </c>
      <c r="M406" s="3" t="s">
        <v>2227</v>
      </c>
      <c r="N406" s="3" t="s">
        <v>2261</v>
      </c>
    </row>
    <row r="407" spans="1:14" x14ac:dyDescent="0.25">
      <c r="A407" s="15" t="s">
        <v>1403</v>
      </c>
      <c r="B407" s="17" t="s">
        <v>2199</v>
      </c>
      <c r="C407" s="6" t="s">
        <v>28</v>
      </c>
      <c r="D407" s="6" t="s">
        <v>28</v>
      </c>
      <c r="E407" s="7" t="s">
        <v>1404</v>
      </c>
      <c r="F407" s="20">
        <v>46327</v>
      </c>
      <c r="G407" s="17">
        <v>3</v>
      </c>
      <c r="H407" t="s">
        <v>855</v>
      </c>
      <c r="I407" s="32">
        <v>17000</v>
      </c>
      <c r="J407" s="19" t="s">
        <v>1035</v>
      </c>
      <c r="K407" s="6" t="s">
        <v>1036</v>
      </c>
      <c r="L407" s="3" t="s">
        <v>2230</v>
      </c>
      <c r="M407" s="3" t="s">
        <v>2227</v>
      </c>
      <c r="N407" s="3" t="s">
        <v>2261</v>
      </c>
    </row>
    <row r="408" spans="1:14" x14ac:dyDescent="0.25">
      <c r="A408" s="14" t="s">
        <v>1403</v>
      </c>
      <c r="B408" s="16" t="s">
        <v>2199</v>
      </c>
      <c r="C408" s="19" t="s">
        <v>28</v>
      </c>
      <c r="D408" s="19" t="s">
        <v>28</v>
      </c>
      <c r="E408" s="10" t="s">
        <v>1404</v>
      </c>
      <c r="F408" s="20">
        <v>46327</v>
      </c>
      <c r="G408" s="16">
        <v>3</v>
      </c>
      <c r="H408" s="11" t="s">
        <v>1406</v>
      </c>
      <c r="I408" s="31">
        <v>3000</v>
      </c>
      <c r="J408" s="19" t="s">
        <v>1035</v>
      </c>
      <c r="K408" s="19" t="s">
        <v>1036</v>
      </c>
      <c r="L408" s="3" t="s">
        <v>2230</v>
      </c>
      <c r="M408" s="3" t="s">
        <v>2227</v>
      </c>
      <c r="N408" s="3" t="s">
        <v>2261</v>
      </c>
    </row>
    <row r="409" spans="1:14" x14ac:dyDescent="0.25">
      <c r="A409" s="15" t="s">
        <v>1563</v>
      </c>
      <c r="B409" s="17" t="s">
        <v>2199</v>
      </c>
      <c r="C409" s="6" t="s">
        <v>28</v>
      </c>
      <c r="D409" s="6" t="s">
        <v>28</v>
      </c>
      <c r="E409" s="7" t="s">
        <v>1404</v>
      </c>
      <c r="F409" s="20">
        <v>46327</v>
      </c>
      <c r="G409" s="17">
        <v>2</v>
      </c>
      <c r="H409" t="s">
        <v>815</v>
      </c>
      <c r="I409" s="32">
        <v>60000</v>
      </c>
      <c r="J409" s="19" t="s">
        <v>1035</v>
      </c>
      <c r="K409" s="6" t="s">
        <v>1036</v>
      </c>
      <c r="L409" s="3" t="s">
        <v>2230</v>
      </c>
      <c r="M409" s="3" t="s">
        <v>2227</v>
      </c>
      <c r="N409" s="3" t="s">
        <v>2261</v>
      </c>
    </row>
    <row r="410" spans="1:14" x14ac:dyDescent="0.25">
      <c r="A410" s="14" t="s">
        <v>1563</v>
      </c>
      <c r="B410" s="16" t="s">
        <v>2199</v>
      </c>
      <c r="C410" s="19" t="s">
        <v>28</v>
      </c>
      <c r="D410" s="19" t="s">
        <v>28</v>
      </c>
      <c r="E410" s="10" t="s">
        <v>1404</v>
      </c>
      <c r="F410" s="20">
        <v>46327</v>
      </c>
      <c r="G410" s="16">
        <v>2</v>
      </c>
      <c r="H410" s="11" t="s">
        <v>957</v>
      </c>
      <c r="I410" s="31">
        <v>400000</v>
      </c>
      <c r="J410" s="19" t="s">
        <v>1035</v>
      </c>
      <c r="K410" s="19" t="s">
        <v>1036</v>
      </c>
      <c r="L410" s="3" t="s">
        <v>2230</v>
      </c>
      <c r="M410" s="3" t="s">
        <v>2227</v>
      </c>
      <c r="N410" s="3" t="s">
        <v>2261</v>
      </c>
    </row>
    <row r="411" spans="1:14" x14ac:dyDescent="0.25">
      <c r="A411" s="15" t="s">
        <v>1030</v>
      </c>
      <c r="B411" s="17" t="s">
        <v>2199</v>
      </c>
      <c r="C411" s="6" t="s">
        <v>374</v>
      </c>
      <c r="D411" s="6" t="s">
        <v>374</v>
      </c>
      <c r="E411" s="7" t="s">
        <v>1032</v>
      </c>
      <c r="F411" s="20">
        <v>46082</v>
      </c>
      <c r="G411" s="17">
        <v>2</v>
      </c>
      <c r="H411" t="s">
        <v>359</v>
      </c>
      <c r="I411" s="32">
        <v>9200000</v>
      </c>
      <c r="J411" s="19" t="s">
        <v>1035</v>
      </c>
      <c r="K411" s="6" t="s">
        <v>1036</v>
      </c>
      <c r="L411" s="3" t="s">
        <v>2230</v>
      </c>
      <c r="M411" s="3" t="s">
        <v>2227</v>
      </c>
      <c r="N411" s="3" t="s">
        <v>2261</v>
      </c>
    </row>
    <row r="412" spans="1:14" x14ac:dyDescent="0.25">
      <c r="A412" s="14" t="s">
        <v>1030</v>
      </c>
      <c r="B412" s="16" t="s">
        <v>2199</v>
      </c>
      <c r="C412" s="19" t="s">
        <v>374</v>
      </c>
      <c r="D412" s="19" t="s">
        <v>374</v>
      </c>
      <c r="E412" s="10" t="s">
        <v>1032</v>
      </c>
      <c r="F412" s="20">
        <v>46082</v>
      </c>
      <c r="G412" s="16">
        <v>2</v>
      </c>
      <c r="H412" s="11" t="s">
        <v>1034</v>
      </c>
      <c r="I412" s="31">
        <v>21200000</v>
      </c>
      <c r="J412" s="19" t="s">
        <v>1035</v>
      </c>
      <c r="K412" s="19" t="s">
        <v>1036</v>
      </c>
      <c r="L412" s="3" t="s">
        <v>2230</v>
      </c>
      <c r="M412" s="3" t="s">
        <v>2227</v>
      </c>
      <c r="N412" s="3" t="s">
        <v>2261</v>
      </c>
    </row>
    <row r="413" spans="1:14" x14ac:dyDescent="0.25">
      <c r="A413" s="15" t="s">
        <v>1156</v>
      </c>
      <c r="B413" s="17" t="s">
        <v>2199</v>
      </c>
      <c r="C413" s="6" t="s">
        <v>28</v>
      </c>
      <c r="D413" s="6" t="s">
        <v>28</v>
      </c>
      <c r="E413" s="7" t="s">
        <v>1158</v>
      </c>
      <c r="F413" s="20">
        <v>46174</v>
      </c>
      <c r="G413" s="17">
        <v>5</v>
      </c>
      <c r="H413" t="s">
        <v>1167</v>
      </c>
      <c r="I413" s="32">
        <v>6000000</v>
      </c>
      <c r="J413" s="19" t="s">
        <v>1162</v>
      </c>
      <c r="K413" s="6" t="s">
        <v>258</v>
      </c>
      <c r="L413" s="3" t="s">
        <v>2243</v>
      </c>
      <c r="M413" s="3" t="s">
        <v>2256</v>
      </c>
      <c r="N413" s="3" t="s">
        <v>2272</v>
      </c>
    </row>
    <row r="414" spans="1:14" x14ac:dyDescent="0.25">
      <c r="A414" s="14" t="s">
        <v>1156</v>
      </c>
      <c r="B414" s="16" t="s">
        <v>2199</v>
      </c>
      <c r="C414" s="19" t="s">
        <v>28</v>
      </c>
      <c r="D414" s="19" t="s">
        <v>28</v>
      </c>
      <c r="E414" s="10" t="s">
        <v>1158</v>
      </c>
      <c r="F414" s="20">
        <v>46174</v>
      </c>
      <c r="G414" s="16">
        <v>5</v>
      </c>
      <c r="H414" s="11" t="s">
        <v>1164</v>
      </c>
      <c r="I414" s="31">
        <v>3700002</v>
      </c>
      <c r="J414" s="19" t="s">
        <v>1162</v>
      </c>
      <c r="K414" s="19" t="s">
        <v>258</v>
      </c>
      <c r="L414" s="3" t="s">
        <v>2243</v>
      </c>
      <c r="M414" s="3" t="s">
        <v>2256</v>
      </c>
      <c r="N414" s="3" t="s">
        <v>2272</v>
      </c>
    </row>
    <row r="415" spans="1:14" x14ac:dyDescent="0.25">
      <c r="A415" s="15" t="s">
        <v>1156</v>
      </c>
      <c r="B415" s="17" t="s">
        <v>2199</v>
      </c>
      <c r="C415" s="6" t="s">
        <v>28</v>
      </c>
      <c r="D415" s="6" t="s">
        <v>28</v>
      </c>
      <c r="E415" s="7" t="s">
        <v>1158</v>
      </c>
      <c r="F415" s="20">
        <v>46174</v>
      </c>
      <c r="G415" s="17">
        <v>5</v>
      </c>
      <c r="H415" t="s">
        <v>1165</v>
      </c>
      <c r="I415" s="32">
        <v>3000000</v>
      </c>
      <c r="J415" s="19" t="s">
        <v>1162</v>
      </c>
      <c r="K415" s="6" t="s">
        <v>258</v>
      </c>
      <c r="L415" s="3" t="s">
        <v>2243</v>
      </c>
      <c r="M415" s="3" t="s">
        <v>2256</v>
      </c>
      <c r="N415" s="3" t="s">
        <v>2272</v>
      </c>
    </row>
    <row r="416" spans="1:14" x14ac:dyDescent="0.25">
      <c r="A416" s="14" t="s">
        <v>1156</v>
      </c>
      <c r="B416" s="16" t="s">
        <v>2199</v>
      </c>
      <c r="C416" s="19" t="s">
        <v>28</v>
      </c>
      <c r="D416" s="19" t="s">
        <v>28</v>
      </c>
      <c r="E416" s="10" t="s">
        <v>1158</v>
      </c>
      <c r="F416" s="20">
        <v>46174</v>
      </c>
      <c r="G416" s="16">
        <v>5</v>
      </c>
      <c r="H416" s="11" t="s">
        <v>1166</v>
      </c>
      <c r="I416" s="31">
        <v>600000</v>
      </c>
      <c r="J416" s="19" t="s">
        <v>1162</v>
      </c>
      <c r="K416" s="19" t="s">
        <v>258</v>
      </c>
      <c r="L416" s="3" t="s">
        <v>2243</v>
      </c>
      <c r="M416" s="3" t="s">
        <v>2256</v>
      </c>
      <c r="N416" s="3" t="s">
        <v>2272</v>
      </c>
    </row>
    <row r="417" spans="1:14" x14ac:dyDescent="0.25">
      <c r="A417" s="15" t="s">
        <v>1156</v>
      </c>
      <c r="B417" s="17" t="s">
        <v>2199</v>
      </c>
      <c r="C417" s="6" t="s">
        <v>28</v>
      </c>
      <c r="D417" s="6" t="s">
        <v>28</v>
      </c>
      <c r="E417" s="7" t="s">
        <v>1158</v>
      </c>
      <c r="F417" s="20">
        <v>46082</v>
      </c>
      <c r="G417" s="17">
        <v>5</v>
      </c>
      <c r="H417" t="s">
        <v>1160</v>
      </c>
      <c r="I417" s="32">
        <v>4450000</v>
      </c>
      <c r="J417" s="19" t="s">
        <v>1162</v>
      </c>
      <c r="K417" s="6" t="s">
        <v>258</v>
      </c>
      <c r="L417" s="3" t="s">
        <v>2243</v>
      </c>
      <c r="M417" s="3" t="s">
        <v>2256</v>
      </c>
      <c r="N417" s="3" t="s">
        <v>2272</v>
      </c>
    </row>
    <row r="418" spans="1:14" x14ac:dyDescent="0.25">
      <c r="A418" s="14" t="s">
        <v>1168</v>
      </c>
      <c r="B418" s="16" t="s">
        <v>2199</v>
      </c>
      <c r="C418" s="19" t="s">
        <v>28</v>
      </c>
      <c r="D418" s="19" t="s">
        <v>28</v>
      </c>
      <c r="E418" s="10" t="s">
        <v>1169</v>
      </c>
      <c r="F418" s="20">
        <v>46266</v>
      </c>
      <c r="G418" s="16">
        <v>1</v>
      </c>
      <c r="H418" s="11" t="s">
        <v>496</v>
      </c>
      <c r="I418" s="31">
        <v>0</v>
      </c>
      <c r="J418" s="19" t="s">
        <v>1162</v>
      </c>
      <c r="K418" s="19" t="s">
        <v>258</v>
      </c>
      <c r="L418" s="3" t="s">
        <v>2243</v>
      </c>
      <c r="M418" s="3" t="s">
        <v>2256</v>
      </c>
      <c r="N418" s="3" t="s">
        <v>2272</v>
      </c>
    </row>
    <row r="419" spans="1:14" x14ac:dyDescent="0.25">
      <c r="A419" s="15" t="s">
        <v>251</v>
      </c>
      <c r="B419" s="17" t="s">
        <v>2196</v>
      </c>
      <c r="C419" s="17" t="s">
        <v>2196</v>
      </c>
      <c r="D419" s="6" t="s">
        <v>28</v>
      </c>
      <c r="E419" s="7" t="s">
        <v>253</v>
      </c>
      <c r="F419" s="20">
        <v>45717</v>
      </c>
      <c r="G419" s="17">
        <v>14</v>
      </c>
      <c r="H419" t="s">
        <v>263</v>
      </c>
      <c r="I419" s="32">
        <v>7000000</v>
      </c>
      <c r="J419" s="19" t="s">
        <v>257</v>
      </c>
      <c r="K419" s="6" t="s">
        <v>258</v>
      </c>
      <c r="L419" s="3" t="s">
        <v>2243</v>
      </c>
      <c r="M419" s="3" t="s">
        <v>2256</v>
      </c>
      <c r="N419" s="3" t="s">
        <v>2272</v>
      </c>
    </row>
    <row r="420" spans="1:14" x14ac:dyDescent="0.25">
      <c r="A420" s="14" t="s">
        <v>251</v>
      </c>
      <c r="B420" s="16" t="s">
        <v>2196</v>
      </c>
      <c r="C420" s="16" t="s">
        <v>2196</v>
      </c>
      <c r="D420" s="19" t="s">
        <v>28</v>
      </c>
      <c r="E420" s="10" t="s">
        <v>253</v>
      </c>
      <c r="F420" s="20">
        <v>45717</v>
      </c>
      <c r="G420" s="16">
        <v>14</v>
      </c>
      <c r="H420" s="11" t="s">
        <v>261</v>
      </c>
      <c r="I420" s="31">
        <v>71900000</v>
      </c>
      <c r="J420" s="19" t="s">
        <v>257</v>
      </c>
      <c r="K420" s="19" t="s">
        <v>258</v>
      </c>
      <c r="L420" s="3" t="s">
        <v>2243</v>
      </c>
      <c r="M420" s="3" t="s">
        <v>2256</v>
      </c>
      <c r="N420" s="3" t="s">
        <v>2272</v>
      </c>
    </row>
    <row r="421" spans="1:14" x14ac:dyDescent="0.25">
      <c r="A421" s="15" t="s">
        <v>251</v>
      </c>
      <c r="B421" s="17" t="s">
        <v>2196</v>
      </c>
      <c r="C421" s="17" t="s">
        <v>2196</v>
      </c>
      <c r="D421" s="6" t="s">
        <v>28</v>
      </c>
      <c r="E421" s="7" t="s">
        <v>253</v>
      </c>
      <c r="F421" s="20">
        <v>45717</v>
      </c>
      <c r="G421" s="17">
        <v>14</v>
      </c>
      <c r="H421" t="s">
        <v>267</v>
      </c>
      <c r="I421" s="32">
        <v>24820000</v>
      </c>
      <c r="J421" s="19" t="s">
        <v>257</v>
      </c>
      <c r="K421" s="6" t="s">
        <v>258</v>
      </c>
      <c r="L421" s="3" t="s">
        <v>2243</v>
      </c>
      <c r="M421" s="3" t="s">
        <v>2256</v>
      </c>
      <c r="N421" s="3" t="s">
        <v>2272</v>
      </c>
    </row>
    <row r="422" spans="1:14" x14ac:dyDescent="0.25">
      <c r="A422" s="14" t="s">
        <v>251</v>
      </c>
      <c r="B422" s="16" t="s">
        <v>2196</v>
      </c>
      <c r="C422" s="16" t="s">
        <v>2196</v>
      </c>
      <c r="D422" s="19" t="s">
        <v>28</v>
      </c>
      <c r="E422" s="10" t="s">
        <v>253</v>
      </c>
      <c r="F422" s="20">
        <v>45717</v>
      </c>
      <c r="G422" s="16">
        <v>14</v>
      </c>
      <c r="H422" s="11" t="s">
        <v>255</v>
      </c>
      <c r="I422" s="31">
        <v>20800000</v>
      </c>
      <c r="J422" s="19" t="s">
        <v>257</v>
      </c>
      <c r="K422" s="19" t="s">
        <v>258</v>
      </c>
      <c r="L422" s="3" t="s">
        <v>2243</v>
      </c>
      <c r="M422" s="3" t="s">
        <v>2256</v>
      </c>
      <c r="N422" s="3" t="s">
        <v>2272</v>
      </c>
    </row>
    <row r="423" spans="1:14" x14ac:dyDescent="0.25">
      <c r="A423" s="15" t="s">
        <v>251</v>
      </c>
      <c r="B423" s="17" t="s">
        <v>2196</v>
      </c>
      <c r="C423" s="17" t="s">
        <v>2196</v>
      </c>
      <c r="D423" s="6" t="s">
        <v>28</v>
      </c>
      <c r="E423" s="7" t="s">
        <v>253</v>
      </c>
      <c r="F423" s="20">
        <v>45717</v>
      </c>
      <c r="G423" s="17">
        <v>14</v>
      </c>
      <c r="H423" t="s">
        <v>265</v>
      </c>
      <c r="I423" s="32">
        <v>45150000</v>
      </c>
      <c r="J423" s="19" t="s">
        <v>257</v>
      </c>
      <c r="K423" s="6" t="s">
        <v>258</v>
      </c>
      <c r="L423" s="3" t="s">
        <v>2243</v>
      </c>
      <c r="M423" s="3" t="s">
        <v>2256</v>
      </c>
      <c r="N423" s="3" t="s">
        <v>2272</v>
      </c>
    </row>
    <row r="424" spans="1:14" x14ac:dyDescent="0.25">
      <c r="A424" s="14" t="s">
        <v>251</v>
      </c>
      <c r="B424" s="16" t="s">
        <v>2196</v>
      </c>
      <c r="C424" s="16" t="s">
        <v>2196</v>
      </c>
      <c r="D424" s="19" t="s">
        <v>28</v>
      </c>
      <c r="E424" s="10" t="s">
        <v>253</v>
      </c>
      <c r="F424" s="20">
        <v>45717</v>
      </c>
      <c r="G424" s="16">
        <v>14</v>
      </c>
      <c r="H424" s="11" t="s">
        <v>269</v>
      </c>
      <c r="I424" s="31">
        <v>23200001</v>
      </c>
      <c r="J424" s="19" t="s">
        <v>257</v>
      </c>
      <c r="K424" s="19" t="s">
        <v>258</v>
      </c>
      <c r="L424" s="3" t="s">
        <v>2243</v>
      </c>
      <c r="M424" s="3" t="s">
        <v>2256</v>
      </c>
      <c r="N424" s="3" t="s">
        <v>2272</v>
      </c>
    </row>
    <row r="425" spans="1:14" x14ac:dyDescent="0.25">
      <c r="A425" s="15" t="s">
        <v>251</v>
      </c>
      <c r="B425" s="17" t="s">
        <v>2196</v>
      </c>
      <c r="C425" s="17" t="s">
        <v>2196</v>
      </c>
      <c r="D425" s="6" t="s">
        <v>28</v>
      </c>
      <c r="E425" s="7" t="s">
        <v>253</v>
      </c>
      <c r="F425" s="20">
        <v>45717</v>
      </c>
      <c r="G425" s="17">
        <v>14</v>
      </c>
      <c r="H425" t="s">
        <v>271</v>
      </c>
      <c r="I425" s="32">
        <v>81500000</v>
      </c>
      <c r="J425" s="19" t="s">
        <v>257</v>
      </c>
      <c r="K425" s="6" t="s">
        <v>258</v>
      </c>
      <c r="L425" s="3" t="s">
        <v>2243</v>
      </c>
      <c r="M425" s="3" t="s">
        <v>2256</v>
      </c>
      <c r="N425" s="3" t="s">
        <v>2272</v>
      </c>
    </row>
    <row r="426" spans="1:14" x14ac:dyDescent="0.25">
      <c r="A426" s="14" t="s">
        <v>251</v>
      </c>
      <c r="B426" s="16" t="s">
        <v>2196</v>
      </c>
      <c r="C426" s="16" t="s">
        <v>2196</v>
      </c>
      <c r="D426" s="19" t="s">
        <v>28</v>
      </c>
      <c r="E426" s="10" t="s">
        <v>253</v>
      </c>
      <c r="F426" s="20">
        <v>45717</v>
      </c>
      <c r="G426" s="16">
        <v>14</v>
      </c>
      <c r="H426" s="11" t="s">
        <v>275</v>
      </c>
      <c r="I426" s="31">
        <v>45800000</v>
      </c>
      <c r="J426" s="19" t="s">
        <v>257</v>
      </c>
      <c r="K426" s="19" t="s">
        <v>258</v>
      </c>
      <c r="L426" s="3" t="s">
        <v>2243</v>
      </c>
      <c r="M426" s="3" t="s">
        <v>2256</v>
      </c>
      <c r="N426" s="3" t="s">
        <v>2272</v>
      </c>
    </row>
    <row r="427" spans="1:14" x14ac:dyDescent="0.25">
      <c r="A427" s="15" t="s">
        <v>251</v>
      </c>
      <c r="B427" s="17" t="s">
        <v>2196</v>
      </c>
      <c r="C427" s="17" t="s">
        <v>2196</v>
      </c>
      <c r="D427" s="6" t="s">
        <v>28</v>
      </c>
      <c r="E427" s="7" t="s">
        <v>253</v>
      </c>
      <c r="F427" s="20">
        <v>45717</v>
      </c>
      <c r="G427" s="17">
        <v>14</v>
      </c>
      <c r="H427" t="s">
        <v>272</v>
      </c>
      <c r="I427" s="32">
        <v>13950000</v>
      </c>
      <c r="J427" s="19" t="s">
        <v>257</v>
      </c>
      <c r="K427" s="6" t="s">
        <v>258</v>
      </c>
      <c r="L427" s="3" t="s">
        <v>2243</v>
      </c>
      <c r="M427" s="3" t="s">
        <v>2256</v>
      </c>
      <c r="N427" s="3" t="s">
        <v>2272</v>
      </c>
    </row>
    <row r="428" spans="1:14" x14ac:dyDescent="0.25">
      <c r="A428" s="14" t="s">
        <v>251</v>
      </c>
      <c r="B428" s="16" t="s">
        <v>2196</v>
      </c>
      <c r="C428" s="16" t="s">
        <v>2196</v>
      </c>
      <c r="D428" s="19" t="s">
        <v>28</v>
      </c>
      <c r="E428" s="10" t="s">
        <v>253</v>
      </c>
      <c r="F428" s="20">
        <v>45809</v>
      </c>
      <c r="G428" s="16">
        <v>14</v>
      </c>
      <c r="H428" s="11" t="s">
        <v>281</v>
      </c>
      <c r="I428" s="31">
        <v>225000</v>
      </c>
      <c r="J428" s="19" t="s">
        <v>257</v>
      </c>
      <c r="K428" s="19" t="s">
        <v>258</v>
      </c>
      <c r="L428" s="3" t="s">
        <v>2243</v>
      </c>
      <c r="M428" s="3" t="s">
        <v>2256</v>
      </c>
      <c r="N428" s="3" t="s">
        <v>2272</v>
      </c>
    </row>
    <row r="429" spans="1:14" x14ac:dyDescent="0.25">
      <c r="A429" s="15" t="s">
        <v>251</v>
      </c>
      <c r="B429" s="17" t="s">
        <v>2196</v>
      </c>
      <c r="C429" s="17" t="s">
        <v>2196</v>
      </c>
      <c r="D429" s="6" t="s">
        <v>28</v>
      </c>
      <c r="E429" s="7" t="s">
        <v>253</v>
      </c>
      <c r="F429" s="20">
        <v>45717</v>
      </c>
      <c r="G429" s="17">
        <v>14</v>
      </c>
      <c r="H429" t="s">
        <v>277</v>
      </c>
      <c r="I429" s="32">
        <v>21279996</v>
      </c>
      <c r="J429" s="19" t="s">
        <v>257</v>
      </c>
      <c r="K429" s="6" t="s">
        <v>258</v>
      </c>
      <c r="L429" s="3" t="s">
        <v>2243</v>
      </c>
      <c r="M429" s="3" t="s">
        <v>2256</v>
      </c>
      <c r="N429" s="3" t="s">
        <v>2272</v>
      </c>
    </row>
    <row r="430" spans="1:14" x14ac:dyDescent="0.25">
      <c r="A430" s="14" t="s">
        <v>1119</v>
      </c>
      <c r="B430" s="16" t="s">
        <v>2199</v>
      </c>
      <c r="C430" s="19" t="s">
        <v>28</v>
      </c>
      <c r="D430" s="19" t="s">
        <v>28</v>
      </c>
      <c r="E430" s="10" t="s">
        <v>1120</v>
      </c>
      <c r="F430" s="20">
        <v>46082</v>
      </c>
      <c r="G430" s="16">
        <v>1</v>
      </c>
      <c r="H430" s="11" t="s">
        <v>1121</v>
      </c>
      <c r="I430" s="31">
        <v>600000</v>
      </c>
      <c r="J430" s="19" t="s">
        <v>1122</v>
      </c>
      <c r="K430" s="19" t="s">
        <v>1123</v>
      </c>
      <c r="L430" s="3" t="s">
        <v>2244</v>
      </c>
      <c r="M430" s="3" t="s">
        <v>2256</v>
      </c>
      <c r="N430" s="3" t="s">
        <v>2268</v>
      </c>
    </row>
    <row r="431" spans="1:14" x14ac:dyDescent="0.25">
      <c r="A431" s="15" t="s">
        <v>1126</v>
      </c>
      <c r="B431" s="17" t="s">
        <v>2199</v>
      </c>
      <c r="C431" s="6" t="s">
        <v>28</v>
      </c>
      <c r="D431" s="6" t="s">
        <v>28</v>
      </c>
      <c r="E431" s="7" t="s">
        <v>1127</v>
      </c>
      <c r="F431" s="20">
        <v>46082</v>
      </c>
      <c r="G431" s="17">
        <v>1</v>
      </c>
      <c r="H431" t="s">
        <v>1129</v>
      </c>
      <c r="I431" s="32">
        <v>1700000</v>
      </c>
      <c r="J431" s="19" t="s">
        <v>1122</v>
      </c>
      <c r="K431" s="6" t="s">
        <v>1123</v>
      </c>
      <c r="L431" s="3" t="s">
        <v>2244</v>
      </c>
      <c r="M431" s="3" t="s">
        <v>2256</v>
      </c>
      <c r="N431" s="3" t="s">
        <v>2268</v>
      </c>
    </row>
    <row r="432" spans="1:14" x14ac:dyDescent="0.25">
      <c r="A432" s="14" t="s">
        <v>1130</v>
      </c>
      <c r="B432" s="16" t="s">
        <v>2199</v>
      </c>
      <c r="C432" s="19" t="s">
        <v>28</v>
      </c>
      <c r="D432" s="19" t="s">
        <v>28</v>
      </c>
      <c r="E432" s="10" t="s">
        <v>1131</v>
      </c>
      <c r="F432" s="20">
        <v>46082</v>
      </c>
      <c r="G432" s="16">
        <v>1</v>
      </c>
      <c r="H432" s="11" t="s">
        <v>1133</v>
      </c>
      <c r="I432" s="31">
        <v>1670016</v>
      </c>
      <c r="J432" s="19" t="s">
        <v>1122</v>
      </c>
      <c r="K432" s="19" t="s">
        <v>1123</v>
      </c>
      <c r="L432" s="3" t="s">
        <v>2244</v>
      </c>
      <c r="M432" s="3" t="s">
        <v>2256</v>
      </c>
      <c r="N432" s="3" t="s">
        <v>2268</v>
      </c>
    </row>
    <row r="433" spans="1:14" x14ac:dyDescent="0.25">
      <c r="A433" s="15" t="s">
        <v>1134</v>
      </c>
      <c r="B433" s="17" t="s">
        <v>2199</v>
      </c>
      <c r="C433" s="6" t="s">
        <v>28</v>
      </c>
      <c r="D433" s="6" t="s">
        <v>28</v>
      </c>
      <c r="E433" s="7" t="s">
        <v>1135</v>
      </c>
      <c r="F433" s="20">
        <v>46082</v>
      </c>
      <c r="G433" s="17">
        <v>1</v>
      </c>
      <c r="H433" t="s">
        <v>1137</v>
      </c>
      <c r="I433" s="32">
        <v>900000</v>
      </c>
      <c r="J433" s="19" t="s">
        <v>1122</v>
      </c>
      <c r="K433" s="6" t="s">
        <v>1123</v>
      </c>
      <c r="L433" s="3" t="s">
        <v>2244</v>
      </c>
      <c r="M433" s="3" t="s">
        <v>2256</v>
      </c>
      <c r="N433" s="3" t="s">
        <v>2268</v>
      </c>
    </row>
    <row r="434" spans="1:14" x14ac:dyDescent="0.25">
      <c r="A434" s="14" t="s">
        <v>1138</v>
      </c>
      <c r="B434" s="16" t="s">
        <v>2199</v>
      </c>
      <c r="C434" s="19" t="s">
        <v>28</v>
      </c>
      <c r="D434" s="19" t="s">
        <v>28</v>
      </c>
      <c r="E434" s="10" t="s">
        <v>1140</v>
      </c>
      <c r="F434" s="20">
        <v>46082</v>
      </c>
      <c r="G434" s="16">
        <v>1</v>
      </c>
      <c r="H434" s="11" t="s">
        <v>1142</v>
      </c>
      <c r="I434" s="31">
        <v>3500010</v>
      </c>
      <c r="J434" s="19" t="s">
        <v>1122</v>
      </c>
      <c r="K434" s="19" t="s">
        <v>1123</v>
      </c>
      <c r="L434" s="3" t="s">
        <v>2244</v>
      </c>
      <c r="M434" s="3" t="s">
        <v>2256</v>
      </c>
      <c r="N434" s="3" t="s">
        <v>2268</v>
      </c>
    </row>
    <row r="435" spans="1:14" x14ac:dyDescent="0.25">
      <c r="A435" s="15" t="s">
        <v>930</v>
      </c>
      <c r="B435" s="17" t="s">
        <v>2199</v>
      </c>
      <c r="C435" s="6" t="s">
        <v>28</v>
      </c>
      <c r="D435" s="6" t="s">
        <v>28</v>
      </c>
      <c r="E435" s="7" t="s">
        <v>931</v>
      </c>
      <c r="F435" s="20">
        <v>46023</v>
      </c>
      <c r="G435" s="17">
        <v>1</v>
      </c>
      <c r="H435" t="s">
        <v>933</v>
      </c>
      <c r="I435" s="32">
        <v>681264</v>
      </c>
      <c r="J435" s="19" t="s">
        <v>934</v>
      </c>
      <c r="K435" s="6" t="s">
        <v>935</v>
      </c>
      <c r="L435" s="3" t="s">
        <v>2230</v>
      </c>
      <c r="M435" s="3" t="s">
        <v>2227</v>
      </c>
      <c r="N435" s="3" t="s">
        <v>2261</v>
      </c>
    </row>
    <row r="436" spans="1:14" x14ac:dyDescent="0.25">
      <c r="A436" s="14" t="s">
        <v>996</v>
      </c>
      <c r="B436" s="16" t="s">
        <v>2199</v>
      </c>
      <c r="C436" s="19" t="s">
        <v>28</v>
      </c>
      <c r="D436" s="19" t="s">
        <v>28</v>
      </c>
      <c r="E436" s="10" t="s">
        <v>997</v>
      </c>
      <c r="F436" s="20">
        <v>46023</v>
      </c>
      <c r="G436" s="16">
        <v>1</v>
      </c>
      <c r="H436" s="11" t="s">
        <v>486</v>
      </c>
      <c r="I436" s="31">
        <v>60000</v>
      </c>
      <c r="J436" s="19" t="s">
        <v>934</v>
      </c>
      <c r="K436" s="19" t="s">
        <v>935</v>
      </c>
      <c r="L436" s="3" t="s">
        <v>2230</v>
      </c>
      <c r="M436" s="3" t="s">
        <v>2227</v>
      </c>
      <c r="N436" s="3" t="s">
        <v>2261</v>
      </c>
    </row>
    <row r="437" spans="1:14" x14ac:dyDescent="0.25">
      <c r="A437" s="15" t="s">
        <v>1069</v>
      </c>
      <c r="B437" s="17" t="s">
        <v>2199</v>
      </c>
      <c r="C437" s="6" t="s">
        <v>28</v>
      </c>
      <c r="D437" s="6" t="s">
        <v>28</v>
      </c>
      <c r="E437" s="7" t="s">
        <v>1070</v>
      </c>
      <c r="F437" s="20">
        <v>46023</v>
      </c>
      <c r="G437" s="17">
        <v>1</v>
      </c>
      <c r="H437" t="s">
        <v>819</v>
      </c>
      <c r="I437" s="32">
        <v>450000</v>
      </c>
      <c r="J437" s="19" t="s">
        <v>934</v>
      </c>
      <c r="K437" s="6" t="s">
        <v>935</v>
      </c>
      <c r="L437" s="3" t="s">
        <v>2230</v>
      </c>
      <c r="M437" s="3" t="s">
        <v>2227</v>
      </c>
      <c r="N437" s="3" t="s">
        <v>2261</v>
      </c>
    </row>
    <row r="438" spans="1:14" x14ac:dyDescent="0.25">
      <c r="A438" s="14" t="s">
        <v>1085</v>
      </c>
      <c r="B438" s="16" t="s">
        <v>2199</v>
      </c>
      <c r="C438" s="19" t="s">
        <v>28</v>
      </c>
      <c r="D438" s="19" t="s">
        <v>28</v>
      </c>
      <c r="E438" s="10" t="s">
        <v>1086</v>
      </c>
      <c r="F438" s="20">
        <v>46023</v>
      </c>
      <c r="G438" s="16">
        <v>1</v>
      </c>
      <c r="H438" s="11" t="s">
        <v>1088</v>
      </c>
      <c r="I438" s="31">
        <v>352600</v>
      </c>
      <c r="J438" s="19" t="s">
        <v>934</v>
      </c>
      <c r="K438" s="19" t="s">
        <v>935</v>
      </c>
      <c r="L438" s="3" t="s">
        <v>2230</v>
      </c>
      <c r="M438" s="3" t="s">
        <v>2227</v>
      </c>
      <c r="N438" s="3" t="s">
        <v>2261</v>
      </c>
    </row>
    <row r="439" spans="1:14" x14ac:dyDescent="0.25">
      <c r="A439" s="15" t="s">
        <v>1089</v>
      </c>
      <c r="B439" s="17" t="s">
        <v>2199</v>
      </c>
      <c r="C439" s="6" t="s">
        <v>28</v>
      </c>
      <c r="D439" s="6" t="s">
        <v>28</v>
      </c>
      <c r="E439" s="7" t="s">
        <v>1090</v>
      </c>
      <c r="F439" s="20">
        <v>46054</v>
      </c>
      <c r="G439" s="17">
        <v>1</v>
      </c>
      <c r="H439" t="s">
        <v>781</v>
      </c>
      <c r="I439" s="32">
        <v>50004</v>
      </c>
      <c r="J439" s="19" t="s">
        <v>934</v>
      </c>
      <c r="K439" s="6" t="s">
        <v>935</v>
      </c>
      <c r="L439" s="3" t="s">
        <v>2230</v>
      </c>
      <c r="M439" s="3" t="s">
        <v>2227</v>
      </c>
      <c r="N439" s="3" t="s">
        <v>2261</v>
      </c>
    </row>
    <row r="440" spans="1:14" x14ac:dyDescent="0.25">
      <c r="A440" s="14" t="s">
        <v>1632</v>
      </c>
      <c r="B440" s="16" t="s">
        <v>2199</v>
      </c>
      <c r="C440" s="19" t="s">
        <v>28</v>
      </c>
      <c r="D440" s="19" t="s">
        <v>28</v>
      </c>
      <c r="E440" s="10" t="s">
        <v>1633</v>
      </c>
      <c r="F440" s="20">
        <v>46204</v>
      </c>
      <c r="G440" s="16">
        <v>2</v>
      </c>
      <c r="H440" s="11" t="s">
        <v>1636</v>
      </c>
      <c r="I440" s="31">
        <v>80000</v>
      </c>
      <c r="J440" s="19" t="s">
        <v>934</v>
      </c>
      <c r="K440" s="19" t="s">
        <v>935</v>
      </c>
      <c r="L440" s="3" t="s">
        <v>2230</v>
      </c>
      <c r="M440" s="3" t="s">
        <v>2227</v>
      </c>
      <c r="N440" s="3" t="s">
        <v>2261</v>
      </c>
    </row>
    <row r="441" spans="1:14" x14ac:dyDescent="0.25">
      <c r="A441" s="15" t="s">
        <v>1632</v>
      </c>
      <c r="B441" s="17" t="s">
        <v>2199</v>
      </c>
      <c r="C441" s="6" t="s">
        <v>28</v>
      </c>
      <c r="D441" s="6" t="s">
        <v>28</v>
      </c>
      <c r="E441" s="7" t="s">
        <v>1633</v>
      </c>
      <c r="F441" s="20">
        <v>46204</v>
      </c>
      <c r="G441" s="17">
        <v>2</v>
      </c>
      <c r="H441" t="s">
        <v>1635</v>
      </c>
      <c r="I441" s="32">
        <v>360000</v>
      </c>
      <c r="J441" s="19" t="s">
        <v>934</v>
      </c>
      <c r="K441" s="6" t="s">
        <v>935</v>
      </c>
      <c r="L441" s="3" t="s">
        <v>2230</v>
      </c>
      <c r="M441" s="3" t="s">
        <v>2227</v>
      </c>
      <c r="N441" s="3" t="s">
        <v>2261</v>
      </c>
    </row>
    <row r="442" spans="1:14" x14ac:dyDescent="0.25">
      <c r="A442" s="14" t="s">
        <v>298</v>
      </c>
      <c r="B442" s="16" t="s">
        <v>2196</v>
      </c>
      <c r="C442" s="16" t="s">
        <v>2196</v>
      </c>
      <c r="D442" s="19" t="s">
        <v>28</v>
      </c>
      <c r="E442" s="10" t="s">
        <v>300</v>
      </c>
      <c r="F442" s="20">
        <v>45839</v>
      </c>
      <c r="G442" s="16">
        <v>1</v>
      </c>
      <c r="H442" s="11" t="s">
        <v>205</v>
      </c>
      <c r="I442" s="31">
        <v>144000000</v>
      </c>
      <c r="J442" s="19" t="s">
        <v>182</v>
      </c>
      <c r="K442" s="19" t="s">
        <v>302</v>
      </c>
      <c r="L442" s="53" t="s">
        <v>2278</v>
      </c>
      <c r="M442" s="3" t="s">
        <v>2256</v>
      </c>
      <c r="N442" s="3" t="s">
        <v>2268</v>
      </c>
    </row>
    <row r="443" spans="1:14" x14ac:dyDescent="0.25">
      <c r="A443" s="15" t="s">
        <v>202</v>
      </c>
      <c r="B443" s="17" t="s">
        <v>2196</v>
      </c>
      <c r="C443" s="17" t="s">
        <v>2196</v>
      </c>
      <c r="D443" s="6" t="s">
        <v>28</v>
      </c>
      <c r="E443" s="7" t="s">
        <v>203</v>
      </c>
      <c r="F443" s="20">
        <v>45658</v>
      </c>
      <c r="G443" s="17">
        <v>2</v>
      </c>
      <c r="H443" t="s">
        <v>205</v>
      </c>
      <c r="I443" s="32">
        <v>70333380</v>
      </c>
      <c r="J443" s="19" t="s">
        <v>182</v>
      </c>
      <c r="K443" s="6" t="s">
        <v>183</v>
      </c>
      <c r="L443" s="53" t="s">
        <v>2278</v>
      </c>
      <c r="M443" s="3" t="s">
        <v>2256</v>
      </c>
      <c r="N443" s="3" t="s">
        <v>2268</v>
      </c>
    </row>
    <row r="444" spans="1:14" x14ac:dyDescent="0.25">
      <c r="A444" s="14" t="s">
        <v>177</v>
      </c>
      <c r="B444" s="16" t="s">
        <v>2196</v>
      </c>
      <c r="C444" s="16" t="s">
        <v>2196</v>
      </c>
      <c r="D444" s="19" t="s">
        <v>28</v>
      </c>
      <c r="E444" s="10" t="s">
        <v>179</v>
      </c>
      <c r="F444" s="20">
        <v>45444</v>
      </c>
      <c r="G444" s="16">
        <v>1</v>
      </c>
      <c r="H444" s="11" t="s">
        <v>181</v>
      </c>
      <c r="I444" s="31">
        <v>905196910</v>
      </c>
      <c r="J444" s="19" t="s">
        <v>182</v>
      </c>
      <c r="K444" s="19" t="s">
        <v>183</v>
      </c>
      <c r="L444" s="53" t="s">
        <v>2278</v>
      </c>
      <c r="M444" s="3" t="s">
        <v>2256</v>
      </c>
      <c r="N444" s="3" t="s">
        <v>2268</v>
      </c>
    </row>
    <row r="445" spans="1:14" x14ac:dyDescent="0.25">
      <c r="A445" s="15" t="s">
        <v>1748</v>
      </c>
      <c r="B445" s="17" t="s">
        <v>2199</v>
      </c>
      <c r="C445" s="6" t="s">
        <v>28</v>
      </c>
      <c r="D445" s="6" t="s">
        <v>28</v>
      </c>
      <c r="E445" s="7" t="s">
        <v>1749</v>
      </c>
      <c r="F445" s="20">
        <v>46023</v>
      </c>
      <c r="G445" s="17">
        <v>1</v>
      </c>
      <c r="H445" t="s">
        <v>1751</v>
      </c>
      <c r="I445" s="32">
        <v>10000000</v>
      </c>
      <c r="J445" s="19" t="s">
        <v>1752</v>
      </c>
      <c r="K445" s="6" t="s">
        <v>1753</v>
      </c>
      <c r="L445" s="3" t="s">
        <v>2230</v>
      </c>
      <c r="M445" s="3" t="s">
        <v>2227</v>
      </c>
      <c r="N445" s="3" t="s">
        <v>2261</v>
      </c>
    </row>
    <row r="446" spans="1:14" x14ac:dyDescent="0.25">
      <c r="A446" s="14" t="s">
        <v>1807</v>
      </c>
      <c r="B446" s="16" t="s">
        <v>2199</v>
      </c>
      <c r="C446" s="19" t="s">
        <v>28</v>
      </c>
      <c r="D446" s="19" t="s">
        <v>28</v>
      </c>
      <c r="E446" s="10" t="s">
        <v>1808</v>
      </c>
      <c r="F446" s="20">
        <v>46023</v>
      </c>
      <c r="G446" s="16">
        <v>1</v>
      </c>
      <c r="H446" s="11" t="s">
        <v>1810</v>
      </c>
      <c r="I446" s="31">
        <v>10000000</v>
      </c>
      <c r="J446" s="19" t="s">
        <v>1752</v>
      </c>
      <c r="K446" s="19" t="s">
        <v>1753</v>
      </c>
      <c r="L446" s="3" t="s">
        <v>2230</v>
      </c>
      <c r="M446" s="3" t="s">
        <v>2227</v>
      </c>
      <c r="N446" s="3" t="s">
        <v>2261</v>
      </c>
    </row>
    <row r="447" spans="1:14" x14ac:dyDescent="0.25">
      <c r="A447" s="15" t="s">
        <v>1207</v>
      </c>
      <c r="B447" s="17" t="s">
        <v>2199</v>
      </c>
      <c r="C447" s="6" t="s">
        <v>28</v>
      </c>
      <c r="D447" s="6" t="s">
        <v>28</v>
      </c>
      <c r="E447" s="7" t="s">
        <v>1208</v>
      </c>
      <c r="F447" s="20">
        <v>46082</v>
      </c>
      <c r="G447" s="17">
        <v>1</v>
      </c>
      <c r="H447" t="s">
        <v>1210</v>
      </c>
      <c r="I447" s="32">
        <v>198030</v>
      </c>
      <c r="J447" s="19" t="s">
        <v>1211</v>
      </c>
      <c r="K447" s="6" t="s">
        <v>320</v>
      </c>
      <c r="L447" s="3" t="s">
        <v>2225</v>
      </c>
      <c r="M447" s="3" t="s">
        <v>2234</v>
      </c>
      <c r="N447" s="3" t="s">
        <v>2258</v>
      </c>
    </row>
    <row r="448" spans="1:14" x14ac:dyDescent="0.25">
      <c r="A448" s="14" t="s">
        <v>1224</v>
      </c>
      <c r="B448" s="16" t="s">
        <v>2199</v>
      </c>
      <c r="C448" s="19" t="s">
        <v>28</v>
      </c>
      <c r="D448" s="19" t="s">
        <v>28</v>
      </c>
      <c r="E448" s="10" t="s">
        <v>1225</v>
      </c>
      <c r="F448" s="20">
        <v>46113</v>
      </c>
      <c r="G448" s="16">
        <v>2</v>
      </c>
      <c r="H448" s="11" t="s">
        <v>486</v>
      </c>
      <c r="I448" s="31">
        <v>695014</v>
      </c>
      <c r="J448" s="19" t="s">
        <v>1211</v>
      </c>
      <c r="K448" s="19" t="s">
        <v>320</v>
      </c>
      <c r="L448" s="3" t="s">
        <v>2225</v>
      </c>
      <c r="M448" s="3" t="s">
        <v>2234</v>
      </c>
      <c r="N448" s="3" t="s">
        <v>2258</v>
      </c>
    </row>
    <row r="449" spans="1:14" x14ac:dyDescent="0.25">
      <c r="A449" s="15" t="s">
        <v>1224</v>
      </c>
      <c r="B449" s="17" t="s">
        <v>2199</v>
      </c>
      <c r="C449" s="6" t="s">
        <v>28</v>
      </c>
      <c r="D449" s="6" t="s">
        <v>28</v>
      </c>
      <c r="E449" s="7" t="s">
        <v>1225</v>
      </c>
      <c r="F449" s="20">
        <v>46113</v>
      </c>
      <c r="G449" s="17">
        <v>2</v>
      </c>
      <c r="H449" t="s">
        <v>1227</v>
      </c>
      <c r="I449" s="32">
        <v>20000</v>
      </c>
      <c r="J449" s="19" t="s">
        <v>1211</v>
      </c>
      <c r="K449" s="6" t="s">
        <v>320</v>
      </c>
      <c r="L449" s="3" t="s">
        <v>2225</v>
      </c>
      <c r="M449" s="3" t="s">
        <v>2234</v>
      </c>
      <c r="N449" s="3" t="s">
        <v>2258</v>
      </c>
    </row>
    <row r="450" spans="1:14" x14ac:dyDescent="0.25">
      <c r="A450" s="14" t="s">
        <v>1456</v>
      </c>
      <c r="B450" s="16" t="s">
        <v>2199</v>
      </c>
      <c r="C450" s="19" t="s">
        <v>28</v>
      </c>
      <c r="D450" s="19" t="s">
        <v>28</v>
      </c>
      <c r="E450" s="10" t="s">
        <v>1457</v>
      </c>
      <c r="F450" s="20">
        <v>46054</v>
      </c>
      <c r="G450" s="16">
        <v>1</v>
      </c>
      <c r="H450" s="11" t="s">
        <v>1459</v>
      </c>
      <c r="I450" s="31">
        <v>170001</v>
      </c>
      <c r="J450" s="19" t="s">
        <v>1211</v>
      </c>
      <c r="K450" s="19" t="s">
        <v>320</v>
      </c>
      <c r="L450" s="3" t="s">
        <v>2225</v>
      </c>
      <c r="M450" s="3" t="s">
        <v>2234</v>
      </c>
      <c r="N450" s="3" t="s">
        <v>2258</v>
      </c>
    </row>
    <row r="451" spans="1:14" x14ac:dyDescent="0.25">
      <c r="A451" s="15" t="s">
        <v>1489</v>
      </c>
      <c r="B451" s="17" t="s">
        <v>2199</v>
      </c>
      <c r="C451" s="6" t="s">
        <v>28</v>
      </c>
      <c r="D451" s="6" t="s">
        <v>28</v>
      </c>
      <c r="E451" s="7" t="s">
        <v>1490</v>
      </c>
      <c r="F451" s="20">
        <v>46113</v>
      </c>
      <c r="G451" s="17">
        <v>1</v>
      </c>
      <c r="H451" t="s">
        <v>359</v>
      </c>
      <c r="I451" s="32">
        <v>218020</v>
      </c>
      <c r="J451" s="19" t="s">
        <v>1211</v>
      </c>
      <c r="K451" s="6" t="s">
        <v>320</v>
      </c>
      <c r="L451" s="3" t="s">
        <v>2225</v>
      </c>
      <c r="M451" s="3" t="s">
        <v>2234</v>
      </c>
      <c r="N451" s="3" t="s">
        <v>2258</v>
      </c>
    </row>
    <row r="452" spans="1:14" x14ac:dyDescent="0.25">
      <c r="A452" s="14" t="s">
        <v>1539</v>
      </c>
      <c r="B452" s="16" t="s">
        <v>2199</v>
      </c>
      <c r="C452" s="19" t="s">
        <v>28</v>
      </c>
      <c r="D452" s="19" t="s">
        <v>28</v>
      </c>
      <c r="E452" s="10" t="s">
        <v>1540</v>
      </c>
      <c r="F452" s="20">
        <v>46327</v>
      </c>
      <c r="G452" s="16">
        <v>1</v>
      </c>
      <c r="H452" s="11" t="s">
        <v>1191</v>
      </c>
      <c r="I452" s="31">
        <v>400000</v>
      </c>
      <c r="J452" s="19" t="s">
        <v>1211</v>
      </c>
      <c r="K452" s="19" t="s">
        <v>320</v>
      </c>
      <c r="L452" s="3" t="s">
        <v>2225</v>
      </c>
      <c r="M452" s="3" t="s">
        <v>2234</v>
      </c>
      <c r="N452" s="3" t="s">
        <v>2258</v>
      </c>
    </row>
    <row r="453" spans="1:14" x14ac:dyDescent="0.25">
      <c r="A453" s="15" t="s">
        <v>1566</v>
      </c>
      <c r="B453" s="17" t="s">
        <v>2199</v>
      </c>
      <c r="C453" s="6" t="s">
        <v>28</v>
      </c>
      <c r="D453" s="6" t="s">
        <v>28</v>
      </c>
      <c r="E453" s="7" t="s">
        <v>1567</v>
      </c>
      <c r="F453" s="20">
        <v>46054</v>
      </c>
      <c r="G453" s="17">
        <v>1</v>
      </c>
      <c r="H453" t="s">
        <v>1121</v>
      </c>
      <c r="I453" s="32">
        <v>120000</v>
      </c>
      <c r="J453" s="19" t="s">
        <v>1211</v>
      </c>
      <c r="K453" s="6" t="s">
        <v>320</v>
      </c>
      <c r="L453" s="3" t="s">
        <v>2225</v>
      </c>
      <c r="M453" s="3" t="s">
        <v>2234</v>
      </c>
      <c r="N453" s="3" t="s">
        <v>2258</v>
      </c>
    </row>
    <row r="454" spans="1:14" x14ac:dyDescent="0.25">
      <c r="A454" s="14" t="s">
        <v>1725</v>
      </c>
      <c r="B454" s="16" t="s">
        <v>2199</v>
      </c>
      <c r="C454" s="19" t="s">
        <v>28</v>
      </c>
      <c r="D454" s="19" t="s">
        <v>28</v>
      </c>
      <c r="E454" s="10" t="s">
        <v>1726</v>
      </c>
      <c r="F454" s="20">
        <v>46143</v>
      </c>
      <c r="G454" s="16">
        <v>1</v>
      </c>
      <c r="H454" s="11" t="s">
        <v>623</v>
      </c>
      <c r="I454" s="31">
        <v>900000</v>
      </c>
      <c r="J454" s="19" t="s">
        <v>1211</v>
      </c>
      <c r="K454" s="19" t="s">
        <v>320</v>
      </c>
      <c r="L454" s="3" t="s">
        <v>2225</v>
      </c>
      <c r="M454" s="3" t="s">
        <v>2234</v>
      </c>
      <c r="N454" s="3" t="s">
        <v>2258</v>
      </c>
    </row>
    <row r="455" spans="1:14" x14ac:dyDescent="0.25">
      <c r="A455" s="15" t="s">
        <v>1728</v>
      </c>
      <c r="B455" s="17" t="s">
        <v>2199</v>
      </c>
      <c r="C455" s="6" t="s">
        <v>28</v>
      </c>
      <c r="D455" s="6" t="s">
        <v>28</v>
      </c>
      <c r="E455" s="7" t="s">
        <v>1729</v>
      </c>
      <c r="F455" s="20">
        <v>46357</v>
      </c>
      <c r="G455" s="17">
        <v>1</v>
      </c>
      <c r="H455" t="s">
        <v>882</v>
      </c>
      <c r="I455" s="32">
        <v>1500000</v>
      </c>
      <c r="J455" s="19" t="s">
        <v>1211</v>
      </c>
      <c r="K455" s="6" t="s">
        <v>320</v>
      </c>
      <c r="L455" s="3" t="s">
        <v>2225</v>
      </c>
      <c r="M455" s="3" t="s">
        <v>2234</v>
      </c>
      <c r="N455" s="3" t="s">
        <v>2258</v>
      </c>
    </row>
    <row r="456" spans="1:14" x14ac:dyDescent="0.25">
      <c r="A456" s="14" t="s">
        <v>1485</v>
      </c>
      <c r="B456" s="16" t="s">
        <v>2199</v>
      </c>
      <c r="C456" s="19" t="s">
        <v>1238</v>
      </c>
      <c r="D456" s="19" t="s">
        <v>1238</v>
      </c>
      <c r="E456" s="10" t="s">
        <v>1486</v>
      </c>
      <c r="F456" s="20">
        <v>46054</v>
      </c>
      <c r="G456" s="16">
        <v>1</v>
      </c>
      <c r="H456" s="11" t="s">
        <v>1488</v>
      </c>
      <c r="I456" s="31">
        <v>250000</v>
      </c>
      <c r="J456" s="19" t="s">
        <v>1211</v>
      </c>
      <c r="K456" s="19" t="s">
        <v>320</v>
      </c>
      <c r="L456" s="3" t="s">
        <v>2225</v>
      </c>
      <c r="M456" s="3" t="s">
        <v>2234</v>
      </c>
      <c r="N456" s="3" t="s">
        <v>2258</v>
      </c>
    </row>
    <row r="457" spans="1:14" x14ac:dyDescent="0.25">
      <c r="A457" s="15" t="s">
        <v>313</v>
      </c>
      <c r="B457" s="17" t="s">
        <v>2196</v>
      </c>
      <c r="C457" s="17" t="s">
        <v>2196</v>
      </c>
      <c r="D457" s="6" t="s">
        <v>28</v>
      </c>
      <c r="E457" s="7" t="s">
        <v>315</v>
      </c>
      <c r="F457" s="20">
        <v>45839</v>
      </c>
      <c r="G457" s="17">
        <v>1</v>
      </c>
      <c r="H457" t="s">
        <v>317</v>
      </c>
      <c r="I457" s="32">
        <v>36208337</v>
      </c>
      <c r="J457" s="19" t="s">
        <v>319</v>
      </c>
      <c r="K457" s="6" t="s">
        <v>320</v>
      </c>
      <c r="L457" s="3" t="s">
        <v>2225</v>
      </c>
      <c r="M457" s="3" t="s">
        <v>2234</v>
      </c>
      <c r="N457" s="3" t="s">
        <v>2258</v>
      </c>
    </row>
    <row r="458" spans="1:14" x14ac:dyDescent="0.25">
      <c r="A458" s="14" t="s">
        <v>323</v>
      </c>
      <c r="B458" s="16" t="s">
        <v>2196</v>
      </c>
      <c r="C458" s="16" t="s">
        <v>2196</v>
      </c>
      <c r="D458" s="19" t="s">
        <v>28</v>
      </c>
      <c r="E458" s="10" t="s">
        <v>324</v>
      </c>
      <c r="F458" s="20">
        <v>45870</v>
      </c>
      <c r="G458" s="16">
        <v>1</v>
      </c>
      <c r="H458" s="11" t="s">
        <v>326</v>
      </c>
      <c r="I458" s="31">
        <v>28875000</v>
      </c>
      <c r="J458" s="19" t="s">
        <v>319</v>
      </c>
      <c r="K458" s="19" t="s">
        <v>320</v>
      </c>
      <c r="L458" s="3" t="s">
        <v>2225</v>
      </c>
      <c r="M458" s="3" t="s">
        <v>2234</v>
      </c>
      <c r="N458" s="3" t="s">
        <v>2258</v>
      </c>
    </row>
    <row r="459" spans="1:14" x14ac:dyDescent="0.25">
      <c r="A459" s="15" t="s">
        <v>434</v>
      </c>
      <c r="B459" s="17" t="s">
        <v>2196</v>
      </c>
      <c r="C459" s="17" t="s">
        <v>2196</v>
      </c>
      <c r="D459" s="6" t="s">
        <v>28</v>
      </c>
      <c r="E459" s="7" t="s">
        <v>435</v>
      </c>
      <c r="F459" s="20">
        <v>45870</v>
      </c>
      <c r="G459" s="17">
        <v>1</v>
      </c>
      <c r="H459" t="s">
        <v>359</v>
      </c>
      <c r="I459" s="32">
        <v>73333326</v>
      </c>
      <c r="J459" s="19" t="s">
        <v>319</v>
      </c>
      <c r="K459" s="6" t="s">
        <v>320</v>
      </c>
      <c r="L459" s="3" t="s">
        <v>2225</v>
      </c>
      <c r="M459" s="3" t="s">
        <v>2234</v>
      </c>
      <c r="N459" s="3" t="s">
        <v>2258</v>
      </c>
    </row>
    <row r="460" spans="1:14" x14ac:dyDescent="0.25">
      <c r="A460" s="14" t="s">
        <v>895</v>
      </c>
      <c r="B460" s="16" t="s">
        <v>2199</v>
      </c>
      <c r="C460" s="19" t="s">
        <v>28</v>
      </c>
      <c r="D460" s="19" t="s">
        <v>28</v>
      </c>
      <c r="E460" s="10" t="s">
        <v>896</v>
      </c>
      <c r="F460" s="20">
        <v>46082</v>
      </c>
      <c r="G460" s="16">
        <v>1</v>
      </c>
      <c r="H460" s="11" t="s">
        <v>898</v>
      </c>
      <c r="I460" s="31">
        <v>200000</v>
      </c>
      <c r="J460" s="19" t="s">
        <v>899</v>
      </c>
      <c r="K460" s="19" t="s">
        <v>900</v>
      </c>
      <c r="L460" s="3" t="s">
        <v>2230</v>
      </c>
      <c r="M460" s="3" t="s">
        <v>2227</v>
      </c>
      <c r="N460" s="3" t="s">
        <v>2261</v>
      </c>
    </row>
    <row r="461" spans="1:14" x14ac:dyDescent="0.25">
      <c r="A461" s="15" t="s">
        <v>2028</v>
      </c>
      <c r="B461" s="17" t="s">
        <v>2199</v>
      </c>
      <c r="C461" s="6" t="s">
        <v>374</v>
      </c>
      <c r="D461" s="6" t="s">
        <v>374</v>
      </c>
      <c r="E461" s="7" t="s">
        <v>2029</v>
      </c>
      <c r="F461" s="20">
        <v>46082</v>
      </c>
      <c r="G461" s="17">
        <v>8</v>
      </c>
      <c r="H461" t="s">
        <v>831</v>
      </c>
      <c r="I461" s="32">
        <v>930000</v>
      </c>
      <c r="J461" s="19" t="s">
        <v>2032</v>
      </c>
      <c r="K461" s="6" t="s">
        <v>2033</v>
      </c>
      <c r="L461" s="3" t="s">
        <v>2221</v>
      </c>
      <c r="M461" s="3" t="s">
        <v>2234</v>
      </c>
      <c r="N461" s="3" t="s">
        <v>2259</v>
      </c>
    </row>
    <row r="462" spans="1:14" x14ac:dyDescent="0.25">
      <c r="A462" s="14" t="s">
        <v>2028</v>
      </c>
      <c r="B462" s="16" t="s">
        <v>2199</v>
      </c>
      <c r="C462" s="19" t="s">
        <v>374</v>
      </c>
      <c r="D462" s="19" t="s">
        <v>374</v>
      </c>
      <c r="E462" s="10" t="s">
        <v>2029</v>
      </c>
      <c r="F462" s="20">
        <v>46082</v>
      </c>
      <c r="G462" s="16">
        <v>8</v>
      </c>
      <c r="H462" s="11" t="s">
        <v>370</v>
      </c>
      <c r="I462" s="31">
        <v>250000</v>
      </c>
      <c r="J462" s="19" t="s">
        <v>2032</v>
      </c>
      <c r="K462" s="19" t="s">
        <v>2033</v>
      </c>
      <c r="L462" s="3" t="s">
        <v>2221</v>
      </c>
      <c r="M462" s="3" t="s">
        <v>2234</v>
      </c>
      <c r="N462" s="3" t="s">
        <v>2259</v>
      </c>
    </row>
    <row r="463" spans="1:14" x14ac:dyDescent="0.25">
      <c r="A463" s="15" t="s">
        <v>2028</v>
      </c>
      <c r="B463" s="17" t="s">
        <v>2199</v>
      </c>
      <c r="C463" s="6" t="s">
        <v>374</v>
      </c>
      <c r="D463" s="6" t="s">
        <v>374</v>
      </c>
      <c r="E463" s="7" t="s">
        <v>2029</v>
      </c>
      <c r="F463" s="20">
        <v>46082</v>
      </c>
      <c r="G463" s="17">
        <v>8</v>
      </c>
      <c r="H463" t="s">
        <v>1174</v>
      </c>
      <c r="I463" s="32">
        <v>1195000</v>
      </c>
      <c r="J463" s="19" t="s">
        <v>2032</v>
      </c>
      <c r="K463" s="6" t="s">
        <v>2033</v>
      </c>
      <c r="L463" s="3" t="s">
        <v>2221</v>
      </c>
      <c r="M463" s="3" t="s">
        <v>2234</v>
      </c>
      <c r="N463" s="3" t="s">
        <v>2259</v>
      </c>
    </row>
    <row r="464" spans="1:14" x14ac:dyDescent="0.25">
      <c r="A464" s="14" t="s">
        <v>2028</v>
      </c>
      <c r="B464" s="16" t="s">
        <v>2199</v>
      </c>
      <c r="C464" s="19" t="s">
        <v>374</v>
      </c>
      <c r="D464" s="19" t="s">
        <v>374</v>
      </c>
      <c r="E464" s="10" t="s">
        <v>2029</v>
      </c>
      <c r="F464" s="20">
        <v>46082</v>
      </c>
      <c r="G464" s="16">
        <v>8</v>
      </c>
      <c r="H464" s="11" t="s">
        <v>2031</v>
      </c>
      <c r="I464" s="31">
        <v>600000</v>
      </c>
      <c r="J464" s="19" t="s">
        <v>2032</v>
      </c>
      <c r="K464" s="19" t="s">
        <v>2033</v>
      </c>
      <c r="L464" s="3" t="s">
        <v>2221</v>
      </c>
      <c r="M464" s="3" t="s">
        <v>2234</v>
      </c>
      <c r="N464" s="3" t="s">
        <v>2259</v>
      </c>
    </row>
    <row r="465" spans="1:14" x14ac:dyDescent="0.25">
      <c r="A465" s="15" t="s">
        <v>2028</v>
      </c>
      <c r="B465" s="17" t="s">
        <v>2199</v>
      </c>
      <c r="C465" s="6" t="s">
        <v>374</v>
      </c>
      <c r="D465" s="6" t="s">
        <v>374</v>
      </c>
      <c r="E465" s="7" t="s">
        <v>2029</v>
      </c>
      <c r="F465" s="20">
        <v>46082</v>
      </c>
      <c r="G465" s="17">
        <v>8</v>
      </c>
      <c r="H465" t="s">
        <v>1279</v>
      </c>
      <c r="I465" s="32">
        <v>1850000</v>
      </c>
      <c r="J465" s="19" t="s">
        <v>2032</v>
      </c>
      <c r="K465" s="6" t="s">
        <v>2033</v>
      </c>
      <c r="L465" s="3" t="s">
        <v>2221</v>
      </c>
      <c r="M465" s="3" t="s">
        <v>2234</v>
      </c>
      <c r="N465" s="3" t="s">
        <v>2259</v>
      </c>
    </row>
    <row r="466" spans="1:14" x14ac:dyDescent="0.25">
      <c r="A466" s="14" t="s">
        <v>2028</v>
      </c>
      <c r="B466" s="16" t="s">
        <v>2199</v>
      </c>
      <c r="C466" s="19" t="s">
        <v>374</v>
      </c>
      <c r="D466" s="19" t="s">
        <v>374</v>
      </c>
      <c r="E466" s="10" t="s">
        <v>2029</v>
      </c>
      <c r="F466" s="20">
        <v>46082</v>
      </c>
      <c r="G466" s="16">
        <v>8</v>
      </c>
      <c r="H466" s="11" t="s">
        <v>486</v>
      </c>
      <c r="I466" s="31">
        <v>1164000</v>
      </c>
      <c r="J466" s="19" t="s">
        <v>2032</v>
      </c>
      <c r="K466" s="19" t="s">
        <v>2033</v>
      </c>
      <c r="L466" s="3" t="s">
        <v>2221</v>
      </c>
      <c r="M466" s="3" t="s">
        <v>2234</v>
      </c>
      <c r="N466" s="3" t="s">
        <v>2259</v>
      </c>
    </row>
    <row r="467" spans="1:14" x14ac:dyDescent="0.25">
      <c r="A467" s="15" t="s">
        <v>2028</v>
      </c>
      <c r="B467" s="17" t="s">
        <v>2199</v>
      </c>
      <c r="C467" s="6" t="s">
        <v>374</v>
      </c>
      <c r="D467" s="6" t="s">
        <v>374</v>
      </c>
      <c r="E467" s="7" t="s">
        <v>2029</v>
      </c>
      <c r="F467" s="20">
        <v>46082</v>
      </c>
      <c r="G467" s="17">
        <v>8</v>
      </c>
      <c r="H467" t="s">
        <v>1678</v>
      </c>
      <c r="I467" s="32">
        <v>395540</v>
      </c>
      <c r="J467" s="19" t="s">
        <v>2032</v>
      </c>
      <c r="K467" s="6" t="s">
        <v>2033</v>
      </c>
      <c r="L467" s="3" t="s">
        <v>2221</v>
      </c>
      <c r="M467" s="3" t="s">
        <v>2234</v>
      </c>
      <c r="N467" s="3" t="s">
        <v>2259</v>
      </c>
    </row>
    <row r="468" spans="1:14" x14ac:dyDescent="0.25">
      <c r="A468" s="14" t="s">
        <v>2028</v>
      </c>
      <c r="B468" s="16" t="s">
        <v>2199</v>
      </c>
      <c r="C468" s="19" t="s">
        <v>374</v>
      </c>
      <c r="D468" s="19" t="s">
        <v>374</v>
      </c>
      <c r="E468" s="10" t="s">
        <v>2029</v>
      </c>
      <c r="F468" s="20">
        <v>46082</v>
      </c>
      <c r="G468" s="16">
        <v>8</v>
      </c>
      <c r="H468" s="11" t="s">
        <v>2036</v>
      </c>
      <c r="I468" s="31">
        <v>1200000</v>
      </c>
      <c r="J468" s="19" t="s">
        <v>2032</v>
      </c>
      <c r="K468" s="19" t="s">
        <v>2033</v>
      </c>
      <c r="L468" s="3" t="s">
        <v>2221</v>
      </c>
      <c r="M468" s="3" t="s">
        <v>2234</v>
      </c>
      <c r="N468" s="3" t="s">
        <v>2259</v>
      </c>
    </row>
    <row r="469" spans="1:14" x14ac:dyDescent="0.25">
      <c r="A469" s="15" t="s">
        <v>1345</v>
      </c>
      <c r="B469" s="17" t="s">
        <v>2199</v>
      </c>
      <c r="C469" s="6" t="s">
        <v>28</v>
      </c>
      <c r="D469" s="6" t="s">
        <v>28</v>
      </c>
      <c r="E469" s="7" t="s">
        <v>1347</v>
      </c>
      <c r="F469" s="20">
        <v>46113</v>
      </c>
      <c r="G469" s="17">
        <v>1</v>
      </c>
      <c r="H469" t="s">
        <v>1133</v>
      </c>
      <c r="I469" s="32">
        <v>150000</v>
      </c>
      <c r="J469" s="19" t="s">
        <v>1299</v>
      </c>
      <c r="K469" s="6" t="s">
        <v>1300</v>
      </c>
      <c r="L469" s="3" t="s">
        <v>2245</v>
      </c>
      <c r="M469" s="3" t="s">
        <v>2256</v>
      </c>
      <c r="N469" s="3" t="s">
        <v>2272</v>
      </c>
    </row>
    <row r="470" spans="1:14" x14ac:dyDescent="0.25">
      <c r="A470" s="14" t="s">
        <v>1369</v>
      </c>
      <c r="B470" s="16" t="s">
        <v>2199</v>
      </c>
      <c r="C470" s="19" t="s">
        <v>1238</v>
      </c>
      <c r="D470" s="19" t="s">
        <v>1238</v>
      </c>
      <c r="E470" s="10" t="s">
        <v>1370</v>
      </c>
      <c r="F470" s="20">
        <v>46113</v>
      </c>
      <c r="G470" s="16">
        <v>2</v>
      </c>
      <c r="H470" s="11" t="s">
        <v>1175</v>
      </c>
      <c r="I470" s="31">
        <v>704255000</v>
      </c>
      <c r="J470" s="19" t="s">
        <v>1299</v>
      </c>
      <c r="K470" s="19" t="s">
        <v>1300</v>
      </c>
      <c r="L470" s="3" t="s">
        <v>2245</v>
      </c>
      <c r="M470" s="3" t="s">
        <v>2256</v>
      </c>
      <c r="N470" s="3" t="s">
        <v>2272</v>
      </c>
    </row>
    <row r="471" spans="1:14" x14ac:dyDescent="0.25">
      <c r="A471" s="15" t="s">
        <v>1369</v>
      </c>
      <c r="B471" s="17" t="s">
        <v>2199</v>
      </c>
      <c r="C471" s="6" t="s">
        <v>1238</v>
      </c>
      <c r="D471" s="6" t="s">
        <v>1238</v>
      </c>
      <c r="E471" s="7" t="s">
        <v>1370</v>
      </c>
      <c r="F471" s="20">
        <v>46113</v>
      </c>
      <c r="G471" s="17">
        <v>2</v>
      </c>
      <c r="H471" t="s">
        <v>1303</v>
      </c>
      <c r="I471" s="32">
        <v>874576000</v>
      </c>
      <c r="J471" s="19" t="s">
        <v>1299</v>
      </c>
      <c r="K471" s="6" t="s">
        <v>1300</v>
      </c>
      <c r="L471" s="3" t="s">
        <v>2245</v>
      </c>
      <c r="M471" s="3" t="s">
        <v>2256</v>
      </c>
      <c r="N471" s="3" t="s">
        <v>2272</v>
      </c>
    </row>
    <row r="472" spans="1:14" x14ac:dyDescent="0.25">
      <c r="A472" s="14" t="s">
        <v>1385</v>
      </c>
      <c r="B472" s="16" t="s">
        <v>2199</v>
      </c>
      <c r="C472" s="19" t="s">
        <v>1238</v>
      </c>
      <c r="D472" s="19" t="s">
        <v>1238</v>
      </c>
      <c r="E472" s="10" t="s">
        <v>1386</v>
      </c>
      <c r="F472" s="20">
        <v>46113</v>
      </c>
      <c r="G472" s="16">
        <v>2</v>
      </c>
      <c r="H472" s="11" t="s">
        <v>1175</v>
      </c>
      <c r="I472" s="31">
        <v>64156000</v>
      </c>
      <c r="J472" s="19" t="s">
        <v>1299</v>
      </c>
      <c r="K472" s="19" t="s">
        <v>1300</v>
      </c>
      <c r="L472" s="3" t="s">
        <v>2245</v>
      </c>
      <c r="M472" s="3" t="s">
        <v>2256</v>
      </c>
      <c r="N472" s="3" t="s">
        <v>2272</v>
      </c>
    </row>
    <row r="473" spans="1:14" x14ac:dyDescent="0.25">
      <c r="A473" s="15" t="s">
        <v>1385</v>
      </c>
      <c r="B473" s="17" t="s">
        <v>2199</v>
      </c>
      <c r="C473" s="6" t="s">
        <v>1238</v>
      </c>
      <c r="D473" s="6" t="s">
        <v>1238</v>
      </c>
      <c r="E473" s="7" t="s">
        <v>1386</v>
      </c>
      <c r="F473" s="20">
        <v>46113</v>
      </c>
      <c r="G473" s="17">
        <v>2</v>
      </c>
      <c r="H473" t="s">
        <v>1303</v>
      </c>
      <c r="I473" s="32">
        <v>1904912000</v>
      </c>
      <c r="J473" s="19" t="s">
        <v>1299</v>
      </c>
      <c r="K473" s="6" t="s">
        <v>1300</v>
      </c>
      <c r="L473" s="3" t="s">
        <v>2245</v>
      </c>
      <c r="M473" s="3" t="s">
        <v>2256</v>
      </c>
      <c r="N473" s="3" t="s">
        <v>2272</v>
      </c>
    </row>
    <row r="474" spans="1:14" x14ac:dyDescent="0.25">
      <c r="A474" s="14" t="s">
        <v>1387</v>
      </c>
      <c r="B474" s="16" t="s">
        <v>2199</v>
      </c>
      <c r="C474" s="19" t="s">
        <v>1238</v>
      </c>
      <c r="D474" s="19" t="s">
        <v>1238</v>
      </c>
      <c r="E474" s="10" t="s">
        <v>1388</v>
      </c>
      <c r="F474" s="20">
        <v>46113</v>
      </c>
      <c r="G474" s="16">
        <v>2</v>
      </c>
      <c r="H474" s="11" t="s">
        <v>1175</v>
      </c>
      <c r="I474" s="31">
        <v>12678000</v>
      </c>
      <c r="J474" s="19" t="s">
        <v>1299</v>
      </c>
      <c r="K474" s="19" t="s">
        <v>1300</v>
      </c>
      <c r="L474" s="3" t="s">
        <v>2245</v>
      </c>
      <c r="M474" s="3" t="s">
        <v>2256</v>
      </c>
      <c r="N474" s="3" t="s">
        <v>2272</v>
      </c>
    </row>
    <row r="475" spans="1:14" x14ac:dyDescent="0.25">
      <c r="A475" s="15" t="s">
        <v>1387</v>
      </c>
      <c r="B475" s="17" t="s">
        <v>2199</v>
      </c>
      <c r="C475" s="6" t="s">
        <v>1238</v>
      </c>
      <c r="D475" s="6" t="s">
        <v>1238</v>
      </c>
      <c r="E475" s="7" t="s">
        <v>1388</v>
      </c>
      <c r="F475" s="20">
        <v>46113</v>
      </c>
      <c r="G475" s="17">
        <v>2</v>
      </c>
      <c r="H475" t="s">
        <v>1303</v>
      </c>
      <c r="I475" s="32">
        <v>5954000</v>
      </c>
      <c r="J475" s="19" t="s">
        <v>1299</v>
      </c>
      <c r="K475" s="6" t="s">
        <v>1300</v>
      </c>
      <c r="L475" s="3" t="s">
        <v>2245</v>
      </c>
      <c r="M475" s="3" t="s">
        <v>2256</v>
      </c>
      <c r="N475" s="3" t="s">
        <v>2272</v>
      </c>
    </row>
    <row r="476" spans="1:14" x14ac:dyDescent="0.25">
      <c r="A476" s="14" t="s">
        <v>1393</v>
      </c>
      <c r="B476" s="16" t="s">
        <v>2199</v>
      </c>
      <c r="C476" s="19" t="s">
        <v>1238</v>
      </c>
      <c r="D476" s="19" t="s">
        <v>1238</v>
      </c>
      <c r="E476" s="10" t="s">
        <v>1394</v>
      </c>
      <c r="F476" s="20">
        <v>46113</v>
      </c>
      <c r="G476" s="16">
        <v>2</v>
      </c>
      <c r="H476" s="11" t="s">
        <v>1175</v>
      </c>
      <c r="I476" s="31">
        <v>30000000</v>
      </c>
      <c r="J476" s="19" t="s">
        <v>1299</v>
      </c>
      <c r="K476" s="19" t="s">
        <v>1300</v>
      </c>
      <c r="L476" s="3" t="s">
        <v>2245</v>
      </c>
      <c r="M476" s="3" t="s">
        <v>2256</v>
      </c>
      <c r="N476" s="3" t="s">
        <v>2272</v>
      </c>
    </row>
    <row r="477" spans="1:14" x14ac:dyDescent="0.25">
      <c r="A477" s="15" t="s">
        <v>1393</v>
      </c>
      <c r="B477" s="17" t="s">
        <v>2199</v>
      </c>
      <c r="C477" s="6" t="s">
        <v>1238</v>
      </c>
      <c r="D477" s="6" t="s">
        <v>1238</v>
      </c>
      <c r="E477" s="7" t="s">
        <v>1394</v>
      </c>
      <c r="F477" s="20">
        <v>46113</v>
      </c>
      <c r="G477" s="17">
        <v>2</v>
      </c>
      <c r="H477" t="s">
        <v>1303</v>
      </c>
      <c r="I477" s="32">
        <v>250000000</v>
      </c>
      <c r="J477" s="19" t="s">
        <v>1299</v>
      </c>
      <c r="K477" s="6" t="s">
        <v>1300</v>
      </c>
      <c r="L477" s="3" t="s">
        <v>2245</v>
      </c>
      <c r="M477" s="3" t="s">
        <v>2256</v>
      </c>
      <c r="N477" s="3" t="s">
        <v>2272</v>
      </c>
    </row>
    <row r="478" spans="1:14" x14ac:dyDescent="0.25">
      <c r="A478" s="14" t="s">
        <v>1398</v>
      </c>
      <c r="B478" s="16" t="s">
        <v>2199</v>
      </c>
      <c r="C478" s="19" t="s">
        <v>1238</v>
      </c>
      <c r="D478" s="19" t="s">
        <v>1238</v>
      </c>
      <c r="E478" s="10" t="s">
        <v>1399</v>
      </c>
      <c r="F478" s="20">
        <v>46143</v>
      </c>
      <c r="G478" s="16">
        <v>2</v>
      </c>
      <c r="H478" s="11" t="s">
        <v>1175</v>
      </c>
      <c r="I478" s="31">
        <v>6000000</v>
      </c>
      <c r="J478" s="19" t="s">
        <v>1299</v>
      </c>
      <c r="K478" s="19" t="s">
        <v>1300</v>
      </c>
      <c r="L478" s="3" t="s">
        <v>2245</v>
      </c>
      <c r="M478" s="3" t="s">
        <v>2256</v>
      </c>
      <c r="N478" s="3" t="s">
        <v>2272</v>
      </c>
    </row>
    <row r="479" spans="1:14" x14ac:dyDescent="0.25">
      <c r="A479" s="15" t="s">
        <v>1398</v>
      </c>
      <c r="B479" s="17" t="s">
        <v>2199</v>
      </c>
      <c r="C479" s="6" t="s">
        <v>1238</v>
      </c>
      <c r="D479" s="6" t="s">
        <v>1238</v>
      </c>
      <c r="E479" s="7" t="s">
        <v>1399</v>
      </c>
      <c r="F479" s="20">
        <v>46143</v>
      </c>
      <c r="G479" s="17">
        <v>2</v>
      </c>
      <c r="H479" t="s">
        <v>1303</v>
      </c>
      <c r="I479" s="32">
        <v>55000000</v>
      </c>
      <c r="J479" s="19" t="s">
        <v>1299</v>
      </c>
      <c r="K479" s="6" t="s">
        <v>1300</v>
      </c>
      <c r="L479" s="3" t="s">
        <v>2245</v>
      </c>
      <c r="M479" s="3" t="s">
        <v>2256</v>
      </c>
      <c r="N479" s="3" t="s">
        <v>2272</v>
      </c>
    </row>
    <row r="480" spans="1:14" x14ac:dyDescent="0.25">
      <c r="A480" s="14" t="s">
        <v>1673</v>
      </c>
      <c r="B480" s="16" t="s">
        <v>2199</v>
      </c>
      <c r="C480" s="19" t="s">
        <v>1238</v>
      </c>
      <c r="D480" s="19" t="s">
        <v>1238</v>
      </c>
      <c r="E480" s="10" t="s">
        <v>1674</v>
      </c>
      <c r="F480" s="20">
        <v>46113</v>
      </c>
      <c r="G480" s="16">
        <v>2</v>
      </c>
      <c r="H480" s="11" t="s">
        <v>1175</v>
      </c>
      <c r="I480" s="31">
        <v>5731000</v>
      </c>
      <c r="J480" s="19" t="s">
        <v>1299</v>
      </c>
      <c r="K480" s="19" t="s">
        <v>1300</v>
      </c>
      <c r="L480" s="3" t="s">
        <v>2245</v>
      </c>
      <c r="M480" s="3" t="s">
        <v>2256</v>
      </c>
      <c r="N480" s="3" t="s">
        <v>2272</v>
      </c>
    </row>
    <row r="481" spans="1:14" x14ac:dyDescent="0.25">
      <c r="A481" s="15" t="s">
        <v>1673</v>
      </c>
      <c r="B481" s="17" t="s">
        <v>2199</v>
      </c>
      <c r="C481" s="6" t="s">
        <v>1238</v>
      </c>
      <c r="D481" s="6" t="s">
        <v>1238</v>
      </c>
      <c r="E481" s="7" t="s">
        <v>1674</v>
      </c>
      <c r="F481" s="20">
        <v>46113</v>
      </c>
      <c r="G481" s="17">
        <v>2</v>
      </c>
      <c r="H481" t="s">
        <v>1303</v>
      </c>
      <c r="I481" s="32">
        <v>1042000</v>
      </c>
      <c r="J481" s="19" t="s">
        <v>1299</v>
      </c>
      <c r="K481" s="6" t="s">
        <v>1300</v>
      </c>
      <c r="L481" s="3" t="s">
        <v>2245</v>
      </c>
      <c r="M481" s="3" t="s">
        <v>2256</v>
      </c>
      <c r="N481" s="3" t="s">
        <v>2272</v>
      </c>
    </row>
    <row r="482" spans="1:14" x14ac:dyDescent="0.25">
      <c r="A482" s="14" t="s">
        <v>1295</v>
      </c>
      <c r="B482" s="16" t="s">
        <v>2199</v>
      </c>
      <c r="C482" s="19" t="s">
        <v>1238</v>
      </c>
      <c r="D482" s="19" t="s">
        <v>1238</v>
      </c>
      <c r="E482" s="10" t="s">
        <v>1297</v>
      </c>
      <c r="F482" s="20">
        <v>46113</v>
      </c>
      <c r="G482" s="16">
        <v>2</v>
      </c>
      <c r="H482" s="11" t="s">
        <v>1175</v>
      </c>
      <c r="I482" s="31">
        <v>75964000</v>
      </c>
      <c r="J482" s="19" t="s">
        <v>1299</v>
      </c>
      <c r="K482" s="19" t="s">
        <v>1300</v>
      </c>
      <c r="L482" s="3" t="s">
        <v>2245</v>
      </c>
      <c r="M482" s="3" t="s">
        <v>2256</v>
      </c>
      <c r="N482" s="3" t="s">
        <v>2272</v>
      </c>
    </row>
    <row r="483" spans="1:14" x14ac:dyDescent="0.25">
      <c r="A483" s="15" t="s">
        <v>1295</v>
      </c>
      <c r="B483" s="17" t="s">
        <v>2199</v>
      </c>
      <c r="C483" s="6" t="s">
        <v>1238</v>
      </c>
      <c r="D483" s="6" t="s">
        <v>1238</v>
      </c>
      <c r="E483" s="7" t="s">
        <v>1297</v>
      </c>
      <c r="F483" s="20">
        <v>46113</v>
      </c>
      <c r="G483" s="17">
        <v>2</v>
      </c>
      <c r="H483" t="s">
        <v>1303</v>
      </c>
      <c r="I483" s="32">
        <v>66699000</v>
      </c>
      <c r="J483" s="19" t="s">
        <v>1299</v>
      </c>
      <c r="K483" s="6" t="s">
        <v>1300</v>
      </c>
      <c r="L483" s="3" t="s">
        <v>2245</v>
      </c>
      <c r="M483" s="3" t="s">
        <v>2256</v>
      </c>
      <c r="N483" s="3" t="s">
        <v>2272</v>
      </c>
    </row>
    <row r="484" spans="1:14" x14ac:dyDescent="0.25">
      <c r="A484" s="14" t="s">
        <v>1349</v>
      </c>
      <c r="B484" s="16" t="s">
        <v>2199</v>
      </c>
      <c r="C484" s="19" t="s">
        <v>1238</v>
      </c>
      <c r="D484" s="19" t="s">
        <v>1238</v>
      </c>
      <c r="E484" s="10" t="s">
        <v>1350</v>
      </c>
      <c r="F484" s="20">
        <v>46113</v>
      </c>
      <c r="G484" s="16">
        <v>2</v>
      </c>
      <c r="H484" s="11" t="s">
        <v>1175</v>
      </c>
      <c r="I484" s="31">
        <v>10000000</v>
      </c>
      <c r="J484" s="19" t="s">
        <v>1299</v>
      </c>
      <c r="K484" s="19" t="s">
        <v>1300</v>
      </c>
      <c r="L484" s="3" t="s">
        <v>2245</v>
      </c>
      <c r="M484" s="3" t="s">
        <v>2256</v>
      </c>
      <c r="N484" s="3" t="s">
        <v>2272</v>
      </c>
    </row>
    <row r="485" spans="1:14" x14ac:dyDescent="0.25">
      <c r="A485" s="15" t="s">
        <v>1349</v>
      </c>
      <c r="B485" s="17" t="s">
        <v>2199</v>
      </c>
      <c r="C485" s="6" t="s">
        <v>1238</v>
      </c>
      <c r="D485" s="6" t="s">
        <v>1238</v>
      </c>
      <c r="E485" s="7" t="s">
        <v>1350</v>
      </c>
      <c r="F485" s="20">
        <v>46113</v>
      </c>
      <c r="G485" s="17">
        <v>2</v>
      </c>
      <c r="H485" t="s">
        <v>1303</v>
      </c>
      <c r="I485" s="32">
        <v>200000000</v>
      </c>
      <c r="J485" s="19" t="s">
        <v>1299</v>
      </c>
      <c r="K485" s="6" t="s">
        <v>1300</v>
      </c>
      <c r="L485" s="3" t="s">
        <v>2245</v>
      </c>
      <c r="M485" s="3" t="s">
        <v>2256</v>
      </c>
      <c r="N485" s="3" t="s">
        <v>2272</v>
      </c>
    </row>
    <row r="486" spans="1:14" x14ac:dyDescent="0.25">
      <c r="A486" s="14" t="s">
        <v>1352</v>
      </c>
      <c r="B486" s="16" t="s">
        <v>2199</v>
      </c>
      <c r="C486" s="19" t="s">
        <v>1238</v>
      </c>
      <c r="D486" s="19" t="s">
        <v>1238</v>
      </c>
      <c r="E486" s="10" t="s">
        <v>1353</v>
      </c>
      <c r="F486" s="20">
        <v>46204</v>
      </c>
      <c r="G486" s="16">
        <v>2</v>
      </c>
      <c r="H486" s="11" t="s">
        <v>1175</v>
      </c>
      <c r="I486" s="31">
        <v>86892000</v>
      </c>
      <c r="J486" s="19" t="s">
        <v>1299</v>
      </c>
      <c r="K486" s="19" t="s">
        <v>1300</v>
      </c>
      <c r="L486" s="3" t="s">
        <v>2245</v>
      </c>
      <c r="M486" s="3" t="s">
        <v>2256</v>
      </c>
      <c r="N486" s="3" t="s">
        <v>2272</v>
      </c>
    </row>
    <row r="487" spans="1:14" x14ac:dyDescent="0.25">
      <c r="A487" s="15" t="s">
        <v>1352</v>
      </c>
      <c r="B487" s="17" t="s">
        <v>2199</v>
      </c>
      <c r="C487" s="6" t="s">
        <v>1238</v>
      </c>
      <c r="D487" s="6" t="s">
        <v>1238</v>
      </c>
      <c r="E487" s="7" t="s">
        <v>1353</v>
      </c>
      <c r="F487" s="20">
        <v>46204</v>
      </c>
      <c r="G487" s="17">
        <v>2</v>
      </c>
      <c r="H487" t="s">
        <v>1303</v>
      </c>
      <c r="I487" s="32">
        <v>42183000</v>
      </c>
      <c r="J487" s="19" t="s">
        <v>1299</v>
      </c>
      <c r="K487" s="6" t="s">
        <v>1300</v>
      </c>
      <c r="L487" s="3" t="s">
        <v>2245</v>
      </c>
      <c r="M487" s="3" t="s">
        <v>2256</v>
      </c>
      <c r="N487" s="3" t="s">
        <v>2272</v>
      </c>
    </row>
    <row r="488" spans="1:14" x14ac:dyDescent="0.25">
      <c r="A488" s="14" t="s">
        <v>1355</v>
      </c>
      <c r="B488" s="16" t="s">
        <v>2199</v>
      </c>
      <c r="C488" s="19" t="s">
        <v>594</v>
      </c>
      <c r="D488" s="19" t="s">
        <v>594</v>
      </c>
      <c r="E488" s="10" t="s">
        <v>1356</v>
      </c>
      <c r="F488" s="20">
        <v>46204</v>
      </c>
      <c r="G488" s="16">
        <v>2</v>
      </c>
      <c r="H488" s="11" t="s">
        <v>1175</v>
      </c>
      <c r="I488" s="31">
        <v>9566000</v>
      </c>
      <c r="J488" s="19" t="s">
        <v>1299</v>
      </c>
      <c r="K488" s="19" t="s">
        <v>1300</v>
      </c>
      <c r="L488" s="3" t="s">
        <v>2245</v>
      </c>
      <c r="M488" s="3" t="s">
        <v>2256</v>
      </c>
      <c r="N488" s="3" t="s">
        <v>2272</v>
      </c>
    </row>
    <row r="489" spans="1:14" x14ac:dyDescent="0.25">
      <c r="A489" s="15" t="s">
        <v>1355</v>
      </c>
      <c r="B489" s="17" t="s">
        <v>2199</v>
      </c>
      <c r="C489" s="6" t="s">
        <v>594</v>
      </c>
      <c r="D489" s="6" t="s">
        <v>594</v>
      </c>
      <c r="E489" s="7" t="s">
        <v>1356</v>
      </c>
      <c r="F489" s="20">
        <v>46204</v>
      </c>
      <c r="G489" s="17">
        <v>2</v>
      </c>
      <c r="H489" t="s">
        <v>1303</v>
      </c>
      <c r="I489" s="32">
        <v>7621000</v>
      </c>
      <c r="J489" s="19" t="s">
        <v>1299</v>
      </c>
      <c r="K489" s="6" t="s">
        <v>1300</v>
      </c>
      <c r="L489" s="3" t="s">
        <v>2245</v>
      </c>
      <c r="M489" s="3" t="s">
        <v>2256</v>
      </c>
      <c r="N489" s="3" t="s">
        <v>2272</v>
      </c>
    </row>
    <row r="490" spans="1:14" x14ac:dyDescent="0.25">
      <c r="A490" s="14" t="s">
        <v>1357</v>
      </c>
      <c r="B490" s="16" t="s">
        <v>2199</v>
      </c>
      <c r="C490" s="19" t="s">
        <v>594</v>
      </c>
      <c r="D490" s="19" t="s">
        <v>594</v>
      </c>
      <c r="E490" s="10" t="s">
        <v>1358</v>
      </c>
      <c r="F490" s="20">
        <v>46174</v>
      </c>
      <c r="G490" s="16">
        <v>2</v>
      </c>
      <c r="H490" s="11" t="s">
        <v>1175</v>
      </c>
      <c r="I490" s="31">
        <v>97703000</v>
      </c>
      <c r="J490" s="19" t="s">
        <v>1299</v>
      </c>
      <c r="K490" s="19" t="s">
        <v>1300</v>
      </c>
      <c r="L490" s="3" t="s">
        <v>2245</v>
      </c>
      <c r="M490" s="3" t="s">
        <v>2256</v>
      </c>
      <c r="N490" s="3" t="s">
        <v>2272</v>
      </c>
    </row>
    <row r="491" spans="1:14" x14ac:dyDescent="0.25">
      <c r="A491" s="15" t="s">
        <v>1357</v>
      </c>
      <c r="B491" s="17" t="s">
        <v>2199</v>
      </c>
      <c r="C491" s="6" t="s">
        <v>594</v>
      </c>
      <c r="D491" s="6" t="s">
        <v>594</v>
      </c>
      <c r="E491" s="7" t="s">
        <v>1358</v>
      </c>
      <c r="F491" s="20">
        <v>46174</v>
      </c>
      <c r="G491" s="17">
        <v>2</v>
      </c>
      <c r="H491" t="s">
        <v>1303</v>
      </c>
      <c r="I491" s="32">
        <v>196076000</v>
      </c>
      <c r="J491" s="19" t="s">
        <v>1299</v>
      </c>
      <c r="K491" s="6" t="s">
        <v>1300</v>
      </c>
      <c r="L491" s="3" t="s">
        <v>2245</v>
      </c>
      <c r="M491" s="3" t="s">
        <v>2256</v>
      </c>
      <c r="N491" s="3" t="s">
        <v>2272</v>
      </c>
    </row>
    <row r="492" spans="1:14" x14ac:dyDescent="0.25">
      <c r="A492" s="14" t="s">
        <v>1363</v>
      </c>
      <c r="B492" s="16" t="s">
        <v>2199</v>
      </c>
      <c r="C492" s="19" t="s">
        <v>594</v>
      </c>
      <c r="D492" s="19" t="s">
        <v>594</v>
      </c>
      <c r="E492" s="10" t="s">
        <v>1364</v>
      </c>
      <c r="F492" s="20">
        <v>46143</v>
      </c>
      <c r="G492" s="16">
        <v>2</v>
      </c>
      <c r="H492" s="11" t="s">
        <v>1175</v>
      </c>
      <c r="I492" s="31">
        <v>44778000</v>
      </c>
      <c r="J492" s="19" t="s">
        <v>1299</v>
      </c>
      <c r="K492" s="19" t="s">
        <v>1300</v>
      </c>
      <c r="L492" s="3" t="s">
        <v>2245</v>
      </c>
      <c r="M492" s="3" t="s">
        <v>2256</v>
      </c>
      <c r="N492" s="3" t="s">
        <v>2272</v>
      </c>
    </row>
    <row r="493" spans="1:14" x14ac:dyDescent="0.25">
      <c r="A493" s="15" t="s">
        <v>1363</v>
      </c>
      <c r="B493" s="17" t="s">
        <v>2199</v>
      </c>
      <c r="C493" s="6" t="s">
        <v>594</v>
      </c>
      <c r="D493" s="6" t="s">
        <v>594</v>
      </c>
      <c r="E493" s="7" t="s">
        <v>1364</v>
      </c>
      <c r="F493" s="20">
        <v>46143</v>
      </c>
      <c r="G493" s="17">
        <v>2</v>
      </c>
      <c r="H493" t="s">
        <v>1303</v>
      </c>
      <c r="I493" s="32">
        <v>57632000</v>
      </c>
      <c r="J493" s="19" t="s">
        <v>1299</v>
      </c>
      <c r="K493" s="6" t="s">
        <v>1300</v>
      </c>
      <c r="L493" s="3" t="s">
        <v>2245</v>
      </c>
      <c r="M493" s="3" t="s">
        <v>2256</v>
      </c>
      <c r="N493" s="3" t="s">
        <v>2272</v>
      </c>
    </row>
    <row r="494" spans="1:14" x14ac:dyDescent="0.25">
      <c r="A494" s="14" t="s">
        <v>1382</v>
      </c>
      <c r="B494" s="16" t="s">
        <v>2199</v>
      </c>
      <c r="C494" s="19" t="s">
        <v>594</v>
      </c>
      <c r="D494" s="19" t="s">
        <v>594</v>
      </c>
      <c r="E494" s="10" t="s">
        <v>1383</v>
      </c>
      <c r="F494" s="20">
        <v>46113</v>
      </c>
      <c r="G494" s="16">
        <v>1</v>
      </c>
      <c r="H494" s="11" t="s">
        <v>1175</v>
      </c>
      <c r="I494" s="31">
        <v>6442000</v>
      </c>
      <c r="J494" s="19" t="s">
        <v>1299</v>
      </c>
      <c r="K494" s="19" t="s">
        <v>1300</v>
      </c>
      <c r="L494" s="3" t="s">
        <v>2245</v>
      </c>
      <c r="M494" s="3" t="s">
        <v>2256</v>
      </c>
      <c r="N494" s="3" t="s">
        <v>2272</v>
      </c>
    </row>
    <row r="495" spans="1:14" x14ac:dyDescent="0.25">
      <c r="A495" s="15" t="s">
        <v>1401</v>
      </c>
      <c r="B495" s="17" t="s">
        <v>2199</v>
      </c>
      <c r="C495" s="6" t="s">
        <v>594</v>
      </c>
      <c r="D495" s="6" t="s">
        <v>594</v>
      </c>
      <c r="E495" s="7" t="s">
        <v>1402</v>
      </c>
      <c r="F495" s="20">
        <v>46143</v>
      </c>
      <c r="G495" s="17">
        <v>2</v>
      </c>
      <c r="H495" t="s">
        <v>1175</v>
      </c>
      <c r="I495" s="32">
        <v>40289000</v>
      </c>
      <c r="J495" s="19" t="s">
        <v>1299</v>
      </c>
      <c r="K495" s="6" t="s">
        <v>1300</v>
      </c>
      <c r="L495" s="3" t="s">
        <v>2245</v>
      </c>
      <c r="M495" s="3" t="s">
        <v>2256</v>
      </c>
      <c r="N495" s="3" t="s">
        <v>2272</v>
      </c>
    </row>
    <row r="496" spans="1:14" x14ac:dyDescent="0.25">
      <c r="A496" s="14" t="s">
        <v>1401</v>
      </c>
      <c r="B496" s="16" t="s">
        <v>2199</v>
      </c>
      <c r="C496" s="19" t="s">
        <v>594</v>
      </c>
      <c r="D496" s="19" t="s">
        <v>594</v>
      </c>
      <c r="E496" s="10" t="s">
        <v>1402</v>
      </c>
      <c r="F496" s="20">
        <v>46143</v>
      </c>
      <c r="G496" s="16">
        <v>2</v>
      </c>
      <c r="H496" s="11" t="s">
        <v>1303</v>
      </c>
      <c r="I496" s="31">
        <v>316236000</v>
      </c>
      <c r="J496" s="19" t="s">
        <v>1299</v>
      </c>
      <c r="K496" s="19" t="s">
        <v>1300</v>
      </c>
      <c r="L496" s="3" t="s">
        <v>2245</v>
      </c>
      <c r="M496" s="3" t="s">
        <v>2256</v>
      </c>
      <c r="N496" s="3" t="s">
        <v>2272</v>
      </c>
    </row>
    <row r="497" spans="1:14" x14ac:dyDescent="0.25">
      <c r="A497" s="15" t="s">
        <v>355</v>
      </c>
      <c r="B497" s="17" t="s">
        <v>2196</v>
      </c>
      <c r="C497" s="17" t="s">
        <v>2196</v>
      </c>
      <c r="D497" s="6" t="s">
        <v>28</v>
      </c>
      <c r="E497" s="7" t="s">
        <v>357</v>
      </c>
      <c r="F497" s="20">
        <v>45870</v>
      </c>
      <c r="G497" s="17">
        <v>1</v>
      </c>
      <c r="H497" t="s">
        <v>359</v>
      </c>
      <c r="I497" s="32">
        <v>30250000</v>
      </c>
      <c r="J497" s="19" t="s">
        <v>360</v>
      </c>
      <c r="K497" s="6" t="s">
        <v>361</v>
      </c>
      <c r="L497" s="3" t="s">
        <v>2279</v>
      </c>
      <c r="M497" s="53" t="s">
        <v>2234</v>
      </c>
      <c r="N497" s="3" t="s">
        <v>2258</v>
      </c>
    </row>
    <row r="498" spans="1:14" x14ac:dyDescent="0.25">
      <c r="A498" s="14" t="s">
        <v>405</v>
      </c>
      <c r="B498" s="16" t="s">
        <v>2196</v>
      </c>
      <c r="C498" s="16" t="s">
        <v>2196</v>
      </c>
      <c r="D498" s="19" t="s">
        <v>28</v>
      </c>
      <c r="E498" s="10" t="s">
        <v>406</v>
      </c>
      <c r="F498" s="20">
        <v>45870</v>
      </c>
      <c r="G498" s="16">
        <v>1</v>
      </c>
      <c r="H498" s="11" t="s">
        <v>326</v>
      </c>
      <c r="I498" s="31">
        <v>23833337</v>
      </c>
      <c r="J498" s="19" t="s">
        <v>360</v>
      </c>
      <c r="K498" s="19" t="s">
        <v>361</v>
      </c>
      <c r="L498" s="3" t="s">
        <v>2279</v>
      </c>
      <c r="M498" s="53" t="s">
        <v>2234</v>
      </c>
      <c r="N498" s="3" t="s">
        <v>2258</v>
      </c>
    </row>
    <row r="499" spans="1:14" x14ac:dyDescent="0.25">
      <c r="A499" s="15" t="s">
        <v>438</v>
      </c>
      <c r="B499" s="17" t="s">
        <v>2196</v>
      </c>
      <c r="C499" s="17" t="s">
        <v>2196</v>
      </c>
      <c r="D499" s="6" t="s">
        <v>28</v>
      </c>
      <c r="E499" s="7" t="s">
        <v>440</v>
      </c>
      <c r="F499" s="20">
        <v>45870</v>
      </c>
      <c r="G499" s="17">
        <v>2</v>
      </c>
      <c r="H499" t="s">
        <v>442</v>
      </c>
      <c r="I499" s="32">
        <v>3503500</v>
      </c>
      <c r="J499" s="19" t="s">
        <v>360</v>
      </c>
      <c r="K499" s="6" t="s">
        <v>361</v>
      </c>
      <c r="L499" s="3" t="s">
        <v>2279</v>
      </c>
      <c r="M499" s="53" t="s">
        <v>2234</v>
      </c>
      <c r="N499" s="3" t="s">
        <v>2258</v>
      </c>
    </row>
    <row r="500" spans="1:14" x14ac:dyDescent="0.25">
      <c r="A500" s="14" t="s">
        <v>438</v>
      </c>
      <c r="B500" s="16" t="s">
        <v>2196</v>
      </c>
      <c r="C500" s="16" t="s">
        <v>2196</v>
      </c>
      <c r="D500" s="19" t="s">
        <v>28</v>
      </c>
      <c r="E500" s="10" t="s">
        <v>440</v>
      </c>
      <c r="F500" s="20">
        <v>45870</v>
      </c>
      <c r="G500" s="16">
        <v>2</v>
      </c>
      <c r="H500" s="11" t="s">
        <v>443</v>
      </c>
      <c r="I500" s="31">
        <v>2914000</v>
      </c>
      <c r="J500" s="19" t="s">
        <v>360</v>
      </c>
      <c r="K500" s="19" t="s">
        <v>361</v>
      </c>
      <c r="L500" s="3" t="s">
        <v>2279</v>
      </c>
      <c r="M500" s="53" t="s">
        <v>2234</v>
      </c>
      <c r="N500" s="3" t="s">
        <v>2258</v>
      </c>
    </row>
    <row r="501" spans="1:14" x14ac:dyDescent="0.25">
      <c r="A501" s="15" t="s">
        <v>1675</v>
      </c>
      <c r="B501" s="17" t="s">
        <v>2199</v>
      </c>
      <c r="C501" s="6" t="s">
        <v>28</v>
      </c>
      <c r="D501" s="6" t="s">
        <v>28</v>
      </c>
      <c r="E501" s="7" t="s">
        <v>1658</v>
      </c>
      <c r="F501" s="20">
        <v>46174</v>
      </c>
      <c r="G501" s="17">
        <v>2</v>
      </c>
      <c r="H501" t="s">
        <v>1617</v>
      </c>
      <c r="I501" s="32">
        <v>1302600</v>
      </c>
      <c r="J501" s="19" t="s">
        <v>1660</v>
      </c>
      <c r="K501" s="6" t="s">
        <v>1661</v>
      </c>
      <c r="L501" s="3" t="s">
        <v>2222</v>
      </c>
      <c r="M501" s="3" t="s">
        <v>2234</v>
      </c>
      <c r="N501" s="3" t="s">
        <v>2260</v>
      </c>
    </row>
    <row r="502" spans="1:14" x14ac:dyDescent="0.25">
      <c r="A502" s="14" t="s">
        <v>1675</v>
      </c>
      <c r="B502" s="16" t="s">
        <v>2199</v>
      </c>
      <c r="C502" s="19" t="s">
        <v>28</v>
      </c>
      <c r="D502" s="19" t="s">
        <v>28</v>
      </c>
      <c r="E502" s="10" t="s">
        <v>1658</v>
      </c>
      <c r="F502" s="20">
        <v>46174</v>
      </c>
      <c r="G502" s="16">
        <v>2</v>
      </c>
      <c r="H502" s="11" t="s">
        <v>1678</v>
      </c>
      <c r="I502" s="31">
        <v>1200000</v>
      </c>
      <c r="J502" s="19" t="s">
        <v>1660</v>
      </c>
      <c r="K502" s="19" t="s">
        <v>1661</v>
      </c>
      <c r="L502" s="3" t="s">
        <v>2222</v>
      </c>
      <c r="M502" s="3" t="s">
        <v>2234</v>
      </c>
      <c r="N502" s="3" t="s">
        <v>2260</v>
      </c>
    </row>
    <row r="503" spans="1:14" x14ac:dyDescent="0.25">
      <c r="A503" s="15" t="s">
        <v>1699</v>
      </c>
      <c r="B503" s="17" t="s">
        <v>2199</v>
      </c>
      <c r="C503" s="6" t="s">
        <v>28</v>
      </c>
      <c r="D503" s="6" t="s">
        <v>28</v>
      </c>
      <c r="E503" s="7" t="s">
        <v>1658</v>
      </c>
      <c r="F503" s="20">
        <v>46174</v>
      </c>
      <c r="G503" s="17">
        <v>1</v>
      </c>
      <c r="H503" t="s">
        <v>486</v>
      </c>
      <c r="I503" s="32">
        <v>500115</v>
      </c>
      <c r="J503" s="19" t="s">
        <v>1660</v>
      </c>
      <c r="K503" s="6" t="s">
        <v>1661</v>
      </c>
      <c r="L503" s="3" t="s">
        <v>2222</v>
      </c>
      <c r="M503" s="3" t="s">
        <v>2234</v>
      </c>
      <c r="N503" s="3" t="s">
        <v>2260</v>
      </c>
    </row>
    <row r="504" spans="1:14" x14ac:dyDescent="0.25">
      <c r="A504" s="14" t="s">
        <v>1976</v>
      </c>
      <c r="B504" s="16" t="s">
        <v>2199</v>
      </c>
      <c r="C504" s="19" t="s">
        <v>28</v>
      </c>
      <c r="D504" s="19" t="s">
        <v>28</v>
      </c>
      <c r="E504" s="10" t="s">
        <v>1977</v>
      </c>
      <c r="F504" s="20">
        <v>46113</v>
      </c>
      <c r="G504" s="16">
        <v>1</v>
      </c>
      <c r="H504" s="11" t="s">
        <v>1979</v>
      </c>
      <c r="I504" s="31">
        <v>15984280</v>
      </c>
      <c r="J504" s="19" t="s">
        <v>1660</v>
      </c>
      <c r="K504" s="19" t="s">
        <v>1980</v>
      </c>
      <c r="L504" s="3" t="s">
        <v>2222</v>
      </c>
      <c r="M504" s="3" t="s">
        <v>2234</v>
      </c>
      <c r="N504" s="3" t="s">
        <v>2260</v>
      </c>
    </row>
    <row r="505" spans="1:14" x14ac:dyDescent="0.25">
      <c r="A505" s="15" t="s">
        <v>1657</v>
      </c>
      <c r="B505" s="17" t="s">
        <v>2199</v>
      </c>
      <c r="C505" s="6" t="s">
        <v>374</v>
      </c>
      <c r="D505" s="6" t="s">
        <v>374</v>
      </c>
      <c r="E505" s="7" t="s">
        <v>1658</v>
      </c>
      <c r="F505" s="20">
        <v>46235</v>
      </c>
      <c r="G505" s="17">
        <v>6</v>
      </c>
      <c r="H505" t="s">
        <v>359</v>
      </c>
      <c r="I505" s="32">
        <v>6370016</v>
      </c>
      <c r="J505" s="19" t="s">
        <v>1660</v>
      </c>
      <c r="K505" s="6" t="s">
        <v>1661</v>
      </c>
      <c r="L505" s="3" t="s">
        <v>2222</v>
      </c>
      <c r="M505" s="3" t="s">
        <v>2234</v>
      </c>
      <c r="N505" s="3" t="s">
        <v>2260</v>
      </c>
    </row>
    <row r="506" spans="1:14" x14ac:dyDescent="0.25">
      <c r="A506" s="14" t="s">
        <v>1657</v>
      </c>
      <c r="B506" s="16" t="s">
        <v>2199</v>
      </c>
      <c r="C506" s="19" t="s">
        <v>374</v>
      </c>
      <c r="D506" s="19" t="s">
        <v>374</v>
      </c>
      <c r="E506" s="10" t="s">
        <v>1658</v>
      </c>
      <c r="F506" s="20">
        <v>46235</v>
      </c>
      <c r="G506" s="16">
        <v>6</v>
      </c>
      <c r="H506" s="11" t="s">
        <v>1664</v>
      </c>
      <c r="I506" s="31">
        <v>1200000</v>
      </c>
      <c r="J506" s="19" t="s">
        <v>1660</v>
      </c>
      <c r="K506" s="19" t="s">
        <v>1661</v>
      </c>
      <c r="L506" s="3" t="s">
        <v>2222</v>
      </c>
      <c r="M506" s="3" t="s">
        <v>2234</v>
      </c>
      <c r="N506" s="3" t="s">
        <v>2260</v>
      </c>
    </row>
    <row r="507" spans="1:14" x14ac:dyDescent="0.25">
      <c r="A507" s="15" t="s">
        <v>1657</v>
      </c>
      <c r="B507" s="17" t="s">
        <v>2199</v>
      </c>
      <c r="C507" s="6" t="s">
        <v>374</v>
      </c>
      <c r="D507" s="6" t="s">
        <v>374</v>
      </c>
      <c r="E507" s="7" t="s">
        <v>1658</v>
      </c>
      <c r="F507" s="20">
        <v>46235</v>
      </c>
      <c r="G507" s="17">
        <v>6</v>
      </c>
      <c r="H507" t="s">
        <v>1666</v>
      </c>
      <c r="I507" s="32">
        <v>2500000</v>
      </c>
      <c r="J507" s="19" t="s">
        <v>1660</v>
      </c>
      <c r="K507" s="6" t="s">
        <v>1661</v>
      </c>
      <c r="L507" s="3" t="s">
        <v>2222</v>
      </c>
      <c r="M507" s="3" t="s">
        <v>2234</v>
      </c>
      <c r="N507" s="3" t="s">
        <v>2260</v>
      </c>
    </row>
    <row r="508" spans="1:14" x14ac:dyDescent="0.25">
      <c r="A508" s="14" t="s">
        <v>1657</v>
      </c>
      <c r="B508" s="16" t="s">
        <v>2199</v>
      </c>
      <c r="C508" s="19" t="s">
        <v>374</v>
      </c>
      <c r="D508" s="19" t="s">
        <v>374</v>
      </c>
      <c r="E508" s="10" t="s">
        <v>1658</v>
      </c>
      <c r="F508" s="20">
        <v>46235</v>
      </c>
      <c r="G508" s="16">
        <v>6</v>
      </c>
      <c r="H508" s="11" t="s">
        <v>855</v>
      </c>
      <c r="I508" s="31">
        <v>40002</v>
      </c>
      <c r="J508" s="19" t="s">
        <v>1660</v>
      </c>
      <c r="K508" s="19" t="s">
        <v>1661</v>
      </c>
      <c r="L508" s="3" t="s">
        <v>2222</v>
      </c>
      <c r="M508" s="3" t="s">
        <v>2234</v>
      </c>
      <c r="N508" s="3" t="s">
        <v>2260</v>
      </c>
    </row>
    <row r="509" spans="1:14" x14ac:dyDescent="0.25">
      <c r="A509" s="15" t="s">
        <v>1657</v>
      </c>
      <c r="B509" s="17" t="s">
        <v>2199</v>
      </c>
      <c r="C509" s="6" t="s">
        <v>374</v>
      </c>
      <c r="D509" s="6" t="s">
        <v>374</v>
      </c>
      <c r="E509" s="7" t="s">
        <v>1658</v>
      </c>
      <c r="F509" s="20">
        <v>46235</v>
      </c>
      <c r="G509" s="17">
        <v>6</v>
      </c>
      <c r="H509" t="s">
        <v>1665</v>
      </c>
      <c r="I509" s="32">
        <v>4000000</v>
      </c>
      <c r="J509" s="19" t="s">
        <v>1660</v>
      </c>
      <c r="K509" s="6" t="s">
        <v>1661</v>
      </c>
      <c r="L509" s="3" t="s">
        <v>2222</v>
      </c>
      <c r="M509" s="3" t="s">
        <v>2234</v>
      </c>
      <c r="N509" s="3" t="s">
        <v>2260</v>
      </c>
    </row>
    <row r="510" spans="1:14" x14ac:dyDescent="0.25">
      <c r="A510" s="14" t="s">
        <v>1657</v>
      </c>
      <c r="B510" s="16" t="s">
        <v>2199</v>
      </c>
      <c r="C510" s="19" t="s">
        <v>374</v>
      </c>
      <c r="D510" s="19" t="s">
        <v>374</v>
      </c>
      <c r="E510" s="10" t="s">
        <v>1658</v>
      </c>
      <c r="F510" s="20">
        <v>46235</v>
      </c>
      <c r="G510" s="16">
        <v>6</v>
      </c>
      <c r="H510" s="11" t="s">
        <v>602</v>
      </c>
      <c r="I510" s="31">
        <v>4600000</v>
      </c>
      <c r="J510" s="19" t="s">
        <v>1660</v>
      </c>
      <c r="K510" s="19" t="s">
        <v>1661</v>
      </c>
      <c r="L510" s="3" t="s">
        <v>2222</v>
      </c>
      <c r="M510" s="3" t="s">
        <v>2234</v>
      </c>
      <c r="N510" s="3" t="s">
        <v>2260</v>
      </c>
    </row>
    <row r="511" spans="1:14" x14ac:dyDescent="0.25">
      <c r="A511" s="15" t="s">
        <v>1802</v>
      </c>
      <c r="B511" s="17" t="s">
        <v>2199</v>
      </c>
      <c r="C511" s="6" t="s">
        <v>28</v>
      </c>
      <c r="D511" s="6" t="s">
        <v>28</v>
      </c>
      <c r="E511" s="7" t="s">
        <v>1803</v>
      </c>
      <c r="F511" s="20">
        <v>46054</v>
      </c>
      <c r="G511" s="17">
        <v>1</v>
      </c>
      <c r="H511" t="s">
        <v>486</v>
      </c>
      <c r="I511" s="32">
        <v>600000</v>
      </c>
      <c r="J511" s="19" t="s">
        <v>1805</v>
      </c>
      <c r="K511" s="6" t="s">
        <v>523</v>
      </c>
      <c r="L511" s="3" t="s">
        <v>2221</v>
      </c>
      <c r="M511" s="3" t="s">
        <v>2234</v>
      </c>
      <c r="N511" s="3" t="s">
        <v>2259</v>
      </c>
    </row>
    <row r="512" spans="1:14" x14ac:dyDescent="0.25">
      <c r="A512" s="14" t="s">
        <v>1824</v>
      </c>
      <c r="B512" s="16" t="s">
        <v>2199</v>
      </c>
      <c r="C512" s="19" t="s">
        <v>28</v>
      </c>
      <c r="D512" s="19" t="s">
        <v>28</v>
      </c>
      <c r="E512" s="10" t="s">
        <v>1825</v>
      </c>
      <c r="F512" s="20">
        <v>46113</v>
      </c>
      <c r="G512" s="16">
        <v>1</v>
      </c>
      <c r="H512" s="11" t="s">
        <v>602</v>
      </c>
      <c r="I512" s="31">
        <v>420000</v>
      </c>
      <c r="J512" s="19" t="s">
        <v>1805</v>
      </c>
      <c r="K512" s="19" t="s">
        <v>523</v>
      </c>
      <c r="L512" s="3" t="s">
        <v>2221</v>
      </c>
      <c r="M512" s="3" t="s">
        <v>2234</v>
      </c>
      <c r="N512" s="3" t="s">
        <v>2259</v>
      </c>
    </row>
    <row r="513" spans="1:14" x14ac:dyDescent="0.25">
      <c r="A513" s="15" t="s">
        <v>517</v>
      </c>
      <c r="B513" s="17" t="s">
        <v>2196</v>
      </c>
      <c r="C513" s="17" t="s">
        <v>2196</v>
      </c>
      <c r="D513" s="6" t="s">
        <v>28</v>
      </c>
      <c r="E513" s="7" t="s">
        <v>518</v>
      </c>
      <c r="F513" s="20">
        <v>45870</v>
      </c>
      <c r="G513" s="17">
        <v>1</v>
      </c>
      <c r="H513" t="s">
        <v>520</v>
      </c>
      <c r="I513" s="32">
        <v>10192001</v>
      </c>
      <c r="J513" s="19" t="s">
        <v>522</v>
      </c>
      <c r="K513" s="6" t="s">
        <v>523</v>
      </c>
      <c r="L513" s="3" t="s">
        <v>2221</v>
      </c>
      <c r="M513" s="3" t="s">
        <v>2234</v>
      </c>
      <c r="N513" s="3" t="s">
        <v>2259</v>
      </c>
    </row>
    <row r="514" spans="1:14" x14ac:dyDescent="0.25">
      <c r="A514" s="14" t="s">
        <v>1718</v>
      </c>
      <c r="B514" s="16" t="s">
        <v>2199</v>
      </c>
      <c r="C514" s="19" t="s">
        <v>28</v>
      </c>
      <c r="D514" s="19" t="s">
        <v>28</v>
      </c>
      <c r="E514" s="10" t="s">
        <v>1719</v>
      </c>
      <c r="F514" s="20">
        <v>46174</v>
      </c>
      <c r="G514" s="16">
        <v>1</v>
      </c>
      <c r="H514" s="11" t="s">
        <v>1721</v>
      </c>
      <c r="I514" s="31">
        <v>0</v>
      </c>
      <c r="J514" s="19" t="s">
        <v>1723</v>
      </c>
      <c r="K514" s="19" t="s">
        <v>154</v>
      </c>
      <c r="L514" s="3" t="s">
        <v>2221</v>
      </c>
      <c r="M514" s="3" t="s">
        <v>2234</v>
      </c>
      <c r="N514" s="3" t="s">
        <v>2259</v>
      </c>
    </row>
    <row r="515" spans="1:14" x14ac:dyDescent="0.25">
      <c r="A515" s="15" t="s">
        <v>1738</v>
      </c>
      <c r="B515" s="17" t="s">
        <v>2199</v>
      </c>
      <c r="C515" s="6" t="s">
        <v>28</v>
      </c>
      <c r="D515" s="6" t="s">
        <v>28</v>
      </c>
      <c r="E515" s="7" t="s">
        <v>1739</v>
      </c>
      <c r="F515" s="20">
        <v>46113</v>
      </c>
      <c r="G515" s="17">
        <v>1</v>
      </c>
      <c r="H515" t="s">
        <v>602</v>
      </c>
      <c r="I515" s="32">
        <v>500000</v>
      </c>
      <c r="J515" s="19" t="s">
        <v>1723</v>
      </c>
      <c r="K515" s="6" t="s">
        <v>154</v>
      </c>
      <c r="L515" s="3" t="s">
        <v>2221</v>
      </c>
      <c r="M515" s="3" t="s">
        <v>2234</v>
      </c>
      <c r="N515" s="3" t="s">
        <v>2259</v>
      </c>
    </row>
    <row r="516" spans="1:14" x14ac:dyDescent="0.25">
      <c r="A516" s="14" t="s">
        <v>1818</v>
      </c>
      <c r="B516" s="16" t="s">
        <v>2199</v>
      </c>
      <c r="C516" s="19" t="s">
        <v>28</v>
      </c>
      <c r="D516" s="19" t="s">
        <v>28</v>
      </c>
      <c r="E516" s="10" t="s">
        <v>1819</v>
      </c>
      <c r="F516" s="20">
        <v>46174</v>
      </c>
      <c r="G516" s="16">
        <v>1</v>
      </c>
      <c r="H516" s="11" t="s">
        <v>1174</v>
      </c>
      <c r="I516" s="31">
        <v>700000</v>
      </c>
      <c r="J516" s="19" t="s">
        <v>1723</v>
      </c>
      <c r="K516" s="19" t="s">
        <v>154</v>
      </c>
      <c r="L516" s="3" t="s">
        <v>2221</v>
      </c>
      <c r="M516" s="3" t="s">
        <v>2234</v>
      </c>
      <c r="N516" s="3" t="s">
        <v>2259</v>
      </c>
    </row>
    <row r="517" spans="1:14" x14ac:dyDescent="0.25">
      <c r="A517" s="15" t="s">
        <v>1821</v>
      </c>
      <c r="B517" s="17" t="s">
        <v>2199</v>
      </c>
      <c r="C517" s="6" t="s">
        <v>28</v>
      </c>
      <c r="D517" s="6" t="s">
        <v>28</v>
      </c>
      <c r="E517" s="7" t="s">
        <v>1822</v>
      </c>
      <c r="F517" s="20">
        <v>46113</v>
      </c>
      <c r="G517" s="17">
        <v>1</v>
      </c>
      <c r="H517" t="s">
        <v>777</v>
      </c>
      <c r="I517" s="32">
        <v>2000160</v>
      </c>
      <c r="J517" s="19" t="s">
        <v>1723</v>
      </c>
      <c r="K517" s="6" t="s">
        <v>154</v>
      </c>
      <c r="L517" s="3" t="s">
        <v>2221</v>
      </c>
      <c r="M517" s="3" t="s">
        <v>2234</v>
      </c>
      <c r="N517" s="3" t="s">
        <v>2259</v>
      </c>
    </row>
    <row r="518" spans="1:14" x14ac:dyDescent="0.25">
      <c r="A518" s="14" t="s">
        <v>1827</v>
      </c>
      <c r="B518" s="16" t="s">
        <v>2199</v>
      </c>
      <c r="C518" s="19" t="s">
        <v>594</v>
      </c>
      <c r="D518" s="19" t="s">
        <v>594</v>
      </c>
      <c r="E518" s="10" t="s">
        <v>1828</v>
      </c>
      <c r="F518" s="20">
        <v>46023</v>
      </c>
      <c r="G518" s="16">
        <v>1</v>
      </c>
      <c r="H518" s="11" t="s">
        <v>1830</v>
      </c>
      <c r="I518" s="31">
        <v>7200000</v>
      </c>
      <c r="J518" s="19" t="s">
        <v>1723</v>
      </c>
      <c r="K518" s="19" t="s">
        <v>1831</v>
      </c>
      <c r="L518" s="3" t="s">
        <v>2221</v>
      </c>
      <c r="M518" s="3" t="s">
        <v>2234</v>
      </c>
      <c r="N518" s="3" t="s">
        <v>2259</v>
      </c>
    </row>
    <row r="519" spans="1:14" x14ac:dyDescent="0.25">
      <c r="A519" s="15" t="s">
        <v>148</v>
      </c>
      <c r="B519" s="17" t="s">
        <v>2196</v>
      </c>
      <c r="C519" s="17" t="s">
        <v>2196</v>
      </c>
      <c r="D519" s="6" t="s">
        <v>28</v>
      </c>
      <c r="E519" s="7" t="s">
        <v>150</v>
      </c>
      <c r="F519" s="20">
        <v>45474</v>
      </c>
      <c r="G519" s="17">
        <v>1</v>
      </c>
      <c r="H519" t="s">
        <v>152</v>
      </c>
      <c r="I519" s="32">
        <v>118000004</v>
      </c>
      <c r="J519" s="19" t="s">
        <v>153</v>
      </c>
      <c r="K519" s="6" t="s">
        <v>154</v>
      </c>
      <c r="L519" s="3" t="s">
        <v>2221</v>
      </c>
      <c r="M519" s="3" t="s">
        <v>2234</v>
      </c>
      <c r="N519" s="3" t="s">
        <v>2259</v>
      </c>
    </row>
    <row r="520" spans="1:14" x14ac:dyDescent="0.25">
      <c r="A520" s="14" t="s">
        <v>619</v>
      </c>
      <c r="B520" s="16" t="s">
        <v>2199</v>
      </c>
      <c r="C520" s="19" t="s">
        <v>28</v>
      </c>
      <c r="D520" s="19" t="s">
        <v>28</v>
      </c>
      <c r="E520" s="10" t="s">
        <v>621</v>
      </c>
      <c r="F520" s="20">
        <v>46266</v>
      </c>
      <c r="G520" s="16">
        <v>1</v>
      </c>
      <c r="H520" s="11" t="s">
        <v>623</v>
      </c>
      <c r="I520" s="31">
        <v>1250000</v>
      </c>
      <c r="J520" s="19" t="s">
        <v>624</v>
      </c>
      <c r="K520" s="19" t="s">
        <v>625</v>
      </c>
      <c r="L520" s="3" t="s">
        <v>2246</v>
      </c>
      <c r="M520" s="3" t="s">
        <v>2256</v>
      </c>
      <c r="N520" s="3" t="s">
        <v>2270</v>
      </c>
    </row>
    <row r="521" spans="1:14" x14ac:dyDescent="0.25">
      <c r="A521" s="15" t="s">
        <v>628</v>
      </c>
      <c r="B521" s="17" t="s">
        <v>2199</v>
      </c>
      <c r="C521" s="6" t="s">
        <v>28</v>
      </c>
      <c r="D521" s="6" t="s">
        <v>28</v>
      </c>
      <c r="E521" s="7" t="s">
        <v>629</v>
      </c>
      <c r="F521" s="20">
        <v>46174</v>
      </c>
      <c r="G521" s="17">
        <v>1</v>
      </c>
      <c r="H521" t="s">
        <v>631</v>
      </c>
      <c r="I521" s="32">
        <v>300000</v>
      </c>
      <c r="J521" s="19" t="s">
        <v>624</v>
      </c>
      <c r="K521" s="6" t="s">
        <v>625</v>
      </c>
      <c r="L521" s="3" t="s">
        <v>2246</v>
      </c>
      <c r="M521" s="3" t="s">
        <v>2256</v>
      </c>
      <c r="N521" s="3" t="s">
        <v>2270</v>
      </c>
    </row>
    <row r="522" spans="1:14" x14ac:dyDescent="0.25">
      <c r="A522" s="14" t="s">
        <v>632</v>
      </c>
      <c r="B522" s="16" t="s">
        <v>2199</v>
      </c>
      <c r="C522" s="19" t="s">
        <v>28</v>
      </c>
      <c r="D522" s="19" t="s">
        <v>28</v>
      </c>
      <c r="E522" s="10" t="s">
        <v>634</v>
      </c>
      <c r="F522" s="20">
        <v>46204</v>
      </c>
      <c r="G522" s="16">
        <v>1</v>
      </c>
      <c r="H522" s="11" t="s">
        <v>636</v>
      </c>
      <c r="I522" s="31">
        <v>1320000</v>
      </c>
      <c r="J522" s="19" t="s">
        <v>624</v>
      </c>
      <c r="K522" s="19" t="s">
        <v>625</v>
      </c>
      <c r="L522" s="3" t="s">
        <v>2246</v>
      </c>
      <c r="M522" s="3" t="s">
        <v>2256</v>
      </c>
      <c r="N522" s="3" t="s">
        <v>2270</v>
      </c>
    </row>
    <row r="523" spans="1:14" x14ac:dyDescent="0.25">
      <c r="A523" s="15" t="s">
        <v>868</v>
      </c>
      <c r="B523" s="17" t="s">
        <v>2199</v>
      </c>
      <c r="C523" s="6" t="s">
        <v>28</v>
      </c>
      <c r="D523" s="6" t="s">
        <v>28</v>
      </c>
      <c r="E523" s="7" t="s">
        <v>869</v>
      </c>
      <c r="F523" s="20">
        <v>46143</v>
      </c>
      <c r="G523" s="17">
        <v>1</v>
      </c>
      <c r="H523" t="s">
        <v>807</v>
      </c>
      <c r="I523" s="32">
        <v>3000000</v>
      </c>
      <c r="J523" s="19" t="s">
        <v>624</v>
      </c>
      <c r="K523" s="6" t="s">
        <v>625</v>
      </c>
      <c r="L523" s="3" t="s">
        <v>2246</v>
      </c>
      <c r="M523" s="3" t="s">
        <v>2256</v>
      </c>
      <c r="N523" s="3" t="s">
        <v>2270</v>
      </c>
    </row>
    <row r="524" spans="1:14" x14ac:dyDescent="0.25">
      <c r="A524" s="14" t="s">
        <v>1734</v>
      </c>
      <c r="B524" s="16" t="s">
        <v>2199</v>
      </c>
      <c r="C524" s="19" t="s">
        <v>28</v>
      </c>
      <c r="D524" s="19" t="s">
        <v>28</v>
      </c>
      <c r="E524" s="10" t="s">
        <v>1736</v>
      </c>
      <c r="F524" s="20">
        <v>46143</v>
      </c>
      <c r="G524" s="16">
        <v>1</v>
      </c>
      <c r="H524" s="11" t="s">
        <v>807</v>
      </c>
      <c r="I524" s="31">
        <v>5000000</v>
      </c>
      <c r="J524" s="19" t="s">
        <v>624</v>
      </c>
      <c r="K524" s="19" t="s">
        <v>625</v>
      </c>
      <c r="L524" s="3" t="s">
        <v>2246</v>
      </c>
      <c r="M524" s="3" t="s">
        <v>2256</v>
      </c>
      <c r="N524" s="3" t="s">
        <v>2270</v>
      </c>
    </row>
    <row r="525" spans="1:14" x14ac:dyDescent="0.25">
      <c r="A525" s="15" t="s">
        <v>1305</v>
      </c>
      <c r="B525" s="17" t="s">
        <v>2199</v>
      </c>
      <c r="C525" s="6" t="s">
        <v>1304</v>
      </c>
      <c r="D525" s="6" t="s">
        <v>1304</v>
      </c>
      <c r="E525" s="7" t="s">
        <v>1306</v>
      </c>
      <c r="F525" s="20">
        <v>46266</v>
      </c>
      <c r="G525" s="17">
        <v>1</v>
      </c>
      <c r="H525" t="s">
        <v>807</v>
      </c>
      <c r="I525" s="32">
        <v>1680000000</v>
      </c>
      <c r="J525" s="19" t="s">
        <v>624</v>
      </c>
      <c r="K525" s="6" t="s">
        <v>625</v>
      </c>
      <c r="L525" s="3" t="s">
        <v>2246</v>
      </c>
      <c r="M525" s="3" t="s">
        <v>2256</v>
      </c>
      <c r="N525" s="3" t="s">
        <v>2270</v>
      </c>
    </row>
    <row r="526" spans="1:14" x14ac:dyDescent="0.25">
      <c r="A526" s="14" t="s">
        <v>1308</v>
      </c>
      <c r="B526" s="16" t="s">
        <v>2199</v>
      </c>
      <c r="C526" s="19" t="s">
        <v>1304</v>
      </c>
      <c r="D526" s="19" t="s">
        <v>1304</v>
      </c>
      <c r="E526" s="10" t="s">
        <v>1309</v>
      </c>
      <c r="F526" s="20">
        <v>46327</v>
      </c>
      <c r="G526" s="16">
        <v>1</v>
      </c>
      <c r="H526" s="11" t="s">
        <v>807</v>
      </c>
      <c r="I526" s="31">
        <v>80000000</v>
      </c>
      <c r="J526" s="19" t="s">
        <v>624</v>
      </c>
      <c r="K526" s="19" t="s">
        <v>625</v>
      </c>
      <c r="L526" s="3" t="s">
        <v>2246</v>
      </c>
      <c r="M526" s="3" t="s">
        <v>2256</v>
      </c>
      <c r="N526" s="3" t="s">
        <v>2270</v>
      </c>
    </row>
    <row r="527" spans="1:14" x14ac:dyDescent="0.25">
      <c r="A527" s="15" t="s">
        <v>1319</v>
      </c>
      <c r="B527" s="17" t="s">
        <v>2199</v>
      </c>
      <c r="C527" s="6" t="s">
        <v>1304</v>
      </c>
      <c r="D527" s="6" t="s">
        <v>1304</v>
      </c>
      <c r="E527" s="7" t="s">
        <v>1320</v>
      </c>
      <c r="F527" s="20">
        <v>46235</v>
      </c>
      <c r="G527" s="17">
        <v>1</v>
      </c>
      <c r="H527" t="s">
        <v>807</v>
      </c>
      <c r="I527" s="32">
        <v>55000000</v>
      </c>
      <c r="J527" s="19" t="s">
        <v>624</v>
      </c>
      <c r="K527" s="6" t="s">
        <v>625</v>
      </c>
      <c r="L527" s="3" t="s">
        <v>2246</v>
      </c>
      <c r="M527" s="3" t="s">
        <v>2256</v>
      </c>
      <c r="N527" s="3" t="s">
        <v>2270</v>
      </c>
    </row>
    <row r="528" spans="1:14" x14ac:dyDescent="0.25">
      <c r="A528" s="14" t="s">
        <v>1331</v>
      </c>
      <c r="B528" s="16" t="s">
        <v>2199</v>
      </c>
      <c r="C528" s="19" t="s">
        <v>1304</v>
      </c>
      <c r="D528" s="19" t="s">
        <v>1304</v>
      </c>
      <c r="E528" s="10" t="s">
        <v>1332</v>
      </c>
      <c r="F528" s="20">
        <v>46296</v>
      </c>
      <c r="G528" s="16">
        <v>1</v>
      </c>
      <c r="H528" s="11" t="s">
        <v>807</v>
      </c>
      <c r="I528" s="31">
        <v>90000000</v>
      </c>
      <c r="J528" s="19" t="s">
        <v>624</v>
      </c>
      <c r="K528" s="19" t="s">
        <v>625</v>
      </c>
      <c r="L528" s="3" t="s">
        <v>2246</v>
      </c>
      <c r="M528" s="3" t="s">
        <v>2256</v>
      </c>
      <c r="N528" s="3" t="s">
        <v>2270</v>
      </c>
    </row>
    <row r="529" spans="1:14" x14ac:dyDescent="0.25">
      <c r="A529" s="15" t="s">
        <v>1280</v>
      </c>
      <c r="B529" s="17" t="s">
        <v>2199</v>
      </c>
      <c r="C529" s="6" t="s">
        <v>594</v>
      </c>
      <c r="D529" s="6" t="s">
        <v>594</v>
      </c>
      <c r="E529" s="7" t="s">
        <v>1281</v>
      </c>
      <c r="F529" s="20">
        <v>46296</v>
      </c>
      <c r="G529" s="17">
        <v>1</v>
      </c>
      <c r="H529" t="s">
        <v>807</v>
      </c>
      <c r="I529" s="32">
        <v>25000000</v>
      </c>
      <c r="J529" s="19" t="s">
        <v>624</v>
      </c>
      <c r="K529" s="6" t="s">
        <v>625</v>
      </c>
      <c r="L529" s="3" t="s">
        <v>2246</v>
      </c>
      <c r="M529" s="3" t="s">
        <v>2256</v>
      </c>
      <c r="N529" s="3" t="s">
        <v>2270</v>
      </c>
    </row>
    <row r="530" spans="1:14" x14ac:dyDescent="0.25">
      <c r="A530" s="14" t="s">
        <v>1283</v>
      </c>
      <c r="B530" s="16" t="s">
        <v>2199</v>
      </c>
      <c r="C530" s="19" t="s">
        <v>594</v>
      </c>
      <c r="D530" s="19" t="s">
        <v>594</v>
      </c>
      <c r="E530" s="10" t="s">
        <v>1284</v>
      </c>
      <c r="F530" s="20">
        <v>46327</v>
      </c>
      <c r="G530" s="16">
        <v>1</v>
      </c>
      <c r="H530" s="11" t="s">
        <v>807</v>
      </c>
      <c r="I530" s="31">
        <v>37000000</v>
      </c>
      <c r="J530" s="19" t="s">
        <v>624</v>
      </c>
      <c r="K530" s="19" t="s">
        <v>625</v>
      </c>
      <c r="L530" s="3" t="s">
        <v>2246</v>
      </c>
      <c r="M530" s="3" t="s">
        <v>2256</v>
      </c>
      <c r="N530" s="3" t="s">
        <v>2270</v>
      </c>
    </row>
    <row r="531" spans="1:14" x14ac:dyDescent="0.25">
      <c r="A531" s="15" t="s">
        <v>1286</v>
      </c>
      <c r="B531" s="17" t="s">
        <v>2199</v>
      </c>
      <c r="C531" s="6" t="s">
        <v>594</v>
      </c>
      <c r="D531" s="6" t="s">
        <v>594</v>
      </c>
      <c r="E531" s="7" t="s">
        <v>1287</v>
      </c>
      <c r="F531" s="20">
        <v>46235</v>
      </c>
      <c r="G531" s="17">
        <v>1</v>
      </c>
      <c r="H531" t="s">
        <v>807</v>
      </c>
      <c r="I531" s="32">
        <v>60000000</v>
      </c>
      <c r="J531" s="19" t="s">
        <v>624</v>
      </c>
      <c r="K531" s="6" t="s">
        <v>625</v>
      </c>
      <c r="L531" s="3" t="s">
        <v>2246</v>
      </c>
      <c r="M531" s="3" t="s">
        <v>2256</v>
      </c>
      <c r="N531" s="3" t="s">
        <v>2270</v>
      </c>
    </row>
    <row r="532" spans="1:14" x14ac:dyDescent="0.25">
      <c r="A532" s="14" t="s">
        <v>1360</v>
      </c>
      <c r="B532" s="16" t="s">
        <v>2199</v>
      </c>
      <c r="C532" s="19" t="s">
        <v>594</v>
      </c>
      <c r="D532" s="19" t="s">
        <v>594</v>
      </c>
      <c r="E532" s="10" t="s">
        <v>1361</v>
      </c>
      <c r="F532" s="20">
        <v>46266</v>
      </c>
      <c r="G532" s="16">
        <v>1</v>
      </c>
      <c r="H532" s="11" t="s">
        <v>807</v>
      </c>
      <c r="I532" s="31">
        <v>37000000</v>
      </c>
      <c r="J532" s="19" t="s">
        <v>624</v>
      </c>
      <c r="K532" s="19" t="s">
        <v>625</v>
      </c>
      <c r="L532" s="3" t="s">
        <v>2246</v>
      </c>
      <c r="M532" s="3" t="s">
        <v>2256</v>
      </c>
      <c r="N532" s="3" t="s">
        <v>2270</v>
      </c>
    </row>
    <row r="533" spans="1:14" x14ac:dyDescent="0.25">
      <c r="A533" s="15" t="s">
        <v>1366</v>
      </c>
      <c r="B533" s="17" t="s">
        <v>2199</v>
      </c>
      <c r="C533" s="6" t="s">
        <v>594</v>
      </c>
      <c r="D533" s="6" t="s">
        <v>594</v>
      </c>
      <c r="E533" s="7" t="s">
        <v>1367</v>
      </c>
      <c r="F533" s="20">
        <v>46266</v>
      </c>
      <c r="G533" s="17">
        <v>1</v>
      </c>
      <c r="H533" t="s">
        <v>807</v>
      </c>
      <c r="I533" s="32">
        <v>103000000</v>
      </c>
      <c r="J533" s="19" t="s">
        <v>624</v>
      </c>
      <c r="K533" s="6" t="s">
        <v>625</v>
      </c>
      <c r="L533" s="3" t="s">
        <v>2246</v>
      </c>
      <c r="M533" s="3" t="s">
        <v>2256</v>
      </c>
      <c r="N533" s="3" t="s">
        <v>2270</v>
      </c>
    </row>
    <row r="534" spans="1:14" x14ac:dyDescent="0.25">
      <c r="A534" s="14" t="s">
        <v>803</v>
      </c>
      <c r="B534" s="16" t="s">
        <v>2199</v>
      </c>
      <c r="C534" s="19" t="s">
        <v>594</v>
      </c>
      <c r="D534" s="19" t="s">
        <v>594</v>
      </c>
      <c r="E534" s="10" t="s">
        <v>805</v>
      </c>
      <c r="F534" s="20">
        <v>46266</v>
      </c>
      <c r="G534" s="16">
        <v>1</v>
      </c>
      <c r="H534" s="11" t="s">
        <v>807</v>
      </c>
      <c r="I534" s="31">
        <v>37000000</v>
      </c>
      <c r="J534" s="19" t="s">
        <v>624</v>
      </c>
      <c r="K534" s="19" t="s">
        <v>625</v>
      </c>
      <c r="L534" s="3" t="s">
        <v>2246</v>
      </c>
      <c r="M534" s="3" t="s">
        <v>2256</v>
      </c>
      <c r="N534" s="3" t="s">
        <v>2270</v>
      </c>
    </row>
    <row r="535" spans="1:14" x14ac:dyDescent="0.25">
      <c r="A535" s="15" t="s">
        <v>808</v>
      </c>
      <c r="B535" s="17" t="s">
        <v>2199</v>
      </c>
      <c r="C535" s="6" t="s">
        <v>594</v>
      </c>
      <c r="D535" s="6" t="s">
        <v>594</v>
      </c>
      <c r="E535" s="7" t="s">
        <v>809</v>
      </c>
      <c r="F535" s="20">
        <v>46296</v>
      </c>
      <c r="G535" s="17">
        <v>1</v>
      </c>
      <c r="H535" t="s">
        <v>807</v>
      </c>
      <c r="I535" s="32">
        <v>37000000</v>
      </c>
      <c r="J535" s="19" t="s">
        <v>624</v>
      </c>
      <c r="K535" s="6" t="s">
        <v>625</v>
      </c>
      <c r="L535" s="3" t="s">
        <v>2246</v>
      </c>
      <c r="M535" s="3" t="s">
        <v>2256</v>
      </c>
      <c r="N535" s="3" t="s">
        <v>2270</v>
      </c>
    </row>
    <row r="536" spans="1:14" x14ac:dyDescent="0.25">
      <c r="A536" s="14" t="s">
        <v>1204</v>
      </c>
      <c r="B536" s="16" t="s">
        <v>2199</v>
      </c>
      <c r="C536" s="19" t="s">
        <v>594</v>
      </c>
      <c r="D536" s="19" t="s">
        <v>594</v>
      </c>
      <c r="E536" s="10" t="s">
        <v>1205</v>
      </c>
      <c r="F536" s="20">
        <v>46327</v>
      </c>
      <c r="G536" s="16">
        <v>1</v>
      </c>
      <c r="H536" s="11" t="s">
        <v>807</v>
      </c>
      <c r="I536" s="31">
        <v>37000000</v>
      </c>
      <c r="J536" s="19" t="s">
        <v>624</v>
      </c>
      <c r="K536" s="19" t="s">
        <v>625</v>
      </c>
      <c r="L536" s="3" t="s">
        <v>2246</v>
      </c>
      <c r="M536" s="3" t="s">
        <v>2256</v>
      </c>
      <c r="N536" s="3" t="s">
        <v>2270</v>
      </c>
    </row>
    <row r="537" spans="1:14" x14ac:dyDescent="0.25">
      <c r="A537" s="15" t="s">
        <v>1687</v>
      </c>
      <c r="B537" s="17" t="s">
        <v>2199</v>
      </c>
      <c r="C537" s="6" t="s">
        <v>28</v>
      </c>
      <c r="D537" s="6" t="s">
        <v>28</v>
      </c>
      <c r="E537" s="7" t="s">
        <v>1688</v>
      </c>
      <c r="F537" s="20">
        <v>46082</v>
      </c>
      <c r="G537" s="17">
        <v>2</v>
      </c>
      <c r="H537" t="s">
        <v>486</v>
      </c>
      <c r="I537" s="32">
        <v>230009</v>
      </c>
      <c r="J537" s="19" t="s">
        <v>1690</v>
      </c>
      <c r="K537" s="6" t="s">
        <v>865</v>
      </c>
      <c r="L537" s="3" t="s">
        <v>2233</v>
      </c>
      <c r="M537" s="3" t="s">
        <v>2256</v>
      </c>
      <c r="N537" s="3" t="s">
        <v>2266</v>
      </c>
    </row>
    <row r="538" spans="1:14" x14ac:dyDescent="0.25">
      <c r="A538" s="14" t="s">
        <v>1687</v>
      </c>
      <c r="B538" s="16" t="s">
        <v>2199</v>
      </c>
      <c r="C538" s="19" t="s">
        <v>28</v>
      </c>
      <c r="D538" s="19" t="s">
        <v>28</v>
      </c>
      <c r="E538" s="10" t="s">
        <v>1688</v>
      </c>
      <c r="F538" s="20">
        <v>46082</v>
      </c>
      <c r="G538" s="16">
        <v>2</v>
      </c>
      <c r="H538" s="11" t="s">
        <v>1693</v>
      </c>
      <c r="I538" s="31">
        <v>1796000</v>
      </c>
      <c r="J538" s="19" t="s">
        <v>1690</v>
      </c>
      <c r="K538" s="19" t="s">
        <v>865</v>
      </c>
      <c r="L538" s="3" t="s">
        <v>2233</v>
      </c>
      <c r="M538" s="3" t="s">
        <v>2256</v>
      </c>
      <c r="N538" s="3" t="s">
        <v>2266</v>
      </c>
    </row>
    <row r="539" spans="1:14" x14ac:dyDescent="0.25">
      <c r="A539" s="15" t="s">
        <v>1741</v>
      </c>
      <c r="B539" s="17" t="s">
        <v>2199</v>
      </c>
      <c r="C539" s="6" t="s">
        <v>28</v>
      </c>
      <c r="D539" s="6" t="s">
        <v>28</v>
      </c>
      <c r="E539" s="7" t="s">
        <v>1742</v>
      </c>
      <c r="F539" s="20">
        <v>46082</v>
      </c>
      <c r="G539" s="17">
        <v>1</v>
      </c>
      <c r="H539" t="s">
        <v>486</v>
      </c>
      <c r="I539" s="32">
        <v>316013</v>
      </c>
      <c r="J539" s="19" t="s">
        <v>1744</v>
      </c>
      <c r="K539" s="6" t="s">
        <v>1745</v>
      </c>
      <c r="L539" s="3" t="s">
        <v>2247</v>
      </c>
      <c r="M539" s="3" t="s">
        <v>2234</v>
      </c>
      <c r="N539" s="3" t="s">
        <v>2273</v>
      </c>
    </row>
    <row r="540" spans="1:14" x14ac:dyDescent="0.25">
      <c r="A540" s="14" t="s">
        <v>1777</v>
      </c>
      <c r="B540" s="16" t="s">
        <v>2199</v>
      </c>
      <c r="C540" s="19" t="s">
        <v>28</v>
      </c>
      <c r="D540" s="19" t="s">
        <v>28</v>
      </c>
      <c r="E540" s="10" t="s">
        <v>1778</v>
      </c>
      <c r="F540" s="20">
        <v>46143</v>
      </c>
      <c r="G540" s="16">
        <v>1</v>
      </c>
      <c r="H540" s="11" t="s">
        <v>602</v>
      </c>
      <c r="I540" s="31">
        <v>1200000</v>
      </c>
      <c r="J540" s="19" t="s">
        <v>1744</v>
      </c>
      <c r="K540" s="19" t="s">
        <v>1745</v>
      </c>
      <c r="L540" s="3" t="s">
        <v>2247</v>
      </c>
      <c r="M540" s="3" t="s">
        <v>2234</v>
      </c>
      <c r="N540" s="3" t="s">
        <v>2273</v>
      </c>
    </row>
    <row r="541" spans="1:14" x14ac:dyDescent="0.25">
      <c r="A541" s="15" t="s">
        <v>1780</v>
      </c>
      <c r="B541" s="17" t="s">
        <v>2199</v>
      </c>
      <c r="C541" s="6" t="s">
        <v>28</v>
      </c>
      <c r="D541" s="6" t="s">
        <v>28</v>
      </c>
      <c r="E541" s="7" t="s">
        <v>1781</v>
      </c>
      <c r="F541" s="20">
        <v>46082</v>
      </c>
      <c r="G541" s="17">
        <v>1</v>
      </c>
      <c r="H541" t="s">
        <v>359</v>
      </c>
      <c r="I541" s="32">
        <v>150100</v>
      </c>
      <c r="J541" s="19" t="s">
        <v>1744</v>
      </c>
      <c r="K541" s="6" t="s">
        <v>1745</v>
      </c>
      <c r="L541" s="3" t="s">
        <v>2247</v>
      </c>
      <c r="M541" s="3" t="s">
        <v>2234</v>
      </c>
      <c r="N541" s="3" t="s">
        <v>2273</v>
      </c>
    </row>
    <row r="542" spans="1:14" x14ac:dyDescent="0.25">
      <c r="A542" s="14" t="s">
        <v>2037</v>
      </c>
      <c r="B542" s="16" t="s">
        <v>2199</v>
      </c>
      <c r="C542" s="19" t="s">
        <v>1238</v>
      </c>
      <c r="D542" s="19" t="s">
        <v>1238</v>
      </c>
      <c r="E542" s="10" t="s">
        <v>1658</v>
      </c>
      <c r="F542" s="20">
        <v>46174</v>
      </c>
      <c r="G542" s="16">
        <v>2</v>
      </c>
      <c r="H542" s="11" t="s">
        <v>2040</v>
      </c>
      <c r="I542" s="31">
        <v>1000000</v>
      </c>
      <c r="J542" s="19" t="s">
        <v>2210</v>
      </c>
      <c r="K542" s="19" t="s">
        <v>1661</v>
      </c>
      <c r="L542" s="3" t="s">
        <v>2222</v>
      </c>
      <c r="M542" s="3" t="s">
        <v>2234</v>
      </c>
      <c r="N542" s="3" t="s">
        <v>2260</v>
      </c>
    </row>
    <row r="543" spans="1:14" x14ac:dyDescent="0.25">
      <c r="A543" s="15" t="s">
        <v>2037</v>
      </c>
      <c r="B543" s="17" t="s">
        <v>2199</v>
      </c>
      <c r="C543" s="6" t="s">
        <v>1238</v>
      </c>
      <c r="D543" s="6" t="s">
        <v>1238</v>
      </c>
      <c r="E543" s="7" t="s">
        <v>1658</v>
      </c>
      <c r="F543" s="20">
        <v>46174</v>
      </c>
      <c r="G543" s="17">
        <v>2</v>
      </c>
      <c r="H543" t="s">
        <v>2038</v>
      </c>
      <c r="I543" s="32">
        <v>18000000</v>
      </c>
      <c r="J543" s="19" t="s">
        <v>2210</v>
      </c>
      <c r="K543" s="6" t="s">
        <v>1661</v>
      </c>
      <c r="L543" s="3" t="s">
        <v>2222</v>
      </c>
      <c r="M543" s="3" t="s">
        <v>2234</v>
      </c>
      <c r="N543" s="3" t="s">
        <v>2260</v>
      </c>
    </row>
    <row r="544" spans="1:14" x14ac:dyDescent="0.25">
      <c r="A544" s="14" t="s">
        <v>1555</v>
      </c>
      <c r="B544" s="16" t="s">
        <v>2199</v>
      </c>
      <c r="C544" s="19" t="s">
        <v>28</v>
      </c>
      <c r="D544" s="19" t="s">
        <v>28</v>
      </c>
      <c r="E544" s="10" t="s">
        <v>1556</v>
      </c>
      <c r="F544" s="20">
        <v>46082</v>
      </c>
      <c r="G544" s="16">
        <v>1</v>
      </c>
      <c r="H544" s="11" t="s">
        <v>1558</v>
      </c>
      <c r="I544" s="31">
        <v>14500000</v>
      </c>
      <c r="J544" s="19" t="s">
        <v>1559</v>
      </c>
      <c r="K544" s="19" t="s">
        <v>1560</v>
      </c>
      <c r="L544" s="3" t="s">
        <v>2221</v>
      </c>
      <c r="M544" s="3" t="s">
        <v>2234</v>
      </c>
      <c r="N544" s="3" t="s">
        <v>2259</v>
      </c>
    </row>
    <row r="545" spans="1:14" x14ac:dyDescent="0.25">
      <c r="A545" s="15" t="s">
        <v>1770</v>
      </c>
      <c r="B545" s="17" t="s">
        <v>2199</v>
      </c>
      <c r="C545" s="6" t="s">
        <v>28</v>
      </c>
      <c r="D545" s="6" t="s">
        <v>28</v>
      </c>
      <c r="E545" s="7" t="s">
        <v>1771</v>
      </c>
      <c r="F545" s="20">
        <v>46113</v>
      </c>
      <c r="G545" s="17">
        <v>1</v>
      </c>
      <c r="H545" t="s">
        <v>1237</v>
      </c>
      <c r="I545" s="32">
        <v>7000000</v>
      </c>
      <c r="J545" s="19" t="s">
        <v>1773</v>
      </c>
      <c r="K545" s="6" t="s">
        <v>1774</v>
      </c>
      <c r="L545" s="3" t="s">
        <v>2248</v>
      </c>
      <c r="M545" s="3" t="s">
        <v>2256</v>
      </c>
      <c r="N545" s="3" t="s">
        <v>2274</v>
      </c>
    </row>
    <row r="546" spans="1:14" x14ac:dyDescent="0.25">
      <c r="A546" s="14" t="s">
        <v>1783</v>
      </c>
      <c r="B546" s="16" t="s">
        <v>2199</v>
      </c>
      <c r="C546" s="19" t="s">
        <v>28</v>
      </c>
      <c r="D546" s="19" t="s">
        <v>28</v>
      </c>
      <c r="E546" s="10" t="s">
        <v>1784</v>
      </c>
      <c r="F546" s="20">
        <v>46082</v>
      </c>
      <c r="G546" s="16">
        <v>1</v>
      </c>
      <c r="H546" s="11" t="s">
        <v>1786</v>
      </c>
      <c r="I546" s="31">
        <v>1500000</v>
      </c>
      <c r="J546" s="19" t="s">
        <v>1773</v>
      </c>
      <c r="K546" s="19" t="s">
        <v>1774</v>
      </c>
      <c r="L546" s="3" t="s">
        <v>2248</v>
      </c>
      <c r="M546" s="3" t="s">
        <v>2256</v>
      </c>
      <c r="N546" s="3" t="s">
        <v>2274</v>
      </c>
    </row>
    <row r="547" spans="1:14" x14ac:dyDescent="0.25">
      <c r="A547" s="15" t="s">
        <v>1790</v>
      </c>
      <c r="B547" s="17" t="s">
        <v>2199</v>
      </c>
      <c r="C547" s="6" t="s">
        <v>28</v>
      </c>
      <c r="D547" s="6" t="s">
        <v>28</v>
      </c>
      <c r="E547" s="7" t="s">
        <v>1791</v>
      </c>
      <c r="F547" s="20">
        <v>46054</v>
      </c>
      <c r="G547" s="17">
        <v>1</v>
      </c>
      <c r="H547" t="s">
        <v>910</v>
      </c>
      <c r="I547" s="32">
        <v>1000000</v>
      </c>
      <c r="J547" s="19" t="s">
        <v>1773</v>
      </c>
      <c r="K547" s="6" t="s">
        <v>1774</v>
      </c>
      <c r="L547" s="3" t="s">
        <v>2248</v>
      </c>
      <c r="M547" s="3" t="s">
        <v>2256</v>
      </c>
      <c r="N547" s="3" t="s">
        <v>2274</v>
      </c>
    </row>
    <row r="548" spans="1:14" x14ac:dyDescent="0.25">
      <c r="A548" s="14" t="s">
        <v>1042</v>
      </c>
      <c r="B548" s="16" t="s">
        <v>2199</v>
      </c>
      <c r="C548" s="19" t="s">
        <v>28</v>
      </c>
      <c r="D548" s="19" t="s">
        <v>28</v>
      </c>
      <c r="E548" s="10" t="s">
        <v>1044</v>
      </c>
      <c r="F548" s="20">
        <v>46023</v>
      </c>
      <c r="G548" s="16">
        <v>1</v>
      </c>
      <c r="H548" s="11" t="s">
        <v>1012</v>
      </c>
      <c r="I548" s="31">
        <v>60000000</v>
      </c>
      <c r="J548" s="19" t="s">
        <v>531</v>
      </c>
      <c r="K548" s="19" t="s">
        <v>532</v>
      </c>
      <c r="L548" s="3" t="s">
        <v>2249</v>
      </c>
      <c r="M548" s="3" t="s">
        <v>2256</v>
      </c>
      <c r="N548" s="3" t="s">
        <v>2268</v>
      </c>
    </row>
    <row r="549" spans="1:14" x14ac:dyDescent="0.25">
      <c r="A549" s="15" t="s">
        <v>1047</v>
      </c>
      <c r="B549" s="17" t="s">
        <v>2199</v>
      </c>
      <c r="C549" s="6" t="s">
        <v>28</v>
      </c>
      <c r="D549" s="6" t="s">
        <v>28</v>
      </c>
      <c r="E549" s="7" t="s">
        <v>1049</v>
      </c>
      <c r="F549" s="20">
        <v>46023</v>
      </c>
      <c r="G549" s="17">
        <v>1</v>
      </c>
      <c r="H549" t="s">
        <v>1012</v>
      </c>
      <c r="I549" s="32">
        <v>11000000</v>
      </c>
      <c r="J549" s="19" t="s">
        <v>531</v>
      </c>
      <c r="K549" s="6" t="s">
        <v>1051</v>
      </c>
      <c r="L549" s="3" t="s">
        <v>2249</v>
      </c>
      <c r="M549" s="3" t="s">
        <v>2256</v>
      </c>
      <c r="N549" s="3" t="s">
        <v>2268</v>
      </c>
    </row>
    <row r="550" spans="1:14" x14ac:dyDescent="0.25">
      <c r="A550" s="14" t="s">
        <v>527</v>
      </c>
      <c r="B550" s="16" t="s">
        <v>2196</v>
      </c>
      <c r="C550" s="16" t="s">
        <v>2196</v>
      </c>
      <c r="D550" s="19" t="s">
        <v>28</v>
      </c>
      <c r="E550" s="10" t="s">
        <v>528</v>
      </c>
      <c r="F550" s="20">
        <v>45870</v>
      </c>
      <c r="G550" s="16">
        <v>1</v>
      </c>
      <c r="H550" s="11" t="s">
        <v>530</v>
      </c>
      <c r="I550" s="31">
        <v>40000000</v>
      </c>
      <c r="J550" s="19" t="s">
        <v>531</v>
      </c>
      <c r="K550" s="19" t="s">
        <v>532</v>
      </c>
      <c r="L550" s="3" t="s">
        <v>2249</v>
      </c>
      <c r="M550" s="3" t="s">
        <v>2256</v>
      </c>
      <c r="N550" s="3" t="s">
        <v>2268</v>
      </c>
    </row>
    <row r="551" spans="1:14" x14ac:dyDescent="0.25">
      <c r="A551" s="15" t="s">
        <v>535</v>
      </c>
      <c r="B551" s="17" t="s">
        <v>2196</v>
      </c>
      <c r="C551" s="17" t="s">
        <v>2196</v>
      </c>
      <c r="D551" s="6" t="s">
        <v>28</v>
      </c>
      <c r="E551" s="7" t="s">
        <v>537</v>
      </c>
      <c r="F551" s="20">
        <v>45870</v>
      </c>
      <c r="G551" s="17">
        <v>1</v>
      </c>
      <c r="H551" t="s">
        <v>496</v>
      </c>
      <c r="I551" s="32">
        <v>80000000</v>
      </c>
      <c r="J551" s="19" t="s">
        <v>531</v>
      </c>
      <c r="K551" s="6" t="s">
        <v>532</v>
      </c>
      <c r="L551" s="3" t="s">
        <v>2249</v>
      </c>
      <c r="M551" s="3" t="s">
        <v>2256</v>
      </c>
      <c r="N551" s="3" t="s">
        <v>2268</v>
      </c>
    </row>
    <row r="552" spans="1:14" x14ac:dyDescent="0.25">
      <c r="A552" s="14" t="s">
        <v>773</v>
      </c>
      <c r="B552" s="16" t="s">
        <v>2199</v>
      </c>
      <c r="C552" s="19" t="s">
        <v>28</v>
      </c>
      <c r="D552" s="19" t="s">
        <v>28</v>
      </c>
      <c r="E552" s="10" t="s">
        <v>774</v>
      </c>
      <c r="F552" s="20">
        <v>46054</v>
      </c>
      <c r="G552" s="16">
        <v>6</v>
      </c>
      <c r="H552" s="11" t="s">
        <v>778</v>
      </c>
      <c r="I552" s="31">
        <v>124000</v>
      </c>
      <c r="J552" s="19" t="s">
        <v>768</v>
      </c>
      <c r="K552" s="19" t="s">
        <v>386</v>
      </c>
      <c r="L552" s="3" t="s">
        <v>2275</v>
      </c>
      <c r="M552" s="3" t="s">
        <v>2234</v>
      </c>
      <c r="N552" s="3" t="s">
        <v>2258</v>
      </c>
    </row>
    <row r="553" spans="1:14" x14ac:dyDescent="0.25">
      <c r="A553" s="15" t="s">
        <v>773</v>
      </c>
      <c r="B553" s="17" t="s">
        <v>2199</v>
      </c>
      <c r="C553" s="6" t="s">
        <v>28</v>
      </c>
      <c r="D553" s="6" t="s">
        <v>28</v>
      </c>
      <c r="E553" s="7" t="s">
        <v>774</v>
      </c>
      <c r="F553" s="20">
        <v>46054</v>
      </c>
      <c r="G553" s="17">
        <v>6</v>
      </c>
      <c r="H553" t="s">
        <v>781</v>
      </c>
      <c r="I553" s="32">
        <v>8000</v>
      </c>
      <c r="J553" s="19" t="s">
        <v>768</v>
      </c>
      <c r="K553" s="6" t="s">
        <v>386</v>
      </c>
      <c r="L553" s="3" t="s">
        <v>2275</v>
      </c>
      <c r="M553" s="3" t="s">
        <v>2234</v>
      </c>
      <c r="N553" s="3" t="s">
        <v>2258</v>
      </c>
    </row>
    <row r="554" spans="1:14" x14ac:dyDescent="0.25">
      <c r="A554" s="14" t="s">
        <v>773</v>
      </c>
      <c r="B554" s="16" t="s">
        <v>2199</v>
      </c>
      <c r="C554" s="19" t="s">
        <v>28</v>
      </c>
      <c r="D554" s="19" t="s">
        <v>28</v>
      </c>
      <c r="E554" s="10" t="s">
        <v>774</v>
      </c>
      <c r="F554" s="20">
        <v>46054</v>
      </c>
      <c r="G554" s="16">
        <v>6</v>
      </c>
      <c r="H554" s="11" t="s">
        <v>780</v>
      </c>
      <c r="I554" s="31">
        <v>25000</v>
      </c>
      <c r="J554" s="19" t="s">
        <v>768</v>
      </c>
      <c r="K554" s="19" t="s">
        <v>386</v>
      </c>
      <c r="L554" s="3" t="s">
        <v>2275</v>
      </c>
      <c r="M554" s="3" t="s">
        <v>2234</v>
      </c>
      <c r="N554" s="3" t="s">
        <v>2258</v>
      </c>
    </row>
    <row r="555" spans="1:14" x14ac:dyDescent="0.25">
      <c r="A555" s="15" t="s">
        <v>773</v>
      </c>
      <c r="B555" s="17" t="s">
        <v>2199</v>
      </c>
      <c r="C555" s="6" t="s">
        <v>28</v>
      </c>
      <c r="D555" s="6" t="s">
        <v>28</v>
      </c>
      <c r="E555" s="7" t="s">
        <v>774</v>
      </c>
      <c r="F555" s="20">
        <v>46054</v>
      </c>
      <c r="G555" s="17">
        <v>6</v>
      </c>
      <c r="H555" t="s">
        <v>779</v>
      </c>
      <c r="I555" s="32">
        <v>70000</v>
      </c>
      <c r="J555" s="19" t="s">
        <v>768</v>
      </c>
      <c r="K555" s="6" t="s">
        <v>386</v>
      </c>
      <c r="L555" s="3" t="s">
        <v>2275</v>
      </c>
      <c r="M555" s="3" t="s">
        <v>2234</v>
      </c>
      <c r="N555" s="3" t="s">
        <v>2258</v>
      </c>
    </row>
    <row r="556" spans="1:14" x14ac:dyDescent="0.25">
      <c r="A556" s="14" t="s">
        <v>773</v>
      </c>
      <c r="B556" s="16" t="s">
        <v>2199</v>
      </c>
      <c r="C556" s="19" t="s">
        <v>28</v>
      </c>
      <c r="D556" s="19" t="s">
        <v>28</v>
      </c>
      <c r="E556" s="10" t="s">
        <v>774</v>
      </c>
      <c r="F556" s="20">
        <v>46054</v>
      </c>
      <c r="G556" s="16">
        <v>6</v>
      </c>
      <c r="H556" s="11" t="s">
        <v>777</v>
      </c>
      <c r="I556" s="31">
        <v>699036</v>
      </c>
      <c r="J556" s="19" t="s">
        <v>768</v>
      </c>
      <c r="K556" s="19" t="s">
        <v>386</v>
      </c>
      <c r="L556" s="3" t="s">
        <v>2275</v>
      </c>
      <c r="M556" s="3" t="s">
        <v>2234</v>
      </c>
      <c r="N556" s="3" t="s">
        <v>2258</v>
      </c>
    </row>
    <row r="557" spans="1:14" x14ac:dyDescent="0.25">
      <c r="A557" s="15" t="s">
        <v>773</v>
      </c>
      <c r="B557" s="17" t="s">
        <v>2199</v>
      </c>
      <c r="C557" s="6" t="s">
        <v>28</v>
      </c>
      <c r="D557" s="6" t="s">
        <v>28</v>
      </c>
      <c r="E557" s="7" t="s">
        <v>774</v>
      </c>
      <c r="F557" s="20">
        <v>46054</v>
      </c>
      <c r="G557" s="17">
        <v>6</v>
      </c>
      <c r="H557" t="s">
        <v>776</v>
      </c>
      <c r="I557" s="32">
        <v>240012</v>
      </c>
      <c r="J557" s="19" t="s">
        <v>768</v>
      </c>
      <c r="K557" s="6" t="s">
        <v>386</v>
      </c>
      <c r="L557" s="3" t="s">
        <v>2275</v>
      </c>
      <c r="M557" s="3" t="s">
        <v>2234</v>
      </c>
      <c r="N557" s="3" t="s">
        <v>2258</v>
      </c>
    </row>
    <row r="558" spans="1:14" x14ac:dyDescent="0.25">
      <c r="A558" s="14" t="s">
        <v>816</v>
      </c>
      <c r="B558" s="16" t="s">
        <v>2199</v>
      </c>
      <c r="C558" s="19" t="s">
        <v>28</v>
      </c>
      <c r="D558" s="19" t="s">
        <v>28</v>
      </c>
      <c r="E558" s="10" t="s">
        <v>817</v>
      </c>
      <c r="F558" s="20">
        <v>46023</v>
      </c>
      <c r="G558" s="16">
        <v>5</v>
      </c>
      <c r="H558" s="11" t="s">
        <v>821</v>
      </c>
      <c r="I558" s="31">
        <v>104004</v>
      </c>
      <c r="J558" s="19" t="s">
        <v>768</v>
      </c>
      <c r="K558" s="19" t="s">
        <v>386</v>
      </c>
      <c r="L558" s="3" t="s">
        <v>2275</v>
      </c>
      <c r="M558" s="3" t="s">
        <v>2234</v>
      </c>
      <c r="N558" s="3" t="s">
        <v>2258</v>
      </c>
    </row>
    <row r="559" spans="1:14" x14ac:dyDescent="0.25">
      <c r="A559" s="15" t="s">
        <v>816</v>
      </c>
      <c r="B559" s="17" t="s">
        <v>2199</v>
      </c>
      <c r="C559" s="6" t="s">
        <v>28</v>
      </c>
      <c r="D559" s="6" t="s">
        <v>28</v>
      </c>
      <c r="E559" s="7" t="s">
        <v>817</v>
      </c>
      <c r="F559" s="20">
        <v>46082</v>
      </c>
      <c r="G559" s="17">
        <v>5</v>
      </c>
      <c r="H559" t="s">
        <v>821</v>
      </c>
      <c r="I559" s="32">
        <v>1900044</v>
      </c>
      <c r="J559" s="19" t="s">
        <v>768</v>
      </c>
      <c r="K559" s="6" t="s">
        <v>386</v>
      </c>
      <c r="L559" s="3" t="s">
        <v>2275</v>
      </c>
      <c r="M559" s="3" t="s">
        <v>2234</v>
      </c>
      <c r="N559" s="3" t="s">
        <v>2258</v>
      </c>
    </row>
    <row r="560" spans="1:14" x14ac:dyDescent="0.25">
      <c r="A560" s="14" t="s">
        <v>816</v>
      </c>
      <c r="B560" s="16" t="s">
        <v>2199</v>
      </c>
      <c r="C560" s="19" t="s">
        <v>28</v>
      </c>
      <c r="D560" s="19" t="s">
        <v>28</v>
      </c>
      <c r="E560" s="10" t="s">
        <v>817</v>
      </c>
      <c r="F560" s="20">
        <v>46023</v>
      </c>
      <c r="G560" s="16">
        <v>5</v>
      </c>
      <c r="H560" s="11" t="s">
        <v>486</v>
      </c>
      <c r="I560" s="31">
        <v>250000</v>
      </c>
      <c r="J560" s="19" t="s">
        <v>768</v>
      </c>
      <c r="K560" s="19" t="s">
        <v>386</v>
      </c>
      <c r="L560" s="3" t="s">
        <v>2275</v>
      </c>
      <c r="M560" s="3" t="s">
        <v>2234</v>
      </c>
      <c r="N560" s="3" t="s">
        <v>2258</v>
      </c>
    </row>
    <row r="561" spans="1:14" x14ac:dyDescent="0.25">
      <c r="A561" s="15" t="s">
        <v>816</v>
      </c>
      <c r="B561" s="17" t="s">
        <v>2199</v>
      </c>
      <c r="C561" s="6" t="s">
        <v>28</v>
      </c>
      <c r="D561" s="6" t="s">
        <v>28</v>
      </c>
      <c r="E561" s="7" t="s">
        <v>817</v>
      </c>
      <c r="F561" s="20">
        <v>46113</v>
      </c>
      <c r="G561" s="17">
        <v>5</v>
      </c>
      <c r="H561" t="s">
        <v>819</v>
      </c>
      <c r="I561" s="32">
        <v>1450010</v>
      </c>
      <c r="J561" s="19" t="s">
        <v>768</v>
      </c>
      <c r="K561" s="6" t="s">
        <v>386</v>
      </c>
      <c r="L561" s="3" t="s">
        <v>2275</v>
      </c>
      <c r="M561" s="3" t="s">
        <v>2234</v>
      </c>
      <c r="N561" s="3" t="s">
        <v>2258</v>
      </c>
    </row>
    <row r="562" spans="1:14" x14ac:dyDescent="0.25">
      <c r="A562" s="14" t="s">
        <v>816</v>
      </c>
      <c r="B562" s="16" t="s">
        <v>2199</v>
      </c>
      <c r="C562" s="19" t="s">
        <v>28</v>
      </c>
      <c r="D562" s="19" t="s">
        <v>28</v>
      </c>
      <c r="E562" s="10" t="s">
        <v>817</v>
      </c>
      <c r="F562" s="20">
        <v>46023</v>
      </c>
      <c r="G562" s="16">
        <v>5</v>
      </c>
      <c r="H562" s="11" t="s">
        <v>820</v>
      </c>
      <c r="I562" s="31">
        <v>1500000</v>
      </c>
      <c r="J562" s="19" t="s">
        <v>768</v>
      </c>
      <c r="K562" s="19" t="s">
        <v>386</v>
      </c>
      <c r="L562" s="3" t="s">
        <v>2275</v>
      </c>
      <c r="M562" s="3" t="s">
        <v>2234</v>
      </c>
      <c r="N562" s="3" t="s">
        <v>2258</v>
      </c>
    </row>
    <row r="563" spans="1:14" x14ac:dyDescent="0.25">
      <c r="A563" s="15" t="s">
        <v>837</v>
      </c>
      <c r="B563" s="17" t="s">
        <v>2199</v>
      </c>
      <c r="C563" s="6" t="s">
        <v>28</v>
      </c>
      <c r="D563" s="6" t="s">
        <v>28</v>
      </c>
      <c r="E563" s="7" t="s">
        <v>838</v>
      </c>
      <c r="F563" s="20">
        <v>46023</v>
      </c>
      <c r="G563" s="17">
        <v>1</v>
      </c>
      <c r="H563" t="s">
        <v>840</v>
      </c>
      <c r="I563" s="32">
        <v>130000</v>
      </c>
      <c r="J563" s="19" t="s">
        <v>768</v>
      </c>
      <c r="K563" s="6" t="s">
        <v>386</v>
      </c>
      <c r="L563" s="3" t="s">
        <v>2275</v>
      </c>
      <c r="M563" s="3" t="s">
        <v>2234</v>
      </c>
      <c r="N563" s="3" t="s">
        <v>2258</v>
      </c>
    </row>
    <row r="564" spans="1:14" x14ac:dyDescent="0.25">
      <c r="A564" s="14" t="s">
        <v>963</v>
      </c>
      <c r="B564" s="16" t="s">
        <v>2199</v>
      </c>
      <c r="C564" s="19" t="s">
        <v>28</v>
      </c>
      <c r="D564" s="19" t="s">
        <v>28</v>
      </c>
      <c r="E564" s="10" t="s">
        <v>964</v>
      </c>
      <c r="F564" s="20">
        <v>46054</v>
      </c>
      <c r="G564" s="16">
        <v>1</v>
      </c>
      <c r="H564" s="11" t="s">
        <v>623</v>
      </c>
      <c r="I564" s="31">
        <v>700002</v>
      </c>
      <c r="J564" s="19" t="s">
        <v>768</v>
      </c>
      <c r="K564" s="19" t="s">
        <v>966</v>
      </c>
      <c r="L564" s="3" t="s">
        <v>2275</v>
      </c>
      <c r="M564" s="3" t="s">
        <v>2234</v>
      </c>
      <c r="N564" s="3" t="s">
        <v>2258</v>
      </c>
    </row>
    <row r="565" spans="1:14" x14ac:dyDescent="0.25">
      <c r="A565" s="15" t="s">
        <v>969</v>
      </c>
      <c r="B565" s="17" t="s">
        <v>2199</v>
      </c>
      <c r="C565" s="6" t="s">
        <v>28</v>
      </c>
      <c r="D565" s="6" t="s">
        <v>28</v>
      </c>
      <c r="E565" s="7" t="s">
        <v>970</v>
      </c>
      <c r="F565" s="20">
        <v>46054</v>
      </c>
      <c r="G565" s="17">
        <v>1</v>
      </c>
      <c r="H565" t="s">
        <v>623</v>
      </c>
      <c r="I565" s="32">
        <v>7000008</v>
      </c>
      <c r="J565" s="19" t="s">
        <v>768</v>
      </c>
      <c r="K565" s="6" t="s">
        <v>966</v>
      </c>
      <c r="L565" s="3" t="s">
        <v>2275</v>
      </c>
      <c r="M565" s="3" t="s">
        <v>2234</v>
      </c>
      <c r="N565" s="3" t="s">
        <v>2258</v>
      </c>
    </row>
    <row r="566" spans="1:14" x14ac:dyDescent="0.25">
      <c r="A566" s="14" t="s">
        <v>972</v>
      </c>
      <c r="B566" s="16" t="s">
        <v>2199</v>
      </c>
      <c r="C566" s="19" t="s">
        <v>28</v>
      </c>
      <c r="D566" s="19" t="s">
        <v>28</v>
      </c>
      <c r="E566" s="10" t="s">
        <v>973</v>
      </c>
      <c r="F566" s="20">
        <v>46082</v>
      </c>
      <c r="G566" s="16">
        <v>1</v>
      </c>
      <c r="H566" s="11" t="s">
        <v>623</v>
      </c>
      <c r="I566" s="31">
        <v>800000</v>
      </c>
      <c r="J566" s="19" t="s">
        <v>768</v>
      </c>
      <c r="K566" s="19" t="s">
        <v>966</v>
      </c>
      <c r="L566" s="3" t="s">
        <v>2275</v>
      </c>
      <c r="M566" s="3" t="s">
        <v>2234</v>
      </c>
      <c r="N566" s="3" t="s">
        <v>2258</v>
      </c>
    </row>
    <row r="567" spans="1:14" x14ac:dyDescent="0.25">
      <c r="A567" s="15" t="s">
        <v>975</v>
      </c>
      <c r="B567" s="17" t="s">
        <v>2199</v>
      </c>
      <c r="C567" s="6" t="s">
        <v>28</v>
      </c>
      <c r="D567" s="6" t="s">
        <v>28</v>
      </c>
      <c r="E567" s="7" t="s">
        <v>976</v>
      </c>
      <c r="F567" s="20">
        <v>46054</v>
      </c>
      <c r="G567" s="17">
        <v>1</v>
      </c>
      <c r="H567" t="s">
        <v>623</v>
      </c>
      <c r="I567" s="32">
        <v>3500000</v>
      </c>
      <c r="J567" s="19" t="s">
        <v>768</v>
      </c>
      <c r="K567" s="6" t="s">
        <v>966</v>
      </c>
      <c r="L567" s="3" t="s">
        <v>2275</v>
      </c>
      <c r="M567" s="3" t="s">
        <v>2234</v>
      </c>
      <c r="N567" s="3" t="s">
        <v>2258</v>
      </c>
    </row>
    <row r="568" spans="1:14" x14ac:dyDescent="0.25">
      <c r="A568" s="14" t="s">
        <v>978</v>
      </c>
      <c r="B568" s="16" t="s">
        <v>2199</v>
      </c>
      <c r="C568" s="19" t="s">
        <v>28</v>
      </c>
      <c r="D568" s="19" t="s">
        <v>28</v>
      </c>
      <c r="E568" s="10" t="s">
        <v>979</v>
      </c>
      <c r="F568" s="20">
        <v>46082</v>
      </c>
      <c r="G568" s="16">
        <v>1</v>
      </c>
      <c r="H568" s="11" t="s">
        <v>623</v>
      </c>
      <c r="I568" s="31">
        <v>2000000</v>
      </c>
      <c r="J568" s="19" t="s">
        <v>768</v>
      </c>
      <c r="K568" s="19" t="s">
        <v>966</v>
      </c>
      <c r="L568" s="3" t="s">
        <v>2275</v>
      </c>
      <c r="M568" s="3" t="s">
        <v>2234</v>
      </c>
      <c r="N568" s="3" t="s">
        <v>2258</v>
      </c>
    </row>
    <row r="569" spans="1:14" x14ac:dyDescent="0.25">
      <c r="A569" s="15" t="s">
        <v>981</v>
      </c>
      <c r="B569" s="17" t="s">
        <v>2199</v>
      </c>
      <c r="C569" s="6" t="s">
        <v>28</v>
      </c>
      <c r="D569" s="6" t="s">
        <v>28</v>
      </c>
      <c r="E569" s="7" t="s">
        <v>982</v>
      </c>
      <c r="F569" s="20">
        <v>46113</v>
      </c>
      <c r="G569" s="17">
        <v>1</v>
      </c>
      <c r="H569" t="s">
        <v>623</v>
      </c>
      <c r="I569" s="32">
        <v>800004</v>
      </c>
      <c r="J569" s="19" t="s">
        <v>768</v>
      </c>
      <c r="K569" s="6" t="s">
        <v>966</v>
      </c>
      <c r="L569" s="3" t="s">
        <v>2275</v>
      </c>
      <c r="M569" s="3" t="s">
        <v>2234</v>
      </c>
      <c r="N569" s="3" t="s">
        <v>2258</v>
      </c>
    </row>
    <row r="570" spans="1:14" x14ac:dyDescent="0.25">
      <c r="A570" s="14" t="s">
        <v>984</v>
      </c>
      <c r="B570" s="16" t="s">
        <v>2199</v>
      </c>
      <c r="C570" s="19" t="s">
        <v>28</v>
      </c>
      <c r="D570" s="19" t="s">
        <v>28</v>
      </c>
      <c r="E570" s="10" t="s">
        <v>985</v>
      </c>
      <c r="F570" s="20">
        <v>46023</v>
      </c>
      <c r="G570" s="16">
        <v>1</v>
      </c>
      <c r="H570" s="11" t="s">
        <v>623</v>
      </c>
      <c r="I570" s="31">
        <v>600000</v>
      </c>
      <c r="J570" s="19" t="s">
        <v>768</v>
      </c>
      <c r="K570" s="19" t="s">
        <v>966</v>
      </c>
      <c r="L570" s="3" t="s">
        <v>2275</v>
      </c>
      <c r="M570" s="3" t="s">
        <v>2234</v>
      </c>
      <c r="N570" s="3" t="s">
        <v>2258</v>
      </c>
    </row>
    <row r="571" spans="1:14" x14ac:dyDescent="0.25">
      <c r="A571" s="15" t="s">
        <v>987</v>
      </c>
      <c r="B571" s="17" t="s">
        <v>2199</v>
      </c>
      <c r="C571" s="6" t="s">
        <v>28</v>
      </c>
      <c r="D571" s="6" t="s">
        <v>28</v>
      </c>
      <c r="E571" s="7" t="s">
        <v>988</v>
      </c>
      <c r="F571" s="20">
        <v>46204</v>
      </c>
      <c r="G571" s="17">
        <v>1</v>
      </c>
      <c r="H571" t="s">
        <v>623</v>
      </c>
      <c r="I571" s="32">
        <v>4000000</v>
      </c>
      <c r="J571" s="19" t="s">
        <v>768</v>
      </c>
      <c r="K571" s="6" t="s">
        <v>966</v>
      </c>
      <c r="L571" s="3" t="s">
        <v>2275</v>
      </c>
      <c r="M571" s="3" t="s">
        <v>2234</v>
      </c>
      <c r="N571" s="3" t="s">
        <v>2258</v>
      </c>
    </row>
    <row r="572" spans="1:14" x14ac:dyDescent="0.25">
      <c r="A572" s="14" t="s">
        <v>990</v>
      </c>
      <c r="B572" s="16" t="s">
        <v>2199</v>
      </c>
      <c r="C572" s="19" t="s">
        <v>28</v>
      </c>
      <c r="D572" s="19" t="s">
        <v>28</v>
      </c>
      <c r="E572" s="10" t="s">
        <v>991</v>
      </c>
      <c r="F572" s="20">
        <v>46082</v>
      </c>
      <c r="G572" s="16">
        <v>1</v>
      </c>
      <c r="H572" s="11" t="s">
        <v>623</v>
      </c>
      <c r="I572" s="31">
        <v>5500000</v>
      </c>
      <c r="J572" s="19" t="s">
        <v>768</v>
      </c>
      <c r="K572" s="19" t="s">
        <v>966</v>
      </c>
      <c r="L572" s="3" t="s">
        <v>2275</v>
      </c>
      <c r="M572" s="3" t="s">
        <v>2234</v>
      </c>
      <c r="N572" s="3" t="s">
        <v>2258</v>
      </c>
    </row>
    <row r="573" spans="1:14" x14ac:dyDescent="0.25">
      <c r="A573" s="15" t="s">
        <v>993</v>
      </c>
      <c r="B573" s="17" t="s">
        <v>2199</v>
      </c>
      <c r="C573" s="6" t="s">
        <v>28</v>
      </c>
      <c r="D573" s="6" t="s">
        <v>28</v>
      </c>
      <c r="E573" s="7" t="s">
        <v>994</v>
      </c>
      <c r="F573" s="20">
        <v>46113</v>
      </c>
      <c r="G573" s="17">
        <v>1</v>
      </c>
      <c r="H573" t="s">
        <v>623</v>
      </c>
      <c r="I573" s="32">
        <v>3000000</v>
      </c>
      <c r="J573" s="19" t="s">
        <v>768</v>
      </c>
      <c r="K573" s="6" t="s">
        <v>966</v>
      </c>
      <c r="L573" s="3" t="s">
        <v>2275</v>
      </c>
      <c r="M573" s="3" t="s">
        <v>2234</v>
      </c>
      <c r="N573" s="3" t="s">
        <v>2258</v>
      </c>
    </row>
    <row r="574" spans="1:14" x14ac:dyDescent="0.25">
      <c r="A574" s="14" t="s">
        <v>1000</v>
      </c>
      <c r="B574" s="16" t="s">
        <v>2199</v>
      </c>
      <c r="C574" s="19" t="s">
        <v>28</v>
      </c>
      <c r="D574" s="19" t="s">
        <v>28</v>
      </c>
      <c r="E574" s="10" t="s">
        <v>1001</v>
      </c>
      <c r="F574" s="20">
        <v>46204</v>
      </c>
      <c r="G574" s="16">
        <v>1</v>
      </c>
      <c r="H574" s="11" t="s">
        <v>623</v>
      </c>
      <c r="I574" s="31">
        <v>1500000</v>
      </c>
      <c r="J574" s="19" t="s">
        <v>768</v>
      </c>
      <c r="K574" s="19" t="s">
        <v>966</v>
      </c>
      <c r="L574" s="3" t="s">
        <v>2275</v>
      </c>
      <c r="M574" s="3" t="s">
        <v>2234</v>
      </c>
      <c r="N574" s="3" t="s">
        <v>2258</v>
      </c>
    </row>
    <row r="575" spans="1:14" x14ac:dyDescent="0.25">
      <c r="A575" s="15" t="s">
        <v>1003</v>
      </c>
      <c r="B575" s="17" t="s">
        <v>2199</v>
      </c>
      <c r="C575" s="6" t="s">
        <v>28</v>
      </c>
      <c r="D575" s="6" t="s">
        <v>28</v>
      </c>
      <c r="E575" s="7" t="s">
        <v>1004</v>
      </c>
      <c r="F575" s="20">
        <v>46082</v>
      </c>
      <c r="G575" s="17">
        <v>1</v>
      </c>
      <c r="H575" t="s">
        <v>1006</v>
      </c>
      <c r="I575" s="32">
        <v>17500000</v>
      </c>
      <c r="J575" s="19" t="s">
        <v>768</v>
      </c>
      <c r="K575" s="6" t="s">
        <v>966</v>
      </c>
      <c r="L575" s="3" t="s">
        <v>2275</v>
      </c>
      <c r="M575" s="3" t="s">
        <v>2234</v>
      </c>
      <c r="N575" s="3" t="s">
        <v>2258</v>
      </c>
    </row>
    <row r="576" spans="1:14" x14ac:dyDescent="0.25">
      <c r="A576" s="14" t="s">
        <v>1008</v>
      </c>
      <c r="B576" s="16" t="s">
        <v>2199</v>
      </c>
      <c r="C576" s="19" t="s">
        <v>28</v>
      </c>
      <c r="D576" s="19" t="s">
        <v>28</v>
      </c>
      <c r="E576" s="10" t="s">
        <v>1010</v>
      </c>
      <c r="F576" s="20">
        <v>46143</v>
      </c>
      <c r="G576" s="16">
        <v>1</v>
      </c>
      <c r="H576" s="11" t="s">
        <v>1012</v>
      </c>
      <c r="I576" s="31">
        <v>1820000</v>
      </c>
      <c r="J576" s="19" t="s">
        <v>768</v>
      </c>
      <c r="K576" s="19" t="s">
        <v>966</v>
      </c>
      <c r="L576" s="3" t="s">
        <v>2275</v>
      </c>
      <c r="M576" s="3" t="s">
        <v>2234</v>
      </c>
      <c r="N576" s="3" t="s">
        <v>2258</v>
      </c>
    </row>
    <row r="577" spans="1:14" x14ac:dyDescent="0.25">
      <c r="A577" s="15" t="s">
        <v>1013</v>
      </c>
      <c r="B577" s="17" t="s">
        <v>2199</v>
      </c>
      <c r="C577" s="6" t="s">
        <v>28</v>
      </c>
      <c r="D577" s="6" t="s">
        <v>28</v>
      </c>
      <c r="E577" s="7" t="s">
        <v>1014</v>
      </c>
      <c r="F577" s="20">
        <v>46082</v>
      </c>
      <c r="G577" s="17">
        <v>1</v>
      </c>
      <c r="H577" t="s">
        <v>623</v>
      </c>
      <c r="I577" s="32">
        <v>1200000</v>
      </c>
      <c r="J577" s="19" t="s">
        <v>768</v>
      </c>
      <c r="K577" s="6" t="s">
        <v>966</v>
      </c>
      <c r="L577" s="3" t="s">
        <v>2275</v>
      </c>
      <c r="M577" s="3" t="s">
        <v>2234</v>
      </c>
      <c r="N577" s="3" t="s">
        <v>2258</v>
      </c>
    </row>
    <row r="578" spans="1:14" x14ac:dyDescent="0.25">
      <c r="A578" s="14" t="s">
        <v>1016</v>
      </c>
      <c r="B578" s="16" t="s">
        <v>2199</v>
      </c>
      <c r="C578" s="19" t="s">
        <v>28</v>
      </c>
      <c r="D578" s="19" t="s">
        <v>28</v>
      </c>
      <c r="E578" s="10" t="s">
        <v>1017</v>
      </c>
      <c r="F578" s="20">
        <v>46174</v>
      </c>
      <c r="G578" s="16">
        <v>1</v>
      </c>
      <c r="H578" s="11" t="s">
        <v>623</v>
      </c>
      <c r="I578" s="31">
        <v>2500020</v>
      </c>
      <c r="J578" s="19" t="s">
        <v>768</v>
      </c>
      <c r="K578" s="19" t="s">
        <v>966</v>
      </c>
      <c r="L578" s="3" t="s">
        <v>2275</v>
      </c>
      <c r="M578" s="3" t="s">
        <v>2234</v>
      </c>
      <c r="N578" s="3" t="s">
        <v>2258</v>
      </c>
    </row>
    <row r="579" spans="1:14" x14ac:dyDescent="0.25">
      <c r="A579" s="15" t="s">
        <v>1019</v>
      </c>
      <c r="B579" s="17" t="s">
        <v>2199</v>
      </c>
      <c r="C579" s="6" t="s">
        <v>28</v>
      </c>
      <c r="D579" s="6" t="s">
        <v>28</v>
      </c>
      <c r="E579" s="7" t="s">
        <v>1020</v>
      </c>
      <c r="F579" s="20">
        <v>46235</v>
      </c>
      <c r="G579" s="17">
        <v>1</v>
      </c>
      <c r="H579" t="s">
        <v>121</v>
      </c>
      <c r="I579" s="32">
        <v>2500000</v>
      </c>
      <c r="J579" s="19" t="s">
        <v>768</v>
      </c>
      <c r="K579" s="6" t="s">
        <v>966</v>
      </c>
      <c r="L579" s="3" t="s">
        <v>2275</v>
      </c>
      <c r="M579" s="3" t="s">
        <v>2234</v>
      </c>
      <c r="N579" s="3" t="s">
        <v>2258</v>
      </c>
    </row>
    <row r="580" spans="1:14" x14ac:dyDescent="0.25">
      <c r="A580" s="14" t="s">
        <v>1022</v>
      </c>
      <c r="B580" s="16" t="s">
        <v>2199</v>
      </c>
      <c r="C580" s="19" t="s">
        <v>28</v>
      </c>
      <c r="D580" s="19" t="s">
        <v>28</v>
      </c>
      <c r="E580" s="10" t="s">
        <v>1023</v>
      </c>
      <c r="F580" s="20">
        <v>46235</v>
      </c>
      <c r="G580" s="16">
        <v>1</v>
      </c>
      <c r="H580" s="11" t="s">
        <v>623</v>
      </c>
      <c r="I580" s="31">
        <v>2500000</v>
      </c>
      <c r="J580" s="19" t="s">
        <v>768</v>
      </c>
      <c r="K580" s="19" t="s">
        <v>966</v>
      </c>
      <c r="L580" s="3" t="s">
        <v>2275</v>
      </c>
      <c r="M580" s="3" t="s">
        <v>2234</v>
      </c>
      <c r="N580" s="3" t="s">
        <v>2258</v>
      </c>
    </row>
    <row r="581" spans="1:14" x14ac:dyDescent="0.25">
      <c r="A581" s="15" t="s">
        <v>1025</v>
      </c>
      <c r="B581" s="17" t="s">
        <v>2199</v>
      </c>
      <c r="C581" s="6" t="s">
        <v>28</v>
      </c>
      <c r="D581" s="6" t="s">
        <v>28</v>
      </c>
      <c r="E581" s="7" t="s">
        <v>1026</v>
      </c>
      <c r="F581" s="20">
        <v>46327</v>
      </c>
      <c r="G581" s="17">
        <v>1</v>
      </c>
      <c r="H581" t="s">
        <v>1028</v>
      </c>
      <c r="I581" s="32">
        <v>0</v>
      </c>
      <c r="J581" s="19" t="s">
        <v>768</v>
      </c>
      <c r="K581" s="6" t="s">
        <v>386</v>
      </c>
      <c r="L581" s="3" t="s">
        <v>2275</v>
      </c>
      <c r="M581" s="3" t="s">
        <v>2234</v>
      </c>
      <c r="N581" s="3" t="s">
        <v>2258</v>
      </c>
    </row>
    <row r="582" spans="1:14" x14ac:dyDescent="0.25">
      <c r="A582" s="14" t="s">
        <v>1039</v>
      </c>
      <c r="B582" s="16" t="s">
        <v>2199</v>
      </c>
      <c r="C582" s="19" t="s">
        <v>28</v>
      </c>
      <c r="D582" s="19" t="s">
        <v>28</v>
      </c>
      <c r="E582" s="10" t="s">
        <v>1040</v>
      </c>
      <c r="F582" s="20">
        <v>46082</v>
      </c>
      <c r="G582" s="16">
        <v>1</v>
      </c>
      <c r="H582" s="11" t="s">
        <v>486</v>
      </c>
      <c r="I582" s="31">
        <v>816730</v>
      </c>
      <c r="J582" s="19" t="s">
        <v>768</v>
      </c>
      <c r="K582" s="19" t="s">
        <v>386</v>
      </c>
      <c r="L582" s="3" t="s">
        <v>2275</v>
      </c>
      <c r="M582" s="3" t="s">
        <v>2234</v>
      </c>
      <c r="N582" s="3" t="s">
        <v>2258</v>
      </c>
    </row>
    <row r="583" spans="1:14" x14ac:dyDescent="0.25">
      <c r="A583" s="15" t="s">
        <v>1879</v>
      </c>
      <c r="B583" s="17" t="s">
        <v>2199</v>
      </c>
      <c r="C583" s="6" t="s">
        <v>28</v>
      </c>
      <c r="D583" s="6" t="s">
        <v>28</v>
      </c>
      <c r="E583" s="7" t="s">
        <v>1880</v>
      </c>
      <c r="F583" s="20">
        <v>46235</v>
      </c>
      <c r="G583" s="17">
        <v>1</v>
      </c>
      <c r="H583" t="s">
        <v>1375</v>
      </c>
      <c r="I583" s="32">
        <v>12000000</v>
      </c>
      <c r="J583" s="19" t="s">
        <v>768</v>
      </c>
      <c r="K583" s="6" t="s">
        <v>966</v>
      </c>
      <c r="L583" s="3" t="s">
        <v>2275</v>
      </c>
      <c r="M583" s="3" t="s">
        <v>2234</v>
      </c>
      <c r="N583" s="3" t="s">
        <v>2258</v>
      </c>
    </row>
    <row r="584" spans="1:14" x14ac:dyDescent="0.25">
      <c r="A584" s="14" t="s">
        <v>2063</v>
      </c>
      <c r="B584" s="16" t="s">
        <v>2199</v>
      </c>
      <c r="C584" s="19" t="s">
        <v>1238</v>
      </c>
      <c r="D584" s="19" t="s">
        <v>1238</v>
      </c>
      <c r="E584" s="10" t="s">
        <v>2064</v>
      </c>
      <c r="F584" s="20">
        <v>46023</v>
      </c>
      <c r="G584" s="16">
        <v>1</v>
      </c>
      <c r="H584" s="11" t="s">
        <v>2066</v>
      </c>
      <c r="I584" s="31">
        <v>300000</v>
      </c>
      <c r="J584" s="19" t="s">
        <v>768</v>
      </c>
      <c r="K584" s="19" t="s">
        <v>966</v>
      </c>
      <c r="L584" s="3" t="s">
        <v>2275</v>
      </c>
      <c r="M584" s="3" t="s">
        <v>2234</v>
      </c>
      <c r="N584" s="3" t="s">
        <v>2258</v>
      </c>
    </row>
    <row r="585" spans="1:14" x14ac:dyDescent="0.25">
      <c r="A585" s="15" t="s">
        <v>2140</v>
      </c>
      <c r="B585" s="17" t="s">
        <v>2199</v>
      </c>
      <c r="C585" s="6" t="s">
        <v>1238</v>
      </c>
      <c r="D585" s="6" t="s">
        <v>1238</v>
      </c>
      <c r="E585" s="7" t="s">
        <v>2141</v>
      </c>
      <c r="F585" s="20">
        <v>46023</v>
      </c>
      <c r="G585" s="17">
        <v>1</v>
      </c>
      <c r="H585" t="s">
        <v>2143</v>
      </c>
      <c r="I585" s="32">
        <v>250000</v>
      </c>
      <c r="J585" s="19" t="s">
        <v>768</v>
      </c>
      <c r="K585" s="6" t="s">
        <v>966</v>
      </c>
      <c r="L585" s="3" t="s">
        <v>2275</v>
      </c>
      <c r="M585" s="3" t="s">
        <v>2234</v>
      </c>
      <c r="N585" s="3" t="s">
        <v>2258</v>
      </c>
    </row>
    <row r="586" spans="1:14" x14ac:dyDescent="0.25">
      <c r="A586" s="14" t="s">
        <v>1289</v>
      </c>
      <c r="B586" s="16" t="s">
        <v>2199</v>
      </c>
      <c r="C586" s="19" t="s">
        <v>1238</v>
      </c>
      <c r="D586" s="19" t="s">
        <v>1238</v>
      </c>
      <c r="E586" s="10" t="s">
        <v>1291</v>
      </c>
      <c r="F586" s="20">
        <v>46023</v>
      </c>
      <c r="G586" s="16">
        <v>1</v>
      </c>
      <c r="H586" s="11" t="s">
        <v>1293</v>
      </c>
      <c r="I586" s="31">
        <v>4000005</v>
      </c>
      <c r="J586" s="19" t="s">
        <v>768</v>
      </c>
      <c r="K586" s="19" t="s">
        <v>386</v>
      </c>
      <c r="L586" s="3" t="s">
        <v>2275</v>
      </c>
      <c r="M586" s="3" t="s">
        <v>2234</v>
      </c>
      <c r="N586" s="3" t="s">
        <v>2258</v>
      </c>
    </row>
    <row r="587" spans="1:14" x14ac:dyDescent="0.25">
      <c r="A587" s="15" t="s">
        <v>1967</v>
      </c>
      <c r="B587" s="17" t="s">
        <v>2199</v>
      </c>
      <c r="C587" s="6" t="s">
        <v>374</v>
      </c>
      <c r="D587" s="6" t="s">
        <v>374</v>
      </c>
      <c r="E587" s="7" t="s">
        <v>1969</v>
      </c>
      <c r="F587" s="20">
        <v>46023</v>
      </c>
      <c r="G587" s="17">
        <v>5</v>
      </c>
      <c r="H587" t="s">
        <v>359</v>
      </c>
      <c r="I587" s="32">
        <v>43320</v>
      </c>
      <c r="J587" s="19" t="s">
        <v>768</v>
      </c>
      <c r="K587" s="6" t="s">
        <v>1972</v>
      </c>
      <c r="L587" s="3" t="s">
        <v>2275</v>
      </c>
      <c r="M587" s="3" t="s">
        <v>2234</v>
      </c>
      <c r="N587" s="3" t="s">
        <v>2258</v>
      </c>
    </row>
    <row r="588" spans="1:14" x14ac:dyDescent="0.25">
      <c r="A588" s="14" t="s">
        <v>1967</v>
      </c>
      <c r="B588" s="16" t="s">
        <v>2199</v>
      </c>
      <c r="C588" s="19" t="s">
        <v>374</v>
      </c>
      <c r="D588" s="19" t="s">
        <v>374</v>
      </c>
      <c r="E588" s="10" t="s">
        <v>1969</v>
      </c>
      <c r="F588" s="20">
        <v>46023</v>
      </c>
      <c r="G588" s="16">
        <v>5</v>
      </c>
      <c r="H588" s="11" t="s">
        <v>1971</v>
      </c>
      <c r="I588" s="31">
        <v>112387</v>
      </c>
      <c r="J588" s="19" t="s">
        <v>768</v>
      </c>
      <c r="K588" s="19" t="s">
        <v>1972</v>
      </c>
      <c r="L588" s="3" t="s">
        <v>2275</v>
      </c>
      <c r="M588" s="3" t="s">
        <v>2234</v>
      </c>
      <c r="N588" s="3" t="s">
        <v>2258</v>
      </c>
    </row>
    <row r="589" spans="1:14" x14ac:dyDescent="0.25">
      <c r="A589" s="15" t="s">
        <v>1967</v>
      </c>
      <c r="B589" s="17" t="s">
        <v>2199</v>
      </c>
      <c r="C589" s="6" t="s">
        <v>374</v>
      </c>
      <c r="D589" s="6" t="s">
        <v>374</v>
      </c>
      <c r="E589" s="7" t="s">
        <v>1969</v>
      </c>
      <c r="F589" s="20">
        <v>46023</v>
      </c>
      <c r="G589" s="17">
        <v>5</v>
      </c>
      <c r="H589" t="s">
        <v>1974</v>
      </c>
      <c r="I589" s="32">
        <v>25000</v>
      </c>
      <c r="J589" s="19" t="s">
        <v>768</v>
      </c>
      <c r="K589" s="6" t="s">
        <v>1972</v>
      </c>
      <c r="L589" s="3" t="s">
        <v>2275</v>
      </c>
      <c r="M589" s="3" t="s">
        <v>2234</v>
      </c>
      <c r="N589" s="3" t="s">
        <v>2258</v>
      </c>
    </row>
    <row r="590" spans="1:14" x14ac:dyDescent="0.25">
      <c r="A590" s="14" t="s">
        <v>1967</v>
      </c>
      <c r="B590" s="16" t="s">
        <v>2199</v>
      </c>
      <c r="C590" s="19" t="s">
        <v>374</v>
      </c>
      <c r="D590" s="19" t="s">
        <v>374</v>
      </c>
      <c r="E590" s="10" t="s">
        <v>1969</v>
      </c>
      <c r="F590" s="20">
        <v>46023</v>
      </c>
      <c r="G590" s="16">
        <v>5</v>
      </c>
      <c r="H590" s="11" t="s">
        <v>1975</v>
      </c>
      <c r="I590" s="31">
        <v>1700</v>
      </c>
      <c r="J590" s="19" t="s">
        <v>768</v>
      </c>
      <c r="K590" s="19" t="s">
        <v>1972</v>
      </c>
      <c r="L590" s="3" t="s">
        <v>2275</v>
      </c>
      <c r="M590" s="3" t="s">
        <v>2234</v>
      </c>
      <c r="N590" s="3" t="s">
        <v>2258</v>
      </c>
    </row>
    <row r="591" spans="1:14" x14ac:dyDescent="0.25">
      <c r="A591" s="15" t="s">
        <v>1967</v>
      </c>
      <c r="B591" s="17" t="s">
        <v>2199</v>
      </c>
      <c r="C591" s="6" t="s">
        <v>374</v>
      </c>
      <c r="D591" s="6" t="s">
        <v>374</v>
      </c>
      <c r="E591" s="7" t="s">
        <v>1969</v>
      </c>
      <c r="F591" s="20">
        <v>46023</v>
      </c>
      <c r="G591" s="17">
        <v>5</v>
      </c>
      <c r="H591" t="s">
        <v>1973</v>
      </c>
      <c r="I591" s="32">
        <v>25002</v>
      </c>
      <c r="J591" s="19" t="s">
        <v>768</v>
      </c>
      <c r="K591" s="6" t="s">
        <v>1972</v>
      </c>
      <c r="L591" s="3" t="s">
        <v>2275</v>
      </c>
      <c r="M591" s="3" t="s">
        <v>2234</v>
      </c>
      <c r="N591" s="3" t="s">
        <v>2258</v>
      </c>
    </row>
    <row r="592" spans="1:14" x14ac:dyDescent="0.25">
      <c r="A592" s="14" t="s">
        <v>2080</v>
      </c>
      <c r="B592" s="16" t="s">
        <v>2199</v>
      </c>
      <c r="C592" s="19" t="s">
        <v>374</v>
      </c>
      <c r="D592" s="19" t="s">
        <v>374</v>
      </c>
      <c r="E592" s="10" t="s">
        <v>2081</v>
      </c>
      <c r="F592" s="20">
        <v>46082</v>
      </c>
      <c r="G592" s="16">
        <v>1</v>
      </c>
      <c r="H592" s="11" t="s">
        <v>786</v>
      </c>
      <c r="I592" s="31">
        <v>350280</v>
      </c>
      <c r="J592" s="19" t="s">
        <v>768</v>
      </c>
      <c r="K592" s="19" t="s">
        <v>386</v>
      </c>
      <c r="L592" s="3" t="s">
        <v>2275</v>
      </c>
      <c r="M592" s="3" t="s">
        <v>2234</v>
      </c>
      <c r="N592" s="3" t="s">
        <v>2258</v>
      </c>
    </row>
    <row r="593" spans="1:14" x14ac:dyDescent="0.25">
      <c r="A593" s="15" t="s">
        <v>2086</v>
      </c>
      <c r="B593" s="17" t="s">
        <v>2199</v>
      </c>
      <c r="C593" s="6" t="s">
        <v>374</v>
      </c>
      <c r="D593" s="6" t="s">
        <v>374</v>
      </c>
      <c r="E593" s="7" t="s">
        <v>2087</v>
      </c>
      <c r="F593" s="20">
        <v>46054</v>
      </c>
      <c r="G593" s="17">
        <v>1</v>
      </c>
      <c r="H593" t="s">
        <v>786</v>
      </c>
      <c r="I593" s="32">
        <v>506160</v>
      </c>
      <c r="J593" s="19" t="s">
        <v>768</v>
      </c>
      <c r="K593" s="6" t="s">
        <v>386</v>
      </c>
      <c r="L593" s="3" t="s">
        <v>2275</v>
      </c>
      <c r="M593" s="3" t="s">
        <v>2234</v>
      </c>
      <c r="N593" s="3" t="s">
        <v>2258</v>
      </c>
    </row>
    <row r="594" spans="1:14" x14ac:dyDescent="0.25">
      <c r="A594" s="14" t="s">
        <v>2110</v>
      </c>
      <c r="B594" s="16" t="s">
        <v>2199</v>
      </c>
      <c r="C594" s="19" t="s">
        <v>374</v>
      </c>
      <c r="D594" s="19" t="s">
        <v>374</v>
      </c>
      <c r="E594" s="10" t="s">
        <v>2111</v>
      </c>
      <c r="F594" s="20">
        <v>46023</v>
      </c>
      <c r="G594" s="16">
        <v>5</v>
      </c>
      <c r="H594" s="11" t="s">
        <v>359</v>
      </c>
      <c r="I594" s="31">
        <v>442000</v>
      </c>
      <c r="J594" s="19" t="s">
        <v>768</v>
      </c>
      <c r="K594" s="19" t="s">
        <v>386</v>
      </c>
      <c r="L594" s="3" t="s">
        <v>2275</v>
      </c>
      <c r="M594" s="3" t="s">
        <v>2234</v>
      </c>
      <c r="N594" s="3" t="s">
        <v>2258</v>
      </c>
    </row>
    <row r="595" spans="1:14" x14ac:dyDescent="0.25">
      <c r="A595" s="15" t="s">
        <v>2110</v>
      </c>
      <c r="B595" s="17" t="s">
        <v>2199</v>
      </c>
      <c r="C595" s="6" t="s">
        <v>374</v>
      </c>
      <c r="D595" s="6" t="s">
        <v>374</v>
      </c>
      <c r="E595" s="7" t="s">
        <v>2111</v>
      </c>
      <c r="F595" s="20">
        <v>46023</v>
      </c>
      <c r="G595" s="17">
        <v>5</v>
      </c>
      <c r="H595" t="s">
        <v>486</v>
      </c>
      <c r="I595" s="32">
        <v>501330</v>
      </c>
      <c r="J595" s="19" t="s">
        <v>768</v>
      </c>
      <c r="K595" s="6" t="s">
        <v>386</v>
      </c>
      <c r="L595" s="3" t="s">
        <v>2275</v>
      </c>
      <c r="M595" s="3" t="s">
        <v>2234</v>
      </c>
      <c r="N595" s="3" t="s">
        <v>2258</v>
      </c>
    </row>
    <row r="596" spans="1:14" x14ac:dyDescent="0.25">
      <c r="A596" s="14" t="s">
        <v>2110</v>
      </c>
      <c r="B596" s="16" t="s">
        <v>2199</v>
      </c>
      <c r="C596" s="19" t="s">
        <v>374</v>
      </c>
      <c r="D596" s="19" t="s">
        <v>374</v>
      </c>
      <c r="E596" s="10" t="s">
        <v>2111</v>
      </c>
      <c r="F596" s="20">
        <v>46023</v>
      </c>
      <c r="G596" s="16">
        <v>5</v>
      </c>
      <c r="H596" s="11" t="s">
        <v>855</v>
      </c>
      <c r="I596" s="31">
        <v>49700</v>
      </c>
      <c r="J596" s="19" t="s">
        <v>768</v>
      </c>
      <c r="K596" s="19" t="s">
        <v>386</v>
      </c>
      <c r="L596" s="3" t="s">
        <v>2275</v>
      </c>
      <c r="M596" s="3" t="s">
        <v>2234</v>
      </c>
      <c r="N596" s="3" t="s">
        <v>2258</v>
      </c>
    </row>
    <row r="597" spans="1:14" x14ac:dyDescent="0.25">
      <c r="A597" s="15" t="s">
        <v>2110</v>
      </c>
      <c r="B597" s="17" t="s">
        <v>2199</v>
      </c>
      <c r="C597" s="6" t="s">
        <v>374</v>
      </c>
      <c r="D597" s="6" t="s">
        <v>374</v>
      </c>
      <c r="E597" s="7" t="s">
        <v>2111</v>
      </c>
      <c r="F597" s="20">
        <v>46023</v>
      </c>
      <c r="G597" s="17">
        <v>5</v>
      </c>
      <c r="H597" t="s">
        <v>2114</v>
      </c>
      <c r="I597" s="32">
        <v>70000</v>
      </c>
      <c r="J597" s="19" t="s">
        <v>768</v>
      </c>
      <c r="K597" s="6" t="s">
        <v>386</v>
      </c>
      <c r="L597" s="3" t="s">
        <v>2275</v>
      </c>
      <c r="M597" s="3" t="s">
        <v>2234</v>
      </c>
      <c r="N597" s="3" t="s">
        <v>2258</v>
      </c>
    </row>
    <row r="598" spans="1:14" x14ac:dyDescent="0.25">
      <c r="A598" s="14" t="s">
        <v>2110</v>
      </c>
      <c r="B598" s="16" t="s">
        <v>2199</v>
      </c>
      <c r="C598" s="19" t="s">
        <v>374</v>
      </c>
      <c r="D598" s="19" t="s">
        <v>374</v>
      </c>
      <c r="E598" s="10" t="s">
        <v>2111</v>
      </c>
      <c r="F598" s="20">
        <v>46023</v>
      </c>
      <c r="G598" s="16">
        <v>5</v>
      </c>
      <c r="H598" s="11" t="s">
        <v>2113</v>
      </c>
      <c r="I598" s="31">
        <v>240000</v>
      </c>
      <c r="J598" s="19" t="s">
        <v>768</v>
      </c>
      <c r="K598" s="19" t="s">
        <v>386</v>
      </c>
      <c r="L598" s="3" t="s">
        <v>2275</v>
      </c>
      <c r="M598" s="3" t="s">
        <v>2234</v>
      </c>
      <c r="N598" s="3" t="s">
        <v>2258</v>
      </c>
    </row>
    <row r="599" spans="1:14" x14ac:dyDescent="0.25">
      <c r="A599" s="15" t="s">
        <v>765</v>
      </c>
      <c r="B599" s="17" t="s">
        <v>2199</v>
      </c>
      <c r="C599" s="6" t="s">
        <v>374</v>
      </c>
      <c r="D599" s="6" t="s">
        <v>374</v>
      </c>
      <c r="E599" s="7" t="s">
        <v>766</v>
      </c>
      <c r="F599" s="20">
        <v>46082</v>
      </c>
      <c r="G599" s="17">
        <v>4</v>
      </c>
      <c r="H599" t="s">
        <v>359</v>
      </c>
      <c r="I599" s="32">
        <v>180435</v>
      </c>
      <c r="J599" s="19" t="s">
        <v>768</v>
      </c>
      <c r="K599" s="6" t="s">
        <v>386</v>
      </c>
      <c r="L599" s="3" t="s">
        <v>2275</v>
      </c>
      <c r="M599" s="3" t="s">
        <v>2234</v>
      </c>
      <c r="N599" s="3" t="s">
        <v>2258</v>
      </c>
    </row>
    <row r="600" spans="1:14" x14ac:dyDescent="0.25">
      <c r="A600" s="14" t="s">
        <v>765</v>
      </c>
      <c r="B600" s="16" t="s">
        <v>2199</v>
      </c>
      <c r="C600" s="19" t="s">
        <v>374</v>
      </c>
      <c r="D600" s="19" t="s">
        <v>374</v>
      </c>
      <c r="E600" s="10" t="s">
        <v>766</v>
      </c>
      <c r="F600" s="20">
        <v>46082</v>
      </c>
      <c r="G600" s="16">
        <v>4</v>
      </c>
      <c r="H600" s="11" t="s">
        <v>771</v>
      </c>
      <c r="I600" s="31">
        <v>27000</v>
      </c>
      <c r="J600" s="19" t="s">
        <v>768</v>
      </c>
      <c r="K600" s="19" t="s">
        <v>386</v>
      </c>
      <c r="L600" s="3" t="s">
        <v>2275</v>
      </c>
      <c r="M600" s="3" t="s">
        <v>2234</v>
      </c>
      <c r="N600" s="3" t="s">
        <v>2258</v>
      </c>
    </row>
    <row r="601" spans="1:14" x14ac:dyDescent="0.25">
      <c r="A601" s="15" t="s">
        <v>765</v>
      </c>
      <c r="B601" s="17" t="s">
        <v>2199</v>
      </c>
      <c r="C601" s="6" t="s">
        <v>374</v>
      </c>
      <c r="D601" s="6" t="s">
        <v>374</v>
      </c>
      <c r="E601" s="7" t="s">
        <v>766</v>
      </c>
      <c r="F601" s="20">
        <v>46082</v>
      </c>
      <c r="G601" s="17">
        <v>4</v>
      </c>
      <c r="H601" t="s">
        <v>195</v>
      </c>
      <c r="I601" s="32">
        <v>24399</v>
      </c>
      <c r="J601" s="19" t="s">
        <v>768</v>
      </c>
      <c r="K601" s="6" t="s">
        <v>386</v>
      </c>
      <c r="L601" s="3" t="s">
        <v>2275</v>
      </c>
      <c r="M601" s="3" t="s">
        <v>2234</v>
      </c>
      <c r="N601" s="3" t="s">
        <v>2258</v>
      </c>
    </row>
    <row r="602" spans="1:14" x14ac:dyDescent="0.25">
      <c r="A602" s="14" t="s">
        <v>765</v>
      </c>
      <c r="B602" s="16" t="s">
        <v>2199</v>
      </c>
      <c r="C602" s="19" t="s">
        <v>374</v>
      </c>
      <c r="D602" s="19" t="s">
        <v>374</v>
      </c>
      <c r="E602" s="10" t="s">
        <v>766</v>
      </c>
      <c r="F602" s="20">
        <v>46082</v>
      </c>
      <c r="G602" s="16">
        <v>4</v>
      </c>
      <c r="H602" s="11" t="s">
        <v>772</v>
      </c>
      <c r="I602" s="31">
        <v>52000</v>
      </c>
      <c r="J602" s="19" t="s">
        <v>768</v>
      </c>
      <c r="K602" s="19" t="s">
        <v>386</v>
      </c>
      <c r="L602" s="3" t="s">
        <v>2275</v>
      </c>
      <c r="M602" s="3" t="s">
        <v>2234</v>
      </c>
      <c r="N602" s="3" t="s">
        <v>2258</v>
      </c>
    </row>
    <row r="603" spans="1:14" x14ac:dyDescent="0.25">
      <c r="A603" s="15" t="s">
        <v>782</v>
      </c>
      <c r="B603" s="17" t="s">
        <v>2199</v>
      </c>
      <c r="C603" s="6" t="s">
        <v>374</v>
      </c>
      <c r="D603" s="6" t="s">
        <v>374</v>
      </c>
      <c r="E603" s="7" t="s">
        <v>784</v>
      </c>
      <c r="F603" s="20">
        <v>46023</v>
      </c>
      <c r="G603" s="17">
        <v>2</v>
      </c>
      <c r="H603" t="s">
        <v>359</v>
      </c>
      <c r="I603" s="32">
        <v>118594</v>
      </c>
      <c r="J603" s="19" t="s">
        <v>768</v>
      </c>
      <c r="K603" s="6" t="s">
        <v>386</v>
      </c>
      <c r="L603" s="3" t="s">
        <v>2275</v>
      </c>
      <c r="M603" s="3" t="s">
        <v>2234</v>
      </c>
      <c r="N603" s="3" t="s">
        <v>2258</v>
      </c>
    </row>
    <row r="604" spans="1:14" x14ac:dyDescent="0.25">
      <c r="A604" s="14" t="s">
        <v>782</v>
      </c>
      <c r="B604" s="16" t="s">
        <v>2199</v>
      </c>
      <c r="C604" s="19" t="s">
        <v>374</v>
      </c>
      <c r="D604" s="19" t="s">
        <v>374</v>
      </c>
      <c r="E604" s="10" t="s">
        <v>784</v>
      </c>
      <c r="F604" s="20">
        <v>46023</v>
      </c>
      <c r="G604" s="16">
        <v>2</v>
      </c>
      <c r="H604" s="11" t="s">
        <v>786</v>
      </c>
      <c r="I604" s="31">
        <v>147830</v>
      </c>
      <c r="J604" s="19" t="s">
        <v>768</v>
      </c>
      <c r="K604" s="19" t="s">
        <v>386</v>
      </c>
      <c r="L604" s="3" t="s">
        <v>2275</v>
      </c>
      <c r="M604" s="3" t="s">
        <v>2234</v>
      </c>
      <c r="N604" s="3" t="s">
        <v>2258</v>
      </c>
    </row>
    <row r="605" spans="1:14" x14ac:dyDescent="0.25">
      <c r="A605" s="15" t="s">
        <v>794</v>
      </c>
      <c r="B605" s="17" t="s">
        <v>2199</v>
      </c>
      <c r="C605" s="6" t="s">
        <v>374</v>
      </c>
      <c r="D605" s="6" t="s">
        <v>374</v>
      </c>
      <c r="E605" s="7" t="s">
        <v>795</v>
      </c>
      <c r="F605" s="20">
        <v>46023</v>
      </c>
      <c r="G605" s="17">
        <v>3</v>
      </c>
      <c r="H605" t="s">
        <v>740</v>
      </c>
      <c r="I605" s="32">
        <v>25200</v>
      </c>
      <c r="J605" s="19" t="s">
        <v>768</v>
      </c>
      <c r="K605" s="6" t="s">
        <v>386</v>
      </c>
      <c r="L605" s="3" t="s">
        <v>2275</v>
      </c>
      <c r="M605" s="3" t="s">
        <v>2234</v>
      </c>
      <c r="N605" s="3" t="s">
        <v>2258</v>
      </c>
    </row>
    <row r="606" spans="1:14" x14ac:dyDescent="0.25">
      <c r="A606" s="14" t="s">
        <v>794</v>
      </c>
      <c r="B606" s="16" t="s">
        <v>2199</v>
      </c>
      <c r="C606" s="19" t="s">
        <v>374</v>
      </c>
      <c r="D606" s="19" t="s">
        <v>374</v>
      </c>
      <c r="E606" s="10" t="s">
        <v>795</v>
      </c>
      <c r="F606" s="20">
        <v>46023</v>
      </c>
      <c r="G606" s="16">
        <v>3</v>
      </c>
      <c r="H606" s="11" t="s">
        <v>798</v>
      </c>
      <c r="I606" s="31">
        <v>13600</v>
      </c>
      <c r="J606" s="19" t="s">
        <v>768</v>
      </c>
      <c r="K606" s="19" t="s">
        <v>386</v>
      </c>
      <c r="L606" s="3" t="s">
        <v>2275</v>
      </c>
      <c r="M606" s="3" t="s">
        <v>2234</v>
      </c>
      <c r="N606" s="3" t="s">
        <v>2258</v>
      </c>
    </row>
    <row r="607" spans="1:14" x14ac:dyDescent="0.25">
      <c r="A607" s="15" t="s">
        <v>794</v>
      </c>
      <c r="B607" s="17" t="s">
        <v>2199</v>
      </c>
      <c r="C607" s="6" t="s">
        <v>374</v>
      </c>
      <c r="D607" s="6" t="s">
        <v>374</v>
      </c>
      <c r="E607" s="7" t="s">
        <v>795</v>
      </c>
      <c r="F607" s="20">
        <v>46023</v>
      </c>
      <c r="G607" s="17">
        <v>3</v>
      </c>
      <c r="H607" t="s">
        <v>797</v>
      </c>
      <c r="I607" s="32">
        <v>464280</v>
      </c>
      <c r="J607" s="19" t="s">
        <v>768</v>
      </c>
      <c r="K607" s="6" t="s">
        <v>386</v>
      </c>
      <c r="L607" s="3" t="s">
        <v>2275</v>
      </c>
      <c r="M607" s="3" t="s">
        <v>2234</v>
      </c>
      <c r="N607" s="3" t="s">
        <v>2258</v>
      </c>
    </row>
    <row r="608" spans="1:14" x14ac:dyDescent="0.25">
      <c r="A608" s="14" t="s">
        <v>799</v>
      </c>
      <c r="B608" s="16" t="s">
        <v>2199</v>
      </c>
      <c r="C608" s="19" t="s">
        <v>374</v>
      </c>
      <c r="D608" s="19" t="s">
        <v>374</v>
      </c>
      <c r="E608" s="10" t="s">
        <v>801</v>
      </c>
      <c r="F608" s="20">
        <v>46054</v>
      </c>
      <c r="G608" s="16">
        <v>2</v>
      </c>
      <c r="H608" s="11" t="s">
        <v>359</v>
      </c>
      <c r="I608" s="31">
        <v>13052</v>
      </c>
      <c r="J608" s="19" t="s">
        <v>768</v>
      </c>
      <c r="K608" s="19" t="s">
        <v>386</v>
      </c>
      <c r="L608" s="3" t="s">
        <v>2275</v>
      </c>
      <c r="M608" s="3" t="s">
        <v>2234</v>
      </c>
      <c r="N608" s="3" t="s">
        <v>2258</v>
      </c>
    </row>
    <row r="609" spans="1:14" x14ac:dyDescent="0.25">
      <c r="A609" s="15" t="s">
        <v>799</v>
      </c>
      <c r="B609" s="17" t="s">
        <v>2199</v>
      </c>
      <c r="C609" s="6" t="s">
        <v>374</v>
      </c>
      <c r="D609" s="6" t="s">
        <v>374</v>
      </c>
      <c r="E609" s="7" t="s">
        <v>801</v>
      </c>
      <c r="F609" s="20">
        <v>46054</v>
      </c>
      <c r="G609" s="17">
        <v>2</v>
      </c>
      <c r="H609" t="s">
        <v>786</v>
      </c>
      <c r="I609" s="32">
        <v>72618</v>
      </c>
      <c r="J609" s="19" t="s">
        <v>768</v>
      </c>
      <c r="K609" s="6" t="s">
        <v>386</v>
      </c>
      <c r="L609" s="3" t="s">
        <v>2275</v>
      </c>
      <c r="M609" s="3" t="s">
        <v>2234</v>
      </c>
      <c r="N609" s="3" t="s">
        <v>2258</v>
      </c>
    </row>
    <row r="610" spans="1:14" x14ac:dyDescent="0.25">
      <c r="A610" s="14" t="s">
        <v>822</v>
      </c>
      <c r="B610" s="16" t="s">
        <v>2199</v>
      </c>
      <c r="C610" s="19" t="s">
        <v>374</v>
      </c>
      <c r="D610" s="19" t="s">
        <v>374</v>
      </c>
      <c r="E610" s="10" t="s">
        <v>823</v>
      </c>
      <c r="F610" s="20">
        <v>46023</v>
      </c>
      <c r="G610" s="16">
        <v>3</v>
      </c>
      <c r="H610" s="11" t="s">
        <v>359</v>
      </c>
      <c r="I610" s="31">
        <v>144000</v>
      </c>
      <c r="J610" s="19" t="s">
        <v>768</v>
      </c>
      <c r="K610" s="19" t="s">
        <v>386</v>
      </c>
      <c r="L610" s="3" t="s">
        <v>2275</v>
      </c>
      <c r="M610" s="3" t="s">
        <v>2234</v>
      </c>
      <c r="N610" s="3" t="s">
        <v>2258</v>
      </c>
    </row>
    <row r="611" spans="1:14" x14ac:dyDescent="0.25">
      <c r="A611" s="15" t="s">
        <v>822</v>
      </c>
      <c r="B611" s="17" t="s">
        <v>2199</v>
      </c>
      <c r="C611" s="6" t="s">
        <v>374</v>
      </c>
      <c r="D611" s="6" t="s">
        <v>374</v>
      </c>
      <c r="E611" s="7" t="s">
        <v>823</v>
      </c>
      <c r="F611" s="20">
        <v>46023</v>
      </c>
      <c r="G611" s="17">
        <v>3</v>
      </c>
      <c r="H611" t="s">
        <v>826</v>
      </c>
      <c r="I611" s="32">
        <v>116012</v>
      </c>
      <c r="J611" s="19" t="s">
        <v>768</v>
      </c>
      <c r="K611" s="6" t="s">
        <v>386</v>
      </c>
      <c r="L611" s="3" t="s">
        <v>2275</v>
      </c>
      <c r="M611" s="3" t="s">
        <v>2234</v>
      </c>
      <c r="N611" s="3" t="s">
        <v>2258</v>
      </c>
    </row>
    <row r="612" spans="1:14" x14ac:dyDescent="0.25">
      <c r="A612" s="14" t="s">
        <v>822</v>
      </c>
      <c r="B612" s="16" t="s">
        <v>2199</v>
      </c>
      <c r="C612" s="19" t="s">
        <v>374</v>
      </c>
      <c r="D612" s="19" t="s">
        <v>374</v>
      </c>
      <c r="E612" s="10" t="s">
        <v>823</v>
      </c>
      <c r="F612" s="20">
        <v>46023</v>
      </c>
      <c r="G612" s="16">
        <v>3</v>
      </c>
      <c r="H612" s="11" t="s">
        <v>825</v>
      </c>
      <c r="I612" s="31">
        <v>190000</v>
      </c>
      <c r="J612" s="19" t="s">
        <v>768</v>
      </c>
      <c r="K612" s="19" t="s">
        <v>386</v>
      </c>
      <c r="L612" s="3" t="s">
        <v>2275</v>
      </c>
      <c r="M612" s="3" t="s">
        <v>2234</v>
      </c>
      <c r="N612" s="3" t="s">
        <v>2258</v>
      </c>
    </row>
    <row r="613" spans="1:14" x14ac:dyDescent="0.25">
      <c r="A613" s="15" t="s">
        <v>841</v>
      </c>
      <c r="B613" s="17" t="s">
        <v>2199</v>
      </c>
      <c r="C613" s="6" t="s">
        <v>374</v>
      </c>
      <c r="D613" s="6" t="s">
        <v>374</v>
      </c>
      <c r="E613" s="7" t="s">
        <v>843</v>
      </c>
      <c r="F613" s="20">
        <v>46023</v>
      </c>
      <c r="G613" s="17">
        <v>2</v>
      </c>
      <c r="H613" t="s">
        <v>846</v>
      </c>
      <c r="I613" s="32">
        <v>45000</v>
      </c>
      <c r="J613" s="19" t="s">
        <v>768</v>
      </c>
      <c r="K613" s="6" t="s">
        <v>386</v>
      </c>
      <c r="L613" s="3" t="s">
        <v>2275</v>
      </c>
      <c r="M613" s="3" t="s">
        <v>2234</v>
      </c>
      <c r="N613" s="3" t="s">
        <v>2258</v>
      </c>
    </row>
    <row r="614" spans="1:14" x14ac:dyDescent="0.25">
      <c r="A614" s="14" t="s">
        <v>841</v>
      </c>
      <c r="B614" s="16" t="s">
        <v>2199</v>
      </c>
      <c r="C614" s="19" t="s">
        <v>374</v>
      </c>
      <c r="D614" s="19" t="s">
        <v>374</v>
      </c>
      <c r="E614" s="10" t="s">
        <v>843</v>
      </c>
      <c r="F614" s="20">
        <v>46023</v>
      </c>
      <c r="G614" s="16">
        <v>2</v>
      </c>
      <c r="H614" s="11" t="s">
        <v>845</v>
      </c>
      <c r="I614" s="31">
        <v>105000</v>
      </c>
      <c r="J614" s="19" t="s">
        <v>768</v>
      </c>
      <c r="K614" s="19" t="s">
        <v>386</v>
      </c>
      <c r="L614" s="3" t="s">
        <v>2275</v>
      </c>
      <c r="M614" s="3" t="s">
        <v>2234</v>
      </c>
      <c r="N614" s="3" t="s">
        <v>2258</v>
      </c>
    </row>
    <row r="615" spans="1:14" x14ac:dyDescent="0.25">
      <c r="A615" s="15" t="s">
        <v>847</v>
      </c>
      <c r="B615" s="17" t="s">
        <v>2199</v>
      </c>
      <c r="C615" s="6" t="s">
        <v>374</v>
      </c>
      <c r="D615" s="6" t="s">
        <v>374</v>
      </c>
      <c r="E615" s="7" t="s">
        <v>848</v>
      </c>
      <c r="F615" s="20">
        <v>46204</v>
      </c>
      <c r="G615" s="17">
        <v>2</v>
      </c>
      <c r="H615" t="s">
        <v>359</v>
      </c>
      <c r="I615" s="32">
        <v>37792</v>
      </c>
      <c r="J615" s="19" t="s">
        <v>768</v>
      </c>
      <c r="K615" s="6" t="s">
        <v>386</v>
      </c>
      <c r="L615" s="3" t="s">
        <v>2275</v>
      </c>
      <c r="M615" s="3" t="s">
        <v>2234</v>
      </c>
      <c r="N615" s="3" t="s">
        <v>2258</v>
      </c>
    </row>
    <row r="616" spans="1:14" x14ac:dyDescent="0.25">
      <c r="A616" s="14" t="s">
        <v>847</v>
      </c>
      <c r="B616" s="16" t="s">
        <v>2199</v>
      </c>
      <c r="C616" s="19" t="s">
        <v>374</v>
      </c>
      <c r="D616" s="19" t="s">
        <v>374</v>
      </c>
      <c r="E616" s="10" t="s">
        <v>848</v>
      </c>
      <c r="F616" s="20">
        <v>46204</v>
      </c>
      <c r="G616" s="16">
        <v>2</v>
      </c>
      <c r="H616" s="11" t="s">
        <v>850</v>
      </c>
      <c r="I616" s="31">
        <v>35001</v>
      </c>
      <c r="J616" s="19" t="s">
        <v>768</v>
      </c>
      <c r="K616" s="19" t="s">
        <v>386</v>
      </c>
      <c r="L616" s="3" t="s">
        <v>2275</v>
      </c>
      <c r="M616" s="3" t="s">
        <v>2234</v>
      </c>
      <c r="N616" s="3" t="s">
        <v>2258</v>
      </c>
    </row>
    <row r="617" spans="1:14" x14ac:dyDescent="0.25">
      <c r="A617" s="15" t="s">
        <v>851</v>
      </c>
      <c r="B617" s="17" t="s">
        <v>2199</v>
      </c>
      <c r="C617" s="6" t="s">
        <v>374</v>
      </c>
      <c r="D617" s="6" t="s">
        <v>374</v>
      </c>
      <c r="E617" s="7" t="s">
        <v>852</v>
      </c>
      <c r="F617" s="20">
        <v>46235</v>
      </c>
      <c r="G617" s="17">
        <v>3</v>
      </c>
      <c r="H617" t="s">
        <v>854</v>
      </c>
      <c r="I617" s="32">
        <v>74022</v>
      </c>
      <c r="J617" s="19" t="s">
        <v>768</v>
      </c>
      <c r="K617" s="6" t="s">
        <v>386</v>
      </c>
      <c r="L617" s="3" t="s">
        <v>2275</v>
      </c>
      <c r="M617" s="3" t="s">
        <v>2234</v>
      </c>
      <c r="N617" s="3" t="s">
        <v>2258</v>
      </c>
    </row>
    <row r="618" spans="1:14" x14ac:dyDescent="0.25">
      <c r="A618" s="14" t="s">
        <v>851</v>
      </c>
      <c r="B618" s="16" t="s">
        <v>2199</v>
      </c>
      <c r="C618" s="19" t="s">
        <v>374</v>
      </c>
      <c r="D618" s="19" t="s">
        <v>374</v>
      </c>
      <c r="E618" s="10" t="s">
        <v>852</v>
      </c>
      <c r="F618" s="20">
        <v>46235</v>
      </c>
      <c r="G618" s="16">
        <v>3</v>
      </c>
      <c r="H618" s="11" t="s">
        <v>855</v>
      </c>
      <c r="I618" s="31">
        <v>15000</v>
      </c>
      <c r="J618" s="19" t="s">
        <v>768</v>
      </c>
      <c r="K618" s="19" t="s">
        <v>386</v>
      </c>
      <c r="L618" s="3" t="s">
        <v>2275</v>
      </c>
      <c r="M618" s="3" t="s">
        <v>2234</v>
      </c>
      <c r="N618" s="3" t="s">
        <v>2258</v>
      </c>
    </row>
    <row r="619" spans="1:14" x14ac:dyDescent="0.25">
      <c r="A619" s="15" t="s">
        <v>851</v>
      </c>
      <c r="B619" s="17" t="s">
        <v>2199</v>
      </c>
      <c r="C619" s="6" t="s">
        <v>374</v>
      </c>
      <c r="D619" s="6" t="s">
        <v>374</v>
      </c>
      <c r="E619" s="7" t="s">
        <v>852</v>
      </c>
      <c r="F619" s="20">
        <v>46235</v>
      </c>
      <c r="G619" s="17">
        <v>3</v>
      </c>
      <c r="H619" t="s">
        <v>602</v>
      </c>
      <c r="I619" s="32">
        <v>500000</v>
      </c>
      <c r="J619" s="19" t="s">
        <v>768</v>
      </c>
      <c r="K619" s="6" t="s">
        <v>386</v>
      </c>
      <c r="L619" s="3" t="s">
        <v>2275</v>
      </c>
      <c r="M619" s="3" t="s">
        <v>2234</v>
      </c>
      <c r="N619" s="3" t="s">
        <v>2258</v>
      </c>
    </row>
    <row r="620" spans="1:14" x14ac:dyDescent="0.25">
      <c r="A620" s="14" t="s">
        <v>856</v>
      </c>
      <c r="B620" s="16" t="s">
        <v>2199</v>
      </c>
      <c r="C620" s="19" t="s">
        <v>374</v>
      </c>
      <c r="D620" s="19" t="s">
        <v>374</v>
      </c>
      <c r="E620" s="10" t="s">
        <v>857</v>
      </c>
      <c r="F620" s="20">
        <v>46082</v>
      </c>
      <c r="G620" s="16">
        <v>1</v>
      </c>
      <c r="H620" s="11" t="s">
        <v>859</v>
      </c>
      <c r="I620" s="31">
        <v>300000</v>
      </c>
      <c r="J620" s="19" t="s">
        <v>768</v>
      </c>
      <c r="K620" s="19" t="s">
        <v>386</v>
      </c>
      <c r="L620" s="3" t="s">
        <v>2275</v>
      </c>
      <c r="M620" s="3" t="s">
        <v>2234</v>
      </c>
      <c r="N620" s="3" t="s">
        <v>2258</v>
      </c>
    </row>
    <row r="621" spans="1:14" x14ac:dyDescent="0.25">
      <c r="A621" s="15" t="s">
        <v>915</v>
      </c>
      <c r="B621" s="17" t="s">
        <v>2199</v>
      </c>
      <c r="C621" s="6" t="s">
        <v>374</v>
      </c>
      <c r="D621" s="6" t="s">
        <v>374</v>
      </c>
      <c r="E621" s="7" t="s">
        <v>916</v>
      </c>
      <c r="F621" s="20">
        <v>46327</v>
      </c>
      <c r="G621" s="17">
        <v>4</v>
      </c>
      <c r="H621" t="s">
        <v>359</v>
      </c>
      <c r="I621" s="32">
        <v>85250</v>
      </c>
      <c r="J621" s="19" t="s">
        <v>768</v>
      </c>
      <c r="K621" s="6" t="s">
        <v>386</v>
      </c>
      <c r="L621" s="3" t="s">
        <v>2275</v>
      </c>
      <c r="M621" s="3" t="s">
        <v>2234</v>
      </c>
      <c r="N621" s="3" t="s">
        <v>2258</v>
      </c>
    </row>
    <row r="622" spans="1:14" x14ac:dyDescent="0.25">
      <c r="A622" s="14" t="s">
        <v>915</v>
      </c>
      <c r="B622" s="16" t="s">
        <v>2199</v>
      </c>
      <c r="C622" s="19" t="s">
        <v>374</v>
      </c>
      <c r="D622" s="19" t="s">
        <v>374</v>
      </c>
      <c r="E622" s="10" t="s">
        <v>916</v>
      </c>
      <c r="F622" s="20">
        <v>46327</v>
      </c>
      <c r="G622" s="16">
        <v>4</v>
      </c>
      <c r="H622" s="11" t="s">
        <v>918</v>
      </c>
      <c r="I622" s="31">
        <v>23700</v>
      </c>
      <c r="J622" s="19" t="s">
        <v>768</v>
      </c>
      <c r="K622" s="19" t="s">
        <v>386</v>
      </c>
      <c r="L622" s="3" t="s">
        <v>2275</v>
      </c>
      <c r="M622" s="3" t="s">
        <v>2234</v>
      </c>
      <c r="N622" s="3" t="s">
        <v>2258</v>
      </c>
    </row>
    <row r="623" spans="1:14" x14ac:dyDescent="0.25">
      <c r="A623" s="15" t="s">
        <v>915</v>
      </c>
      <c r="B623" s="17" t="s">
        <v>2199</v>
      </c>
      <c r="C623" s="6" t="s">
        <v>374</v>
      </c>
      <c r="D623" s="6" t="s">
        <v>374</v>
      </c>
      <c r="E623" s="7" t="s">
        <v>916</v>
      </c>
      <c r="F623" s="20">
        <v>46327</v>
      </c>
      <c r="G623" s="17">
        <v>4</v>
      </c>
      <c r="H623" t="s">
        <v>786</v>
      </c>
      <c r="I623" s="32">
        <v>40920</v>
      </c>
      <c r="J623" s="19" t="s">
        <v>768</v>
      </c>
      <c r="K623" s="6" t="s">
        <v>386</v>
      </c>
      <c r="L623" s="3" t="s">
        <v>2275</v>
      </c>
      <c r="M623" s="3" t="s">
        <v>2234</v>
      </c>
      <c r="N623" s="3" t="s">
        <v>2258</v>
      </c>
    </row>
    <row r="624" spans="1:14" x14ac:dyDescent="0.25">
      <c r="A624" s="14" t="s">
        <v>915</v>
      </c>
      <c r="B624" s="16" t="s">
        <v>2199</v>
      </c>
      <c r="C624" s="19" t="s">
        <v>374</v>
      </c>
      <c r="D624" s="19" t="s">
        <v>374</v>
      </c>
      <c r="E624" s="10" t="s">
        <v>916</v>
      </c>
      <c r="F624" s="20">
        <v>46327</v>
      </c>
      <c r="G624" s="16">
        <v>4</v>
      </c>
      <c r="H624" s="11" t="s">
        <v>602</v>
      </c>
      <c r="I624" s="31">
        <v>250000</v>
      </c>
      <c r="J624" s="19" t="s">
        <v>768</v>
      </c>
      <c r="K624" s="19" t="s">
        <v>386</v>
      </c>
      <c r="L624" s="3" t="s">
        <v>2275</v>
      </c>
      <c r="M624" s="3" t="s">
        <v>2234</v>
      </c>
      <c r="N624" s="3" t="s">
        <v>2258</v>
      </c>
    </row>
    <row r="625" spans="1:14" x14ac:dyDescent="0.25">
      <c r="A625" s="15" t="s">
        <v>919</v>
      </c>
      <c r="B625" s="17" t="s">
        <v>2199</v>
      </c>
      <c r="C625" s="6" t="s">
        <v>374</v>
      </c>
      <c r="D625" s="6" t="s">
        <v>374</v>
      </c>
      <c r="E625" s="7" t="s">
        <v>920</v>
      </c>
      <c r="F625" s="20">
        <v>46023</v>
      </c>
      <c r="G625" s="17">
        <v>1</v>
      </c>
      <c r="H625" t="s">
        <v>786</v>
      </c>
      <c r="I625" s="32">
        <v>159016</v>
      </c>
      <c r="J625" s="19" t="s">
        <v>768</v>
      </c>
      <c r="K625" s="6" t="s">
        <v>386</v>
      </c>
      <c r="L625" s="3" t="s">
        <v>2275</v>
      </c>
      <c r="M625" s="3" t="s">
        <v>2234</v>
      </c>
      <c r="N625" s="3" t="s">
        <v>2258</v>
      </c>
    </row>
    <row r="626" spans="1:14" x14ac:dyDescent="0.25">
      <c r="A626" s="14" t="s">
        <v>927</v>
      </c>
      <c r="B626" s="16" t="s">
        <v>2199</v>
      </c>
      <c r="C626" s="19" t="s">
        <v>374</v>
      </c>
      <c r="D626" s="19" t="s">
        <v>374</v>
      </c>
      <c r="E626" s="10" t="s">
        <v>928</v>
      </c>
      <c r="F626" s="20">
        <v>46054</v>
      </c>
      <c r="G626" s="16">
        <v>3</v>
      </c>
      <c r="H626" s="11" t="s">
        <v>359</v>
      </c>
      <c r="I626" s="31">
        <v>392191</v>
      </c>
      <c r="J626" s="19" t="s">
        <v>768</v>
      </c>
      <c r="K626" s="19" t="s">
        <v>386</v>
      </c>
      <c r="L626" s="3" t="s">
        <v>2275</v>
      </c>
      <c r="M626" s="3" t="s">
        <v>2234</v>
      </c>
      <c r="N626" s="3" t="s">
        <v>2258</v>
      </c>
    </row>
    <row r="627" spans="1:14" x14ac:dyDescent="0.25">
      <c r="A627" s="15" t="s">
        <v>927</v>
      </c>
      <c r="B627" s="17" t="s">
        <v>2199</v>
      </c>
      <c r="C627" s="6" t="s">
        <v>374</v>
      </c>
      <c r="D627" s="6" t="s">
        <v>374</v>
      </c>
      <c r="E627" s="7" t="s">
        <v>928</v>
      </c>
      <c r="F627" s="20">
        <v>46054</v>
      </c>
      <c r="G627" s="17">
        <v>3</v>
      </c>
      <c r="H627" t="s">
        <v>855</v>
      </c>
      <c r="I627" s="32">
        <v>39600</v>
      </c>
      <c r="J627" s="19" t="s">
        <v>768</v>
      </c>
      <c r="K627" s="6" t="s">
        <v>386</v>
      </c>
      <c r="L627" s="3" t="s">
        <v>2275</v>
      </c>
      <c r="M627" s="3" t="s">
        <v>2234</v>
      </c>
      <c r="N627" s="3" t="s">
        <v>2258</v>
      </c>
    </row>
    <row r="628" spans="1:14" x14ac:dyDescent="0.25">
      <c r="A628" s="14" t="s">
        <v>927</v>
      </c>
      <c r="B628" s="16" t="s">
        <v>2199</v>
      </c>
      <c r="C628" s="19" t="s">
        <v>374</v>
      </c>
      <c r="D628" s="19" t="s">
        <v>374</v>
      </c>
      <c r="E628" s="10" t="s">
        <v>928</v>
      </c>
      <c r="F628" s="20">
        <v>46054</v>
      </c>
      <c r="G628" s="16">
        <v>3</v>
      </c>
      <c r="H628" s="11" t="s">
        <v>602</v>
      </c>
      <c r="I628" s="31">
        <v>700000</v>
      </c>
      <c r="J628" s="19" t="s">
        <v>768</v>
      </c>
      <c r="K628" s="19" t="s">
        <v>386</v>
      </c>
      <c r="L628" s="3" t="s">
        <v>2275</v>
      </c>
      <c r="M628" s="3" t="s">
        <v>2234</v>
      </c>
      <c r="N628" s="3" t="s">
        <v>2258</v>
      </c>
    </row>
    <row r="629" spans="1:14" x14ac:dyDescent="0.25">
      <c r="A629" s="15" t="s">
        <v>1052</v>
      </c>
      <c r="B629" s="17" t="s">
        <v>2199</v>
      </c>
      <c r="C629" s="6" t="s">
        <v>374</v>
      </c>
      <c r="D629" s="6" t="s">
        <v>374</v>
      </c>
      <c r="E629" s="7" t="s">
        <v>1053</v>
      </c>
      <c r="F629" s="20">
        <v>46082</v>
      </c>
      <c r="G629" s="17">
        <v>2</v>
      </c>
      <c r="H629" t="s">
        <v>359</v>
      </c>
      <c r="I629" s="32">
        <v>176460</v>
      </c>
      <c r="J629" s="19" t="s">
        <v>768</v>
      </c>
      <c r="K629" s="6" t="s">
        <v>386</v>
      </c>
      <c r="L629" s="3" t="s">
        <v>2275</v>
      </c>
      <c r="M629" s="3" t="s">
        <v>2234</v>
      </c>
      <c r="N629" s="3" t="s">
        <v>2258</v>
      </c>
    </row>
    <row r="630" spans="1:14" x14ac:dyDescent="0.25">
      <c r="A630" s="14" t="s">
        <v>1052</v>
      </c>
      <c r="B630" s="16" t="s">
        <v>2199</v>
      </c>
      <c r="C630" s="19" t="s">
        <v>374</v>
      </c>
      <c r="D630" s="19" t="s">
        <v>374</v>
      </c>
      <c r="E630" s="10" t="s">
        <v>1053</v>
      </c>
      <c r="F630" s="20">
        <v>46082</v>
      </c>
      <c r="G630" s="16">
        <v>2</v>
      </c>
      <c r="H630" s="11" t="s">
        <v>855</v>
      </c>
      <c r="I630" s="31">
        <v>35400</v>
      </c>
      <c r="J630" s="19" t="s">
        <v>768</v>
      </c>
      <c r="K630" s="19" t="s">
        <v>386</v>
      </c>
      <c r="L630" s="3" t="s">
        <v>2275</v>
      </c>
      <c r="M630" s="3" t="s">
        <v>2234</v>
      </c>
      <c r="N630" s="3" t="s">
        <v>2258</v>
      </c>
    </row>
    <row r="631" spans="1:14" x14ac:dyDescent="0.25">
      <c r="A631" s="15" t="s">
        <v>1055</v>
      </c>
      <c r="B631" s="17" t="s">
        <v>2199</v>
      </c>
      <c r="C631" s="6" t="s">
        <v>374</v>
      </c>
      <c r="D631" s="6" t="s">
        <v>374</v>
      </c>
      <c r="E631" s="7" t="s">
        <v>1056</v>
      </c>
      <c r="F631" s="20">
        <v>46082</v>
      </c>
      <c r="G631" s="17">
        <v>4</v>
      </c>
      <c r="H631" t="s">
        <v>359</v>
      </c>
      <c r="I631" s="32">
        <v>176460</v>
      </c>
      <c r="J631" s="19" t="s">
        <v>768</v>
      </c>
      <c r="K631" s="6" t="s">
        <v>386</v>
      </c>
      <c r="L631" s="3" t="s">
        <v>2275</v>
      </c>
      <c r="M631" s="3" t="s">
        <v>2234</v>
      </c>
      <c r="N631" s="3" t="s">
        <v>2258</v>
      </c>
    </row>
    <row r="632" spans="1:14" x14ac:dyDescent="0.25">
      <c r="A632" s="14" t="s">
        <v>1055</v>
      </c>
      <c r="B632" s="16" t="s">
        <v>2199</v>
      </c>
      <c r="C632" s="19" t="s">
        <v>374</v>
      </c>
      <c r="D632" s="19" t="s">
        <v>374</v>
      </c>
      <c r="E632" s="10" t="s">
        <v>1056</v>
      </c>
      <c r="F632" s="20">
        <v>46082</v>
      </c>
      <c r="G632" s="16">
        <v>4</v>
      </c>
      <c r="H632" s="11" t="s">
        <v>486</v>
      </c>
      <c r="I632" s="31">
        <v>15000</v>
      </c>
      <c r="J632" s="19" t="s">
        <v>768</v>
      </c>
      <c r="K632" s="19" t="s">
        <v>386</v>
      </c>
      <c r="L632" s="3" t="s">
        <v>2275</v>
      </c>
      <c r="M632" s="3" t="s">
        <v>2234</v>
      </c>
      <c r="N632" s="3" t="s">
        <v>2258</v>
      </c>
    </row>
    <row r="633" spans="1:14" x14ac:dyDescent="0.25">
      <c r="A633" s="15" t="s">
        <v>1055</v>
      </c>
      <c r="B633" s="17" t="s">
        <v>2199</v>
      </c>
      <c r="C633" s="19" t="s">
        <v>374</v>
      </c>
      <c r="D633" s="6" t="s">
        <v>374</v>
      </c>
      <c r="E633" s="7" t="s">
        <v>1056</v>
      </c>
      <c r="F633" s="20">
        <v>46082</v>
      </c>
      <c r="G633" s="17">
        <v>4</v>
      </c>
      <c r="H633" t="s">
        <v>855</v>
      </c>
      <c r="I633" s="32">
        <v>20400</v>
      </c>
      <c r="J633" s="19" t="s">
        <v>768</v>
      </c>
      <c r="K633" s="6" t="s">
        <v>386</v>
      </c>
      <c r="L633" s="3" t="s">
        <v>2275</v>
      </c>
      <c r="M633" s="3" t="s">
        <v>2234</v>
      </c>
      <c r="N633" s="3" t="s">
        <v>2258</v>
      </c>
    </row>
    <row r="634" spans="1:14" x14ac:dyDescent="0.25">
      <c r="A634" s="14" t="s">
        <v>1055</v>
      </c>
      <c r="B634" s="16" t="s">
        <v>2199</v>
      </c>
      <c r="C634" s="19" t="s">
        <v>374</v>
      </c>
      <c r="D634" s="19" t="s">
        <v>374</v>
      </c>
      <c r="E634" s="10" t="s">
        <v>1056</v>
      </c>
      <c r="F634" s="20">
        <v>46082</v>
      </c>
      <c r="G634" s="16">
        <v>4</v>
      </c>
      <c r="H634" s="11" t="s">
        <v>1058</v>
      </c>
      <c r="I634" s="31">
        <v>52000</v>
      </c>
      <c r="J634" s="19" t="s">
        <v>768</v>
      </c>
      <c r="K634" s="19" t="s">
        <v>386</v>
      </c>
      <c r="L634" s="3" t="s">
        <v>2275</v>
      </c>
      <c r="M634" s="3" t="s">
        <v>2234</v>
      </c>
      <c r="N634" s="3" t="s">
        <v>2258</v>
      </c>
    </row>
    <row r="635" spans="1:14" x14ac:dyDescent="0.25">
      <c r="A635" s="15" t="s">
        <v>1143</v>
      </c>
      <c r="B635" s="17" t="s">
        <v>2199</v>
      </c>
      <c r="C635" s="19" t="s">
        <v>374</v>
      </c>
      <c r="D635" s="6" t="s">
        <v>374</v>
      </c>
      <c r="E635" s="7" t="s">
        <v>1144</v>
      </c>
      <c r="F635" s="20">
        <v>46235</v>
      </c>
      <c r="G635" s="17">
        <v>4</v>
      </c>
      <c r="H635" t="s">
        <v>359</v>
      </c>
      <c r="I635" s="32">
        <v>89504</v>
      </c>
      <c r="J635" s="19" t="s">
        <v>768</v>
      </c>
      <c r="K635" s="6" t="s">
        <v>386</v>
      </c>
      <c r="L635" s="3" t="s">
        <v>2275</v>
      </c>
      <c r="M635" s="3" t="s">
        <v>2234</v>
      </c>
      <c r="N635" s="3" t="s">
        <v>2258</v>
      </c>
    </row>
    <row r="636" spans="1:14" x14ac:dyDescent="0.25">
      <c r="A636" s="14" t="s">
        <v>1143</v>
      </c>
      <c r="B636" s="16" t="s">
        <v>2199</v>
      </c>
      <c r="C636" s="19" t="s">
        <v>374</v>
      </c>
      <c r="D636" s="19" t="s">
        <v>374</v>
      </c>
      <c r="E636" s="10" t="s">
        <v>1144</v>
      </c>
      <c r="F636" s="20">
        <v>46235</v>
      </c>
      <c r="G636" s="16">
        <v>4</v>
      </c>
      <c r="H636" s="11" t="s">
        <v>1148</v>
      </c>
      <c r="I636" s="31">
        <v>110000</v>
      </c>
      <c r="J636" s="19" t="s">
        <v>768</v>
      </c>
      <c r="K636" s="19" t="s">
        <v>386</v>
      </c>
      <c r="L636" s="3" t="s">
        <v>2275</v>
      </c>
      <c r="M636" s="3" t="s">
        <v>2234</v>
      </c>
      <c r="N636" s="3" t="s">
        <v>2258</v>
      </c>
    </row>
    <row r="637" spans="1:14" x14ac:dyDescent="0.25">
      <c r="A637" s="15" t="s">
        <v>1143</v>
      </c>
      <c r="B637" s="17" t="s">
        <v>2199</v>
      </c>
      <c r="C637" s="19" t="s">
        <v>374</v>
      </c>
      <c r="D637" s="6" t="s">
        <v>374</v>
      </c>
      <c r="E637" s="7" t="s">
        <v>1144</v>
      </c>
      <c r="F637" s="20">
        <v>46235</v>
      </c>
      <c r="G637" s="17">
        <v>4</v>
      </c>
      <c r="H637" t="s">
        <v>1147</v>
      </c>
      <c r="I637" s="32">
        <v>25000</v>
      </c>
      <c r="J637" s="19" t="s">
        <v>768</v>
      </c>
      <c r="K637" s="6" t="s">
        <v>386</v>
      </c>
      <c r="L637" s="3" t="s">
        <v>2275</v>
      </c>
      <c r="M637" s="3" t="s">
        <v>2234</v>
      </c>
      <c r="N637" s="3" t="s">
        <v>2258</v>
      </c>
    </row>
    <row r="638" spans="1:14" x14ac:dyDescent="0.25">
      <c r="A638" s="14" t="s">
        <v>1143</v>
      </c>
      <c r="B638" s="16" t="s">
        <v>2199</v>
      </c>
      <c r="C638" s="19" t="s">
        <v>374</v>
      </c>
      <c r="D638" s="19" t="s">
        <v>374</v>
      </c>
      <c r="E638" s="10" t="s">
        <v>1144</v>
      </c>
      <c r="F638" s="20">
        <v>46235</v>
      </c>
      <c r="G638" s="16">
        <v>4</v>
      </c>
      <c r="H638" s="11" t="s">
        <v>1146</v>
      </c>
      <c r="I638" s="31">
        <v>25000</v>
      </c>
      <c r="J638" s="19" t="s">
        <v>768</v>
      </c>
      <c r="K638" s="19" t="s">
        <v>386</v>
      </c>
      <c r="L638" s="3" t="s">
        <v>2275</v>
      </c>
      <c r="M638" s="3" t="s">
        <v>2234</v>
      </c>
      <c r="N638" s="3" t="s">
        <v>2258</v>
      </c>
    </row>
    <row r="639" spans="1:14" x14ac:dyDescent="0.25">
      <c r="A639" s="15" t="s">
        <v>1264</v>
      </c>
      <c r="B639" s="17" t="s">
        <v>2199</v>
      </c>
      <c r="C639" s="19" t="s">
        <v>374</v>
      </c>
      <c r="D639" s="6" t="s">
        <v>374</v>
      </c>
      <c r="E639" s="7" t="s">
        <v>1266</v>
      </c>
      <c r="F639" s="20">
        <v>46082</v>
      </c>
      <c r="G639" s="17">
        <v>3</v>
      </c>
      <c r="H639" t="s">
        <v>1268</v>
      </c>
      <c r="I639" s="32">
        <v>15600</v>
      </c>
      <c r="J639" s="19" t="s">
        <v>768</v>
      </c>
      <c r="K639" s="6" t="s">
        <v>386</v>
      </c>
      <c r="L639" s="3" t="s">
        <v>2275</v>
      </c>
      <c r="M639" s="3" t="s">
        <v>2234</v>
      </c>
      <c r="N639" s="3" t="s">
        <v>2258</v>
      </c>
    </row>
    <row r="640" spans="1:14" x14ac:dyDescent="0.25">
      <c r="A640" s="14" t="s">
        <v>1264</v>
      </c>
      <c r="B640" s="16" t="s">
        <v>2199</v>
      </c>
      <c r="C640" s="19" t="s">
        <v>374</v>
      </c>
      <c r="D640" s="19" t="s">
        <v>374</v>
      </c>
      <c r="E640" s="10" t="s">
        <v>1266</v>
      </c>
      <c r="F640" s="20">
        <v>46082</v>
      </c>
      <c r="G640" s="16">
        <v>3</v>
      </c>
      <c r="H640" s="11" t="s">
        <v>786</v>
      </c>
      <c r="I640" s="31">
        <v>245531</v>
      </c>
      <c r="J640" s="19" t="s">
        <v>768</v>
      </c>
      <c r="K640" s="19" t="s">
        <v>386</v>
      </c>
      <c r="L640" s="3" t="s">
        <v>2275</v>
      </c>
      <c r="M640" s="3" t="s">
        <v>2234</v>
      </c>
      <c r="N640" s="3" t="s">
        <v>2258</v>
      </c>
    </row>
    <row r="641" spans="1:14" x14ac:dyDescent="0.25">
      <c r="A641" s="15" t="s">
        <v>1264</v>
      </c>
      <c r="B641" s="17" t="s">
        <v>2199</v>
      </c>
      <c r="C641" s="19" t="s">
        <v>374</v>
      </c>
      <c r="D641" s="6" t="s">
        <v>374</v>
      </c>
      <c r="E641" s="7" t="s">
        <v>1266</v>
      </c>
      <c r="F641" s="20">
        <v>46082</v>
      </c>
      <c r="G641" s="17">
        <v>3</v>
      </c>
      <c r="H641" t="s">
        <v>772</v>
      </c>
      <c r="I641" s="32">
        <v>16000</v>
      </c>
      <c r="J641" s="19" t="s">
        <v>768</v>
      </c>
      <c r="K641" s="6" t="s">
        <v>386</v>
      </c>
      <c r="L641" s="3" t="s">
        <v>2275</v>
      </c>
      <c r="M641" s="3" t="s">
        <v>2234</v>
      </c>
      <c r="N641" s="3" t="s">
        <v>2258</v>
      </c>
    </row>
    <row r="642" spans="1:14" x14ac:dyDescent="0.25">
      <c r="A642" s="14" t="s">
        <v>382</v>
      </c>
      <c r="B642" s="16" t="s">
        <v>2196</v>
      </c>
      <c r="C642" s="16" t="s">
        <v>2196</v>
      </c>
      <c r="D642" s="19" t="s">
        <v>28</v>
      </c>
      <c r="E642" s="10" t="s">
        <v>383</v>
      </c>
      <c r="F642" s="20">
        <v>45870</v>
      </c>
      <c r="G642" s="16">
        <v>1</v>
      </c>
      <c r="H642" s="11" t="s">
        <v>326</v>
      </c>
      <c r="I642" s="31">
        <v>16041663</v>
      </c>
      <c r="J642" s="19" t="s">
        <v>385</v>
      </c>
      <c r="K642" s="19" t="s">
        <v>386</v>
      </c>
      <c r="L642" s="3" t="s">
        <v>2275</v>
      </c>
      <c r="M642" s="3" t="s">
        <v>2234</v>
      </c>
      <c r="N642" s="3" t="s">
        <v>2258</v>
      </c>
    </row>
    <row r="643" spans="1:14" x14ac:dyDescent="0.25">
      <c r="A643" s="15" t="s">
        <v>729</v>
      </c>
      <c r="B643" s="17" t="s">
        <v>2199</v>
      </c>
      <c r="C643" s="19" t="s">
        <v>28</v>
      </c>
      <c r="D643" s="6" t="s">
        <v>28</v>
      </c>
      <c r="E643" s="7" t="s">
        <v>731</v>
      </c>
      <c r="F643" s="20">
        <v>46082</v>
      </c>
      <c r="G643" s="17">
        <v>1</v>
      </c>
      <c r="H643" t="s">
        <v>359</v>
      </c>
      <c r="I643" s="32">
        <v>1352694</v>
      </c>
      <c r="J643" s="19" t="s">
        <v>733</v>
      </c>
      <c r="K643" s="6" t="s">
        <v>734</v>
      </c>
      <c r="L643" s="3" t="s">
        <v>2232</v>
      </c>
      <c r="M643" s="3" t="s">
        <v>2234</v>
      </c>
      <c r="N643" s="3" t="s">
        <v>2265</v>
      </c>
    </row>
    <row r="644" spans="1:14" x14ac:dyDescent="0.25">
      <c r="A644" s="14" t="s">
        <v>1193</v>
      </c>
      <c r="B644" s="16" t="s">
        <v>2199</v>
      </c>
      <c r="C644" s="19" t="s">
        <v>374</v>
      </c>
      <c r="D644" s="19" t="s">
        <v>374</v>
      </c>
      <c r="E644" s="10" t="s">
        <v>1194</v>
      </c>
      <c r="F644" s="20">
        <v>46204</v>
      </c>
      <c r="G644" s="16">
        <v>2</v>
      </c>
      <c r="H644" s="11" t="s">
        <v>602</v>
      </c>
      <c r="I644" s="31">
        <v>750000</v>
      </c>
      <c r="J644" s="19" t="s">
        <v>733</v>
      </c>
      <c r="K644" s="19" t="s">
        <v>734</v>
      </c>
      <c r="L644" s="3" t="s">
        <v>2232</v>
      </c>
      <c r="M644" s="3" t="s">
        <v>2234</v>
      </c>
      <c r="N644" s="3" t="s">
        <v>2265</v>
      </c>
    </row>
    <row r="645" spans="1:14" x14ac:dyDescent="0.25">
      <c r="A645" s="15" t="s">
        <v>1193</v>
      </c>
      <c r="B645" s="17" t="s">
        <v>2199</v>
      </c>
      <c r="C645" s="19" t="s">
        <v>374</v>
      </c>
      <c r="D645" s="6" t="s">
        <v>374</v>
      </c>
      <c r="E645" s="7" t="s">
        <v>1194</v>
      </c>
      <c r="F645" s="20">
        <v>46296</v>
      </c>
      <c r="G645" s="17">
        <v>2</v>
      </c>
      <c r="H645" t="s">
        <v>602</v>
      </c>
      <c r="I645" s="32">
        <v>750000</v>
      </c>
      <c r="J645" s="19" t="s">
        <v>733</v>
      </c>
      <c r="K645" s="6" t="s">
        <v>734</v>
      </c>
      <c r="L645" s="3" t="s">
        <v>2232</v>
      </c>
      <c r="M645" s="3" t="s">
        <v>2234</v>
      </c>
      <c r="N645" s="3" t="s">
        <v>2265</v>
      </c>
    </row>
    <row r="646" spans="1:14" x14ac:dyDescent="0.25">
      <c r="A646" s="14" t="s">
        <v>1092</v>
      </c>
      <c r="B646" s="16" t="s">
        <v>2199</v>
      </c>
      <c r="C646" s="19" t="s">
        <v>28</v>
      </c>
      <c r="D646" s="19" t="s">
        <v>28</v>
      </c>
      <c r="E646" s="10" t="s">
        <v>1093</v>
      </c>
      <c r="F646" s="20">
        <v>46296</v>
      </c>
      <c r="G646" s="16">
        <v>1</v>
      </c>
      <c r="H646" s="11" t="s">
        <v>486</v>
      </c>
      <c r="I646" s="31">
        <v>624234</v>
      </c>
      <c r="J646" s="19" t="s">
        <v>1095</v>
      </c>
      <c r="K646" s="19" t="s">
        <v>1096</v>
      </c>
      <c r="L646" s="3" t="s">
        <v>2250</v>
      </c>
      <c r="M646" s="3" t="s">
        <v>2227</v>
      </c>
      <c r="N646" s="3" t="s">
        <v>2261</v>
      </c>
    </row>
    <row r="647" spans="1:14" x14ac:dyDescent="0.25">
      <c r="A647" s="15" t="s">
        <v>499</v>
      </c>
      <c r="B647" s="17" t="s">
        <v>2196</v>
      </c>
      <c r="C647" s="16" t="s">
        <v>2196</v>
      </c>
      <c r="D647" s="6" t="s">
        <v>28</v>
      </c>
      <c r="E647" s="7" t="s">
        <v>501</v>
      </c>
      <c r="F647" s="20">
        <v>45870</v>
      </c>
      <c r="G647" s="17">
        <v>1</v>
      </c>
      <c r="H647" t="s">
        <v>503</v>
      </c>
      <c r="I647" s="32">
        <v>56250000</v>
      </c>
      <c r="J647" s="19" t="s">
        <v>505</v>
      </c>
      <c r="K647" s="6" t="s">
        <v>506</v>
      </c>
      <c r="L647" s="3" t="s">
        <v>2276</v>
      </c>
      <c r="M647" s="3" t="s">
        <v>2234</v>
      </c>
      <c r="N647" s="3" t="s">
        <v>2277</v>
      </c>
    </row>
    <row r="648" spans="1:14" x14ac:dyDescent="0.25">
      <c r="A648" s="14" t="s">
        <v>1103</v>
      </c>
      <c r="B648" s="16" t="s">
        <v>2199</v>
      </c>
      <c r="C648" s="19" t="s">
        <v>28</v>
      </c>
      <c r="D648" s="19" t="s">
        <v>28</v>
      </c>
      <c r="E648" s="10" t="s">
        <v>1104</v>
      </c>
      <c r="F648" s="20">
        <v>46296</v>
      </c>
      <c r="G648" s="16">
        <v>1</v>
      </c>
      <c r="H648" s="11" t="s">
        <v>807</v>
      </c>
      <c r="I648" s="31">
        <v>5696005</v>
      </c>
      <c r="J648" s="19" t="s">
        <v>1106</v>
      </c>
      <c r="K648" s="19" t="s">
        <v>1107</v>
      </c>
      <c r="L648" s="3" t="s">
        <v>2233</v>
      </c>
      <c r="M648" s="3" t="s">
        <v>2256</v>
      </c>
      <c r="N648" s="3" t="s">
        <v>2266</v>
      </c>
    </row>
    <row r="649" spans="1:14" x14ac:dyDescent="0.25">
      <c r="A649" s="15" t="s">
        <v>1334</v>
      </c>
      <c r="B649" s="17" t="s">
        <v>2199</v>
      </c>
      <c r="C649" s="19" t="s">
        <v>1304</v>
      </c>
      <c r="D649" s="6" t="s">
        <v>1304</v>
      </c>
      <c r="E649" s="7" t="s">
        <v>1335</v>
      </c>
      <c r="F649" s="20">
        <v>46357</v>
      </c>
      <c r="G649" s="17">
        <v>1</v>
      </c>
      <c r="H649" t="s">
        <v>807</v>
      </c>
      <c r="I649" s="32">
        <v>9814756</v>
      </c>
      <c r="J649" s="19" t="s">
        <v>1337</v>
      </c>
      <c r="K649" s="6" t="s">
        <v>1107</v>
      </c>
      <c r="L649" s="3" t="s">
        <v>2237</v>
      </c>
      <c r="M649" s="3" t="s">
        <v>2256</v>
      </c>
      <c r="N649" s="3" t="s">
        <v>2266</v>
      </c>
    </row>
    <row r="650" spans="1:14" x14ac:dyDescent="0.25">
      <c r="A650" s="14" t="s">
        <v>1311</v>
      </c>
      <c r="B650" s="16" t="s">
        <v>2199</v>
      </c>
      <c r="C650" s="19" t="s">
        <v>1304</v>
      </c>
      <c r="D650" s="19" t="s">
        <v>1304</v>
      </c>
      <c r="E650" s="10" t="s">
        <v>1313</v>
      </c>
      <c r="F650" s="20">
        <v>46266</v>
      </c>
      <c r="G650" s="16">
        <v>1</v>
      </c>
      <c r="H650" s="11" t="s">
        <v>807</v>
      </c>
      <c r="I650" s="31">
        <v>250000000</v>
      </c>
      <c r="J650" s="19" t="s">
        <v>1315</v>
      </c>
      <c r="K650" s="19" t="s">
        <v>1316</v>
      </c>
      <c r="L650" s="3" t="s">
        <v>2246</v>
      </c>
      <c r="M650" s="3" t="s">
        <v>2256</v>
      </c>
      <c r="N650" s="3" t="s">
        <v>2270</v>
      </c>
    </row>
    <row r="651" spans="1:14" x14ac:dyDescent="0.25">
      <c r="A651" s="15" t="s">
        <v>337</v>
      </c>
      <c r="B651" s="17" t="s">
        <v>2196</v>
      </c>
      <c r="C651" s="16" t="s">
        <v>2196</v>
      </c>
      <c r="D651" s="6" t="s">
        <v>28</v>
      </c>
      <c r="E651" s="7" t="s">
        <v>338</v>
      </c>
      <c r="F651" s="20">
        <v>45809</v>
      </c>
      <c r="G651" s="17">
        <v>1</v>
      </c>
      <c r="H651" t="s">
        <v>340</v>
      </c>
      <c r="I651" s="32">
        <v>11000004</v>
      </c>
      <c r="J651" s="19" t="s">
        <v>341</v>
      </c>
      <c r="K651" s="6" t="s">
        <v>342</v>
      </c>
      <c r="L651" s="53" t="s">
        <v>2278</v>
      </c>
      <c r="M651" s="3" t="s">
        <v>2256</v>
      </c>
      <c r="N651" s="3" t="s">
        <v>2268</v>
      </c>
    </row>
    <row r="652" spans="1:14" x14ac:dyDescent="0.25">
      <c r="A652" s="14" t="s">
        <v>366</v>
      </c>
      <c r="B652" s="16" t="s">
        <v>2196</v>
      </c>
      <c r="C652" s="16" t="s">
        <v>2196</v>
      </c>
      <c r="D652" s="19" t="s">
        <v>28</v>
      </c>
      <c r="E652" s="10" t="s">
        <v>368</v>
      </c>
      <c r="F652" s="20">
        <v>45870</v>
      </c>
      <c r="G652" s="16">
        <v>1</v>
      </c>
      <c r="H652" s="11" t="s">
        <v>370</v>
      </c>
      <c r="I652" s="31">
        <v>80000000</v>
      </c>
      <c r="J652" s="19" t="s">
        <v>341</v>
      </c>
      <c r="K652" s="19" t="s">
        <v>372</v>
      </c>
      <c r="L652" s="53" t="s">
        <v>2278</v>
      </c>
      <c r="M652" s="3" t="s">
        <v>2256</v>
      </c>
      <c r="N652" s="3" t="s">
        <v>2268</v>
      </c>
    </row>
    <row r="653" spans="1:14" x14ac:dyDescent="0.25">
      <c r="A653" s="15" t="s">
        <v>2149</v>
      </c>
      <c r="B653" s="17" t="s">
        <v>2199</v>
      </c>
      <c r="C653" s="19" t="s">
        <v>28</v>
      </c>
      <c r="D653" s="6" t="s">
        <v>28</v>
      </c>
      <c r="E653" s="7" t="s">
        <v>2150</v>
      </c>
      <c r="F653" s="20">
        <v>46054</v>
      </c>
      <c r="G653" s="17">
        <v>5</v>
      </c>
      <c r="H653" t="s">
        <v>359</v>
      </c>
      <c r="I653" s="32">
        <v>647705</v>
      </c>
      <c r="J653" s="19" t="s">
        <v>2152</v>
      </c>
      <c r="K653" s="6" t="s">
        <v>2153</v>
      </c>
      <c r="L653" s="3" t="s">
        <v>2251</v>
      </c>
      <c r="M653" s="3" t="s">
        <v>2227</v>
      </c>
      <c r="N653" s="3" t="s">
        <v>2269</v>
      </c>
    </row>
    <row r="654" spans="1:14" x14ac:dyDescent="0.25">
      <c r="A654" s="14" t="s">
        <v>2149</v>
      </c>
      <c r="B654" s="16" t="s">
        <v>2199</v>
      </c>
      <c r="C654" s="19" t="s">
        <v>28</v>
      </c>
      <c r="D654" s="19" t="s">
        <v>28</v>
      </c>
      <c r="E654" s="10" t="s">
        <v>2150</v>
      </c>
      <c r="F654" s="20">
        <v>46054</v>
      </c>
      <c r="G654" s="16">
        <v>5</v>
      </c>
      <c r="H654" s="11" t="s">
        <v>2155</v>
      </c>
      <c r="I654" s="31">
        <v>4498002</v>
      </c>
      <c r="J654" s="19" t="s">
        <v>2152</v>
      </c>
      <c r="K654" s="19" t="s">
        <v>2153</v>
      </c>
      <c r="L654" s="3" t="s">
        <v>2251</v>
      </c>
      <c r="M654" s="3" t="s">
        <v>2227</v>
      </c>
      <c r="N654" s="3" t="s">
        <v>2269</v>
      </c>
    </row>
    <row r="655" spans="1:14" x14ac:dyDescent="0.25">
      <c r="A655" s="15" t="s">
        <v>2149</v>
      </c>
      <c r="B655" s="17" t="s">
        <v>2199</v>
      </c>
      <c r="C655" s="19" t="s">
        <v>28</v>
      </c>
      <c r="D655" s="6" t="s">
        <v>28</v>
      </c>
      <c r="E655" s="7" t="s">
        <v>2150</v>
      </c>
      <c r="F655" s="20">
        <v>46054</v>
      </c>
      <c r="G655" s="17">
        <v>5</v>
      </c>
      <c r="H655" t="s">
        <v>786</v>
      </c>
      <c r="I655" s="32">
        <v>438750</v>
      </c>
      <c r="J655" s="19" t="s">
        <v>2152</v>
      </c>
      <c r="K655" s="6" t="s">
        <v>2153</v>
      </c>
      <c r="L655" s="3" t="s">
        <v>2251</v>
      </c>
      <c r="M655" s="3" t="s">
        <v>2227</v>
      </c>
      <c r="N655" s="3" t="s">
        <v>2269</v>
      </c>
    </row>
    <row r="656" spans="1:14" x14ac:dyDescent="0.25">
      <c r="A656" s="14" t="s">
        <v>2149</v>
      </c>
      <c r="B656" s="16" t="s">
        <v>2199</v>
      </c>
      <c r="C656" s="19" t="s">
        <v>28</v>
      </c>
      <c r="D656" s="19" t="s">
        <v>28</v>
      </c>
      <c r="E656" s="10" t="s">
        <v>2150</v>
      </c>
      <c r="F656" s="20">
        <v>46054</v>
      </c>
      <c r="G656" s="16">
        <v>5</v>
      </c>
      <c r="H656" s="11" t="s">
        <v>486</v>
      </c>
      <c r="I656" s="31">
        <v>845559</v>
      </c>
      <c r="J656" s="19" t="s">
        <v>2152</v>
      </c>
      <c r="K656" s="19" t="s">
        <v>2153</v>
      </c>
      <c r="L656" s="3" t="s">
        <v>2251</v>
      </c>
      <c r="M656" s="3" t="s">
        <v>2227</v>
      </c>
      <c r="N656" s="3" t="s">
        <v>2269</v>
      </c>
    </row>
    <row r="657" spans="1:14" x14ac:dyDescent="0.25">
      <c r="A657" s="15" t="s">
        <v>2149</v>
      </c>
      <c r="B657" s="17" t="s">
        <v>2199</v>
      </c>
      <c r="C657" s="19" t="s">
        <v>28</v>
      </c>
      <c r="D657" s="6" t="s">
        <v>28</v>
      </c>
      <c r="E657" s="7" t="s">
        <v>2150</v>
      </c>
      <c r="F657" s="20">
        <v>46054</v>
      </c>
      <c r="G657" s="17">
        <v>5</v>
      </c>
      <c r="H657" t="s">
        <v>855</v>
      </c>
      <c r="I657" s="32">
        <v>157680</v>
      </c>
      <c r="J657" s="19" t="s">
        <v>2152</v>
      </c>
      <c r="K657" s="6" t="s">
        <v>2153</v>
      </c>
      <c r="L657" s="3" t="s">
        <v>2251</v>
      </c>
      <c r="M657" s="3" t="s">
        <v>2227</v>
      </c>
      <c r="N657" s="3" t="s">
        <v>2269</v>
      </c>
    </row>
    <row r="658" spans="1:14" x14ac:dyDescent="0.25">
      <c r="A658" s="14" t="s">
        <v>637</v>
      </c>
      <c r="B658" s="16" t="s">
        <v>2199</v>
      </c>
      <c r="C658" s="19" t="s">
        <v>28</v>
      </c>
      <c r="D658" s="19" t="s">
        <v>28</v>
      </c>
      <c r="E658" s="10" t="s">
        <v>638</v>
      </c>
      <c r="F658" s="20">
        <v>46082</v>
      </c>
      <c r="G658" s="16">
        <v>1</v>
      </c>
      <c r="H658" s="11" t="s">
        <v>639</v>
      </c>
      <c r="I658" s="31">
        <v>2000700</v>
      </c>
      <c r="J658" s="19" t="s">
        <v>640</v>
      </c>
      <c r="K658" s="19" t="s">
        <v>641</v>
      </c>
      <c r="L658" s="3" t="s">
        <v>2221</v>
      </c>
      <c r="M658" s="3" t="s">
        <v>2234</v>
      </c>
      <c r="N658" s="3" t="s">
        <v>2259</v>
      </c>
    </row>
    <row r="659" spans="1:14" x14ac:dyDescent="0.25">
      <c r="A659" s="15" t="s">
        <v>644</v>
      </c>
      <c r="B659" s="17" t="s">
        <v>2199</v>
      </c>
      <c r="C659" s="19" t="s">
        <v>28</v>
      </c>
      <c r="D659" s="6" t="s">
        <v>28</v>
      </c>
      <c r="E659" s="7" t="s">
        <v>646</v>
      </c>
      <c r="F659" s="20">
        <v>46082</v>
      </c>
      <c r="G659" s="17">
        <v>1</v>
      </c>
      <c r="H659" t="s">
        <v>648</v>
      </c>
      <c r="I659" s="32">
        <v>1510005</v>
      </c>
      <c r="J659" s="19" t="s">
        <v>640</v>
      </c>
      <c r="K659" s="6" t="s">
        <v>641</v>
      </c>
      <c r="L659" s="3" t="s">
        <v>2221</v>
      </c>
      <c r="M659" s="3" t="s">
        <v>2234</v>
      </c>
      <c r="N659" s="3" t="s">
        <v>2259</v>
      </c>
    </row>
    <row r="660" spans="1:14" x14ac:dyDescent="0.25">
      <c r="A660" s="14" t="s">
        <v>649</v>
      </c>
      <c r="B660" s="16" t="s">
        <v>2199</v>
      </c>
      <c r="C660" s="19" t="s">
        <v>28</v>
      </c>
      <c r="D660" s="19" t="s">
        <v>28</v>
      </c>
      <c r="E660" s="10" t="s">
        <v>650</v>
      </c>
      <c r="F660" s="20">
        <v>46082</v>
      </c>
      <c r="G660" s="16">
        <v>2</v>
      </c>
      <c r="H660" s="11" t="s">
        <v>370</v>
      </c>
      <c r="I660" s="31">
        <v>850000</v>
      </c>
      <c r="J660" s="19" t="s">
        <v>640</v>
      </c>
      <c r="K660" s="19" t="s">
        <v>641</v>
      </c>
      <c r="L660" s="3" t="s">
        <v>2221</v>
      </c>
      <c r="M660" s="3" t="s">
        <v>2234</v>
      </c>
      <c r="N660" s="3" t="s">
        <v>2259</v>
      </c>
    </row>
    <row r="661" spans="1:14" x14ac:dyDescent="0.25">
      <c r="A661" s="15" t="s">
        <v>649</v>
      </c>
      <c r="B661" s="17" t="s">
        <v>2199</v>
      </c>
      <c r="C661" s="19" t="s">
        <v>28</v>
      </c>
      <c r="D661" s="6" t="s">
        <v>28</v>
      </c>
      <c r="E661" s="7" t="s">
        <v>650</v>
      </c>
      <c r="F661" s="20">
        <v>46082</v>
      </c>
      <c r="G661" s="17">
        <v>2</v>
      </c>
      <c r="H661" t="s">
        <v>652</v>
      </c>
      <c r="I661" s="32">
        <v>22500</v>
      </c>
      <c r="J661" s="19" t="s">
        <v>640</v>
      </c>
      <c r="K661" s="6" t="s">
        <v>641</v>
      </c>
      <c r="L661" s="3" t="s">
        <v>2221</v>
      </c>
      <c r="M661" s="3" t="s">
        <v>2234</v>
      </c>
      <c r="N661" s="3" t="s">
        <v>2259</v>
      </c>
    </row>
    <row r="662" spans="1:14" x14ac:dyDescent="0.25">
      <c r="A662" s="14" t="s">
        <v>888</v>
      </c>
      <c r="B662" s="16" t="s">
        <v>2199</v>
      </c>
      <c r="C662" s="19" t="s">
        <v>28</v>
      </c>
      <c r="D662" s="19" t="s">
        <v>28</v>
      </c>
      <c r="E662" s="10" t="s">
        <v>889</v>
      </c>
      <c r="F662" s="20">
        <v>46204</v>
      </c>
      <c r="G662" s="16">
        <v>1</v>
      </c>
      <c r="H662" s="11" t="s">
        <v>891</v>
      </c>
      <c r="I662" s="31">
        <v>31250000</v>
      </c>
      <c r="J662" s="19" t="s">
        <v>309</v>
      </c>
      <c r="K662" s="19" t="s">
        <v>893</v>
      </c>
      <c r="L662" s="3" t="s">
        <v>2221</v>
      </c>
      <c r="M662" s="3" t="s">
        <v>2234</v>
      </c>
      <c r="N662" s="3" t="s">
        <v>2259</v>
      </c>
    </row>
    <row r="663" spans="1:14" x14ac:dyDescent="0.25">
      <c r="A663" s="15" t="s">
        <v>1113</v>
      </c>
      <c r="B663" s="17" t="s">
        <v>2199</v>
      </c>
      <c r="C663" s="19" t="s">
        <v>28</v>
      </c>
      <c r="D663" s="6" t="s">
        <v>28</v>
      </c>
      <c r="E663" s="7" t="s">
        <v>1115</v>
      </c>
      <c r="F663" s="20">
        <v>46113</v>
      </c>
      <c r="G663" s="17">
        <v>1</v>
      </c>
      <c r="H663" t="s">
        <v>1117</v>
      </c>
      <c r="I663" s="32">
        <v>371161848</v>
      </c>
      <c r="J663" s="19" t="s">
        <v>309</v>
      </c>
      <c r="K663" s="6" t="s">
        <v>893</v>
      </c>
      <c r="L663" s="3" t="s">
        <v>2221</v>
      </c>
      <c r="M663" s="3" t="s">
        <v>2234</v>
      </c>
      <c r="N663" s="3" t="s">
        <v>2259</v>
      </c>
    </row>
    <row r="664" spans="1:14" x14ac:dyDescent="0.25">
      <c r="A664" s="14" t="s">
        <v>304</v>
      </c>
      <c r="B664" s="16" t="s">
        <v>2196</v>
      </c>
      <c r="C664" s="16" t="s">
        <v>2196</v>
      </c>
      <c r="D664" s="19" t="s">
        <v>28</v>
      </c>
      <c r="E664" s="10" t="s">
        <v>305</v>
      </c>
      <c r="F664" s="20">
        <v>45839</v>
      </c>
      <c r="G664" s="16">
        <v>1</v>
      </c>
      <c r="H664" s="11" t="s">
        <v>307</v>
      </c>
      <c r="I664" s="31">
        <v>40833335</v>
      </c>
      <c r="J664" s="19" t="s">
        <v>309</v>
      </c>
      <c r="K664" s="19" t="s">
        <v>310</v>
      </c>
      <c r="L664" s="3" t="s">
        <v>2221</v>
      </c>
      <c r="M664" s="3" t="s">
        <v>2234</v>
      </c>
      <c r="N664" s="3" t="s">
        <v>2259</v>
      </c>
    </row>
    <row r="665" spans="1:14" x14ac:dyDescent="0.25">
      <c r="A665" s="15" t="s">
        <v>328</v>
      </c>
      <c r="B665" s="17" t="s">
        <v>2196</v>
      </c>
      <c r="C665" s="16" t="s">
        <v>2196</v>
      </c>
      <c r="D665" s="6" t="s">
        <v>28</v>
      </c>
      <c r="E665" s="7" t="s">
        <v>329</v>
      </c>
      <c r="F665" s="20">
        <v>45839</v>
      </c>
      <c r="G665" s="17">
        <v>1</v>
      </c>
      <c r="H665" t="s">
        <v>331</v>
      </c>
      <c r="I665" s="32">
        <v>52500000</v>
      </c>
      <c r="J665" s="19" t="s">
        <v>2209</v>
      </c>
      <c r="K665" s="6" t="s">
        <v>333</v>
      </c>
      <c r="L665" s="3" t="s">
        <v>2221</v>
      </c>
      <c r="M665" s="3" t="s">
        <v>2234</v>
      </c>
      <c r="N665" s="3" t="s">
        <v>2259</v>
      </c>
    </row>
    <row r="666" spans="1:14" x14ac:dyDescent="0.25">
      <c r="A666" s="14" t="s">
        <v>1072</v>
      </c>
      <c r="B666" s="16" t="s">
        <v>2199</v>
      </c>
      <c r="C666" s="19" t="s">
        <v>28</v>
      </c>
      <c r="D666" s="19" t="s">
        <v>28</v>
      </c>
      <c r="E666" s="10" t="s">
        <v>1073</v>
      </c>
      <c r="F666" s="20">
        <v>46054</v>
      </c>
      <c r="G666" s="16">
        <v>1</v>
      </c>
      <c r="H666" s="11" t="s">
        <v>486</v>
      </c>
      <c r="I666" s="31">
        <v>169000</v>
      </c>
      <c r="J666" s="19" t="s">
        <v>1075</v>
      </c>
      <c r="K666" s="19" t="s">
        <v>1076</v>
      </c>
      <c r="L666" s="3" t="s">
        <v>2224</v>
      </c>
      <c r="M666" s="3" t="s">
        <v>2227</v>
      </c>
      <c r="N666" s="3" t="s">
        <v>2261</v>
      </c>
    </row>
    <row r="667" spans="1:14" x14ac:dyDescent="0.25">
      <c r="A667" s="15" t="s">
        <v>1079</v>
      </c>
      <c r="B667" s="17" t="s">
        <v>2199</v>
      </c>
      <c r="C667" s="19" t="s">
        <v>28</v>
      </c>
      <c r="D667" s="6" t="s">
        <v>28</v>
      </c>
      <c r="E667" s="7" t="s">
        <v>1081</v>
      </c>
      <c r="F667" s="20">
        <v>46082</v>
      </c>
      <c r="G667" s="17">
        <v>1</v>
      </c>
      <c r="H667" t="s">
        <v>1083</v>
      </c>
      <c r="I667" s="32">
        <v>100000</v>
      </c>
      <c r="J667" s="19" t="s">
        <v>1075</v>
      </c>
      <c r="K667" s="6" t="s">
        <v>1076</v>
      </c>
      <c r="L667" s="3" t="s">
        <v>2224</v>
      </c>
      <c r="M667" s="3" t="s">
        <v>2227</v>
      </c>
      <c r="N667" s="3" t="s">
        <v>2261</v>
      </c>
    </row>
    <row r="668" spans="1:14" x14ac:dyDescent="0.25">
      <c r="A668" s="14" t="s">
        <v>1449</v>
      </c>
      <c r="B668" s="16" t="s">
        <v>2199</v>
      </c>
      <c r="C668" s="19" t="s">
        <v>28</v>
      </c>
      <c r="D668" s="19" t="s">
        <v>28</v>
      </c>
      <c r="E668" s="10" t="s">
        <v>1450</v>
      </c>
      <c r="F668" s="20">
        <v>46082</v>
      </c>
      <c r="G668" s="16">
        <v>2</v>
      </c>
      <c r="H668" s="11" t="s">
        <v>1133</v>
      </c>
      <c r="I668" s="31">
        <v>230000</v>
      </c>
      <c r="J668" s="19" t="s">
        <v>1075</v>
      </c>
      <c r="K668" s="19" t="s">
        <v>1076</v>
      </c>
      <c r="L668" s="3" t="s">
        <v>2224</v>
      </c>
      <c r="M668" s="3" t="s">
        <v>2227</v>
      </c>
      <c r="N668" s="3" t="s">
        <v>2261</v>
      </c>
    </row>
    <row r="669" spans="1:14" x14ac:dyDescent="0.25">
      <c r="A669" s="15" t="s">
        <v>1449</v>
      </c>
      <c r="B669" s="17" t="s">
        <v>2199</v>
      </c>
      <c r="C669" s="19" t="s">
        <v>28</v>
      </c>
      <c r="D669" s="6" t="s">
        <v>28</v>
      </c>
      <c r="E669" s="7" t="s">
        <v>1450</v>
      </c>
      <c r="F669" s="20">
        <v>46023</v>
      </c>
      <c r="G669" s="17">
        <v>2</v>
      </c>
      <c r="H669" t="s">
        <v>1452</v>
      </c>
      <c r="I669" s="32">
        <v>160000</v>
      </c>
      <c r="J669" s="19" t="s">
        <v>1075</v>
      </c>
      <c r="K669" s="6" t="s">
        <v>1076</v>
      </c>
      <c r="L669" s="3" t="s">
        <v>2224</v>
      </c>
      <c r="M669" s="3" t="s">
        <v>2227</v>
      </c>
      <c r="N669" s="3" t="s">
        <v>2261</v>
      </c>
    </row>
    <row r="670" spans="1:14" x14ac:dyDescent="0.25">
      <c r="A670" s="14" t="s">
        <v>1460</v>
      </c>
      <c r="B670" s="16" t="s">
        <v>2199</v>
      </c>
      <c r="C670" s="19" t="s">
        <v>28</v>
      </c>
      <c r="D670" s="19" t="s">
        <v>28</v>
      </c>
      <c r="E670" s="10" t="s">
        <v>1461</v>
      </c>
      <c r="F670" s="20">
        <v>46023</v>
      </c>
      <c r="G670" s="16">
        <v>1</v>
      </c>
      <c r="H670" s="11" t="s">
        <v>1463</v>
      </c>
      <c r="I670" s="31">
        <v>8196174</v>
      </c>
      <c r="J670" s="19" t="s">
        <v>1075</v>
      </c>
      <c r="K670" s="19" t="s">
        <v>1076</v>
      </c>
      <c r="L670" s="3" t="s">
        <v>2224</v>
      </c>
      <c r="M670" s="3" t="s">
        <v>2227</v>
      </c>
      <c r="N670" s="3" t="s">
        <v>2261</v>
      </c>
    </row>
    <row r="671" spans="1:14" x14ac:dyDescent="0.25">
      <c r="A671" s="15" t="s">
        <v>1497</v>
      </c>
      <c r="B671" s="17" t="s">
        <v>2199</v>
      </c>
      <c r="C671" s="19" t="s">
        <v>28</v>
      </c>
      <c r="D671" s="6" t="s">
        <v>28</v>
      </c>
      <c r="E671" s="7" t="s">
        <v>1498</v>
      </c>
      <c r="F671" s="20">
        <v>46082</v>
      </c>
      <c r="G671" s="17">
        <v>1</v>
      </c>
      <c r="H671" t="s">
        <v>1500</v>
      </c>
      <c r="I671" s="32">
        <v>335005</v>
      </c>
      <c r="J671" s="19" t="s">
        <v>1075</v>
      </c>
      <c r="K671" s="6" t="s">
        <v>1076</v>
      </c>
      <c r="L671" s="3" t="s">
        <v>2224</v>
      </c>
      <c r="M671" s="3" t="s">
        <v>2227</v>
      </c>
      <c r="N671" s="3" t="s">
        <v>2261</v>
      </c>
    </row>
    <row r="672" spans="1:14" x14ac:dyDescent="0.25">
      <c r="A672" s="14" t="s">
        <v>1514</v>
      </c>
      <c r="B672" s="16" t="s">
        <v>2199</v>
      </c>
      <c r="C672" s="19" t="s">
        <v>28</v>
      </c>
      <c r="D672" s="19" t="s">
        <v>28</v>
      </c>
      <c r="E672" s="10" t="s">
        <v>1515</v>
      </c>
      <c r="F672" s="20">
        <v>46235</v>
      </c>
      <c r="G672" s="16">
        <v>1</v>
      </c>
      <c r="H672" s="11" t="s">
        <v>1251</v>
      </c>
      <c r="I672" s="31">
        <v>150000</v>
      </c>
      <c r="J672" s="19" t="s">
        <v>1075</v>
      </c>
      <c r="K672" s="19" t="s">
        <v>1076</v>
      </c>
      <c r="L672" s="3" t="s">
        <v>2224</v>
      </c>
      <c r="M672" s="3" t="s">
        <v>2227</v>
      </c>
      <c r="N672" s="3" t="s">
        <v>2261</v>
      </c>
    </row>
    <row r="673" spans="1:14" x14ac:dyDescent="0.25">
      <c r="A673" s="15" t="s">
        <v>1528</v>
      </c>
      <c r="B673" s="17" t="s">
        <v>2199</v>
      </c>
      <c r="C673" s="19" t="s">
        <v>28</v>
      </c>
      <c r="D673" s="6" t="s">
        <v>28</v>
      </c>
      <c r="E673" s="7" t="s">
        <v>1529</v>
      </c>
      <c r="F673" s="20">
        <v>46143</v>
      </c>
      <c r="G673" s="17">
        <v>2</v>
      </c>
      <c r="H673" t="s">
        <v>911</v>
      </c>
      <c r="I673" s="32">
        <v>20000</v>
      </c>
      <c r="J673" s="19" t="s">
        <v>1075</v>
      </c>
      <c r="K673" s="6" t="s">
        <v>1076</v>
      </c>
      <c r="L673" s="3" t="s">
        <v>2224</v>
      </c>
      <c r="M673" s="3" t="s">
        <v>2227</v>
      </c>
      <c r="N673" s="3" t="s">
        <v>2261</v>
      </c>
    </row>
    <row r="674" spans="1:14" x14ac:dyDescent="0.25">
      <c r="A674" s="14" t="s">
        <v>1528</v>
      </c>
      <c r="B674" s="16" t="s">
        <v>2199</v>
      </c>
      <c r="C674" s="19" t="s">
        <v>28</v>
      </c>
      <c r="D674" s="19" t="s">
        <v>28</v>
      </c>
      <c r="E674" s="10" t="s">
        <v>1529</v>
      </c>
      <c r="F674" s="20">
        <v>46143</v>
      </c>
      <c r="G674" s="16">
        <v>2</v>
      </c>
      <c r="H674" s="11" t="s">
        <v>1531</v>
      </c>
      <c r="I674" s="31">
        <v>16000</v>
      </c>
      <c r="J674" s="19" t="s">
        <v>1075</v>
      </c>
      <c r="K674" s="19" t="s">
        <v>1076</v>
      </c>
      <c r="L674" s="3" t="s">
        <v>2224</v>
      </c>
      <c r="M674" s="3" t="s">
        <v>2227</v>
      </c>
      <c r="N674" s="3" t="s">
        <v>2261</v>
      </c>
    </row>
    <row r="675" spans="1:14" x14ac:dyDescent="0.25">
      <c r="A675" s="15" t="s">
        <v>1542</v>
      </c>
      <c r="B675" s="17" t="s">
        <v>2199</v>
      </c>
      <c r="C675" s="19" t="s">
        <v>28</v>
      </c>
      <c r="D675" s="6" t="s">
        <v>28</v>
      </c>
      <c r="E675" s="7" t="s">
        <v>1543</v>
      </c>
      <c r="F675" s="20">
        <v>46204</v>
      </c>
      <c r="G675" s="17">
        <v>1</v>
      </c>
      <c r="H675" t="s">
        <v>1545</v>
      </c>
      <c r="I675" s="32">
        <v>800000</v>
      </c>
      <c r="J675" s="19" t="s">
        <v>1075</v>
      </c>
      <c r="K675" s="6" t="s">
        <v>1076</v>
      </c>
      <c r="L675" s="3" t="s">
        <v>2224</v>
      </c>
      <c r="M675" s="3" t="s">
        <v>2227</v>
      </c>
      <c r="N675" s="3" t="s">
        <v>2261</v>
      </c>
    </row>
    <row r="676" spans="1:14" x14ac:dyDescent="0.25">
      <c r="A676" s="14" t="s">
        <v>1464</v>
      </c>
      <c r="B676" s="16" t="s">
        <v>2199</v>
      </c>
      <c r="C676" s="19" t="s">
        <v>1238</v>
      </c>
      <c r="D676" s="19" t="s">
        <v>1238</v>
      </c>
      <c r="E676" s="10" t="s">
        <v>1465</v>
      </c>
      <c r="F676" s="20">
        <v>46023</v>
      </c>
      <c r="G676" s="16">
        <v>1</v>
      </c>
      <c r="H676" s="11" t="s">
        <v>1293</v>
      </c>
      <c r="I676" s="31">
        <v>1000000</v>
      </c>
      <c r="J676" s="19" t="s">
        <v>1075</v>
      </c>
      <c r="K676" s="19" t="s">
        <v>1076</v>
      </c>
      <c r="L676" s="3" t="s">
        <v>2224</v>
      </c>
      <c r="M676" s="3" t="s">
        <v>2227</v>
      </c>
      <c r="N676" s="3" t="s">
        <v>2261</v>
      </c>
    </row>
    <row r="677" spans="1:14" x14ac:dyDescent="0.25">
      <c r="A677" s="15" t="s">
        <v>2169</v>
      </c>
      <c r="B677" s="17" t="s">
        <v>2199</v>
      </c>
      <c r="C677" s="19" t="s">
        <v>28</v>
      </c>
      <c r="D677" s="6" t="s">
        <v>28</v>
      </c>
      <c r="E677" s="7" t="s">
        <v>2170</v>
      </c>
      <c r="F677" s="20">
        <v>46054</v>
      </c>
      <c r="G677" s="17">
        <v>3</v>
      </c>
      <c r="H677" t="s">
        <v>359</v>
      </c>
      <c r="I677" s="32">
        <v>781840</v>
      </c>
      <c r="J677" s="19" t="s">
        <v>2171</v>
      </c>
      <c r="K677" s="6" t="s">
        <v>2172</v>
      </c>
      <c r="L677" s="3" t="s">
        <v>2252</v>
      </c>
      <c r="M677" s="3" t="s">
        <v>2227</v>
      </c>
      <c r="N677" s="3" t="s">
        <v>2269</v>
      </c>
    </row>
    <row r="678" spans="1:14" x14ac:dyDescent="0.25">
      <c r="A678" s="14" t="s">
        <v>2169</v>
      </c>
      <c r="B678" s="16" t="s">
        <v>2199</v>
      </c>
      <c r="C678" s="19" t="s">
        <v>28</v>
      </c>
      <c r="D678" s="19" t="s">
        <v>28</v>
      </c>
      <c r="E678" s="10" t="s">
        <v>2170</v>
      </c>
      <c r="F678" s="20">
        <v>46054</v>
      </c>
      <c r="G678" s="16">
        <v>3</v>
      </c>
      <c r="H678" s="11" t="s">
        <v>786</v>
      </c>
      <c r="I678" s="31">
        <v>579758</v>
      </c>
      <c r="J678" s="19" t="s">
        <v>2171</v>
      </c>
      <c r="K678" s="19" t="s">
        <v>2172</v>
      </c>
      <c r="L678" s="3" t="s">
        <v>2252</v>
      </c>
      <c r="M678" s="3" t="s">
        <v>2227</v>
      </c>
      <c r="N678" s="3" t="s">
        <v>2269</v>
      </c>
    </row>
    <row r="679" spans="1:14" x14ac:dyDescent="0.25">
      <c r="A679" s="15" t="s">
        <v>2169</v>
      </c>
      <c r="B679" s="17" t="s">
        <v>2199</v>
      </c>
      <c r="C679" s="19" t="s">
        <v>28</v>
      </c>
      <c r="D679" s="6" t="s">
        <v>28</v>
      </c>
      <c r="E679" s="7" t="s">
        <v>2170</v>
      </c>
      <c r="F679" s="20">
        <v>46054</v>
      </c>
      <c r="G679" s="17">
        <v>3</v>
      </c>
      <c r="H679" t="s">
        <v>855</v>
      </c>
      <c r="I679" s="32">
        <v>165750</v>
      </c>
      <c r="J679" s="19" t="s">
        <v>2171</v>
      </c>
      <c r="K679" s="6" t="s">
        <v>2172</v>
      </c>
      <c r="L679" s="3" t="s">
        <v>2252</v>
      </c>
      <c r="M679" s="3" t="s">
        <v>2227</v>
      </c>
      <c r="N679" s="3" t="s">
        <v>2269</v>
      </c>
    </row>
    <row r="680" spans="1:14" x14ac:dyDescent="0.25">
      <c r="A680" s="14" t="s">
        <v>1638</v>
      </c>
      <c r="B680" s="16" t="s">
        <v>2199</v>
      </c>
      <c r="C680" s="19" t="s">
        <v>28</v>
      </c>
      <c r="D680" s="19" t="s">
        <v>28</v>
      </c>
      <c r="E680" s="10" t="s">
        <v>1639</v>
      </c>
      <c r="F680" s="20">
        <v>46082</v>
      </c>
      <c r="G680" s="16">
        <v>1</v>
      </c>
      <c r="H680" s="11" t="s">
        <v>1641</v>
      </c>
      <c r="I680" s="31">
        <v>405000</v>
      </c>
      <c r="J680" s="19" t="s">
        <v>1642</v>
      </c>
      <c r="K680" s="19" t="s">
        <v>1643</v>
      </c>
      <c r="L680" s="3" t="s">
        <v>2253</v>
      </c>
      <c r="M680" s="3" t="s">
        <v>2234</v>
      </c>
      <c r="N680" s="3" t="s">
        <v>2258</v>
      </c>
    </row>
    <row r="681" spans="1:14" x14ac:dyDescent="0.25">
      <c r="A681" s="15" t="s">
        <v>1684</v>
      </c>
      <c r="B681" s="17" t="s">
        <v>2199</v>
      </c>
      <c r="C681" s="19" t="s">
        <v>28</v>
      </c>
      <c r="D681" s="6" t="s">
        <v>28</v>
      </c>
      <c r="E681" s="7" t="s">
        <v>1685</v>
      </c>
      <c r="F681" s="20">
        <v>46054</v>
      </c>
      <c r="G681" s="17">
        <v>1</v>
      </c>
      <c r="H681" t="s">
        <v>639</v>
      </c>
      <c r="I681" s="32">
        <v>200000</v>
      </c>
      <c r="J681" s="19" t="s">
        <v>1642</v>
      </c>
      <c r="K681" s="6" t="s">
        <v>1643</v>
      </c>
      <c r="L681" s="3" t="s">
        <v>2253</v>
      </c>
      <c r="M681" s="3" t="s">
        <v>2234</v>
      </c>
      <c r="N681" s="3" t="s">
        <v>2258</v>
      </c>
    </row>
    <row r="682" spans="1:14" x14ac:dyDescent="0.25">
      <c r="A682" s="14" t="s">
        <v>1767</v>
      </c>
      <c r="B682" s="16" t="s">
        <v>2199</v>
      </c>
      <c r="C682" s="19" t="s">
        <v>28</v>
      </c>
      <c r="D682" s="19" t="s">
        <v>28</v>
      </c>
      <c r="E682" s="10" t="s">
        <v>1768</v>
      </c>
      <c r="F682" s="20">
        <v>46082</v>
      </c>
      <c r="G682" s="16">
        <v>2</v>
      </c>
      <c r="H682" s="11" t="s">
        <v>1599</v>
      </c>
      <c r="I682" s="31">
        <v>130000</v>
      </c>
      <c r="J682" s="19" t="s">
        <v>1642</v>
      </c>
      <c r="K682" s="19" t="s">
        <v>1643</v>
      </c>
      <c r="L682" s="3" t="s">
        <v>2253</v>
      </c>
      <c r="M682" s="3" t="s">
        <v>2234</v>
      </c>
      <c r="N682" s="3" t="s">
        <v>2258</v>
      </c>
    </row>
    <row r="683" spans="1:14" x14ac:dyDescent="0.25">
      <c r="A683" s="15" t="s">
        <v>1767</v>
      </c>
      <c r="B683" s="17" t="s">
        <v>2199</v>
      </c>
      <c r="C683" s="19" t="s">
        <v>28</v>
      </c>
      <c r="D683" s="6" t="s">
        <v>28</v>
      </c>
      <c r="E683" s="7" t="s">
        <v>1768</v>
      </c>
      <c r="F683" s="20">
        <v>46082</v>
      </c>
      <c r="G683" s="17">
        <v>2</v>
      </c>
      <c r="H683" t="s">
        <v>631</v>
      </c>
      <c r="I683" s="32">
        <v>150000</v>
      </c>
      <c r="J683" s="19" t="s">
        <v>1642</v>
      </c>
      <c r="K683" s="6" t="s">
        <v>1643</v>
      </c>
      <c r="L683" s="3" t="s">
        <v>2253</v>
      </c>
      <c r="M683" s="3" t="s">
        <v>2234</v>
      </c>
      <c r="N683" s="3" t="s">
        <v>2258</v>
      </c>
    </row>
    <row r="684" spans="1:14" x14ac:dyDescent="0.25">
      <c r="A684" s="14" t="s">
        <v>1787</v>
      </c>
      <c r="B684" s="16" t="s">
        <v>2199</v>
      </c>
      <c r="C684" s="19" t="s">
        <v>28</v>
      </c>
      <c r="D684" s="19" t="s">
        <v>28</v>
      </c>
      <c r="E684" s="10" t="s">
        <v>1788</v>
      </c>
      <c r="F684" s="20">
        <v>46266</v>
      </c>
      <c r="G684" s="16">
        <v>3</v>
      </c>
      <c r="H684" s="11" t="s">
        <v>359</v>
      </c>
      <c r="I684" s="31">
        <v>20500</v>
      </c>
      <c r="J684" s="19" t="s">
        <v>1642</v>
      </c>
      <c r="K684" s="19" t="s">
        <v>1643</v>
      </c>
      <c r="L684" s="3" t="s">
        <v>2253</v>
      </c>
      <c r="M684" s="3" t="s">
        <v>2234</v>
      </c>
      <c r="N684" s="3" t="s">
        <v>2258</v>
      </c>
    </row>
    <row r="685" spans="1:14" x14ac:dyDescent="0.25">
      <c r="A685" s="15" t="s">
        <v>1787</v>
      </c>
      <c r="B685" s="17" t="s">
        <v>2199</v>
      </c>
      <c r="C685" s="19" t="s">
        <v>28</v>
      </c>
      <c r="D685" s="6" t="s">
        <v>28</v>
      </c>
      <c r="E685" s="7" t="s">
        <v>1788</v>
      </c>
      <c r="F685" s="20">
        <v>46266</v>
      </c>
      <c r="G685" s="17">
        <v>3</v>
      </c>
      <c r="H685" t="s">
        <v>486</v>
      </c>
      <c r="I685" s="32">
        <v>84048</v>
      </c>
      <c r="J685" s="19" t="s">
        <v>1642</v>
      </c>
      <c r="K685" s="6" t="s">
        <v>1643</v>
      </c>
      <c r="L685" s="3" t="s">
        <v>2253</v>
      </c>
      <c r="M685" s="3" t="s">
        <v>2234</v>
      </c>
      <c r="N685" s="3" t="s">
        <v>2258</v>
      </c>
    </row>
    <row r="686" spans="1:14" x14ac:dyDescent="0.25">
      <c r="A686" s="14" t="s">
        <v>1787</v>
      </c>
      <c r="B686" s="16" t="s">
        <v>2199</v>
      </c>
      <c r="C686" s="19" t="s">
        <v>28</v>
      </c>
      <c r="D686" s="19" t="s">
        <v>28</v>
      </c>
      <c r="E686" s="10" t="s">
        <v>1788</v>
      </c>
      <c r="F686" s="20">
        <v>46266</v>
      </c>
      <c r="G686" s="16">
        <v>3</v>
      </c>
      <c r="H686" s="11" t="s">
        <v>855</v>
      </c>
      <c r="I686" s="31">
        <v>14000</v>
      </c>
      <c r="J686" s="19" t="s">
        <v>1642</v>
      </c>
      <c r="K686" s="19" t="s">
        <v>1643</v>
      </c>
      <c r="L686" s="3" t="s">
        <v>2253</v>
      </c>
      <c r="M686" s="3" t="s">
        <v>2234</v>
      </c>
      <c r="N686" s="3" t="s">
        <v>2258</v>
      </c>
    </row>
    <row r="687" spans="1:14" x14ac:dyDescent="0.25">
      <c r="A687" s="15" t="s">
        <v>1815</v>
      </c>
      <c r="B687" s="17" t="s">
        <v>2199</v>
      </c>
      <c r="C687" s="19" t="s">
        <v>28</v>
      </c>
      <c r="D687" s="6" t="s">
        <v>28</v>
      </c>
      <c r="E687" s="7" t="s">
        <v>1816</v>
      </c>
      <c r="F687" s="20">
        <v>46113</v>
      </c>
      <c r="G687" s="17">
        <v>1</v>
      </c>
      <c r="H687" t="s">
        <v>1179</v>
      </c>
      <c r="I687" s="32">
        <v>450008</v>
      </c>
      <c r="J687" s="19" t="s">
        <v>1642</v>
      </c>
      <c r="K687" s="6" t="s">
        <v>1643</v>
      </c>
      <c r="L687" s="3" t="s">
        <v>2253</v>
      </c>
      <c r="M687" s="3" t="s">
        <v>2234</v>
      </c>
      <c r="N687" s="3" t="s">
        <v>2258</v>
      </c>
    </row>
    <row r="688" spans="1:14" x14ac:dyDescent="0.25">
      <c r="A688" s="14" t="s">
        <v>1832</v>
      </c>
      <c r="B688" s="16" t="s">
        <v>2199</v>
      </c>
      <c r="C688" s="19" t="s">
        <v>28</v>
      </c>
      <c r="D688" s="19" t="s">
        <v>28</v>
      </c>
      <c r="E688" s="10" t="s">
        <v>1833</v>
      </c>
      <c r="F688" s="20">
        <v>46174</v>
      </c>
      <c r="G688" s="16">
        <v>2</v>
      </c>
      <c r="H688" s="11" t="s">
        <v>815</v>
      </c>
      <c r="I688" s="31">
        <v>600000</v>
      </c>
      <c r="J688" s="19" t="s">
        <v>1642</v>
      </c>
      <c r="K688" s="19" t="s">
        <v>1643</v>
      </c>
      <c r="L688" s="3" t="s">
        <v>2253</v>
      </c>
      <c r="M688" s="3" t="s">
        <v>2234</v>
      </c>
      <c r="N688" s="3" t="s">
        <v>2258</v>
      </c>
    </row>
    <row r="689" spans="1:14" x14ac:dyDescent="0.25">
      <c r="A689" s="15" t="s">
        <v>1832</v>
      </c>
      <c r="B689" s="17" t="s">
        <v>2199</v>
      </c>
      <c r="C689" s="19" t="s">
        <v>28</v>
      </c>
      <c r="D689" s="6" t="s">
        <v>28</v>
      </c>
      <c r="E689" s="7" t="s">
        <v>1833</v>
      </c>
      <c r="F689" s="20">
        <v>46174</v>
      </c>
      <c r="G689" s="17">
        <v>2</v>
      </c>
      <c r="H689" t="s">
        <v>486</v>
      </c>
      <c r="I689" s="32">
        <v>400000</v>
      </c>
      <c r="J689" s="19" t="s">
        <v>1642</v>
      </c>
      <c r="K689" s="6" t="s">
        <v>1643</v>
      </c>
      <c r="L689" s="3" t="s">
        <v>2253</v>
      </c>
      <c r="M689" s="3" t="s">
        <v>2234</v>
      </c>
      <c r="N689" s="3" t="s">
        <v>2258</v>
      </c>
    </row>
    <row r="690" spans="1:14" x14ac:dyDescent="0.25">
      <c r="A690" s="14" t="s">
        <v>1835</v>
      </c>
      <c r="B690" s="16" t="s">
        <v>2199</v>
      </c>
      <c r="C690" s="19" t="s">
        <v>28</v>
      </c>
      <c r="D690" s="19" t="s">
        <v>28</v>
      </c>
      <c r="E690" s="10" t="s">
        <v>1836</v>
      </c>
      <c r="F690" s="20">
        <v>46235</v>
      </c>
      <c r="G690" s="16">
        <v>1</v>
      </c>
      <c r="H690" s="11" t="s">
        <v>1838</v>
      </c>
      <c r="I690" s="31">
        <v>440040</v>
      </c>
      <c r="J690" s="19" t="s">
        <v>1642</v>
      </c>
      <c r="K690" s="19" t="s">
        <v>1643</v>
      </c>
      <c r="L690" s="3" t="s">
        <v>2253</v>
      </c>
      <c r="M690" s="3" t="s">
        <v>2234</v>
      </c>
      <c r="N690" s="3" t="s">
        <v>2258</v>
      </c>
    </row>
    <row r="691" spans="1:14" x14ac:dyDescent="0.25">
      <c r="A691" s="15" t="s">
        <v>2056</v>
      </c>
      <c r="B691" s="17" t="s">
        <v>2199</v>
      </c>
      <c r="C691" s="19" t="s">
        <v>28</v>
      </c>
      <c r="D691" s="6" t="s">
        <v>28</v>
      </c>
      <c r="E691" s="7" t="s">
        <v>2057</v>
      </c>
      <c r="F691" s="20">
        <v>46082</v>
      </c>
      <c r="G691" s="17">
        <v>5</v>
      </c>
      <c r="H691" t="s">
        <v>2059</v>
      </c>
      <c r="I691" s="32">
        <v>45000</v>
      </c>
      <c r="J691" s="19" t="s">
        <v>1642</v>
      </c>
      <c r="K691" s="6" t="s">
        <v>1643</v>
      </c>
      <c r="L691" s="3" t="s">
        <v>2253</v>
      </c>
      <c r="M691" s="3" t="s">
        <v>2234</v>
      </c>
      <c r="N691" s="3" t="s">
        <v>2258</v>
      </c>
    </row>
    <row r="692" spans="1:14" x14ac:dyDescent="0.25">
      <c r="A692" s="14" t="s">
        <v>2056</v>
      </c>
      <c r="B692" s="16" t="s">
        <v>2199</v>
      </c>
      <c r="C692" s="19" t="s">
        <v>28</v>
      </c>
      <c r="D692" s="19" t="s">
        <v>28</v>
      </c>
      <c r="E692" s="10" t="s">
        <v>2057</v>
      </c>
      <c r="F692" s="20">
        <v>46174</v>
      </c>
      <c r="G692" s="16">
        <v>5</v>
      </c>
      <c r="H692" s="11" t="s">
        <v>2062</v>
      </c>
      <c r="I692" s="31">
        <v>175014</v>
      </c>
      <c r="J692" s="19" t="s">
        <v>1642</v>
      </c>
      <c r="K692" s="19" t="s">
        <v>1643</v>
      </c>
      <c r="L692" s="3" t="s">
        <v>2253</v>
      </c>
      <c r="M692" s="3" t="s">
        <v>2234</v>
      </c>
      <c r="N692" s="3" t="s">
        <v>2258</v>
      </c>
    </row>
    <row r="693" spans="1:14" x14ac:dyDescent="0.25">
      <c r="A693" s="15" t="s">
        <v>2056</v>
      </c>
      <c r="B693" s="17" t="s">
        <v>2199</v>
      </c>
      <c r="C693" s="19" t="s">
        <v>28</v>
      </c>
      <c r="D693" s="6" t="s">
        <v>28</v>
      </c>
      <c r="E693" s="7" t="s">
        <v>2057</v>
      </c>
      <c r="F693" s="20">
        <v>46082</v>
      </c>
      <c r="G693" s="17">
        <v>5</v>
      </c>
      <c r="H693" t="s">
        <v>2061</v>
      </c>
      <c r="I693" s="32">
        <v>123000</v>
      </c>
      <c r="J693" s="19" t="s">
        <v>1642</v>
      </c>
      <c r="K693" s="6" t="s">
        <v>1643</v>
      </c>
      <c r="L693" s="3" t="s">
        <v>2253</v>
      </c>
      <c r="M693" s="3" t="s">
        <v>2234</v>
      </c>
      <c r="N693" s="3" t="s">
        <v>2258</v>
      </c>
    </row>
    <row r="694" spans="1:14" x14ac:dyDescent="0.25">
      <c r="A694" s="14" t="s">
        <v>2056</v>
      </c>
      <c r="B694" s="16" t="s">
        <v>2199</v>
      </c>
      <c r="C694" s="19" t="s">
        <v>28</v>
      </c>
      <c r="D694" s="19" t="s">
        <v>28</v>
      </c>
      <c r="E694" s="10" t="s">
        <v>2057</v>
      </c>
      <c r="F694" s="20">
        <v>46082</v>
      </c>
      <c r="G694" s="16">
        <v>5</v>
      </c>
      <c r="H694" s="11" t="s">
        <v>1137</v>
      </c>
      <c r="I694" s="31">
        <v>40000</v>
      </c>
      <c r="J694" s="19" t="s">
        <v>1642</v>
      </c>
      <c r="K694" s="19" t="s">
        <v>1643</v>
      </c>
      <c r="L694" s="3" t="s">
        <v>2253</v>
      </c>
      <c r="M694" s="3" t="s">
        <v>2234</v>
      </c>
      <c r="N694" s="3" t="s">
        <v>2258</v>
      </c>
    </row>
    <row r="695" spans="1:14" x14ac:dyDescent="0.25">
      <c r="A695" s="15" t="s">
        <v>2056</v>
      </c>
      <c r="B695" s="17" t="s">
        <v>2199</v>
      </c>
      <c r="C695" s="19" t="s">
        <v>28</v>
      </c>
      <c r="D695" s="6" t="s">
        <v>28</v>
      </c>
      <c r="E695" s="23" t="s">
        <v>2057</v>
      </c>
      <c r="F695" s="20">
        <v>46082</v>
      </c>
      <c r="G695" s="17">
        <v>5</v>
      </c>
      <c r="H695" t="s">
        <v>1973</v>
      </c>
      <c r="I695" s="32">
        <v>500024</v>
      </c>
      <c r="J695" s="19" t="s">
        <v>1642</v>
      </c>
      <c r="K695" s="6" t="s">
        <v>1643</v>
      </c>
      <c r="L695" s="3" t="s">
        <v>2253</v>
      </c>
      <c r="M695" s="3" t="s">
        <v>2234</v>
      </c>
      <c r="N695" s="3" t="s">
        <v>2258</v>
      </c>
    </row>
    <row r="696" spans="1:14" x14ac:dyDescent="0.25">
      <c r="A696" s="14" t="s">
        <v>2070</v>
      </c>
      <c r="B696" s="16" t="s">
        <v>2199</v>
      </c>
      <c r="C696" s="19" t="s">
        <v>28</v>
      </c>
      <c r="D696" s="19" t="s">
        <v>28</v>
      </c>
      <c r="E696" s="22" t="s">
        <v>2071</v>
      </c>
      <c r="F696" s="20">
        <v>46113</v>
      </c>
      <c r="G696" s="16">
        <v>1</v>
      </c>
      <c r="H696" s="11" t="s">
        <v>2073</v>
      </c>
      <c r="I696" s="31">
        <v>70000</v>
      </c>
      <c r="J696" s="21" t="s">
        <v>1642</v>
      </c>
      <c r="K696" s="19" t="s">
        <v>1643</v>
      </c>
      <c r="L696" s="3" t="s">
        <v>2253</v>
      </c>
      <c r="M696" s="3" t="s">
        <v>2234</v>
      </c>
      <c r="N696" s="3" t="s">
        <v>2258</v>
      </c>
    </row>
    <row r="697" spans="1:14" x14ac:dyDescent="0.25">
      <c r="A697" s="15" t="s">
        <v>399</v>
      </c>
      <c r="B697" s="17" t="s">
        <v>2196</v>
      </c>
      <c r="C697" s="16" t="s">
        <v>2196</v>
      </c>
      <c r="D697" s="6" t="s">
        <v>28</v>
      </c>
      <c r="E697" s="7" t="s">
        <v>400</v>
      </c>
      <c r="F697" s="20">
        <v>45870</v>
      </c>
      <c r="G697" s="17">
        <v>1</v>
      </c>
      <c r="H697" t="s">
        <v>326</v>
      </c>
      <c r="I697" s="32">
        <v>28875000</v>
      </c>
      <c r="J697" s="21" t="s">
        <v>402</v>
      </c>
      <c r="K697" s="6" t="s">
        <v>320</v>
      </c>
      <c r="L697" s="3" t="s">
        <v>2253</v>
      </c>
      <c r="M697" s="3" t="s">
        <v>2234</v>
      </c>
      <c r="N697" s="3" t="s">
        <v>2258</v>
      </c>
    </row>
    <row r="698" spans="1:14" x14ac:dyDescent="0.25">
      <c r="A698" s="14" t="s">
        <v>860</v>
      </c>
      <c r="B698" s="16" t="s">
        <v>2199</v>
      </c>
      <c r="C698" s="19" t="s">
        <v>28</v>
      </c>
      <c r="D698" s="19" t="s">
        <v>28</v>
      </c>
      <c r="E698" s="10" t="s">
        <v>861</v>
      </c>
      <c r="F698" s="20">
        <v>46023</v>
      </c>
      <c r="G698" s="16">
        <v>1</v>
      </c>
      <c r="H698" s="11" t="s">
        <v>863</v>
      </c>
      <c r="I698" s="31">
        <v>370107</v>
      </c>
      <c r="J698" s="21" t="s">
        <v>864</v>
      </c>
      <c r="K698" s="19" t="s">
        <v>865</v>
      </c>
      <c r="L698" s="3" t="s">
        <v>2246</v>
      </c>
      <c r="M698" s="3" t="s">
        <v>2256</v>
      </c>
      <c r="N698" s="3" t="s">
        <v>2270</v>
      </c>
    </row>
    <row r="699" spans="1:14" x14ac:dyDescent="0.25">
      <c r="A699" s="15" t="s">
        <v>1604</v>
      </c>
      <c r="B699" s="17" t="s">
        <v>2199</v>
      </c>
      <c r="C699" s="19" t="s">
        <v>28</v>
      </c>
      <c r="D699" s="6" t="s">
        <v>28</v>
      </c>
      <c r="E699" s="7" t="s">
        <v>1605</v>
      </c>
      <c r="F699" s="20">
        <v>46023</v>
      </c>
      <c r="G699" s="17">
        <v>2</v>
      </c>
      <c r="H699" t="s">
        <v>1607</v>
      </c>
      <c r="I699" s="32">
        <v>360000</v>
      </c>
      <c r="J699" s="21" t="s">
        <v>1608</v>
      </c>
      <c r="K699" s="6" t="s">
        <v>361</v>
      </c>
      <c r="L699" s="3" t="s">
        <v>2254</v>
      </c>
      <c r="M699" s="3" t="s">
        <v>2234</v>
      </c>
      <c r="N699" s="3" t="s">
        <v>2258</v>
      </c>
    </row>
    <row r="700" spans="1:14" x14ac:dyDescent="0.25">
      <c r="A700" s="14" t="s">
        <v>1604</v>
      </c>
      <c r="B700" s="16" t="s">
        <v>2199</v>
      </c>
      <c r="C700" s="19" t="s">
        <v>28</v>
      </c>
      <c r="D700" s="19" t="s">
        <v>28</v>
      </c>
      <c r="E700" s="10" t="s">
        <v>1605</v>
      </c>
      <c r="F700" s="20">
        <v>46023</v>
      </c>
      <c r="G700" s="16">
        <v>2</v>
      </c>
      <c r="H700" s="11" t="s">
        <v>1609</v>
      </c>
      <c r="I700" s="31">
        <v>800000</v>
      </c>
      <c r="J700" s="21" t="s">
        <v>1608</v>
      </c>
      <c r="K700" s="19" t="s">
        <v>361</v>
      </c>
      <c r="L700" s="3" t="s">
        <v>2254</v>
      </c>
      <c r="M700" s="3" t="s">
        <v>2234</v>
      </c>
      <c r="N700" s="3" t="s">
        <v>2258</v>
      </c>
    </row>
    <row r="701" spans="1:14" x14ac:dyDescent="0.25">
      <c r="A701" s="15" t="s">
        <v>1620</v>
      </c>
      <c r="B701" s="17" t="s">
        <v>2199</v>
      </c>
      <c r="C701" s="19" t="s">
        <v>28</v>
      </c>
      <c r="D701" s="6" t="s">
        <v>28</v>
      </c>
      <c r="E701" s="7" t="s">
        <v>1621</v>
      </c>
      <c r="F701" s="20">
        <v>46023</v>
      </c>
      <c r="G701" s="17">
        <v>1</v>
      </c>
      <c r="H701" t="s">
        <v>1623</v>
      </c>
      <c r="I701" s="32">
        <v>600000</v>
      </c>
      <c r="J701" s="21" t="s">
        <v>1608</v>
      </c>
      <c r="K701" s="6" t="s">
        <v>361</v>
      </c>
      <c r="L701" s="3" t="s">
        <v>2254</v>
      </c>
      <c r="M701" s="3" t="s">
        <v>2234</v>
      </c>
      <c r="N701" s="3" t="s">
        <v>2258</v>
      </c>
    </row>
    <row r="702" spans="1:14" x14ac:dyDescent="0.25">
      <c r="A702" s="14" t="s">
        <v>1624</v>
      </c>
      <c r="B702" s="16" t="s">
        <v>2199</v>
      </c>
      <c r="C702" s="19" t="s">
        <v>1238</v>
      </c>
      <c r="D702" s="19" t="s">
        <v>1238</v>
      </c>
      <c r="E702" s="10" t="s">
        <v>1621</v>
      </c>
      <c r="F702" s="20">
        <v>46023</v>
      </c>
      <c r="G702" s="16">
        <v>1</v>
      </c>
      <c r="H702" s="11" t="s">
        <v>1625</v>
      </c>
      <c r="I702" s="31">
        <v>780000</v>
      </c>
      <c r="J702" s="21" t="s">
        <v>1608</v>
      </c>
      <c r="K702" s="19" t="s">
        <v>361</v>
      </c>
      <c r="L702" s="3" t="s">
        <v>2254</v>
      </c>
      <c r="M702" s="3" t="s">
        <v>2234</v>
      </c>
      <c r="N702" s="3" t="s">
        <v>2258</v>
      </c>
    </row>
    <row r="703" spans="1:14" x14ac:dyDescent="0.25">
      <c r="A703" s="15" t="s">
        <v>389</v>
      </c>
      <c r="B703" s="17" t="s">
        <v>2196</v>
      </c>
      <c r="C703" s="16" t="s">
        <v>2196</v>
      </c>
      <c r="D703" s="6" t="s">
        <v>28</v>
      </c>
      <c r="E703" s="7" t="s">
        <v>390</v>
      </c>
      <c r="F703" s="20">
        <v>45870</v>
      </c>
      <c r="G703" s="17">
        <v>1</v>
      </c>
      <c r="H703" t="s">
        <v>326</v>
      </c>
      <c r="I703" s="32">
        <v>16500000</v>
      </c>
      <c r="J703" s="21" t="s">
        <v>378</v>
      </c>
      <c r="K703" s="6" t="s">
        <v>361</v>
      </c>
      <c r="L703" s="3" t="s">
        <v>2254</v>
      </c>
      <c r="M703" s="3" t="s">
        <v>2234</v>
      </c>
      <c r="N703" s="3" t="s">
        <v>2258</v>
      </c>
    </row>
    <row r="704" spans="1:14" x14ac:dyDescent="0.25">
      <c r="A704" s="14" t="s">
        <v>375</v>
      </c>
      <c r="B704" s="16" t="s">
        <v>2196</v>
      </c>
      <c r="C704" s="16" t="s">
        <v>2196</v>
      </c>
      <c r="D704" s="19" t="s">
        <v>374</v>
      </c>
      <c r="E704" s="10" t="s">
        <v>376</v>
      </c>
      <c r="F704" s="20">
        <v>45839</v>
      </c>
      <c r="G704" s="16">
        <v>1</v>
      </c>
      <c r="H704" s="11" t="s">
        <v>326</v>
      </c>
      <c r="I704" s="31">
        <v>17416663</v>
      </c>
      <c r="J704" s="21" t="s">
        <v>378</v>
      </c>
      <c r="K704" s="19" t="s">
        <v>361</v>
      </c>
      <c r="L704" s="3" t="s">
        <v>2254</v>
      </c>
      <c r="M704" s="3" t="s">
        <v>2234</v>
      </c>
      <c r="N704" s="3" t="s">
        <v>2258</v>
      </c>
    </row>
  </sheetData>
  <sortState xmlns:xlrd2="http://schemas.microsoft.com/office/spreadsheetml/2017/richdata2" ref="A2:N704">
    <sortCondition ref="J4:J704"/>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559D4-607C-4E70-9632-2021B881E328}">
  <dimension ref="A1:P704"/>
  <sheetViews>
    <sheetView tabSelected="1" topLeftCell="F1" workbookViewId="0">
      <selection activeCell="J14" sqref="J14"/>
    </sheetView>
  </sheetViews>
  <sheetFormatPr baseColWidth="10" defaultRowHeight="15" x14ac:dyDescent="0.25"/>
  <cols>
    <col min="9" max="9" width="30.42578125" bestFit="1" customWidth="1"/>
    <col min="12" max="12" width="30.42578125" bestFit="1" customWidth="1"/>
  </cols>
  <sheetData>
    <row r="1" spans="1:16" x14ac:dyDescent="0.25">
      <c r="A1" s="12" t="s">
        <v>2</v>
      </c>
      <c r="B1" s="12" t="s">
        <v>2197</v>
      </c>
      <c r="C1" s="12" t="s">
        <v>1</v>
      </c>
      <c r="D1" s="12" t="s">
        <v>6</v>
      </c>
      <c r="E1" s="12" t="s">
        <v>9</v>
      </c>
      <c r="F1" s="12" t="s">
        <v>8</v>
      </c>
      <c r="G1" s="12" t="s">
        <v>16</v>
      </c>
      <c r="H1" s="12" t="s">
        <v>20</v>
      </c>
      <c r="I1" s="12" t="s">
        <v>17</v>
      </c>
      <c r="J1" s="12" t="s">
        <v>14</v>
      </c>
      <c r="K1" s="12" t="s">
        <v>15</v>
      </c>
      <c r="L1" s="12" t="s">
        <v>2202</v>
      </c>
      <c r="M1" s="13" t="s">
        <v>2215</v>
      </c>
      <c r="N1" s="52" t="s">
        <v>2216</v>
      </c>
      <c r="O1" s="13" t="s">
        <v>2255</v>
      </c>
      <c r="P1" s="52" t="s">
        <v>2283</v>
      </c>
    </row>
    <row r="2" spans="1:16" x14ac:dyDescent="0.25">
      <c r="A2" s="50" t="s">
        <v>29</v>
      </c>
      <c r="B2" s="10" t="s">
        <v>2196</v>
      </c>
      <c r="C2" s="11" t="s">
        <v>28</v>
      </c>
      <c r="D2" s="10" t="s">
        <v>33</v>
      </c>
      <c r="E2" s="11" t="s">
        <v>35</v>
      </c>
      <c r="F2" s="10">
        <v>2</v>
      </c>
      <c r="G2" s="11" t="s">
        <v>37</v>
      </c>
      <c r="H2" s="58">
        <v>45292</v>
      </c>
      <c r="I2" s="11" t="s">
        <v>38</v>
      </c>
      <c r="J2" s="10">
        <v>36</v>
      </c>
      <c r="K2" s="11" t="s">
        <v>36</v>
      </c>
      <c r="L2" s="55">
        <v>30000000</v>
      </c>
      <c r="M2" t="s">
        <v>2217</v>
      </c>
      <c r="N2" t="s">
        <v>2256</v>
      </c>
      <c r="O2" t="s">
        <v>2280</v>
      </c>
      <c r="P2" t="s">
        <v>2284</v>
      </c>
    </row>
    <row r="3" spans="1:16" x14ac:dyDescent="0.25">
      <c r="A3" s="51" t="s">
        <v>284</v>
      </c>
      <c r="B3" s="7" t="s">
        <v>2196</v>
      </c>
      <c r="C3" t="s">
        <v>28</v>
      </c>
      <c r="D3" s="7" t="s">
        <v>286</v>
      </c>
      <c r="E3" t="s">
        <v>288</v>
      </c>
      <c r="F3" s="7">
        <v>1</v>
      </c>
      <c r="G3" t="s">
        <v>290</v>
      </c>
      <c r="H3" s="59">
        <v>45748</v>
      </c>
      <c r="I3" t="s">
        <v>291</v>
      </c>
      <c r="J3" s="7">
        <v>24</v>
      </c>
      <c r="K3" t="s">
        <v>289</v>
      </c>
      <c r="L3" s="56">
        <v>75000000</v>
      </c>
      <c r="M3" t="s">
        <v>2233</v>
      </c>
      <c r="N3" t="s">
        <v>2256</v>
      </c>
      <c r="O3" t="s">
        <v>2266</v>
      </c>
      <c r="P3" t="s">
        <v>2284</v>
      </c>
    </row>
    <row r="4" spans="1:16" x14ac:dyDescent="0.25">
      <c r="A4" s="50" t="s">
        <v>44</v>
      </c>
      <c r="B4" s="10" t="s">
        <v>2196</v>
      </c>
      <c r="C4" s="11" t="s">
        <v>28</v>
      </c>
      <c r="D4" s="10" t="s">
        <v>46</v>
      </c>
      <c r="E4" s="11" t="s">
        <v>48</v>
      </c>
      <c r="F4" s="10">
        <v>2</v>
      </c>
      <c r="G4" s="11" t="s">
        <v>37</v>
      </c>
      <c r="H4" s="58">
        <v>45200</v>
      </c>
      <c r="I4" s="11" t="s">
        <v>49</v>
      </c>
      <c r="J4" s="10">
        <v>36</v>
      </c>
      <c r="K4" s="11" t="s">
        <v>36</v>
      </c>
      <c r="L4" s="55">
        <v>6711996</v>
      </c>
      <c r="M4" t="s">
        <v>2217</v>
      </c>
      <c r="N4" t="s">
        <v>2256</v>
      </c>
      <c r="O4" t="s">
        <v>2280</v>
      </c>
      <c r="P4" t="s">
        <v>2284</v>
      </c>
    </row>
    <row r="5" spans="1:16" x14ac:dyDescent="0.25">
      <c r="A5" s="51" t="s">
        <v>298</v>
      </c>
      <c r="B5" s="7" t="s">
        <v>2196</v>
      </c>
      <c r="C5" t="s">
        <v>28</v>
      </c>
      <c r="D5" s="7" t="s">
        <v>300</v>
      </c>
      <c r="E5" t="s">
        <v>205</v>
      </c>
      <c r="F5" s="7">
        <v>1</v>
      </c>
      <c r="G5" t="s">
        <v>182</v>
      </c>
      <c r="H5" s="59">
        <v>45839</v>
      </c>
      <c r="I5" t="s">
        <v>302</v>
      </c>
      <c r="J5" s="7">
        <v>18</v>
      </c>
      <c r="K5" t="s">
        <v>206</v>
      </c>
      <c r="L5" s="56">
        <v>144000000</v>
      </c>
      <c r="M5" t="s">
        <v>2278</v>
      </c>
      <c r="N5" t="s">
        <v>2256</v>
      </c>
      <c r="O5" t="s">
        <v>2268</v>
      </c>
      <c r="P5" t="s">
        <v>2284</v>
      </c>
    </row>
    <row r="6" spans="1:16" x14ac:dyDescent="0.25">
      <c r="A6" s="50" t="s">
        <v>304</v>
      </c>
      <c r="B6" s="10" t="s">
        <v>2196</v>
      </c>
      <c r="C6" s="11" t="s">
        <v>28</v>
      </c>
      <c r="D6" s="10" t="s">
        <v>305</v>
      </c>
      <c r="E6" s="11" t="s">
        <v>307</v>
      </c>
      <c r="F6" s="10">
        <v>1</v>
      </c>
      <c r="G6" s="11" t="s">
        <v>309</v>
      </c>
      <c r="H6" s="58">
        <v>45839</v>
      </c>
      <c r="I6" s="11" t="s">
        <v>310</v>
      </c>
      <c r="J6" s="10">
        <v>12</v>
      </c>
      <c r="K6" s="11" t="s">
        <v>308</v>
      </c>
      <c r="L6" s="55">
        <v>40833335</v>
      </c>
      <c r="M6" t="s">
        <v>2221</v>
      </c>
      <c r="N6" t="s">
        <v>2234</v>
      </c>
      <c r="O6" t="s">
        <v>2259</v>
      </c>
      <c r="P6" t="s">
        <v>2284</v>
      </c>
    </row>
    <row r="7" spans="1:16" x14ac:dyDescent="0.25">
      <c r="A7" s="51" t="s">
        <v>191</v>
      </c>
      <c r="B7" s="7" t="s">
        <v>2196</v>
      </c>
      <c r="C7" t="s">
        <v>28</v>
      </c>
      <c r="D7" s="7" t="s">
        <v>201</v>
      </c>
      <c r="E7" t="s">
        <v>195</v>
      </c>
      <c r="F7" s="7">
        <v>2</v>
      </c>
      <c r="G7" t="s">
        <v>197</v>
      </c>
      <c r="H7" s="59">
        <v>45870</v>
      </c>
      <c r="I7" t="s">
        <v>198</v>
      </c>
      <c r="J7" s="7">
        <v>1</v>
      </c>
      <c r="K7" t="s">
        <v>196</v>
      </c>
      <c r="L7" s="56">
        <v>74068560</v>
      </c>
      <c r="M7" t="s">
        <v>2217</v>
      </c>
      <c r="N7" t="s">
        <v>2256</v>
      </c>
      <c r="O7" t="s">
        <v>2280</v>
      </c>
      <c r="P7" t="s">
        <v>2284</v>
      </c>
    </row>
    <row r="8" spans="1:16" x14ac:dyDescent="0.25">
      <c r="A8" s="50" t="s">
        <v>191</v>
      </c>
      <c r="B8" s="10" t="s">
        <v>2196</v>
      </c>
      <c r="C8" s="11" t="s">
        <v>28</v>
      </c>
      <c r="D8" s="10" t="s">
        <v>193</v>
      </c>
      <c r="E8" s="11" t="s">
        <v>195</v>
      </c>
      <c r="F8" s="10">
        <v>2</v>
      </c>
      <c r="G8" s="11" t="s">
        <v>197</v>
      </c>
      <c r="H8" s="58">
        <v>45992</v>
      </c>
      <c r="I8" s="11" t="s">
        <v>198</v>
      </c>
      <c r="J8" s="10">
        <v>32</v>
      </c>
      <c r="K8" s="11" t="s">
        <v>196</v>
      </c>
      <c r="L8" s="55">
        <v>37034280</v>
      </c>
      <c r="M8" t="s">
        <v>2217</v>
      </c>
      <c r="N8" t="s">
        <v>2256</v>
      </c>
      <c r="O8" t="s">
        <v>2280</v>
      </c>
      <c r="P8" t="s">
        <v>2284</v>
      </c>
    </row>
    <row r="9" spans="1:16" x14ac:dyDescent="0.25">
      <c r="A9" s="51" t="s">
        <v>202</v>
      </c>
      <c r="B9" s="7" t="s">
        <v>2196</v>
      </c>
      <c r="C9" t="s">
        <v>28</v>
      </c>
      <c r="D9" s="7" t="s">
        <v>203</v>
      </c>
      <c r="E9" t="s">
        <v>205</v>
      </c>
      <c r="F9" s="7">
        <v>2</v>
      </c>
      <c r="G9" t="s">
        <v>182</v>
      </c>
      <c r="H9" s="59">
        <v>45658</v>
      </c>
      <c r="I9" t="s">
        <v>183</v>
      </c>
      <c r="J9" s="7">
        <v>18</v>
      </c>
      <c r="K9" t="s">
        <v>206</v>
      </c>
      <c r="L9" s="56">
        <v>70333380</v>
      </c>
      <c r="M9" t="s">
        <v>2278</v>
      </c>
      <c r="N9" t="s">
        <v>2256</v>
      </c>
      <c r="O9" t="s">
        <v>2268</v>
      </c>
      <c r="P9" t="s">
        <v>2284</v>
      </c>
    </row>
    <row r="10" spans="1:16" x14ac:dyDescent="0.25">
      <c r="A10" s="50" t="s">
        <v>214</v>
      </c>
      <c r="B10" s="10" t="s">
        <v>2196</v>
      </c>
      <c r="C10" s="11" t="s">
        <v>28</v>
      </c>
      <c r="D10" s="10" t="s">
        <v>216</v>
      </c>
      <c r="E10" s="11" t="s">
        <v>121</v>
      </c>
      <c r="F10" s="10">
        <v>2</v>
      </c>
      <c r="G10" s="11" t="s">
        <v>218</v>
      </c>
      <c r="H10" s="58">
        <v>45658</v>
      </c>
      <c r="I10" s="11" t="s">
        <v>219</v>
      </c>
      <c r="J10" s="10">
        <v>24</v>
      </c>
      <c r="K10" s="11" t="s">
        <v>73</v>
      </c>
      <c r="L10" s="55">
        <v>6255504</v>
      </c>
      <c r="M10" t="s">
        <v>2226</v>
      </c>
      <c r="N10" t="s">
        <v>2262</v>
      </c>
      <c r="O10" t="s">
        <v>2226</v>
      </c>
      <c r="P10" t="s">
        <v>2284</v>
      </c>
    </row>
    <row r="11" spans="1:16" x14ac:dyDescent="0.25">
      <c r="A11" s="51" t="s">
        <v>51</v>
      </c>
      <c r="B11" s="7" t="s">
        <v>2196</v>
      </c>
      <c r="C11" t="s">
        <v>28</v>
      </c>
      <c r="D11" s="7" t="s">
        <v>52</v>
      </c>
      <c r="E11" t="s">
        <v>54</v>
      </c>
      <c r="F11" s="7">
        <v>1</v>
      </c>
      <c r="G11" t="s">
        <v>55</v>
      </c>
      <c r="H11" s="59">
        <v>45292</v>
      </c>
      <c r="I11" t="s">
        <v>56</v>
      </c>
      <c r="J11" s="7">
        <v>36</v>
      </c>
      <c r="K11" t="s">
        <v>36</v>
      </c>
      <c r="L11" s="56">
        <v>6712008</v>
      </c>
      <c r="M11" t="s">
        <v>2235</v>
      </c>
      <c r="N11" t="s">
        <v>2256</v>
      </c>
      <c r="O11" t="s">
        <v>2268</v>
      </c>
      <c r="P11" t="s">
        <v>2284</v>
      </c>
    </row>
    <row r="12" spans="1:16" x14ac:dyDescent="0.25">
      <c r="A12" s="50" t="s">
        <v>222</v>
      </c>
      <c r="B12" s="10" t="s">
        <v>2196</v>
      </c>
      <c r="C12" s="11" t="s">
        <v>28</v>
      </c>
      <c r="D12" s="10" t="s">
        <v>224</v>
      </c>
      <c r="E12" s="11" t="s">
        <v>226</v>
      </c>
      <c r="F12" s="10">
        <v>2</v>
      </c>
      <c r="G12" s="11" t="s">
        <v>227</v>
      </c>
      <c r="H12" s="58">
        <v>45658</v>
      </c>
      <c r="I12" s="11" t="s">
        <v>228</v>
      </c>
      <c r="J12" s="10">
        <v>24</v>
      </c>
      <c r="K12" s="11" t="s">
        <v>73</v>
      </c>
      <c r="L12" s="55">
        <v>48115128</v>
      </c>
      <c r="M12" t="s">
        <v>2220</v>
      </c>
      <c r="N12" t="s">
        <v>2234</v>
      </c>
      <c r="O12" t="s">
        <v>2258</v>
      </c>
      <c r="P12" t="s">
        <v>2284</v>
      </c>
    </row>
    <row r="13" spans="1:16" x14ac:dyDescent="0.25">
      <c r="A13" s="51" t="s">
        <v>238</v>
      </c>
      <c r="B13" s="7" t="s">
        <v>2196</v>
      </c>
      <c r="C13" t="s">
        <v>28</v>
      </c>
      <c r="D13" s="7" t="s">
        <v>239</v>
      </c>
      <c r="E13" t="s">
        <v>226</v>
      </c>
      <c r="F13" s="7">
        <v>2</v>
      </c>
      <c r="G13" t="s">
        <v>227</v>
      </c>
      <c r="H13" s="59">
        <v>45658</v>
      </c>
      <c r="I13" t="s">
        <v>228</v>
      </c>
      <c r="J13" s="7">
        <v>24</v>
      </c>
      <c r="K13" t="s">
        <v>73</v>
      </c>
      <c r="L13" s="56">
        <v>237155100</v>
      </c>
      <c r="M13" t="s">
        <v>2220</v>
      </c>
      <c r="N13" t="s">
        <v>2234</v>
      </c>
      <c r="O13" t="s">
        <v>2258</v>
      </c>
      <c r="P13" t="s">
        <v>2284</v>
      </c>
    </row>
    <row r="14" spans="1:16" x14ac:dyDescent="0.25">
      <c r="A14" s="50" t="s">
        <v>244</v>
      </c>
      <c r="B14" s="10" t="s">
        <v>2196</v>
      </c>
      <c r="C14" s="11" t="s">
        <v>28</v>
      </c>
      <c r="D14" s="10" t="s">
        <v>245</v>
      </c>
      <c r="E14" s="11" t="s">
        <v>226</v>
      </c>
      <c r="F14" s="10">
        <v>2</v>
      </c>
      <c r="G14" s="11" t="s">
        <v>227</v>
      </c>
      <c r="H14" s="58">
        <v>45658</v>
      </c>
      <c r="I14" s="11" t="s">
        <v>228</v>
      </c>
      <c r="J14" s="10">
        <v>24</v>
      </c>
      <c r="K14" s="11" t="s">
        <v>73</v>
      </c>
      <c r="L14" s="55">
        <v>284700000</v>
      </c>
      <c r="M14" t="s">
        <v>2220</v>
      </c>
      <c r="N14" t="s">
        <v>2234</v>
      </c>
      <c r="O14" t="s">
        <v>2258</v>
      </c>
      <c r="P14" t="s">
        <v>2284</v>
      </c>
    </row>
    <row r="15" spans="1:16" x14ac:dyDescent="0.25">
      <c r="A15" s="51" t="s">
        <v>619</v>
      </c>
      <c r="B15" s="7" t="s">
        <v>2199</v>
      </c>
      <c r="C15" t="s">
        <v>28</v>
      </c>
      <c r="D15" s="7" t="s">
        <v>621</v>
      </c>
      <c r="E15" t="s">
        <v>623</v>
      </c>
      <c r="F15" s="7">
        <v>1</v>
      </c>
      <c r="G15" t="s">
        <v>624</v>
      </c>
      <c r="H15" s="59">
        <v>46266</v>
      </c>
      <c r="I15" t="s">
        <v>625</v>
      </c>
      <c r="J15" s="7">
        <v>1</v>
      </c>
      <c r="K15" s="1">
        <v>46266</v>
      </c>
      <c r="L15" s="56">
        <v>1250000</v>
      </c>
      <c r="M15" t="s">
        <v>2246</v>
      </c>
      <c r="N15" t="s">
        <v>2256</v>
      </c>
      <c r="O15" t="s">
        <v>2270</v>
      </c>
      <c r="P15" t="s">
        <v>2284</v>
      </c>
    </row>
    <row r="16" spans="1:16" x14ac:dyDescent="0.25">
      <c r="A16" s="50" t="s">
        <v>628</v>
      </c>
      <c r="B16" s="10" t="s">
        <v>2199</v>
      </c>
      <c r="C16" s="11" t="s">
        <v>28</v>
      </c>
      <c r="D16" s="10" t="s">
        <v>629</v>
      </c>
      <c r="E16" s="11" t="s">
        <v>631</v>
      </c>
      <c r="F16" s="10">
        <v>1</v>
      </c>
      <c r="G16" s="11" t="s">
        <v>624</v>
      </c>
      <c r="H16" s="58">
        <v>46174</v>
      </c>
      <c r="I16" s="11" t="s">
        <v>625</v>
      </c>
      <c r="J16" s="10">
        <v>1</v>
      </c>
      <c r="K16" s="57">
        <v>46174</v>
      </c>
      <c r="L16" s="55">
        <v>300000</v>
      </c>
      <c r="M16" t="s">
        <v>2246</v>
      </c>
      <c r="N16" t="s">
        <v>2256</v>
      </c>
      <c r="O16" t="s">
        <v>2270</v>
      </c>
      <c r="P16" t="s">
        <v>2284</v>
      </c>
    </row>
    <row r="17" spans="1:16" x14ac:dyDescent="0.25">
      <c r="A17" s="51" t="s">
        <v>632</v>
      </c>
      <c r="B17" s="7" t="s">
        <v>2199</v>
      </c>
      <c r="C17" t="s">
        <v>28</v>
      </c>
      <c r="D17" s="7" t="s">
        <v>634</v>
      </c>
      <c r="E17" t="s">
        <v>636</v>
      </c>
      <c r="F17" s="7">
        <v>1</v>
      </c>
      <c r="G17" t="s">
        <v>624</v>
      </c>
      <c r="H17" s="59">
        <v>46204</v>
      </c>
      <c r="I17" t="s">
        <v>625</v>
      </c>
      <c r="J17" s="7">
        <v>1</v>
      </c>
      <c r="K17" s="1">
        <v>46204</v>
      </c>
      <c r="L17" s="56">
        <v>1320000</v>
      </c>
      <c r="M17" t="s">
        <v>2246</v>
      </c>
      <c r="N17" t="s">
        <v>2256</v>
      </c>
      <c r="O17" t="s">
        <v>2270</v>
      </c>
      <c r="P17" t="s">
        <v>2284</v>
      </c>
    </row>
    <row r="18" spans="1:16" x14ac:dyDescent="0.25">
      <c r="A18" s="50" t="s">
        <v>637</v>
      </c>
      <c r="B18" s="10" t="s">
        <v>2199</v>
      </c>
      <c r="C18" s="11" t="s">
        <v>28</v>
      </c>
      <c r="D18" s="10" t="s">
        <v>638</v>
      </c>
      <c r="E18" s="11" t="s">
        <v>639</v>
      </c>
      <c r="F18" s="10">
        <v>1</v>
      </c>
      <c r="G18" s="11" t="s">
        <v>640</v>
      </c>
      <c r="H18" s="58">
        <v>46082</v>
      </c>
      <c r="I18" s="11" t="s">
        <v>641</v>
      </c>
      <c r="J18" s="10">
        <v>1</v>
      </c>
      <c r="K18" s="57">
        <v>46082</v>
      </c>
      <c r="L18" s="55">
        <v>2000700</v>
      </c>
      <c r="M18" t="s">
        <v>2221</v>
      </c>
      <c r="N18" t="s">
        <v>2234</v>
      </c>
      <c r="O18" t="s">
        <v>2259</v>
      </c>
      <c r="P18" t="s">
        <v>2284</v>
      </c>
    </row>
    <row r="19" spans="1:16" x14ac:dyDescent="0.25">
      <c r="A19" s="51" t="s">
        <v>644</v>
      </c>
      <c r="B19" s="7" t="s">
        <v>2199</v>
      </c>
      <c r="C19" t="s">
        <v>28</v>
      </c>
      <c r="D19" s="7" t="s">
        <v>646</v>
      </c>
      <c r="E19" t="s">
        <v>648</v>
      </c>
      <c r="F19" s="7">
        <v>1</v>
      </c>
      <c r="G19" t="s">
        <v>640</v>
      </c>
      <c r="H19" s="59">
        <v>46082</v>
      </c>
      <c r="I19" t="s">
        <v>641</v>
      </c>
      <c r="J19" s="7">
        <v>1</v>
      </c>
      <c r="K19" s="1">
        <v>46082</v>
      </c>
      <c r="L19" s="56">
        <v>1510005</v>
      </c>
      <c r="M19" t="s">
        <v>2221</v>
      </c>
      <c r="N19" t="s">
        <v>2234</v>
      </c>
      <c r="O19" t="s">
        <v>2259</v>
      </c>
      <c r="P19" t="s">
        <v>2284</v>
      </c>
    </row>
    <row r="20" spans="1:16" x14ac:dyDescent="0.25">
      <c r="A20" s="50" t="s">
        <v>649</v>
      </c>
      <c r="B20" s="10" t="s">
        <v>2199</v>
      </c>
      <c r="C20" s="11" t="s">
        <v>28</v>
      </c>
      <c r="D20" s="10" t="s">
        <v>650</v>
      </c>
      <c r="E20" s="11" t="s">
        <v>370</v>
      </c>
      <c r="F20" s="10">
        <v>2</v>
      </c>
      <c r="G20" s="11" t="s">
        <v>640</v>
      </c>
      <c r="H20" s="58">
        <v>46082</v>
      </c>
      <c r="I20" s="11" t="s">
        <v>641</v>
      </c>
      <c r="J20" s="10">
        <v>1</v>
      </c>
      <c r="K20" s="57">
        <v>46082</v>
      </c>
      <c r="L20" s="55">
        <v>850000</v>
      </c>
      <c r="M20" t="s">
        <v>2221</v>
      </c>
      <c r="N20" t="s">
        <v>2234</v>
      </c>
      <c r="O20" t="s">
        <v>2259</v>
      </c>
      <c r="P20" t="s">
        <v>2284</v>
      </c>
    </row>
    <row r="21" spans="1:16" x14ac:dyDescent="0.25">
      <c r="A21" s="51" t="s">
        <v>649</v>
      </c>
      <c r="B21" s="7" t="s">
        <v>2199</v>
      </c>
      <c r="C21" t="s">
        <v>28</v>
      </c>
      <c r="D21" s="7" t="s">
        <v>650</v>
      </c>
      <c r="E21" t="s">
        <v>652</v>
      </c>
      <c r="F21" s="7">
        <v>2</v>
      </c>
      <c r="G21" t="s">
        <v>640</v>
      </c>
      <c r="H21" s="59">
        <v>46082</v>
      </c>
      <c r="I21" t="s">
        <v>641</v>
      </c>
      <c r="J21" s="7">
        <v>1</v>
      </c>
      <c r="K21" s="1">
        <v>46082</v>
      </c>
      <c r="L21" s="56">
        <v>22500</v>
      </c>
      <c r="M21" t="s">
        <v>2221</v>
      </c>
      <c r="N21" t="s">
        <v>2234</v>
      </c>
      <c r="O21" t="s">
        <v>2259</v>
      </c>
      <c r="P21" t="s">
        <v>2284</v>
      </c>
    </row>
    <row r="22" spans="1:16" x14ac:dyDescent="0.25">
      <c r="A22" s="50" t="s">
        <v>653</v>
      </c>
      <c r="B22" s="10" t="s">
        <v>2199</v>
      </c>
      <c r="C22" s="11" t="s">
        <v>28</v>
      </c>
      <c r="D22" s="10" t="s">
        <v>655</v>
      </c>
      <c r="E22" s="11" t="s">
        <v>370</v>
      </c>
      <c r="F22" s="10">
        <v>1</v>
      </c>
      <c r="G22" s="11" t="s">
        <v>657</v>
      </c>
      <c r="H22" s="58">
        <v>46327</v>
      </c>
      <c r="I22" s="11" t="s">
        <v>658</v>
      </c>
      <c r="J22" s="10">
        <v>1</v>
      </c>
      <c r="K22" s="57">
        <v>46327</v>
      </c>
      <c r="L22" s="55">
        <v>540000</v>
      </c>
      <c r="M22" t="s">
        <v>2220</v>
      </c>
      <c r="N22" t="s">
        <v>2234</v>
      </c>
      <c r="O22" t="s">
        <v>2258</v>
      </c>
      <c r="P22" t="s">
        <v>2284</v>
      </c>
    </row>
    <row r="23" spans="1:16" x14ac:dyDescent="0.25">
      <c r="A23" s="51" t="s">
        <v>661</v>
      </c>
      <c r="B23" s="7" t="s">
        <v>2199</v>
      </c>
      <c r="C23" t="s">
        <v>28</v>
      </c>
      <c r="D23" s="7" t="s">
        <v>662</v>
      </c>
      <c r="E23" t="s">
        <v>359</v>
      </c>
      <c r="F23" s="7">
        <v>6</v>
      </c>
      <c r="G23" t="s">
        <v>657</v>
      </c>
      <c r="H23" s="59">
        <v>46113</v>
      </c>
      <c r="I23" t="s">
        <v>658</v>
      </c>
      <c r="J23" s="7">
        <v>1</v>
      </c>
      <c r="K23" s="1">
        <v>46113</v>
      </c>
      <c r="L23" s="56">
        <v>135000</v>
      </c>
      <c r="M23" t="s">
        <v>2220</v>
      </c>
      <c r="N23" t="s">
        <v>2234</v>
      </c>
      <c r="O23" t="s">
        <v>2258</v>
      </c>
      <c r="P23" t="s">
        <v>2284</v>
      </c>
    </row>
    <row r="24" spans="1:16" x14ac:dyDescent="0.25">
      <c r="A24" s="50" t="s">
        <v>661</v>
      </c>
      <c r="B24" s="10" t="s">
        <v>2199</v>
      </c>
      <c r="C24" s="11" t="s">
        <v>28</v>
      </c>
      <c r="D24" s="10" t="s">
        <v>662</v>
      </c>
      <c r="E24" s="11" t="s">
        <v>359</v>
      </c>
      <c r="F24" s="10">
        <v>6</v>
      </c>
      <c r="G24" s="11" t="s">
        <v>657</v>
      </c>
      <c r="H24" s="58">
        <v>46204</v>
      </c>
      <c r="I24" s="11" t="s">
        <v>658</v>
      </c>
      <c r="J24" s="10">
        <v>1</v>
      </c>
      <c r="K24" s="57">
        <v>46204</v>
      </c>
      <c r="L24" s="55">
        <v>135000</v>
      </c>
      <c r="M24" t="s">
        <v>2220</v>
      </c>
      <c r="N24" t="s">
        <v>2234</v>
      </c>
      <c r="O24" t="s">
        <v>2258</v>
      </c>
      <c r="P24" t="s">
        <v>2284</v>
      </c>
    </row>
    <row r="25" spans="1:16" x14ac:dyDescent="0.25">
      <c r="A25" s="51" t="s">
        <v>661</v>
      </c>
      <c r="B25" s="7" t="s">
        <v>2199</v>
      </c>
      <c r="C25" t="s">
        <v>28</v>
      </c>
      <c r="D25" s="7" t="s">
        <v>662</v>
      </c>
      <c r="E25" t="s">
        <v>359</v>
      </c>
      <c r="F25" s="7">
        <v>6</v>
      </c>
      <c r="G25" t="s">
        <v>657</v>
      </c>
      <c r="H25" s="59">
        <v>46266</v>
      </c>
      <c r="I25" t="s">
        <v>658</v>
      </c>
      <c r="J25" s="7">
        <v>1</v>
      </c>
      <c r="K25" s="1">
        <v>46266</v>
      </c>
      <c r="L25" s="56">
        <v>135000</v>
      </c>
      <c r="M25" t="s">
        <v>2220</v>
      </c>
      <c r="N25" t="s">
        <v>2234</v>
      </c>
      <c r="O25" t="s">
        <v>2258</v>
      </c>
      <c r="P25" t="s">
        <v>2284</v>
      </c>
    </row>
    <row r="26" spans="1:16" x14ac:dyDescent="0.25">
      <c r="A26" s="50" t="s">
        <v>661</v>
      </c>
      <c r="B26" s="10" t="s">
        <v>2199</v>
      </c>
      <c r="C26" s="11" t="s">
        <v>28</v>
      </c>
      <c r="D26" s="10" t="s">
        <v>662</v>
      </c>
      <c r="E26" s="11" t="s">
        <v>359</v>
      </c>
      <c r="F26" s="10">
        <v>6</v>
      </c>
      <c r="G26" s="11" t="s">
        <v>657</v>
      </c>
      <c r="H26" s="58">
        <v>46357</v>
      </c>
      <c r="I26" s="11" t="s">
        <v>658</v>
      </c>
      <c r="J26" s="10">
        <v>1</v>
      </c>
      <c r="K26" s="57">
        <v>46357</v>
      </c>
      <c r="L26" s="55">
        <v>135000</v>
      </c>
      <c r="M26" t="s">
        <v>2220</v>
      </c>
      <c r="N26" t="s">
        <v>2234</v>
      </c>
      <c r="O26" t="s">
        <v>2258</v>
      </c>
      <c r="P26" t="s">
        <v>2284</v>
      </c>
    </row>
    <row r="27" spans="1:16" x14ac:dyDescent="0.25">
      <c r="A27" s="51" t="s">
        <v>661</v>
      </c>
      <c r="B27" s="7" t="s">
        <v>2199</v>
      </c>
      <c r="C27" t="s">
        <v>28</v>
      </c>
      <c r="D27" s="7" t="s">
        <v>662</v>
      </c>
      <c r="E27" t="s">
        <v>370</v>
      </c>
      <c r="F27" s="7">
        <v>6</v>
      </c>
      <c r="G27" t="s">
        <v>657</v>
      </c>
      <c r="H27" s="59">
        <v>46113</v>
      </c>
      <c r="I27" t="s">
        <v>658</v>
      </c>
      <c r="J27" s="7">
        <v>1</v>
      </c>
      <c r="K27" s="1">
        <v>46113</v>
      </c>
      <c r="L27" s="56">
        <v>135000</v>
      </c>
      <c r="M27" t="s">
        <v>2220</v>
      </c>
      <c r="N27" t="s">
        <v>2234</v>
      </c>
      <c r="O27" t="s">
        <v>2258</v>
      </c>
      <c r="P27" t="s">
        <v>2284</v>
      </c>
    </row>
    <row r="28" spans="1:16" x14ac:dyDescent="0.25">
      <c r="A28" s="50" t="s">
        <v>661</v>
      </c>
      <c r="B28" s="10" t="s">
        <v>2199</v>
      </c>
      <c r="C28" s="11" t="s">
        <v>28</v>
      </c>
      <c r="D28" s="10" t="s">
        <v>662</v>
      </c>
      <c r="E28" s="11" t="s">
        <v>370</v>
      </c>
      <c r="F28" s="10">
        <v>6</v>
      </c>
      <c r="G28" s="11" t="s">
        <v>657</v>
      </c>
      <c r="H28" s="58">
        <v>46204</v>
      </c>
      <c r="I28" s="11" t="s">
        <v>658</v>
      </c>
      <c r="J28" s="10">
        <v>3</v>
      </c>
      <c r="K28" s="11" t="s">
        <v>664</v>
      </c>
      <c r="L28" s="55">
        <v>405000</v>
      </c>
      <c r="M28" t="s">
        <v>2220</v>
      </c>
      <c r="N28" t="s">
        <v>2234</v>
      </c>
      <c r="O28" t="s">
        <v>2258</v>
      </c>
      <c r="P28" t="s">
        <v>2284</v>
      </c>
    </row>
    <row r="29" spans="1:16" x14ac:dyDescent="0.25">
      <c r="A29" s="51" t="s">
        <v>68</v>
      </c>
      <c r="B29" s="7" t="s">
        <v>2196</v>
      </c>
      <c r="C29" t="s">
        <v>28</v>
      </c>
      <c r="D29" s="7" t="s">
        <v>70</v>
      </c>
      <c r="E29" t="s">
        <v>72</v>
      </c>
      <c r="F29" s="7">
        <v>1</v>
      </c>
      <c r="G29" t="s">
        <v>74</v>
      </c>
      <c r="H29" s="59">
        <v>45474</v>
      </c>
      <c r="I29" t="s">
        <v>75</v>
      </c>
      <c r="J29" s="7">
        <v>24</v>
      </c>
      <c r="K29" t="s">
        <v>73</v>
      </c>
      <c r="L29" s="56">
        <v>40432878</v>
      </c>
      <c r="M29" t="s">
        <v>2220</v>
      </c>
      <c r="N29" t="s">
        <v>2234</v>
      </c>
      <c r="O29" t="s">
        <v>2258</v>
      </c>
      <c r="P29" t="s">
        <v>2284</v>
      </c>
    </row>
    <row r="30" spans="1:16" x14ac:dyDescent="0.25">
      <c r="A30" s="50" t="s">
        <v>59</v>
      </c>
      <c r="B30" s="10" t="s">
        <v>2196</v>
      </c>
      <c r="C30" s="11" t="s">
        <v>28</v>
      </c>
      <c r="D30" s="10" t="s">
        <v>60</v>
      </c>
      <c r="E30" s="11" t="s">
        <v>62</v>
      </c>
      <c r="F30" s="10">
        <v>1</v>
      </c>
      <c r="G30" s="11" t="s">
        <v>64</v>
      </c>
      <c r="H30" s="58">
        <v>45413</v>
      </c>
      <c r="I30" s="11" t="s">
        <v>65</v>
      </c>
      <c r="J30" s="10">
        <v>36</v>
      </c>
      <c r="K30" s="11" t="s">
        <v>63</v>
      </c>
      <c r="L30" s="55">
        <v>43333332</v>
      </c>
      <c r="M30" t="s">
        <v>2226</v>
      </c>
      <c r="N30" t="s">
        <v>2262</v>
      </c>
      <c r="O30" t="s">
        <v>2226</v>
      </c>
      <c r="P30" t="s">
        <v>2284</v>
      </c>
    </row>
    <row r="31" spans="1:16" x14ac:dyDescent="0.25">
      <c r="A31" s="51" t="s">
        <v>82</v>
      </c>
      <c r="B31" s="7" t="s">
        <v>2196</v>
      </c>
      <c r="C31" t="s">
        <v>28</v>
      </c>
      <c r="D31" s="7" t="s">
        <v>83</v>
      </c>
      <c r="E31" t="s">
        <v>72</v>
      </c>
      <c r="F31" s="7">
        <v>1</v>
      </c>
      <c r="G31" t="s">
        <v>74</v>
      </c>
      <c r="H31" s="59">
        <v>45444</v>
      </c>
      <c r="I31" t="s">
        <v>85</v>
      </c>
      <c r="J31" s="7">
        <v>24</v>
      </c>
      <c r="K31" t="s">
        <v>73</v>
      </c>
      <c r="L31" s="56">
        <v>78361124</v>
      </c>
      <c r="M31" t="s">
        <v>2220</v>
      </c>
      <c r="N31" t="s">
        <v>2234</v>
      </c>
      <c r="O31" t="s">
        <v>2258</v>
      </c>
      <c r="P31" t="s">
        <v>2284</v>
      </c>
    </row>
    <row r="32" spans="1:16" x14ac:dyDescent="0.25">
      <c r="A32" s="50" t="s">
        <v>91</v>
      </c>
      <c r="B32" s="10" t="s">
        <v>2196</v>
      </c>
      <c r="C32" s="11" t="s">
        <v>28</v>
      </c>
      <c r="D32" s="10" t="s">
        <v>92</v>
      </c>
      <c r="E32" s="11" t="s">
        <v>72</v>
      </c>
      <c r="F32" s="10">
        <v>1</v>
      </c>
      <c r="G32" s="11" t="s">
        <v>74</v>
      </c>
      <c r="H32" s="58">
        <v>45444</v>
      </c>
      <c r="I32" s="11" t="s">
        <v>85</v>
      </c>
      <c r="J32" s="10">
        <v>24</v>
      </c>
      <c r="K32" s="11" t="s">
        <v>73</v>
      </c>
      <c r="L32" s="55">
        <v>78361124</v>
      </c>
      <c r="M32" t="s">
        <v>2220</v>
      </c>
      <c r="N32" t="s">
        <v>2234</v>
      </c>
      <c r="O32" t="s">
        <v>2258</v>
      </c>
      <c r="P32" t="s">
        <v>2284</v>
      </c>
    </row>
    <row r="33" spans="1:16" x14ac:dyDescent="0.25">
      <c r="A33" s="51" t="s">
        <v>665</v>
      </c>
      <c r="B33" s="7" t="s">
        <v>2199</v>
      </c>
      <c r="C33" t="s">
        <v>28</v>
      </c>
      <c r="D33" s="7" t="s">
        <v>667</v>
      </c>
      <c r="E33" t="s">
        <v>669</v>
      </c>
      <c r="F33" s="7">
        <v>1</v>
      </c>
      <c r="G33" t="s">
        <v>657</v>
      </c>
      <c r="H33" s="59">
        <v>46082</v>
      </c>
      <c r="I33" t="s">
        <v>658</v>
      </c>
      <c r="J33" s="7">
        <v>1</v>
      </c>
      <c r="K33" s="1">
        <v>46082</v>
      </c>
      <c r="L33" s="56">
        <v>1500000</v>
      </c>
      <c r="M33" t="s">
        <v>2220</v>
      </c>
      <c r="N33" t="s">
        <v>2234</v>
      </c>
      <c r="O33" t="s">
        <v>2258</v>
      </c>
      <c r="P33" t="s">
        <v>2284</v>
      </c>
    </row>
    <row r="34" spans="1:16" x14ac:dyDescent="0.25">
      <c r="A34" s="50" t="s">
        <v>103</v>
      </c>
      <c r="B34" s="10" t="s">
        <v>2196</v>
      </c>
      <c r="C34" s="11" t="s">
        <v>28</v>
      </c>
      <c r="D34" s="10" t="s">
        <v>105</v>
      </c>
      <c r="E34" s="11" t="s">
        <v>107</v>
      </c>
      <c r="F34" s="10">
        <v>1</v>
      </c>
      <c r="G34" s="11" t="s">
        <v>109</v>
      </c>
      <c r="H34" s="58">
        <v>45444</v>
      </c>
      <c r="I34" s="11" t="s">
        <v>110</v>
      </c>
      <c r="J34" s="10">
        <v>30</v>
      </c>
      <c r="K34" s="11" t="s">
        <v>108</v>
      </c>
      <c r="L34" s="55">
        <v>18060000</v>
      </c>
      <c r="M34" t="s">
        <v>2250</v>
      </c>
      <c r="N34" t="s">
        <v>2227</v>
      </c>
      <c r="O34" t="s">
        <v>2261</v>
      </c>
      <c r="P34" t="s">
        <v>2284</v>
      </c>
    </row>
    <row r="35" spans="1:16" x14ac:dyDescent="0.25">
      <c r="A35" s="51" t="s">
        <v>670</v>
      </c>
      <c r="B35" s="7" t="s">
        <v>2199</v>
      </c>
      <c r="C35" t="s">
        <v>28</v>
      </c>
      <c r="D35" s="7" t="s">
        <v>671</v>
      </c>
      <c r="E35" t="s">
        <v>673</v>
      </c>
      <c r="F35" s="7">
        <v>1</v>
      </c>
      <c r="G35" t="s">
        <v>657</v>
      </c>
      <c r="H35" s="59">
        <v>46023</v>
      </c>
      <c r="I35" t="s">
        <v>658</v>
      </c>
      <c r="J35" s="7">
        <v>1</v>
      </c>
      <c r="K35" s="1">
        <v>46023</v>
      </c>
      <c r="L35" s="56">
        <v>850000</v>
      </c>
      <c r="M35" t="s">
        <v>2220</v>
      </c>
      <c r="N35" t="s">
        <v>2234</v>
      </c>
      <c r="O35" t="s">
        <v>2258</v>
      </c>
      <c r="P35" t="s">
        <v>2284</v>
      </c>
    </row>
    <row r="36" spans="1:16" x14ac:dyDescent="0.25">
      <c r="A36" s="50" t="s">
        <v>117</v>
      </c>
      <c r="B36" s="10" t="s">
        <v>2196</v>
      </c>
      <c r="C36" s="11" t="s">
        <v>28</v>
      </c>
      <c r="D36" s="10" t="s">
        <v>119</v>
      </c>
      <c r="E36" s="11" t="s">
        <v>121</v>
      </c>
      <c r="F36" s="10">
        <v>1</v>
      </c>
      <c r="G36" s="11" t="s">
        <v>122</v>
      </c>
      <c r="H36" s="58">
        <v>45474</v>
      </c>
      <c r="I36" s="11" t="s">
        <v>123</v>
      </c>
      <c r="J36" s="10">
        <v>24</v>
      </c>
      <c r="K36" s="11" t="s">
        <v>73</v>
      </c>
      <c r="L36" s="55">
        <v>150000000</v>
      </c>
      <c r="M36" t="s">
        <v>2235</v>
      </c>
      <c r="N36" t="s">
        <v>2256</v>
      </c>
      <c r="O36" t="s">
        <v>2268</v>
      </c>
      <c r="P36" t="s">
        <v>2284</v>
      </c>
    </row>
    <row r="37" spans="1:16" x14ac:dyDescent="0.25">
      <c r="A37" s="51" t="s">
        <v>674</v>
      </c>
      <c r="B37" s="7" t="s">
        <v>2199</v>
      </c>
      <c r="C37" t="s">
        <v>28</v>
      </c>
      <c r="D37" s="7" t="s">
        <v>675</v>
      </c>
      <c r="E37" t="s">
        <v>370</v>
      </c>
      <c r="F37" s="7">
        <v>2</v>
      </c>
      <c r="G37" t="s">
        <v>657</v>
      </c>
      <c r="H37" s="59">
        <v>46143</v>
      </c>
      <c r="I37" t="s">
        <v>658</v>
      </c>
      <c r="J37" s="7">
        <v>1</v>
      </c>
      <c r="K37" s="1">
        <v>46143</v>
      </c>
      <c r="L37" s="56">
        <v>450000</v>
      </c>
      <c r="M37" t="s">
        <v>2220</v>
      </c>
      <c r="N37" t="s">
        <v>2234</v>
      </c>
      <c r="O37" t="s">
        <v>2258</v>
      </c>
      <c r="P37" t="s">
        <v>2284</v>
      </c>
    </row>
    <row r="38" spans="1:16" x14ac:dyDescent="0.25">
      <c r="A38" s="50" t="s">
        <v>674</v>
      </c>
      <c r="B38" s="10" t="s">
        <v>2199</v>
      </c>
      <c r="C38" s="11" t="s">
        <v>28</v>
      </c>
      <c r="D38" s="10" t="s">
        <v>675</v>
      </c>
      <c r="E38" s="11" t="s">
        <v>370</v>
      </c>
      <c r="F38" s="10">
        <v>2</v>
      </c>
      <c r="G38" s="11" t="s">
        <v>657</v>
      </c>
      <c r="H38" s="58">
        <v>46327</v>
      </c>
      <c r="I38" s="11" t="s">
        <v>658</v>
      </c>
      <c r="J38" s="10">
        <v>1</v>
      </c>
      <c r="K38" s="57">
        <v>46143</v>
      </c>
      <c r="L38" s="55">
        <v>450000</v>
      </c>
      <c r="M38" t="s">
        <v>2220</v>
      </c>
      <c r="N38" t="s">
        <v>2234</v>
      </c>
      <c r="O38" t="s">
        <v>2258</v>
      </c>
      <c r="P38" t="s">
        <v>2284</v>
      </c>
    </row>
    <row r="39" spans="1:16" x14ac:dyDescent="0.25">
      <c r="A39" s="51" t="s">
        <v>128</v>
      </c>
      <c r="B39" s="7" t="s">
        <v>2196</v>
      </c>
      <c r="C39" t="s">
        <v>28</v>
      </c>
      <c r="D39" s="7" t="s">
        <v>130</v>
      </c>
      <c r="E39" t="s">
        <v>132</v>
      </c>
      <c r="F39" s="7">
        <v>1</v>
      </c>
      <c r="G39" t="s">
        <v>109</v>
      </c>
      <c r="H39" s="59">
        <v>45505</v>
      </c>
      <c r="I39" t="s">
        <v>133</v>
      </c>
      <c r="J39" s="7">
        <v>24</v>
      </c>
      <c r="K39" t="s">
        <v>73</v>
      </c>
      <c r="L39" s="56">
        <v>397359215</v>
      </c>
      <c r="M39" t="s">
        <v>2250</v>
      </c>
      <c r="N39" t="s">
        <v>2227</v>
      </c>
      <c r="O39" t="s">
        <v>2261</v>
      </c>
      <c r="P39" t="s">
        <v>2284</v>
      </c>
    </row>
    <row r="40" spans="1:16" x14ac:dyDescent="0.25">
      <c r="A40" s="50" t="s">
        <v>677</v>
      </c>
      <c r="B40" s="10" t="s">
        <v>2199</v>
      </c>
      <c r="C40" s="11" t="s">
        <v>28</v>
      </c>
      <c r="D40" s="10" t="s">
        <v>678</v>
      </c>
      <c r="E40" s="11" t="s">
        <v>370</v>
      </c>
      <c r="F40" s="10">
        <v>1</v>
      </c>
      <c r="G40" s="11" t="s">
        <v>657</v>
      </c>
      <c r="H40" s="58">
        <v>46174</v>
      </c>
      <c r="I40" s="11" t="s">
        <v>658</v>
      </c>
      <c r="J40" s="10">
        <v>1</v>
      </c>
      <c r="K40" s="57">
        <v>46174</v>
      </c>
      <c r="L40" s="55">
        <v>630000</v>
      </c>
      <c r="M40" t="s">
        <v>2220</v>
      </c>
      <c r="N40" t="s">
        <v>2234</v>
      </c>
      <c r="O40" t="s">
        <v>2258</v>
      </c>
      <c r="P40" t="s">
        <v>2284</v>
      </c>
    </row>
    <row r="41" spans="1:16" x14ac:dyDescent="0.25">
      <c r="A41" s="51" t="s">
        <v>680</v>
      </c>
      <c r="B41" s="7" t="s">
        <v>2199</v>
      </c>
      <c r="C41" t="s">
        <v>28</v>
      </c>
      <c r="D41" s="7" t="s">
        <v>681</v>
      </c>
      <c r="E41" t="s">
        <v>370</v>
      </c>
      <c r="F41" s="7">
        <v>1</v>
      </c>
      <c r="G41" t="s">
        <v>657</v>
      </c>
      <c r="H41" s="59">
        <v>46235</v>
      </c>
      <c r="I41" t="s">
        <v>658</v>
      </c>
      <c r="J41" s="7">
        <v>1</v>
      </c>
      <c r="K41" s="1">
        <v>46235</v>
      </c>
      <c r="L41" s="56">
        <v>135000</v>
      </c>
      <c r="M41" t="s">
        <v>2220</v>
      </c>
      <c r="N41" t="s">
        <v>2234</v>
      </c>
      <c r="O41" t="s">
        <v>2258</v>
      </c>
      <c r="P41" t="s">
        <v>2284</v>
      </c>
    </row>
    <row r="42" spans="1:16" x14ac:dyDescent="0.25">
      <c r="A42" s="50" t="s">
        <v>686</v>
      </c>
      <c r="B42" s="10" t="s">
        <v>2199</v>
      </c>
      <c r="C42" s="11" t="s">
        <v>28</v>
      </c>
      <c r="D42" s="10" t="s">
        <v>687</v>
      </c>
      <c r="E42" s="11" t="s">
        <v>692</v>
      </c>
      <c r="F42" s="10">
        <v>3</v>
      </c>
      <c r="G42" s="11" t="s">
        <v>227</v>
      </c>
      <c r="H42" s="58">
        <v>46082</v>
      </c>
      <c r="I42" s="11" t="s">
        <v>480</v>
      </c>
      <c r="J42" s="10">
        <v>12</v>
      </c>
      <c r="K42" s="11" t="s">
        <v>690</v>
      </c>
      <c r="L42" s="55">
        <v>36406019</v>
      </c>
      <c r="M42" t="s">
        <v>2220</v>
      </c>
      <c r="N42" t="s">
        <v>2234</v>
      </c>
      <c r="O42" t="s">
        <v>2258</v>
      </c>
      <c r="P42" t="s">
        <v>2284</v>
      </c>
    </row>
    <row r="43" spans="1:16" x14ac:dyDescent="0.25">
      <c r="A43" s="51" t="s">
        <v>686</v>
      </c>
      <c r="B43" s="7" t="s">
        <v>2199</v>
      </c>
      <c r="C43" t="s">
        <v>28</v>
      </c>
      <c r="D43" s="7" t="s">
        <v>687</v>
      </c>
      <c r="E43" t="s">
        <v>689</v>
      </c>
      <c r="F43" s="7">
        <v>3</v>
      </c>
      <c r="G43" t="s">
        <v>227</v>
      </c>
      <c r="H43" s="59">
        <v>46082</v>
      </c>
      <c r="I43" t="s">
        <v>480</v>
      </c>
      <c r="J43" s="7">
        <v>12</v>
      </c>
      <c r="K43" t="s">
        <v>690</v>
      </c>
      <c r="L43" s="56">
        <v>64787500</v>
      </c>
      <c r="M43" t="s">
        <v>2220</v>
      </c>
      <c r="N43" t="s">
        <v>2234</v>
      </c>
      <c r="O43" t="s">
        <v>2258</v>
      </c>
      <c r="P43" t="s">
        <v>2284</v>
      </c>
    </row>
    <row r="44" spans="1:16" x14ac:dyDescent="0.25">
      <c r="A44" s="50" t="s">
        <v>696</v>
      </c>
      <c r="B44" s="10" t="s">
        <v>2199</v>
      </c>
      <c r="C44" s="11" t="s">
        <v>28</v>
      </c>
      <c r="D44" s="10" t="s">
        <v>697</v>
      </c>
      <c r="E44" s="11" t="s">
        <v>370</v>
      </c>
      <c r="F44" s="10">
        <v>1</v>
      </c>
      <c r="G44" s="11" t="s">
        <v>657</v>
      </c>
      <c r="H44" s="58">
        <v>46143</v>
      </c>
      <c r="I44" s="11" t="s">
        <v>658</v>
      </c>
      <c r="J44" s="10">
        <v>1</v>
      </c>
      <c r="K44" s="57">
        <v>46143</v>
      </c>
      <c r="L44" s="55">
        <v>675000</v>
      </c>
      <c r="M44" t="s">
        <v>2220</v>
      </c>
      <c r="N44" t="s">
        <v>2234</v>
      </c>
      <c r="O44" t="s">
        <v>2258</v>
      </c>
      <c r="P44" t="s">
        <v>2284</v>
      </c>
    </row>
    <row r="45" spans="1:16" x14ac:dyDescent="0.25">
      <c r="A45" s="51" t="s">
        <v>706</v>
      </c>
      <c r="B45" s="7" t="s">
        <v>2199</v>
      </c>
      <c r="C45" t="s">
        <v>28</v>
      </c>
      <c r="D45" s="7" t="s">
        <v>707</v>
      </c>
      <c r="E45" t="s">
        <v>486</v>
      </c>
      <c r="F45" s="7">
        <v>1</v>
      </c>
      <c r="G45" t="s">
        <v>590</v>
      </c>
      <c r="H45" s="59">
        <v>46082</v>
      </c>
      <c r="I45" t="s">
        <v>591</v>
      </c>
      <c r="J45" s="7">
        <v>1</v>
      </c>
      <c r="K45" s="1">
        <v>46082</v>
      </c>
      <c r="L45" s="56">
        <v>190000</v>
      </c>
      <c r="M45" t="s">
        <v>2222</v>
      </c>
      <c r="N45" t="s">
        <v>2234</v>
      </c>
      <c r="O45" t="s">
        <v>2260</v>
      </c>
      <c r="P45" t="s">
        <v>2284</v>
      </c>
    </row>
    <row r="46" spans="1:16" x14ac:dyDescent="0.25">
      <c r="A46" s="50" t="s">
        <v>713</v>
      </c>
      <c r="B46" s="10" t="s">
        <v>2199</v>
      </c>
      <c r="C46" s="11" t="s">
        <v>28</v>
      </c>
      <c r="D46" s="10" t="s">
        <v>714</v>
      </c>
      <c r="E46" s="11" t="s">
        <v>716</v>
      </c>
      <c r="F46" s="10">
        <v>1</v>
      </c>
      <c r="G46" s="11" t="s">
        <v>227</v>
      </c>
      <c r="H46" s="58">
        <v>46082</v>
      </c>
      <c r="I46" s="11" t="s">
        <v>480</v>
      </c>
      <c r="J46" s="10">
        <v>24</v>
      </c>
      <c r="K46" s="11" t="s">
        <v>717</v>
      </c>
      <c r="L46" s="55">
        <v>49483210</v>
      </c>
      <c r="M46" t="s">
        <v>2220</v>
      </c>
      <c r="N46" t="s">
        <v>2234</v>
      </c>
      <c r="O46" t="s">
        <v>2258</v>
      </c>
      <c r="P46" t="s">
        <v>2284</v>
      </c>
    </row>
    <row r="47" spans="1:16" x14ac:dyDescent="0.25">
      <c r="A47" s="51" t="s">
        <v>136</v>
      </c>
      <c r="B47" s="7" t="s">
        <v>2196</v>
      </c>
      <c r="C47" t="s">
        <v>28</v>
      </c>
      <c r="D47" s="7" t="s">
        <v>138</v>
      </c>
      <c r="E47" t="s">
        <v>140</v>
      </c>
      <c r="F47" s="7">
        <v>1</v>
      </c>
      <c r="G47" t="s">
        <v>141</v>
      </c>
      <c r="H47" s="59">
        <v>45444</v>
      </c>
      <c r="I47" t="s">
        <v>142</v>
      </c>
      <c r="J47" s="7">
        <v>30</v>
      </c>
      <c r="K47" t="s">
        <v>108</v>
      </c>
      <c r="L47" s="56">
        <v>496977708</v>
      </c>
      <c r="M47" t="s">
        <v>2250</v>
      </c>
      <c r="N47" t="s">
        <v>2227</v>
      </c>
      <c r="O47" t="s">
        <v>2261</v>
      </c>
      <c r="P47" t="s">
        <v>2284</v>
      </c>
    </row>
    <row r="48" spans="1:16" x14ac:dyDescent="0.25">
      <c r="A48" s="50" t="s">
        <v>718</v>
      </c>
      <c r="B48" s="10" t="s">
        <v>2199</v>
      </c>
      <c r="C48" s="11" t="s">
        <v>28</v>
      </c>
      <c r="D48" s="10" t="s">
        <v>719</v>
      </c>
      <c r="E48" s="11" t="s">
        <v>631</v>
      </c>
      <c r="F48" s="10">
        <v>1</v>
      </c>
      <c r="G48" s="11" t="s">
        <v>657</v>
      </c>
      <c r="H48" s="58">
        <v>46023</v>
      </c>
      <c r="I48" s="11" t="s">
        <v>658</v>
      </c>
      <c r="J48" s="10">
        <v>1</v>
      </c>
      <c r="K48" s="57">
        <v>46023</v>
      </c>
      <c r="L48" s="55">
        <v>430010</v>
      </c>
      <c r="M48" t="s">
        <v>2220</v>
      </c>
      <c r="N48" t="s">
        <v>2234</v>
      </c>
      <c r="O48" t="s">
        <v>2258</v>
      </c>
      <c r="P48" t="s">
        <v>2284</v>
      </c>
    </row>
    <row r="49" spans="1:16" x14ac:dyDescent="0.25">
      <c r="A49" s="51" t="s">
        <v>721</v>
      </c>
      <c r="B49" s="7" t="s">
        <v>2199</v>
      </c>
      <c r="C49" t="s">
        <v>28</v>
      </c>
      <c r="D49" s="7" t="s">
        <v>722</v>
      </c>
      <c r="E49" t="s">
        <v>716</v>
      </c>
      <c r="F49" s="7">
        <v>1</v>
      </c>
      <c r="G49" t="s">
        <v>227</v>
      </c>
      <c r="H49" s="59">
        <v>46082</v>
      </c>
      <c r="I49" t="s">
        <v>480</v>
      </c>
      <c r="J49" s="7">
        <v>12</v>
      </c>
      <c r="K49" t="s">
        <v>690</v>
      </c>
      <c r="L49" s="56">
        <v>247689000</v>
      </c>
      <c r="M49" t="s">
        <v>2220</v>
      </c>
      <c r="N49" t="s">
        <v>2234</v>
      </c>
      <c r="O49" t="s">
        <v>2258</v>
      </c>
      <c r="P49" t="s">
        <v>2284</v>
      </c>
    </row>
    <row r="50" spans="1:16" x14ac:dyDescent="0.25">
      <c r="A50" s="50" t="s">
        <v>724</v>
      </c>
      <c r="B50" s="10" t="s">
        <v>2199</v>
      </c>
      <c r="C50" s="11" t="s">
        <v>28</v>
      </c>
      <c r="D50" s="10" t="s">
        <v>726</v>
      </c>
      <c r="E50" s="11" t="s">
        <v>728</v>
      </c>
      <c r="F50" s="10">
        <v>1</v>
      </c>
      <c r="G50" s="11" t="s">
        <v>657</v>
      </c>
      <c r="H50" s="58">
        <v>46082</v>
      </c>
      <c r="I50" s="11" t="s">
        <v>658</v>
      </c>
      <c r="J50" s="10">
        <v>1</v>
      </c>
      <c r="K50" s="57">
        <v>46082</v>
      </c>
      <c r="L50" s="55">
        <v>990002</v>
      </c>
      <c r="M50" t="s">
        <v>2220</v>
      </c>
      <c r="N50" t="s">
        <v>2234</v>
      </c>
      <c r="O50" t="s">
        <v>2258</v>
      </c>
      <c r="P50" t="s">
        <v>2284</v>
      </c>
    </row>
    <row r="51" spans="1:16" x14ac:dyDescent="0.25">
      <c r="A51" s="51" t="s">
        <v>148</v>
      </c>
      <c r="B51" s="7" t="s">
        <v>2196</v>
      </c>
      <c r="C51" t="s">
        <v>28</v>
      </c>
      <c r="D51" s="7" t="s">
        <v>150</v>
      </c>
      <c r="E51" t="s">
        <v>152</v>
      </c>
      <c r="F51" s="7">
        <v>1</v>
      </c>
      <c r="G51" t="s">
        <v>153</v>
      </c>
      <c r="H51" s="59">
        <v>45474</v>
      </c>
      <c r="I51" t="s">
        <v>154</v>
      </c>
      <c r="J51" s="7">
        <v>24</v>
      </c>
      <c r="K51" t="s">
        <v>73</v>
      </c>
      <c r="L51" s="56">
        <v>118000004</v>
      </c>
      <c r="M51" t="s">
        <v>2221</v>
      </c>
      <c r="N51" t="s">
        <v>2234</v>
      </c>
      <c r="O51" t="s">
        <v>2259</v>
      </c>
      <c r="P51" t="s">
        <v>2284</v>
      </c>
    </row>
    <row r="52" spans="1:16" x14ac:dyDescent="0.25">
      <c r="A52" s="50" t="s">
        <v>729</v>
      </c>
      <c r="B52" s="10" t="s">
        <v>2199</v>
      </c>
      <c r="C52" s="11" t="s">
        <v>28</v>
      </c>
      <c r="D52" s="10" t="s">
        <v>731</v>
      </c>
      <c r="E52" s="11" t="s">
        <v>359</v>
      </c>
      <c r="F52" s="10">
        <v>1</v>
      </c>
      <c r="G52" s="11" t="s">
        <v>733</v>
      </c>
      <c r="H52" s="58">
        <v>46082</v>
      </c>
      <c r="I52" s="11" t="s">
        <v>734</v>
      </c>
      <c r="J52" s="10">
        <v>1</v>
      </c>
      <c r="K52" s="57">
        <v>46082</v>
      </c>
      <c r="L52" s="55">
        <v>1352694</v>
      </c>
      <c r="M52" t="s">
        <v>2232</v>
      </c>
      <c r="N52" t="s">
        <v>2234</v>
      </c>
      <c r="O52" t="s">
        <v>2265</v>
      </c>
      <c r="P52" t="s">
        <v>2284</v>
      </c>
    </row>
    <row r="53" spans="1:16" x14ac:dyDescent="0.25">
      <c r="A53" s="51" t="s">
        <v>744</v>
      </c>
      <c r="B53" s="7" t="s">
        <v>2199</v>
      </c>
      <c r="C53" t="s">
        <v>28</v>
      </c>
      <c r="D53" s="7" t="s">
        <v>746</v>
      </c>
      <c r="E53" t="s">
        <v>748</v>
      </c>
      <c r="F53" s="7">
        <v>1</v>
      </c>
      <c r="G53" t="s">
        <v>657</v>
      </c>
      <c r="H53" s="59">
        <v>46023</v>
      </c>
      <c r="I53" t="s">
        <v>658</v>
      </c>
      <c r="J53" s="7">
        <v>1</v>
      </c>
      <c r="K53" s="1">
        <v>46023</v>
      </c>
      <c r="L53" s="56">
        <v>300000</v>
      </c>
      <c r="M53" t="s">
        <v>2220</v>
      </c>
      <c r="N53" t="s">
        <v>2234</v>
      </c>
      <c r="O53" t="s">
        <v>2258</v>
      </c>
      <c r="P53" t="s">
        <v>2284</v>
      </c>
    </row>
    <row r="54" spans="1:16" x14ac:dyDescent="0.25">
      <c r="A54" s="50" t="s">
        <v>165</v>
      </c>
      <c r="B54" s="10" t="s">
        <v>2196</v>
      </c>
      <c r="C54" s="11" t="s">
        <v>28</v>
      </c>
      <c r="D54" s="10" t="s">
        <v>167</v>
      </c>
      <c r="E54" s="11" t="s">
        <v>62</v>
      </c>
      <c r="F54" s="10">
        <v>1</v>
      </c>
      <c r="G54" s="11" t="s">
        <v>169</v>
      </c>
      <c r="H54" s="58">
        <v>45444</v>
      </c>
      <c r="I54" s="11" t="s">
        <v>65</v>
      </c>
      <c r="J54" s="10">
        <v>24</v>
      </c>
      <c r="K54" s="11" t="s">
        <v>73</v>
      </c>
      <c r="L54" s="55">
        <v>10000004</v>
      </c>
      <c r="M54" t="s">
        <v>2226</v>
      </c>
      <c r="N54" t="s">
        <v>2262</v>
      </c>
      <c r="O54" t="s">
        <v>2226</v>
      </c>
      <c r="P54" t="s">
        <v>2284</v>
      </c>
    </row>
    <row r="55" spans="1:16" x14ac:dyDescent="0.25">
      <c r="A55" s="51" t="s">
        <v>756</v>
      </c>
      <c r="B55" s="7" t="s">
        <v>2199</v>
      </c>
      <c r="C55" t="s">
        <v>28</v>
      </c>
      <c r="D55" s="7" t="s">
        <v>758</v>
      </c>
      <c r="E55" t="s">
        <v>760</v>
      </c>
      <c r="F55" s="7">
        <v>1</v>
      </c>
      <c r="G55" t="s">
        <v>761</v>
      </c>
      <c r="H55" s="59">
        <v>46296</v>
      </c>
      <c r="I55" t="s">
        <v>762</v>
      </c>
      <c r="J55" s="7">
        <v>1</v>
      </c>
      <c r="K55" s="1">
        <v>46296</v>
      </c>
      <c r="L55" s="56">
        <v>800000</v>
      </c>
      <c r="M55" t="s">
        <v>2220</v>
      </c>
      <c r="N55" t="s">
        <v>2234</v>
      </c>
      <c r="O55" t="s">
        <v>2258</v>
      </c>
      <c r="P55" t="s">
        <v>2284</v>
      </c>
    </row>
    <row r="56" spans="1:16" x14ac:dyDescent="0.25">
      <c r="A56" s="50" t="s">
        <v>773</v>
      </c>
      <c r="B56" s="10" t="s">
        <v>2199</v>
      </c>
      <c r="C56" s="11" t="s">
        <v>28</v>
      </c>
      <c r="D56" s="10" t="s">
        <v>774</v>
      </c>
      <c r="E56" s="11" t="s">
        <v>778</v>
      </c>
      <c r="F56" s="10">
        <v>6</v>
      </c>
      <c r="G56" s="11" t="s">
        <v>768</v>
      </c>
      <c r="H56" s="58">
        <v>46054</v>
      </c>
      <c r="I56" s="11" t="s">
        <v>386</v>
      </c>
      <c r="J56" s="10">
        <v>1</v>
      </c>
      <c r="K56" s="57">
        <v>46054</v>
      </c>
      <c r="L56" s="55">
        <v>124000</v>
      </c>
      <c r="M56" t="s">
        <v>2275</v>
      </c>
      <c r="N56" t="s">
        <v>2234</v>
      </c>
      <c r="O56" t="s">
        <v>2258</v>
      </c>
      <c r="P56" t="s">
        <v>2284</v>
      </c>
    </row>
    <row r="57" spans="1:16" x14ac:dyDescent="0.25">
      <c r="A57" s="51" t="s">
        <v>773</v>
      </c>
      <c r="B57" s="7" t="s">
        <v>2199</v>
      </c>
      <c r="C57" t="s">
        <v>28</v>
      </c>
      <c r="D57" s="7" t="s">
        <v>774</v>
      </c>
      <c r="E57" t="s">
        <v>781</v>
      </c>
      <c r="F57" s="7">
        <v>6</v>
      </c>
      <c r="G57" t="s">
        <v>768</v>
      </c>
      <c r="H57" s="59">
        <v>46054</v>
      </c>
      <c r="I57" t="s">
        <v>386</v>
      </c>
      <c r="J57" s="7">
        <v>1</v>
      </c>
      <c r="K57" s="1">
        <v>46054</v>
      </c>
      <c r="L57" s="56">
        <v>8000</v>
      </c>
      <c r="M57" t="s">
        <v>2275</v>
      </c>
      <c r="N57" t="s">
        <v>2234</v>
      </c>
      <c r="O57" t="s">
        <v>2258</v>
      </c>
      <c r="P57" t="s">
        <v>2284</v>
      </c>
    </row>
    <row r="58" spans="1:16" x14ac:dyDescent="0.25">
      <c r="A58" s="50" t="s">
        <v>773</v>
      </c>
      <c r="B58" s="10" t="s">
        <v>2199</v>
      </c>
      <c r="C58" s="11" t="s">
        <v>28</v>
      </c>
      <c r="D58" s="10" t="s">
        <v>774</v>
      </c>
      <c r="E58" s="11" t="s">
        <v>780</v>
      </c>
      <c r="F58" s="10">
        <v>6</v>
      </c>
      <c r="G58" s="11" t="s">
        <v>768</v>
      </c>
      <c r="H58" s="58">
        <v>46054</v>
      </c>
      <c r="I58" s="11" t="s">
        <v>386</v>
      </c>
      <c r="J58" s="10">
        <v>1</v>
      </c>
      <c r="K58" s="57">
        <v>46054</v>
      </c>
      <c r="L58" s="55">
        <v>25000</v>
      </c>
      <c r="M58" t="s">
        <v>2275</v>
      </c>
      <c r="N58" t="s">
        <v>2234</v>
      </c>
      <c r="O58" t="s">
        <v>2258</v>
      </c>
      <c r="P58" t="s">
        <v>2284</v>
      </c>
    </row>
    <row r="59" spans="1:16" x14ac:dyDescent="0.25">
      <c r="A59" s="51" t="s">
        <v>773</v>
      </c>
      <c r="B59" s="7" t="s">
        <v>2199</v>
      </c>
      <c r="C59" t="s">
        <v>28</v>
      </c>
      <c r="D59" s="7" t="s">
        <v>774</v>
      </c>
      <c r="E59" t="s">
        <v>779</v>
      </c>
      <c r="F59" s="7">
        <v>6</v>
      </c>
      <c r="G59" t="s">
        <v>768</v>
      </c>
      <c r="H59" s="59">
        <v>46054</v>
      </c>
      <c r="I59" t="s">
        <v>386</v>
      </c>
      <c r="J59" s="7">
        <v>1</v>
      </c>
      <c r="K59" s="1">
        <v>46054</v>
      </c>
      <c r="L59" s="56">
        <v>70000</v>
      </c>
      <c r="M59" t="s">
        <v>2275</v>
      </c>
      <c r="N59" t="s">
        <v>2234</v>
      </c>
      <c r="O59" t="s">
        <v>2258</v>
      </c>
      <c r="P59" t="s">
        <v>2284</v>
      </c>
    </row>
    <row r="60" spans="1:16" x14ac:dyDescent="0.25">
      <c r="A60" s="50" t="s">
        <v>773</v>
      </c>
      <c r="B60" s="10" t="s">
        <v>2199</v>
      </c>
      <c r="C60" s="11" t="s">
        <v>28</v>
      </c>
      <c r="D60" s="10" t="s">
        <v>774</v>
      </c>
      <c r="E60" s="11" t="s">
        <v>777</v>
      </c>
      <c r="F60" s="10">
        <v>6</v>
      </c>
      <c r="G60" s="11" t="s">
        <v>768</v>
      </c>
      <c r="H60" s="58">
        <v>46054</v>
      </c>
      <c r="I60" s="11" t="s">
        <v>386</v>
      </c>
      <c r="J60" s="10">
        <v>1</v>
      </c>
      <c r="K60" s="57">
        <v>46054</v>
      </c>
      <c r="L60" s="55">
        <v>699036</v>
      </c>
      <c r="M60" t="s">
        <v>2275</v>
      </c>
      <c r="N60" t="s">
        <v>2234</v>
      </c>
      <c r="O60" t="s">
        <v>2258</v>
      </c>
      <c r="P60" t="s">
        <v>2284</v>
      </c>
    </row>
    <row r="61" spans="1:16" x14ac:dyDescent="0.25">
      <c r="A61" s="51" t="s">
        <v>773</v>
      </c>
      <c r="B61" s="7" t="s">
        <v>2199</v>
      </c>
      <c r="C61" t="s">
        <v>28</v>
      </c>
      <c r="D61" s="7" t="s">
        <v>774</v>
      </c>
      <c r="E61" t="s">
        <v>776</v>
      </c>
      <c r="F61" s="7">
        <v>6</v>
      </c>
      <c r="G61" t="s">
        <v>768</v>
      </c>
      <c r="H61" s="59">
        <v>46054</v>
      </c>
      <c r="I61" t="s">
        <v>386</v>
      </c>
      <c r="J61" s="7">
        <v>1</v>
      </c>
      <c r="K61" s="1">
        <v>46054</v>
      </c>
      <c r="L61" s="56">
        <v>240012</v>
      </c>
      <c r="M61" t="s">
        <v>2275</v>
      </c>
      <c r="N61" t="s">
        <v>2234</v>
      </c>
      <c r="O61" t="s">
        <v>2258</v>
      </c>
      <c r="P61" t="s">
        <v>2284</v>
      </c>
    </row>
    <row r="62" spans="1:16" x14ac:dyDescent="0.25">
      <c r="A62" s="50" t="s">
        <v>787</v>
      </c>
      <c r="B62" s="10" t="s">
        <v>2199</v>
      </c>
      <c r="C62" s="11" t="s">
        <v>28</v>
      </c>
      <c r="D62" s="10" t="s">
        <v>788</v>
      </c>
      <c r="E62" s="11" t="s">
        <v>359</v>
      </c>
      <c r="F62" s="10">
        <v>2</v>
      </c>
      <c r="G62" s="11" t="s">
        <v>790</v>
      </c>
      <c r="H62" s="58">
        <v>46082</v>
      </c>
      <c r="I62" s="11" t="s">
        <v>791</v>
      </c>
      <c r="J62" s="10">
        <v>1</v>
      </c>
      <c r="K62" s="57">
        <v>46082</v>
      </c>
      <c r="L62" s="55">
        <v>921162</v>
      </c>
      <c r="M62" t="s">
        <v>2232</v>
      </c>
      <c r="N62" t="s">
        <v>2234</v>
      </c>
      <c r="O62" t="s">
        <v>2265</v>
      </c>
      <c r="P62" t="s">
        <v>2284</v>
      </c>
    </row>
    <row r="63" spans="1:16" x14ac:dyDescent="0.25">
      <c r="A63" s="51" t="s">
        <v>787</v>
      </c>
      <c r="B63" s="7" t="s">
        <v>2199</v>
      </c>
      <c r="C63" t="s">
        <v>28</v>
      </c>
      <c r="D63" s="7" t="s">
        <v>788</v>
      </c>
      <c r="E63" t="s">
        <v>195</v>
      </c>
      <c r="F63" s="7">
        <v>2</v>
      </c>
      <c r="G63" t="s">
        <v>790</v>
      </c>
      <c r="H63" s="59">
        <v>46082</v>
      </c>
      <c r="I63" t="s">
        <v>791</v>
      </c>
      <c r="J63" s="7">
        <v>1</v>
      </c>
      <c r="K63" s="1">
        <v>46082</v>
      </c>
      <c r="L63" s="56">
        <v>86299</v>
      </c>
      <c r="M63" t="s">
        <v>2232</v>
      </c>
      <c r="N63" t="s">
        <v>2234</v>
      </c>
      <c r="O63" t="s">
        <v>2265</v>
      </c>
      <c r="P63" t="s">
        <v>2284</v>
      </c>
    </row>
    <row r="64" spans="1:16" x14ac:dyDescent="0.25">
      <c r="A64" s="50" t="s">
        <v>811</v>
      </c>
      <c r="B64" s="10" t="s">
        <v>2199</v>
      </c>
      <c r="C64" s="11" t="s">
        <v>28</v>
      </c>
      <c r="D64" s="10" t="s">
        <v>813</v>
      </c>
      <c r="E64" s="11" t="s">
        <v>815</v>
      </c>
      <c r="F64" s="10">
        <v>1</v>
      </c>
      <c r="G64" s="11" t="s">
        <v>790</v>
      </c>
      <c r="H64" s="58">
        <v>46082</v>
      </c>
      <c r="I64" s="11" t="s">
        <v>791</v>
      </c>
      <c r="J64" s="10">
        <v>1</v>
      </c>
      <c r="K64" s="57">
        <v>46082</v>
      </c>
      <c r="L64" s="55">
        <v>400000</v>
      </c>
      <c r="M64" t="s">
        <v>2232</v>
      </c>
      <c r="N64" t="s">
        <v>2234</v>
      </c>
      <c r="O64" t="s">
        <v>2265</v>
      </c>
      <c r="P64" t="s">
        <v>2284</v>
      </c>
    </row>
    <row r="65" spans="1:16" x14ac:dyDescent="0.25">
      <c r="A65" s="51" t="s">
        <v>816</v>
      </c>
      <c r="B65" s="7" t="s">
        <v>2199</v>
      </c>
      <c r="C65" t="s">
        <v>28</v>
      </c>
      <c r="D65" s="7" t="s">
        <v>817</v>
      </c>
      <c r="E65" t="s">
        <v>821</v>
      </c>
      <c r="F65" s="7">
        <v>5</v>
      </c>
      <c r="G65" t="s">
        <v>768</v>
      </c>
      <c r="H65" s="59">
        <v>46023</v>
      </c>
      <c r="I65" t="s">
        <v>386</v>
      </c>
      <c r="J65" s="7">
        <v>1</v>
      </c>
      <c r="K65" s="1">
        <v>46023</v>
      </c>
      <c r="L65" s="56">
        <v>104004</v>
      </c>
      <c r="M65" t="s">
        <v>2275</v>
      </c>
      <c r="N65" t="s">
        <v>2234</v>
      </c>
      <c r="O65" t="s">
        <v>2258</v>
      </c>
      <c r="P65" t="s">
        <v>2284</v>
      </c>
    </row>
    <row r="66" spans="1:16" x14ac:dyDescent="0.25">
      <c r="A66" s="50" t="s">
        <v>816</v>
      </c>
      <c r="B66" s="10" t="s">
        <v>2199</v>
      </c>
      <c r="C66" s="11" t="s">
        <v>28</v>
      </c>
      <c r="D66" s="10" t="s">
        <v>817</v>
      </c>
      <c r="E66" s="11" t="s">
        <v>821</v>
      </c>
      <c r="F66" s="10">
        <v>5</v>
      </c>
      <c r="G66" s="11" t="s">
        <v>768</v>
      </c>
      <c r="H66" s="58">
        <v>46082</v>
      </c>
      <c r="I66" s="11" t="s">
        <v>386</v>
      </c>
      <c r="J66" s="10">
        <v>1</v>
      </c>
      <c r="K66" s="57">
        <v>46082</v>
      </c>
      <c r="L66" s="55">
        <v>1900044</v>
      </c>
      <c r="M66" t="s">
        <v>2275</v>
      </c>
      <c r="N66" t="s">
        <v>2234</v>
      </c>
      <c r="O66" t="s">
        <v>2258</v>
      </c>
      <c r="P66" t="s">
        <v>2284</v>
      </c>
    </row>
    <row r="67" spans="1:16" x14ac:dyDescent="0.25">
      <c r="A67" s="51" t="s">
        <v>816</v>
      </c>
      <c r="B67" s="7" t="s">
        <v>2199</v>
      </c>
      <c r="C67" t="s">
        <v>28</v>
      </c>
      <c r="D67" s="7" t="s">
        <v>817</v>
      </c>
      <c r="E67" t="s">
        <v>486</v>
      </c>
      <c r="F67" s="7">
        <v>5</v>
      </c>
      <c r="G67" t="s">
        <v>768</v>
      </c>
      <c r="H67" s="59">
        <v>46023</v>
      </c>
      <c r="I67" t="s">
        <v>386</v>
      </c>
      <c r="J67" s="7">
        <v>1</v>
      </c>
      <c r="K67" s="1">
        <v>46023</v>
      </c>
      <c r="L67" s="56">
        <v>250000</v>
      </c>
      <c r="M67" t="s">
        <v>2275</v>
      </c>
      <c r="N67" t="s">
        <v>2234</v>
      </c>
      <c r="O67" t="s">
        <v>2258</v>
      </c>
      <c r="P67" t="s">
        <v>2284</v>
      </c>
    </row>
    <row r="68" spans="1:16" x14ac:dyDescent="0.25">
      <c r="A68" s="50" t="s">
        <v>816</v>
      </c>
      <c r="B68" s="10" t="s">
        <v>2199</v>
      </c>
      <c r="C68" s="11" t="s">
        <v>28</v>
      </c>
      <c r="D68" s="10" t="s">
        <v>817</v>
      </c>
      <c r="E68" s="11" t="s">
        <v>819</v>
      </c>
      <c r="F68" s="10">
        <v>5</v>
      </c>
      <c r="G68" s="11" t="s">
        <v>768</v>
      </c>
      <c r="H68" s="58">
        <v>46113</v>
      </c>
      <c r="I68" s="11" t="s">
        <v>386</v>
      </c>
      <c r="J68" s="10">
        <v>1</v>
      </c>
      <c r="K68" s="57">
        <v>46113</v>
      </c>
      <c r="L68" s="55">
        <v>1450010</v>
      </c>
      <c r="M68" t="s">
        <v>2275</v>
      </c>
      <c r="N68" t="s">
        <v>2234</v>
      </c>
      <c r="O68" t="s">
        <v>2258</v>
      </c>
      <c r="P68" t="s">
        <v>2284</v>
      </c>
    </row>
    <row r="69" spans="1:16" x14ac:dyDescent="0.25">
      <c r="A69" s="51" t="s">
        <v>816</v>
      </c>
      <c r="B69" s="7" t="s">
        <v>2199</v>
      </c>
      <c r="C69" t="s">
        <v>28</v>
      </c>
      <c r="D69" s="7" t="s">
        <v>817</v>
      </c>
      <c r="E69" t="s">
        <v>820</v>
      </c>
      <c r="F69" s="7">
        <v>5</v>
      </c>
      <c r="G69" t="s">
        <v>768</v>
      </c>
      <c r="H69" s="59">
        <v>46023</v>
      </c>
      <c r="I69" t="s">
        <v>386</v>
      </c>
      <c r="J69" s="7">
        <v>1</v>
      </c>
      <c r="K69" s="1">
        <v>46023</v>
      </c>
      <c r="L69" s="56">
        <v>1500000</v>
      </c>
      <c r="M69" t="s">
        <v>2275</v>
      </c>
      <c r="N69" t="s">
        <v>2234</v>
      </c>
      <c r="O69" t="s">
        <v>2258</v>
      </c>
      <c r="P69" t="s">
        <v>2284</v>
      </c>
    </row>
    <row r="70" spans="1:16" x14ac:dyDescent="0.25">
      <c r="A70" s="50" t="s">
        <v>827</v>
      </c>
      <c r="B70" s="10" t="s">
        <v>2199</v>
      </c>
      <c r="C70" s="11" t="s">
        <v>28</v>
      </c>
      <c r="D70" s="10" t="s">
        <v>828</v>
      </c>
      <c r="E70" s="11" t="s">
        <v>831</v>
      </c>
      <c r="F70" s="10">
        <v>4</v>
      </c>
      <c r="G70" s="11" t="s">
        <v>761</v>
      </c>
      <c r="H70" s="58">
        <v>46082</v>
      </c>
      <c r="I70" s="11" t="s">
        <v>762</v>
      </c>
      <c r="J70" s="10">
        <v>1</v>
      </c>
      <c r="K70" s="57">
        <v>46082</v>
      </c>
      <c r="L70" s="55">
        <v>300000</v>
      </c>
      <c r="M70" t="s">
        <v>2220</v>
      </c>
      <c r="N70" t="s">
        <v>2234</v>
      </c>
      <c r="O70" t="s">
        <v>2258</v>
      </c>
      <c r="P70" t="s">
        <v>2284</v>
      </c>
    </row>
    <row r="71" spans="1:16" x14ac:dyDescent="0.25">
      <c r="A71" s="51" t="s">
        <v>827</v>
      </c>
      <c r="B71" s="7" t="s">
        <v>2199</v>
      </c>
      <c r="C71" t="s">
        <v>28</v>
      </c>
      <c r="D71" s="7" t="s">
        <v>828</v>
      </c>
      <c r="E71" t="s">
        <v>830</v>
      </c>
      <c r="F71" s="7">
        <v>4</v>
      </c>
      <c r="G71" t="s">
        <v>761</v>
      </c>
      <c r="H71" s="59">
        <v>46082</v>
      </c>
      <c r="I71" t="s">
        <v>762</v>
      </c>
      <c r="J71" s="7">
        <v>1</v>
      </c>
      <c r="K71" s="1">
        <v>46082</v>
      </c>
      <c r="L71" s="56">
        <v>176016</v>
      </c>
      <c r="M71" t="s">
        <v>2220</v>
      </c>
      <c r="N71" t="s">
        <v>2234</v>
      </c>
      <c r="O71" t="s">
        <v>2258</v>
      </c>
      <c r="P71" t="s">
        <v>2284</v>
      </c>
    </row>
    <row r="72" spans="1:16" x14ac:dyDescent="0.25">
      <c r="A72" s="50" t="s">
        <v>827</v>
      </c>
      <c r="B72" s="10" t="s">
        <v>2199</v>
      </c>
      <c r="C72" s="11" t="s">
        <v>28</v>
      </c>
      <c r="D72" s="10" t="s">
        <v>828</v>
      </c>
      <c r="E72" s="11" t="s">
        <v>833</v>
      </c>
      <c r="F72" s="10">
        <v>4</v>
      </c>
      <c r="G72" s="11" t="s">
        <v>761</v>
      </c>
      <c r="H72" s="58">
        <v>46082</v>
      </c>
      <c r="I72" s="11" t="s">
        <v>762</v>
      </c>
      <c r="J72" s="10">
        <v>1</v>
      </c>
      <c r="K72" s="57">
        <v>46082</v>
      </c>
      <c r="L72" s="55">
        <v>1071050</v>
      </c>
      <c r="M72" t="s">
        <v>2220</v>
      </c>
      <c r="N72" t="s">
        <v>2234</v>
      </c>
      <c r="O72" t="s">
        <v>2258</v>
      </c>
      <c r="P72" t="s">
        <v>2284</v>
      </c>
    </row>
    <row r="73" spans="1:16" x14ac:dyDescent="0.25">
      <c r="A73" s="51" t="s">
        <v>827</v>
      </c>
      <c r="B73" s="7" t="s">
        <v>2199</v>
      </c>
      <c r="C73" t="s">
        <v>28</v>
      </c>
      <c r="D73" s="7" t="s">
        <v>828</v>
      </c>
      <c r="E73" t="s">
        <v>832</v>
      </c>
      <c r="F73" s="7">
        <v>4</v>
      </c>
      <c r="G73" t="s">
        <v>761</v>
      </c>
      <c r="H73" s="59">
        <v>46023</v>
      </c>
      <c r="I73" t="s">
        <v>762</v>
      </c>
      <c r="J73" s="7">
        <v>1</v>
      </c>
      <c r="K73" s="1">
        <v>46023</v>
      </c>
      <c r="L73" s="56">
        <v>150000</v>
      </c>
      <c r="M73" t="s">
        <v>2220</v>
      </c>
      <c r="N73" t="s">
        <v>2234</v>
      </c>
      <c r="O73" t="s">
        <v>2258</v>
      </c>
      <c r="P73" t="s">
        <v>2284</v>
      </c>
    </row>
    <row r="74" spans="1:16" x14ac:dyDescent="0.25">
      <c r="A74" s="50" t="s">
        <v>834</v>
      </c>
      <c r="B74" s="10" t="s">
        <v>2199</v>
      </c>
      <c r="C74" s="11" t="s">
        <v>28</v>
      </c>
      <c r="D74" s="10" t="s">
        <v>835</v>
      </c>
      <c r="E74" s="11" t="s">
        <v>370</v>
      </c>
      <c r="F74" s="10">
        <v>1</v>
      </c>
      <c r="G74" s="11" t="s">
        <v>790</v>
      </c>
      <c r="H74" s="58">
        <v>46204</v>
      </c>
      <c r="I74" s="11" t="s">
        <v>791</v>
      </c>
      <c r="J74" s="10">
        <v>1</v>
      </c>
      <c r="K74" s="57">
        <v>46204</v>
      </c>
      <c r="L74" s="55">
        <v>400000</v>
      </c>
      <c r="M74" t="s">
        <v>2232</v>
      </c>
      <c r="N74" t="s">
        <v>2234</v>
      </c>
      <c r="O74" t="s">
        <v>2265</v>
      </c>
      <c r="P74" t="s">
        <v>2284</v>
      </c>
    </row>
    <row r="75" spans="1:16" x14ac:dyDescent="0.25">
      <c r="A75" s="51" t="s">
        <v>837</v>
      </c>
      <c r="B75" s="7" t="s">
        <v>2199</v>
      </c>
      <c r="C75" t="s">
        <v>28</v>
      </c>
      <c r="D75" s="7" t="s">
        <v>838</v>
      </c>
      <c r="E75" t="s">
        <v>840</v>
      </c>
      <c r="F75" s="7">
        <v>1</v>
      </c>
      <c r="G75" t="s">
        <v>768</v>
      </c>
      <c r="H75" s="59">
        <v>46023</v>
      </c>
      <c r="I75" t="s">
        <v>386</v>
      </c>
      <c r="J75" s="7">
        <v>1</v>
      </c>
      <c r="K75" s="1">
        <v>46023</v>
      </c>
      <c r="L75" s="56">
        <v>130000</v>
      </c>
      <c r="M75" t="s">
        <v>2275</v>
      </c>
      <c r="N75" t="s">
        <v>2234</v>
      </c>
      <c r="O75" t="s">
        <v>2258</v>
      </c>
      <c r="P75" t="s">
        <v>2284</v>
      </c>
    </row>
    <row r="76" spans="1:16" x14ac:dyDescent="0.25">
      <c r="A76" s="50" t="s">
        <v>860</v>
      </c>
      <c r="B76" s="10" t="s">
        <v>2199</v>
      </c>
      <c r="C76" s="11" t="s">
        <v>28</v>
      </c>
      <c r="D76" s="10" t="s">
        <v>861</v>
      </c>
      <c r="E76" s="11" t="s">
        <v>863</v>
      </c>
      <c r="F76" s="10">
        <v>1</v>
      </c>
      <c r="G76" s="11" t="s">
        <v>864</v>
      </c>
      <c r="H76" s="58">
        <v>46023</v>
      </c>
      <c r="I76" s="11" t="s">
        <v>865</v>
      </c>
      <c r="J76" s="10">
        <v>1</v>
      </c>
      <c r="K76" s="57">
        <v>46023</v>
      </c>
      <c r="L76" s="55">
        <v>370107</v>
      </c>
      <c r="M76" t="s">
        <v>2246</v>
      </c>
      <c r="N76" t="s">
        <v>2256</v>
      </c>
      <c r="O76" t="s">
        <v>2270</v>
      </c>
      <c r="P76" t="s">
        <v>2284</v>
      </c>
    </row>
    <row r="77" spans="1:16" x14ac:dyDescent="0.25">
      <c r="A77" s="51" t="s">
        <v>868</v>
      </c>
      <c r="B77" s="7" t="s">
        <v>2199</v>
      </c>
      <c r="C77" t="s">
        <v>28</v>
      </c>
      <c r="D77" s="7" t="s">
        <v>869</v>
      </c>
      <c r="E77" t="s">
        <v>807</v>
      </c>
      <c r="F77" s="7">
        <v>1</v>
      </c>
      <c r="G77" t="s">
        <v>624</v>
      </c>
      <c r="H77" s="59">
        <v>46143</v>
      </c>
      <c r="I77" t="s">
        <v>625</v>
      </c>
      <c r="J77" s="7">
        <v>1</v>
      </c>
      <c r="K77" s="1">
        <v>46143</v>
      </c>
      <c r="L77" s="56">
        <v>3000000</v>
      </c>
      <c r="M77" t="s">
        <v>2246</v>
      </c>
      <c r="N77" t="s">
        <v>2256</v>
      </c>
      <c r="O77" t="s">
        <v>2270</v>
      </c>
      <c r="P77" t="s">
        <v>2284</v>
      </c>
    </row>
    <row r="78" spans="1:16" x14ac:dyDescent="0.25">
      <c r="A78" s="50" t="s">
        <v>871</v>
      </c>
      <c r="B78" s="10" t="s">
        <v>2199</v>
      </c>
      <c r="C78" s="11" t="s">
        <v>28</v>
      </c>
      <c r="D78" s="10" t="s">
        <v>872</v>
      </c>
      <c r="E78" s="11" t="s">
        <v>874</v>
      </c>
      <c r="F78" s="10">
        <v>1</v>
      </c>
      <c r="G78" s="11" t="s">
        <v>761</v>
      </c>
      <c r="H78" s="58">
        <v>46204</v>
      </c>
      <c r="I78" s="11" t="s">
        <v>762</v>
      </c>
      <c r="J78" s="10">
        <v>1</v>
      </c>
      <c r="K78" s="57">
        <v>46204</v>
      </c>
      <c r="L78" s="55">
        <v>472004</v>
      </c>
      <c r="M78" t="s">
        <v>2220</v>
      </c>
      <c r="N78" t="s">
        <v>2234</v>
      </c>
      <c r="O78" t="s">
        <v>2258</v>
      </c>
      <c r="P78" t="s">
        <v>2284</v>
      </c>
    </row>
    <row r="79" spans="1:16" x14ac:dyDescent="0.25">
      <c r="A79" s="51" t="s">
        <v>875</v>
      </c>
      <c r="B79" s="7" t="s">
        <v>2199</v>
      </c>
      <c r="C79" t="s">
        <v>28</v>
      </c>
      <c r="D79" s="7" t="s">
        <v>876</v>
      </c>
      <c r="E79" t="s">
        <v>878</v>
      </c>
      <c r="F79" s="7">
        <v>1</v>
      </c>
      <c r="G79" t="s">
        <v>761</v>
      </c>
      <c r="H79" s="59">
        <v>46082</v>
      </c>
      <c r="I79" t="s">
        <v>762</v>
      </c>
      <c r="J79" s="7">
        <v>1</v>
      </c>
      <c r="K79" s="1">
        <v>46082</v>
      </c>
      <c r="L79" s="56">
        <v>600000</v>
      </c>
      <c r="M79" t="s">
        <v>2220</v>
      </c>
      <c r="N79" t="s">
        <v>2234</v>
      </c>
      <c r="O79" t="s">
        <v>2258</v>
      </c>
      <c r="P79" t="s">
        <v>2284</v>
      </c>
    </row>
    <row r="80" spans="1:16" x14ac:dyDescent="0.25">
      <c r="A80" s="50" t="s">
        <v>879</v>
      </c>
      <c r="B80" s="10" t="s">
        <v>2199</v>
      </c>
      <c r="C80" s="11" t="s">
        <v>28</v>
      </c>
      <c r="D80" s="10" t="s">
        <v>880</v>
      </c>
      <c r="E80" s="11" t="s">
        <v>882</v>
      </c>
      <c r="F80" s="10">
        <v>3</v>
      </c>
      <c r="G80" s="11" t="s">
        <v>761</v>
      </c>
      <c r="H80" s="58">
        <v>46143</v>
      </c>
      <c r="I80" s="11" t="s">
        <v>762</v>
      </c>
      <c r="J80" s="10">
        <v>1</v>
      </c>
      <c r="K80" s="57">
        <v>46143</v>
      </c>
      <c r="L80" s="55">
        <v>3700004</v>
      </c>
      <c r="M80" t="s">
        <v>2220</v>
      </c>
      <c r="N80" t="s">
        <v>2234</v>
      </c>
      <c r="O80" t="s">
        <v>2258</v>
      </c>
      <c r="P80" t="s">
        <v>2284</v>
      </c>
    </row>
    <row r="81" spans="1:16" x14ac:dyDescent="0.25">
      <c r="A81" s="51" t="s">
        <v>879</v>
      </c>
      <c r="B81" s="7" t="s">
        <v>2199</v>
      </c>
      <c r="C81" t="s">
        <v>28</v>
      </c>
      <c r="D81" s="7" t="s">
        <v>880</v>
      </c>
      <c r="E81" t="s">
        <v>883</v>
      </c>
      <c r="F81" s="7">
        <v>3</v>
      </c>
      <c r="G81" t="s">
        <v>761</v>
      </c>
      <c r="H81" s="59">
        <v>46143</v>
      </c>
      <c r="I81" t="s">
        <v>762</v>
      </c>
      <c r="J81" s="7">
        <v>1</v>
      </c>
      <c r="K81" s="1">
        <v>46143</v>
      </c>
      <c r="L81" s="56">
        <v>2200020</v>
      </c>
      <c r="M81" t="s">
        <v>2220</v>
      </c>
      <c r="N81" t="s">
        <v>2234</v>
      </c>
      <c r="O81" t="s">
        <v>2258</v>
      </c>
      <c r="P81" t="s">
        <v>2284</v>
      </c>
    </row>
    <row r="82" spans="1:16" x14ac:dyDescent="0.25">
      <c r="A82" s="50" t="s">
        <v>879</v>
      </c>
      <c r="B82" s="10" t="s">
        <v>2199</v>
      </c>
      <c r="C82" s="11" t="s">
        <v>28</v>
      </c>
      <c r="D82" s="10" t="s">
        <v>880</v>
      </c>
      <c r="E82" s="11" t="s">
        <v>62</v>
      </c>
      <c r="F82" s="10">
        <v>3</v>
      </c>
      <c r="G82" s="11" t="s">
        <v>761</v>
      </c>
      <c r="H82" s="58">
        <v>46143</v>
      </c>
      <c r="I82" s="11" t="s">
        <v>762</v>
      </c>
      <c r="J82" s="10">
        <v>1</v>
      </c>
      <c r="K82" s="57">
        <v>46143</v>
      </c>
      <c r="L82" s="55">
        <v>200000</v>
      </c>
      <c r="M82" t="s">
        <v>2220</v>
      </c>
      <c r="N82" t="s">
        <v>2234</v>
      </c>
      <c r="O82" t="s">
        <v>2258</v>
      </c>
      <c r="P82" t="s">
        <v>2284</v>
      </c>
    </row>
    <row r="83" spans="1:16" x14ac:dyDescent="0.25">
      <c r="A83" s="51" t="s">
        <v>884</v>
      </c>
      <c r="B83" s="7" t="s">
        <v>2199</v>
      </c>
      <c r="C83" t="s">
        <v>28</v>
      </c>
      <c r="D83" s="7" t="s">
        <v>885</v>
      </c>
      <c r="E83" t="s">
        <v>821</v>
      </c>
      <c r="F83" s="7">
        <v>3</v>
      </c>
      <c r="G83" t="s">
        <v>761</v>
      </c>
      <c r="H83" s="59">
        <v>46113</v>
      </c>
      <c r="I83" t="s">
        <v>762</v>
      </c>
      <c r="J83" s="7">
        <v>1</v>
      </c>
      <c r="K83" s="1">
        <v>46113</v>
      </c>
      <c r="L83" s="56">
        <v>1030006</v>
      </c>
      <c r="M83" t="s">
        <v>2220</v>
      </c>
      <c r="N83" t="s">
        <v>2234</v>
      </c>
      <c r="O83" t="s">
        <v>2258</v>
      </c>
      <c r="P83" t="s">
        <v>2284</v>
      </c>
    </row>
    <row r="84" spans="1:16" x14ac:dyDescent="0.25">
      <c r="A84" s="50" t="s">
        <v>884</v>
      </c>
      <c r="B84" s="10" t="s">
        <v>2199</v>
      </c>
      <c r="C84" s="11" t="s">
        <v>28</v>
      </c>
      <c r="D84" s="10" t="s">
        <v>885</v>
      </c>
      <c r="E84" s="11" t="s">
        <v>883</v>
      </c>
      <c r="F84" s="10">
        <v>3</v>
      </c>
      <c r="G84" s="11" t="s">
        <v>761</v>
      </c>
      <c r="H84" s="58">
        <v>46174</v>
      </c>
      <c r="I84" s="11" t="s">
        <v>762</v>
      </c>
      <c r="J84" s="10">
        <v>1</v>
      </c>
      <c r="K84" s="57">
        <v>46174</v>
      </c>
      <c r="L84" s="55">
        <v>800000</v>
      </c>
      <c r="M84" t="s">
        <v>2220</v>
      </c>
      <c r="N84" t="s">
        <v>2234</v>
      </c>
      <c r="O84" t="s">
        <v>2258</v>
      </c>
      <c r="P84" t="s">
        <v>2284</v>
      </c>
    </row>
    <row r="85" spans="1:16" x14ac:dyDescent="0.25">
      <c r="A85" s="51" t="s">
        <v>884</v>
      </c>
      <c r="B85" s="7" t="s">
        <v>2199</v>
      </c>
      <c r="C85" t="s">
        <v>28</v>
      </c>
      <c r="D85" s="7" t="s">
        <v>885</v>
      </c>
      <c r="E85" t="s">
        <v>887</v>
      </c>
      <c r="F85" s="7">
        <v>3</v>
      </c>
      <c r="G85" t="s">
        <v>761</v>
      </c>
      <c r="H85" s="59">
        <v>46023</v>
      </c>
      <c r="I85" t="s">
        <v>762</v>
      </c>
      <c r="J85" s="7">
        <v>1</v>
      </c>
      <c r="K85" s="1">
        <v>46023</v>
      </c>
      <c r="L85" s="56">
        <v>900000</v>
      </c>
      <c r="M85" t="s">
        <v>2220</v>
      </c>
      <c r="N85" t="s">
        <v>2234</v>
      </c>
      <c r="O85" t="s">
        <v>2258</v>
      </c>
      <c r="P85" t="s">
        <v>2284</v>
      </c>
    </row>
    <row r="86" spans="1:16" x14ac:dyDescent="0.25">
      <c r="A86" s="50" t="s">
        <v>888</v>
      </c>
      <c r="B86" s="10" t="s">
        <v>2199</v>
      </c>
      <c r="C86" s="11" t="s">
        <v>28</v>
      </c>
      <c r="D86" s="10" t="s">
        <v>889</v>
      </c>
      <c r="E86" s="11" t="s">
        <v>891</v>
      </c>
      <c r="F86" s="10">
        <v>1</v>
      </c>
      <c r="G86" s="11" t="s">
        <v>309</v>
      </c>
      <c r="H86" s="58">
        <v>46204</v>
      </c>
      <c r="I86" s="11" t="s">
        <v>893</v>
      </c>
      <c r="J86" s="10">
        <v>12</v>
      </c>
      <c r="K86" s="11" t="s">
        <v>892</v>
      </c>
      <c r="L86" s="55">
        <v>31250000</v>
      </c>
      <c r="M86" t="s">
        <v>2221</v>
      </c>
      <c r="N86" t="s">
        <v>2234</v>
      </c>
      <c r="O86" t="s">
        <v>2259</v>
      </c>
      <c r="P86" t="s">
        <v>2284</v>
      </c>
    </row>
    <row r="87" spans="1:16" x14ac:dyDescent="0.25">
      <c r="A87" s="51" t="s">
        <v>895</v>
      </c>
      <c r="B87" s="7" t="s">
        <v>2199</v>
      </c>
      <c r="C87" t="s">
        <v>28</v>
      </c>
      <c r="D87" s="7" t="s">
        <v>896</v>
      </c>
      <c r="E87" t="s">
        <v>898</v>
      </c>
      <c r="F87" s="7">
        <v>1</v>
      </c>
      <c r="G87" t="s">
        <v>899</v>
      </c>
      <c r="H87" s="59">
        <v>46082</v>
      </c>
      <c r="I87" t="s">
        <v>900</v>
      </c>
      <c r="J87" s="7">
        <v>1</v>
      </c>
      <c r="K87" s="1">
        <v>46082</v>
      </c>
      <c r="L87" s="56">
        <v>200000</v>
      </c>
      <c r="M87" t="s">
        <v>2230</v>
      </c>
      <c r="N87" t="s">
        <v>2227</v>
      </c>
      <c r="O87" t="s">
        <v>2261</v>
      </c>
      <c r="P87" t="s">
        <v>2284</v>
      </c>
    </row>
    <row r="88" spans="1:16" x14ac:dyDescent="0.25">
      <c r="A88" s="50" t="s">
        <v>903</v>
      </c>
      <c r="B88" s="10" t="s">
        <v>2199</v>
      </c>
      <c r="C88" s="11" t="s">
        <v>28</v>
      </c>
      <c r="D88" s="10" t="s">
        <v>904</v>
      </c>
      <c r="E88" s="11" t="s">
        <v>359</v>
      </c>
      <c r="F88" s="10">
        <v>7</v>
      </c>
      <c r="G88" s="11" t="s">
        <v>906</v>
      </c>
      <c r="H88" s="58">
        <v>46054</v>
      </c>
      <c r="I88" s="11" t="s">
        <v>907</v>
      </c>
      <c r="J88" s="10">
        <v>1</v>
      </c>
      <c r="K88" s="57">
        <v>46054</v>
      </c>
      <c r="L88" s="55">
        <v>107000</v>
      </c>
      <c r="M88" t="s">
        <v>2241</v>
      </c>
      <c r="N88" t="s">
        <v>2227</v>
      </c>
      <c r="O88" t="s">
        <v>2271</v>
      </c>
      <c r="P88" t="s">
        <v>2284</v>
      </c>
    </row>
    <row r="89" spans="1:16" x14ac:dyDescent="0.25">
      <c r="A89" s="51" t="s">
        <v>903</v>
      </c>
      <c r="B89" s="7" t="s">
        <v>2199</v>
      </c>
      <c r="C89" t="s">
        <v>28</v>
      </c>
      <c r="D89" s="7" t="s">
        <v>904</v>
      </c>
      <c r="E89" t="s">
        <v>912</v>
      </c>
      <c r="F89" s="7">
        <v>7</v>
      </c>
      <c r="G89" t="s">
        <v>906</v>
      </c>
      <c r="H89" s="59">
        <v>46054</v>
      </c>
      <c r="I89" t="s">
        <v>907</v>
      </c>
      <c r="J89" s="7">
        <v>1</v>
      </c>
      <c r="K89" s="1">
        <v>46054</v>
      </c>
      <c r="L89" s="56">
        <v>15000</v>
      </c>
      <c r="M89" t="s">
        <v>2241</v>
      </c>
      <c r="N89" t="s">
        <v>2227</v>
      </c>
      <c r="O89" t="s">
        <v>2271</v>
      </c>
      <c r="P89" t="s">
        <v>2284</v>
      </c>
    </row>
    <row r="90" spans="1:16" x14ac:dyDescent="0.25">
      <c r="A90" s="50" t="s">
        <v>903</v>
      </c>
      <c r="B90" s="10" t="s">
        <v>2199</v>
      </c>
      <c r="C90" s="11" t="s">
        <v>28</v>
      </c>
      <c r="D90" s="10" t="s">
        <v>904</v>
      </c>
      <c r="E90" s="11" t="s">
        <v>914</v>
      </c>
      <c r="F90" s="10">
        <v>7</v>
      </c>
      <c r="G90" s="11" t="s">
        <v>906</v>
      </c>
      <c r="H90" s="58">
        <v>46054</v>
      </c>
      <c r="I90" s="11" t="s">
        <v>907</v>
      </c>
      <c r="J90" s="10">
        <v>1</v>
      </c>
      <c r="K90" s="57">
        <v>46054</v>
      </c>
      <c r="L90" s="55">
        <v>10000</v>
      </c>
      <c r="M90" t="s">
        <v>2241</v>
      </c>
      <c r="N90" t="s">
        <v>2227</v>
      </c>
      <c r="O90" t="s">
        <v>2271</v>
      </c>
      <c r="P90" t="s">
        <v>2284</v>
      </c>
    </row>
    <row r="91" spans="1:16" x14ac:dyDescent="0.25">
      <c r="A91" s="51" t="s">
        <v>903</v>
      </c>
      <c r="B91" s="7" t="s">
        <v>2199</v>
      </c>
      <c r="C91" t="s">
        <v>28</v>
      </c>
      <c r="D91" s="7" t="s">
        <v>904</v>
      </c>
      <c r="E91" t="s">
        <v>911</v>
      </c>
      <c r="F91" s="7">
        <v>7</v>
      </c>
      <c r="G91" t="s">
        <v>906</v>
      </c>
      <c r="H91" s="59">
        <v>46143</v>
      </c>
      <c r="I91" t="s">
        <v>907</v>
      </c>
      <c r="J91" s="7">
        <v>1</v>
      </c>
      <c r="K91" s="1">
        <v>46143</v>
      </c>
      <c r="L91" s="56">
        <v>25000</v>
      </c>
      <c r="M91" t="s">
        <v>2241</v>
      </c>
      <c r="N91" t="s">
        <v>2227</v>
      </c>
      <c r="O91" t="s">
        <v>2271</v>
      </c>
      <c r="P91" t="s">
        <v>2284</v>
      </c>
    </row>
    <row r="92" spans="1:16" x14ac:dyDescent="0.25">
      <c r="A92" s="50" t="s">
        <v>903</v>
      </c>
      <c r="B92" s="10" t="s">
        <v>2199</v>
      </c>
      <c r="C92" s="11" t="s">
        <v>28</v>
      </c>
      <c r="D92" s="10" t="s">
        <v>904</v>
      </c>
      <c r="E92" s="11" t="s">
        <v>913</v>
      </c>
      <c r="F92" s="10">
        <v>7</v>
      </c>
      <c r="G92" s="11" t="s">
        <v>906</v>
      </c>
      <c r="H92" s="58">
        <v>46327</v>
      </c>
      <c r="I92" s="11" t="s">
        <v>907</v>
      </c>
      <c r="J92" s="10">
        <v>1</v>
      </c>
      <c r="K92" s="57">
        <v>46327</v>
      </c>
      <c r="L92" s="55">
        <v>120000</v>
      </c>
      <c r="M92" t="s">
        <v>2241</v>
      </c>
      <c r="N92" t="s">
        <v>2227</v>
      </c>
      <c r="O92" t="s">
        <v>2271</v>
      </c>
      <c r="P92" t="s">
        <v>2284</v>
      </c>
    </row>
    <row r="93" spans="1:16" x14ac:dyDescent="0.25">
      <c r="A93" s="51" t="s">
        <v>903</v>
      </c>
      <c r="B93" s="7" t="s">
        <v>2199</v>
      </c>
      <c r="C93" t="s">
        <v>28</v>
      </c>
      <c r="D93" s="7" t="s">
        <v>904</v>
      </c>
      <c r="E93" t="s">
        <v>602</v>
      </c>
      <c r="F93" s="7">
        <v>7</v>
      </c>
      <c r="G93" t="s">
        <v>906</v>
      </c>
      <c r="H93" s="59">
        <v>46143</v>
      </c>
      <c r="I93" t="s">
        <v>907</v>
      </c>
      <c r="J93" s="7">
        <v>1</v>
      </c>
      <c r="K93" s="1">
        <v>46143</v>
      </c>
      <c r="L93" s="56">
        <v>1400001</v>
      </c>
      <c r="M93" t="s">
        <v>2241</v>
      </c>
      <c r="N93" t="s">
        <v>2227</v>
      </c>
      <c r="O93" t="s">
        <v>2271</v>
      </c>
      <c r="P93" t="s">
        <v>2284</v>
      </c>
    </row>
    <row r="94" spans="1:16" x14ac:dyDescent="0.25">
      <c r="A94" s="50" t="s">
        <v>903</v>
      </c>
      <c r="B94" s="10" t="s">
        <v>2199</v>
      </c>
      <c r="C94" s="11" t="s">
        <v>28</v>
      </c>
      <c r="D94" s="10" t="s">
        <v>904</v>
      </c>
      <c r="E94" s="11" t="s">
        <v>910</v>
      </c>
      <c r="F94" s="10">
        <v>7</v>
      </c>
      <c r="G94" s="11" t="s">
        <v>906</v>
      </c>
      <c r="H94" s="58">
        <v>46143</v>
      </c>
      <c r="I94" s="11" t="s">
        <v>907</v>
      </c>
      <c r="J94" s="10">
        <v>1</v>
      </c>
      <c r="K94" s="57">
        <v>46143</v>
      </c>
      <c r="L94" s="55">
        <v>45000000</v>
      </c>
      <c r="M94" t="s">
        <v>2241</v>
      </c>
      <c r="N94" t="s">
        <v>2227</v>
      </c>
      <c r="O94" t="s">
        <v>2271</v>
      </c>
      <c r="P94" t="s">
        <v>2284</v>
      </c>
    </row>
    <row r="95" spans="1:16" x14ac:dyDescent="0.25">
      <c r="A95" s="51" t="s">
        <v>922</v>
      </c>
      <c r="B95" s="7" t="s">
        <v>2199</v>
      </c>
      <c r="C95" t="s">
        <v>28</v>
      </c>
      <c r="D95" s="7" t="s">
        <v>923</v>
      </c>
      <c r="E95" t="s">
        <v>891</v>
      </c>
      <c r="F95" s="7">
        <v>1</v>
      </c>
      <c r="G95" t="s">
        <v>926</v>
      </c>
      <c r="H95" s="59">
        <v>46143</v>
      </c>
      <c r="I95" t="s">
        <v>893</v>
      </c>
      <c r="J95" s="7">
        <v>12</v>
      </c>
      <c r="K95" t="s">
        <v>925</v>
      </c>
      <c r="L95" s="56">
        <v>23333328</v>
      </c>
      <c r="M95" t="s">
        <v>2221</v>
      </c>
      <c r="N95" t="s">
        <v>2234</v>
      </c>
      <c r="O95" t="s">
        <v>2259</v>
      </c>
      <c r="P95" t="s">
        <v>2284</v>
      </c>
    </row>
    <row r="96" spans="1:16" x14ac:dyDescent="0.25">
      <c r="A96" s="50" t="s">
        <v>930</v>
      </c>
      <c r="B96" s="10" t="s">
        <v>2199</v>
      </c>
      <c r="C96" s="11" t="s">
        <v>28</v>
      </c>
      <c r="D96" s="10" t="s">
        <v>931</v>
      </c>
      <c r="E96" s="11" t="s">
        <v>933</v>
      </c>
      <c r="F96" s="10">
        <v>1</v>
      </c>
      <c r="G96" s="11" t="s">
        <v>934</v>
      </c>
      <c r="H96" s="58">
        <v>46023</v>
      </c>
      <c r="I96" s="11" t="s">
        <v>935</v>
      </c>
      <c r="J96" s="10">
        <v>1</v>
      </c>
      <c r="K96" s="57">
        <v>46023</v>
      </c>
      <c r="L96" s="55">
        <v>681264</v>
      </c>
      <c r="M96" t="s">
        <v>2230</v>
      </c>
      <c r="N96" t="s">
        <v>2227</v>
      </c>
      <c r="O96" t="s">
        <v>2261</v>
      </c>
      <c r="P96" t="s">
        <v>2284</v>
      </c>
    </row>
    <row r="97" spans="1:16" x14ac:dyDescent="0.25">
      <c r="A97" s="51" t="s">
        <v>177</v>
      </c>
      <c r="B97" s="7" t="s">
        <v>2196</v>
      </c>
      <c r="C97" t="s">
        <v>28</v>
      </c>
      <c r="D97" s="7" t="s">
        <v>179</v>
      </c>
      <c r="E97" t="s">
        <v>181</v>
      </c>
      <c r="F97" s="7">
        <v>1</v>
      </c>
      <c r="G97" t="s">
        <v>182</v>
      </c>
      <c r="H97" s="59">
        <v>45444</v>
      </c>
      <c r="I97" t="s">
        <v>183</v>
      </c>
      <c r="J97" s="7">
        <v>24</v>
      </c>
      <c r="K97" t="s">
        <v>73</v>
      </c>
      <c r="L97" s="56">
        <v>905196910</v>
      </c>
      <c r="M97" t="s">
        <v>2278</v>
      </c>
      <c r="N97" t="s">
        <v>2256</v>
      </c>
      <c r="O97" t="s">
        <v>2268</v>
      </c>
      <c r="P97" t="s">
        <v>2284</v>
      </c>
    </row>
    <row r="98" spans="1:16" x14ac:dyDescent="0.25">
      <c r="A98" s="50" t="s">
        <v>938</v>
      </c>
      <c r="B98" s="10" t="s">
        <v>2199</v>
      </c>
      <c r="C98" s="11" t="s">
        <v>28</v>
      </c>
      <c r="D98" s="10" t="s">
        <v>939</v>
      </c>
      <c r="E98" s="11" t="s">
        <v>946</v>
      </c>
      <c r="F98" s="10">
        <v>3</v>
      </c>
      <c r="G98" s="11" t="s">
        <v>942</v>
      </c>
      <c r="H98" s="58">
        <v>46113</v>
      </c>
      <c r="I98" s="11" t="s">
        <v>943</v>
      </c>
      <c r="J98" s="10">
        <v>1</v>
      </c>
      <c r="K98" s="57">
        <v>46113</v>
      </c>
      <c r="L98" s="55">
        <v>2175000</v>
      </c>
      <c r="M98" t="s">
        <v>2222</v>
      </c>
      <c r="N98" t="s">
        <v>2234</v>
      </c>
      <c r="O98" t="s">
        <v>2260</v>
      </c>
      <c r="P98" t="s">
        <v>2284</v>
      </c>
    </row>
    <row r="99" spans="1:16" x14ac:dyDescent="0.25">
      <c r="A99" s="51" t="s">
        <v>938</v>
      </c>
      <c r="B99" s="7" t="s">
        <v>2199</v>
      </c>
      <c r="C99" t="s">
        <v>28</v>
      </c>
      <c r="D99" s="7" t="s">
        <v>939</v>
      </c>
      <c r="E99" t="s">
        <v>945</v>
      </c>
      <c r="F99" s="7">
        <v>3</v>
      </c>
      <c r="G99" t="s">
        <v>942</v>
      </c>
      <c r="H99" s="59">
        <v>46113</v>
      </c>
      <c r="I99" t="s">
        <v>943</v>
      </c>
      <c r="J99" s="7">
        <v>1</v>
      </c>
      <c r="K99" s="1">
        <v>46113</v>
      </c>
      <c r="L99" s="56">
        <v>8155836</v>
      </c>
      <c r="M99" t="s">
        <v>2222</v>
      </c>
      <c r="N99" t="s">
        <v>2234</v>
      </c>
      <c r="O99" t="s">
        <v>2260</v>
      </c>
      <c r="P99" t="s">
        <v>2284</v>
      </c>
    </row>
    <row r="100" spans="1:16" x14ac:dyDescent="0.25">
      <c r="A100" s="50" t="s">
        <v>938</v>
      </c>
      <c r="B100" s="10" t="s">
        <v>2199</v>
      </c>
      <c r="C100" s="11" t="s">
        <v>28</v>
      </c>
      <c r="D100" s="10" t="s">
        <v>939</v>
      </c>
      <c r="E100" s="11" t="s">
        <v>941</v>
      </c>
      <c r="F100" s="10">
        <v>3</v>
      </c>
      <c r="G100" s="11" t="s">
        <v>942</v>
      </c>
      <c r="H100" s="58">
        <v>46113</v>
      </c>
      <c r="I100" s="11" t="s">
        <v>943</v>
      </c>
      <c r="J100" s="10">
        <v>1</v>
      </c>
      <c r="K100" s="57">
        <v>46113</v>
      </c>
      <c r="L100" s="55">
        <v>1672500</v>
      </c>
      <c r="M100" t="s">
        <v>2222</v>
      </c>
      <c r="N100" t="s">
        <v>2234</v>
      </c>
      <c r="O100" t="s">
        <v>2260</v>
      </c>
      <c r="P100" t="s">
        <v>2284</v>
      </c>
    </row>
    <row r="101" spans="1:16" x14ac:dyDescent="0.25">
      <c r="A101" s="51" t="s">
        <v>947</v>
      </c>
      <c r="B101" s="7" t="s">
        <v>2199</v>
      </c>
      <c r="C101" t="s">
        <v>28</v>
      </c>
      <c r="D101" s="7" t="s">
        <v>948</v>
      </c>
      <c r="E101" t="s">
        <v>486</v>
      </c>
      <c r="F101" s="7">
        <v>2</v>
      </c>
      <c r="G101" t="s">
        <v>950</v>
      </c>
      <c r="H101" s="59">
        <v>46082</v>
      </c>
      <c r="I101" t="s">
        <v>951</v>
      </c>
      <c r="J101" s="7">
        <v>1</v>
      </c>
      <c r="K101" s="1">
        <v>46082</v>
      </c>
      <c r="L101" s="56">
        <v>509936</v>
      </c>
      <c r="M101" t="s">
        <v>2236</v>
      </c>
      <c r="N101" t="s">
        <v>2234</v>
      </c>
      <c r="O101" t="s">
        <v>2259</v>
      </c>
      <c r="P101" t="s">
        <v>2284</v>
      </c>
    </row>
    <row r="102" spans="1:16" x14ac:dyDescent="0.25">
      <c r="A102" s="50" t="s">
        <v>947</v>
      </c>
      <c r="B102" s="10" t="s">
        <v>2199</v>
      </c>
      <c r="C102" s="11" t="s">
        <v>28</v>
      </c>
      <c r="D102" s="10" t="s">
        <v>948</v>
      </c>
      <c r="E102" s="11" t="s">
        <v>953</v>
      </c>
      <c r="F102" s="10">
        <v>2</v>
      </c>
      <c r="G102" s="11" t="s">
        <v>950</v>
      </c>
      <c r="H102" s="58">
        <v>46082</v>
      </c>
      <c r="I102" s="11" t="s">
        <v>951</v>
      </c>
      <c r="J102" s="10">
        <v>1</v>
      </c>
      <c r="K102" s="57">
        <v>46082</v>
      </c>
      <c r="L102" s="55">
        <v>48000</v>
      </c>
      <c r="M102" t="s">
        <v>2236</v>
      </c>
      <c r="N102" t="s">
        <v>2234</v>
      </c>
      <c r="O102" t="s">
        <v>2259</v>
      </c>
      <c r="P102" t="s">
        <v>2284</v>
      </c>
    </row>
    <row r="103" spans="1:16" x14ac:dyDescent="0.25">
      <c r="A103" s="51" t="s">
        <v>954</v>
      </c>
      <c r="B103" s="7" t="s">
        <v>2199</v>
      </c>
      <c r="C103" t="s">
        <v>28</v>
      </c>
      <c r="D103" s="7" t="s">
        <v>955</v>
      </c>
      <c r="E103" t="s">
        <v>359</v>
      </c>
      <c r="F103" s="7">
        <v>3</v>
      </c>
      <c r="G103" t="s">
        <v>958</v>
      </c>
      <c r="H103" s="59">
        <v>46235</v>
      </c>
      <c r="I103" t="s">
        <v>959</v>
      </c>
      <c r="J103" s="7">
        <v>1</v>
      </c>
      <c r="K103" s="1">
        <v>46235</v>
      </c>
      <c r="L103" s="56">
        <v>185040</v>
      </c>
      <c r="M103" t="s">
        <v>2230</v>
      </c>
      <c r="N103" t="s">
        <v>2227</v>
      </c>
      <c r="O103" t="s">
        <v>2261</v>
      </c>
      <c r="P103" t="s">
        <v>2284</v>
      </c>
    </row>
    <row r="104" spans="1:16" x14ac:dyDescent="0.25">
      <c r="A104" s="50" t="s">
        <v>954</v>
      </c>
      <c r="B104" s="10" t="s">
        <v>2199</v>
      </c>
      <c r="C104" s="11" t="s">
        <v>28</v>
      </c>
      <c r="D104" s="10" t="s">
        <v>955</v>
      </c>
      <c r="E104" s="11" t="s">
        <v>962</v>
      </c>
      <c r="F104" s="10">
        <v>3</v>
      </c>
      <c r="G104" s="11" t="s">
        <v>958</v>
      </c>
      <c r="H104" s="58">
        <v>46235</v>
      </c>
      <c r="I104" s="11" t="s">
        <v>959</v>
      </c>
      <c r="J104" s="10">
        <v>1</v>
      </c>
      <c r="K104" s="57">
        <v>46235</v>
      </c>
      <c r="L104" s="55">
        <v>270160</v>
      </c>
      <c r="M104" t="s">
        <v>2230</v>
      </c>
      <c r="N104" t="s">
        <v>2227</v>
      </c>
      <c r="O104" t="s">
        <v>2261</v>
      </c>
      <c r="P104" t="s">
        <v>2284</v>
      </c>
    </row>
    <row r="105" spans="1:16" x14ac:dyDescent="0.25">
      <c r="A105" s="51" t="s">
        <v>954</v>
      </c>
      <c r="B105" s="7" t="s">
        <v>2199</v>
      </c>
      <c r="C105" t="s">
        <v>28</v>
      </c>
      <c r="D105" s="7" t="s">
        <v>955</v>
      </c>
      <c r="E105" t="s">
        <v>957</v>
      </c>
      <c r="F105" s="7">
        <v>3</v>
      </c>
      <c r="G105" t="s">
        <v>958</v>
      </c>
      <c r="H105" s="59">
        <v>46235</v>
      </c>
      <c r="I105" t="s">
        <v>959</v>
      </c>
      <c r="J105" s="7">
        <v>1</v>
      </c>
      <c r="K105" s="1">
        <v>46235</v>
      </c>
      <c r="L105" s="56">
        <v>220000</v>
      </c>
      <c r="M105" t="s">
        <v>2230</v>
      </c>
      <c r="N105" t="s">
        <v>2227</v>
      </c>
      <c r="O105" t="s">
        <v>2261</v>
      </c>
      <c r="P105" t="s">
        <v>2284</v>
      </c>
    </row>
    <row r="106" spans="1:16" x14ac:dyDescent="0.25">
      <c r="A106" s="50" t="s">
        <v>963</v>
      </c>
      <c r="B106" s="10" t="s">
        <v>2199</v>
      </c>
      <c r="C106" s="11" t="s">
        <v>28</v>
      </c>
      <c r="D106" s="10" t="s">
        <v>964</v>
      </c>
      <c r="E106" s="11" t="s">
        <v>623</v>
      </c>
      <c r="F106" s="10">
        <v>1</v>
      </c>
      <c r="G106" s="11" t="s">
        <v>768</v>
      </c>
      <c r="H106" s="58">
        <v>46054</v>
      </c>
      <c r="I106" s="11" t="s">
        <v>966</v>
      </c>
      <c r="J106" s="10">
        <v>1</v>
      </c>
      <c r="K106" s="57">
        <v>46054</v>
      </c>
      <c r="L106" s="55">
        <v>700002</v>
      </c>
      <c r="M106" t="s">
        <v>2275</v>
      </c>
      <c r="N106" t="s">
        <v>2234</v>
      </c>
      <c r="O106" t="s">
        <v>2258</v>
      </c>
      <c r="P106" t="s">
        <v>2284</v>
      </c>
    </row>
    <row r="107" spans="1:16" x14ac:dyDescent="0.25">
      <c r="A107" s="51" t="s">
        <v>969</v>
      </c>
      <c r="B107" s="7" t="s">
        <v>2199</v>
      </c>
      <c r="C107" t="s">
        <v>28</v>
      </c>
      <c r="D107" s="7" t="s">
        <v>970</v>
      </c>
      <c r="E107" t="s">
        <v>623</v>
      </c>
      <c r="F107" s="7">
        <v>1</v>
      </c>
      <c r="G107" t="s">
        <v>768</v>
      </c>
      <c r="H107" s="59">
        <v>46054</v>
      </c>
      <c r="I107" t="s">
        <v>966</v>
      </c>
      <c r="J107" s="7">
        <v>1</v>
      </c>
      <c r="K107" s="1">
        <v>46054</v>
      </c>
      <c r="L107" s="56">
        <v>7000008</v>
      </c>
      <c r="M107" t="s">
        <v>2275</v>
      </c>
      <c r="N107" t="s">
        <v>2234</v>
      </c>
      <c r="O107" t="s">
        <v>2258</v>
      </c>
      <c r="P107" t="s">
        <v>2284</v>
      </c>
    </row>
    <row r="108" spans="1:16" x14ac:dyDescent="0.25">
      <c r="A108" s="50" t="s">
        <v>972</v>
      </c>
      <c r="B108" s="10" t="s">
        <v>2199</v>
      </c>
      <c r="C108" s="11" t="s">
        <v>28</v>
      </c>
      <c r="D108" s="10" t="s">
        <v>973</v>
      </c>
      <c r="E108" s="11" t="s">
        <v>623</v>
      </c>
      <c r="F108" s="10">
        <v>1</v>
      </c>
      <c r="G108" s="11" t="s">
        <v>768</v>
      </c>
      <c r="H108" s="58">
        <v>46082</v>
      </c>
      <c r="I108" s="11" t="s">
        <v>966</v>
      </c>
      <c r="J108" s="10">
        <v>1</v>
      </c>
      <c r="K108" s="57">
        <v>46082</v>
      </c>
      <c r="L108" s="55">
        <v>800000</v>
      </c>
      <c r="M108" t="s">
        <v>2275</v>
      </c>
      <c r="N108" t="s">
        <v>2234</v>
      </c>
      <c r="O108" t="s">
        <v>2258</v>
      </c>
      <c r="P108" t="s">
        <v>2284</v>
      </c>
    </row>
    <row r="109" spans="1:16" x14ac:dyDescent="0.25">
      <c r="A109" s="51" t="s">
        <v>975</v>
      </c>
      <c r="B109" s="7" t="s">
        <v>2199</v>
      </c>
      <c r="C109" t="s">
        <v>28</v>
      </c>
      <c r="D109" s="7" t="s">
        <v>976</v>
      </c>
      <c r="E109" t="s">
        <v>623</v>
      </c>
      <c r="F109" s="7">
        <v>1</v>
      </c>
      <c r="G109" t="s">
        <v>768</v>
      </c>
      <c r="H109" s="59">
        <v>46054</v>
      </c>
      <c r="I109" t="s">
        <v>966</v>
      </c>
      <c r="J109" s="7">
        <v>1</v>
      </c>
      <c r="K109" s="1">
        <v>46054</v>
      </c>
      <c r="L109" s="56">
        <v>3500000</v>
      </c>
      <c r="M109" t="s">
        <v>2275</v>
      </c>
      <c r="N109" t="s">
        <v>2234</v>
      </c>
      <c r="O109" t="s">
        <v>2258</v>
      </c>
      <c r="P109" t="s">
        <v>2284</v>
      </c>
    </row>
    <row r="110" spans="1:16" x14ac:dyDescent="0.25">
      <c r="A110" s="50" t="s">
        <v>978</v>
      </c>
      <c r="B110" s="10" t="s">
        <v>2199</v>
      </c>
      <c r="C110" s="11" t="s">
        <v>28</v>
      </c>
      <c r="D110" s="10" t="s">
        <v>979</v>
      </c>
      <c r="E110" s="11" t="s">
        <v>623</v>
      </c>
      <c r="F110" s="10">
        <v>1</v>
      </c>
      <c r="G110" s="11" t="s">
        <v>768</v>
      </c>
      <c r="H110" s="58">
        <v>46082</v>
      </c>
      <c r="I110" s="11" t="s">
        <v>966</v>
      </c>
      <c r="J110" s="10">
        <v>1</v>
      </c>
      <c r="K110" s="57">
        <v>46082</v>
      </c>
      <c r="L110" s="55">
        <v>2000000</v>
      </c>
      <c r="M110" t="s">
        <v>2275</v>
      </c>
      <c r="N110" t="s">
        <v>2234</v>
      </c>
      <c r="O110" t="s">
        <v>2258</v>
      </c>
      <c r="P110" t="s">
        <v>2284</v>
      </c>
    </row>
    <row r="111" spans="1:16" x14ac:dyDescent="0.25">
      <c r="A111" s="51" t="s">
        <v>981</v>
      </c>
      <c r="B111" s="7" t="s">
        <v>2199</v>
      </c>
      <c r="C111" t="s">
        <v>28</v>
      </c>
      <c r="D111" s="7" t="s">
        <v>982</v>
      </c>
      <c r="E111" t="s">
        <v>623</v>
      </c>
      <c r="F111" s="7">
        <v>1</v>
      </c>
      <c r="G111" t="s">
        <v>768</v>
      </c>
      <c r="H111" s="59">
        <v>46113</v>
      </c>
      <c r="I111" t="s">
        <v>966</v>
      </c>
      <c r="J111" s="7">
        <v>1</v>
      </c>
      <c r="K111" s="1">
        <v>46113</v>
      </c>
      <c r="L111" s="56">
        <v>800004</v>
      </c>
      <c r="M111" t="s">
        <v>2275</v>
      </c>
      <c r="N111" t="s">
        <v>2234</v>
      </c>
      <c r="O111" t="s">
        <v>2258</v>
      </c>
      <c r="P111" t="s">
        <v>2284</v>
      </c>
    </row>
    <row r="112" spans="1:16" x14ac:dyDescent="0.25">
      <c r="A112" s="50" t="s">
        <v>984</v>
      </c>
      <c r="B112" s="10" t="s">
        <v>2199</v>
      </c>
      <c r="C112" s="11" t="s">
        <v>28</v>
      </c>
      <c r="D112" s="10" t="s">
        <v>985</v>
      </c>
      <c r="E112" s="11" t="s">
        <v>623</v>
      </c>
      <c r="F112" s="10">
        <v>1</v>
      </c>
      <c r="G112" s="11" t="s">
        <v>768</v>
      </c>
      <c r="H112" s="58">
        <v>46023</v>
      </c>
      <c r="I112" s="11" t="s">
        <v>966</v>
      </c>
      <c r="J112" s="10">
        <v>1</v>
      </c>
      <c r="K112" s="57">
        <v>46023</v>
      </c>
      <c r="L112" s="55">
        <v>600000</v>
      </c>
      <c r="M112" t="s">
        <v>2275</v>
      </c>
      <c r="N112" t="s">
        <v>2234</v>
      </c>
      <c r="O112" t="s">
        <v>2258</v>
      </c>
      <c r="P112" t="s">
        <v>2284</v>
      </c>
    </row>
    <row r="113" spans="1:16" x14ac:dyDescent="0.25">
      <c r="A113" s="51" t="s">
        <v>987</v>
      </c>
      <c r="B113" s="7" t="s">
        <v>2199</v>
      </c>
      <c r="C113" t="s">
        <v>28</v>
      </c>
      <c r="D113" s="7" t="s">
        <v>988</v>
      </c>
      <c r="E113" t="s">
        <v>623</v>
      </c>
      <c r="F113" s="7">
        <v>1</v>
      </c>
      <c r="G113" t="s">
        <v>768</v>
      </c>
      <c r="H113" s="59">
        <v>46204</v>
      </c>
      <c r="I113" t="s">
        <v>966</v>
      </c>
      <c r="J113" s="7">
        <v>1</v>
      </c>
      <c r="K113" s="1">
        <v>46204</v>
      </c>
      <c r="L113" s="56">
        <v>4000000</v>
      </c>
      <c r="M113" t="s">
        <v>2275</v>
      </c>
      <c r="N113" t="s">
        <v>2234</v>
      </c>
      <c r="O113" t="s">
        <v>2258</v>
      </c>
      <c r="P113" t="s">
        <v>2284</v>
      </c>
    </row>
    <row r="114" spans="1:16" x14ac:dyDescent="0.25">
      <c r="A114" s="50" t="s">
        <v>990</v>
      </c>
      <c r="B114" s="10" t="s">
        <v>2199</v>
      </c>
      <c r="C114" s="11" t="s">
        <v>28</v>
      </c>
      <c r="D114" s="10" t="s">
        <v>991</v>
      </c>
      <c r="E114" s="11" t="s">
        <v>623</v>
      </c>
      <c r="F114" s="10">
        <v>1</v>
      </c>
      <c r="G114" s="11" t="s">
        <v>768</v>
      </c>
      <c r="H114" s="58">
        <v>46082</v>
      </c>
      <c r="I114" s="11" t="s">
        <v>966</v>
      </c>
      <c r="J114" s="10">
        <v>1</v>
      </c>
      <c r="K114" s="57">
        <v>46082</v>
      </c>
      <c r="L114" s="55">
        <v>5500000</v>
      </c>
      <c r="M114" t="s">
        <v>2275</v>
      </c>
      <c r="N114" t="s">
        <v>2234</v>
      </c>
      <c r="O114" t="s">
        <v>2258</v>
      </c>
      <c r="P114" t="s">
        <v>2284</v>
      </c>
    </row>
    <row r="115" spans="1:16" x14ac:dyDescent="0.25">
      <c r="A115" s="51" t="s">
        <v>993</v>
      </c>
      <c r="B115" s="7" t="s">
        <v>2199</v>
      </c>
      <c r="C115" t="s">
        <v>28</v>
      </c>
      <c r="D115" s="7" t="s">
        <v>994</v>
      </c>
      <c r="E115" t="s">
        <v>623</v>
      </c>
      <c r="F115" s="7">
        <v>1</v>
      </c>
      <c r="G115" t="s">
        <v>768</v>
      </c>
      <c r="H115" s="59">
        <v>46113</v>
      </c>
      <c r="I115" t="s">
        <v>966</v>
      </c>
      <c r="J115" s="7">
        <v>1</v>
      </c>
      <c r="K115" s="1">
        <v>46113</v>
      </c>
      <c r="L115" s="56">
        <v>3000000</v>
      </c>
      <c r="M115" t="s">
        <v>2275</v>
      </c>
      <c r="N115" t="s">
        <v>2234</v>
      </c>
      <c r="O115" t="s">
        <v>2258</v>
      </c>
      <c r="P115" t="s">
        <v>2284</v>
      </c>
    </row>
    <row r="116" spans="1:16" x14ac:dyDescent="0.25">
      <c r="A116" s="50" t="s">
        <v>996</v>
      </c>
      <c r="B116" s="10" t="s">
        <v>2199</v>
      </c>
      <c r="C116" s="11" t="s">
        <v>28</v>
      </c>
      <c r="D116" s="10" t="s">
        <v>997</v>
      </c>
      <c r="E116" s="11" t="s">
        <v>486</v>
      </c>
      <c r="F116" s="10">
        <v>1</v>
      </c>
      <c r="G116" s="11" t="s">
        <v>934</v>
      </c>
      <c r="H116" s="58">
        <v>46023</v>
      </c>
      <c r="I116" s="11" t="s">
        <v>935</v>
      </c>
      <c r="J116" s="10">
        <v>1</v>
      </c>
      <c r="K116" s="57">
        <v>46023</v>
      </c>
      <c r="L116" s="55">
        <v>60000</v>
      </c>
      <c r="M116" t="s">
        <v>2230</v>
      </c>
      <c r="N116" t="s">
        <v>2227</v>
      </c>
      <c r="O116" t="s">
        <v>2261</v>
      </c>
      <c r="P116" t="s">
        <v>2284</v>
      </c>
    </row>
    <row r="117" spans="1:16" x14ac:dyDescent="0.25">
      <c r="A117" s="51" t="s">
        <v>1000</v>
      </c>
      <c r="B117" s="7" t="s">
        <v>2199</v>
      </c>
      <c r="C117" t="s">
        <v>28</v>
      </c>
      <c r="D117" s="7" t="s">
        <v>1001</v>
      </c>
      <c r="E117" t="s">
        <v>623</v>
      </c>
      <c r="F117" s="7">
        <v>1</v>
      </c>
      <c r="G117" t="s">
        <v>768</v>
      </c>
      <c r="H117" s="59">
        <v>46204</v>
      </c>
      <c r="I117" t="s">
        <v>966</v>
      </c>
      <c r="J117" s="7">
        <v>1</v>
      </c>
      <c r="K117" s="1">
        <v>46174</v>
      </c>
      <c r="L117" s="56">
        <v>1500000</v>
      </c>
      <c r="M117" t="s">
        <v>2275</v>
      </c>
      <c r="N117" t="s">
        <v>2234</v>
      </c>
      <c r="O117" t="s">
        <v>2258</v>
      </c>
      <c r="P117" t="s">
        <v>2284</v>
      </c>
    </row>
    <row r="118" spans="1:16" x14ac:dyDescent="0.25">
      <c r="A118" s="50" t="s">
        <v>1003</v>
      </c>
      <c r="B118" s="10" t="s">
        <v>2199</v>
      </c>
      <c r="C118" s="11" t="s">
        <v>28</v>
      </c>
      <c r="D118" s="10" t="s">
        <v>1004</v>
      </c>
      <c r="E118" s="11" t="s">
        <v>1006</v>
      </c>
      <c r="F118" s="10">
        <v>1</v>
      </c>
      <c r="G118" s="11" t="s">
        <v>768</v>
      </c>
      <c r="H118" s="58">
        <v>46082</v>
      </c>
      <c r="I118" s="11" t="s">
        <v>966</v>
      </c>
      <c r="J118" s="10">
        <v>4</v>
      </c>
      <c r="K118" s="11" t="s">
        <v>1007</v>
      </c>
      <c r="L118" s="55">
        <v>17500000</v>
      </c>
      <c r="M118" t="s">
        <v>2275</v>
      </c>
      <c r="N118" t="s">
        <v>2234</v>
      </c>
      <c r="O118" t="s">
        <v>2258</v>
      </c>
      <c r="P118" t="s">
        <v>2284</v>
      </c>
    </row>
    <row r="119" spans="1:16" x14ac:dyDescent="0.25">
      <c r="A119" s="51" t="s">
        <v>313</v>
      </c>
      <c r="B119" s="7" t="s">
        <v>2196</v>
      </c>
      <c r="C119" t="s">
        <v>28</v>
      </c>
      <c r="D119" s="7" t="s">
        <v>315</v>
      </c>
      <c r="E119" t="s">
        <v>317</v>
      </c>
      <c r="F119" s="7">
        <v>1</v>
      </c>
      <c r="G119" t="s">
        <v>319</v>
      </c>
      <c r="H119" s="59">
        <v>45839</v>
      </c>
      <c r="I119" t="s">
        <v>320</v>
      </c>
      <c r="J119" s="7">
        <v>12</v>
      </c>
      <c r="K119" t="s">
        <v>318</v>
      </c>
      <c r="L119" s="56">
        <v>36208337</v>
      </c>
      <c r="M119" t="s">
        <v>2225</v>
      </c>
      <c r="N119" t="s">
        <v>2234</v>
      </c>
      <c r="O119" t="s">
        <v>2258</v>
      </c>
      <c r="P119" t="s">
        <v>2284</v>
      </c>
    </row>
    <row r="120" spans="1:16" x14ac:dyDescent="0.25">
      <c r="A120" s="50" t="s">
        <v>1008</v>
      </c>
      <c r="B120" s="10" t="s">
        <v>2199</v>
      </c>
      <c r="C120" s="11" t="s">
        <v>28</v>
      </c>
      <c r="D120" s="10" t="s">
        <v>1010</v>
      </c>
      <c r="E120" s="11" t="s">
        <v>1012</v>
      </c>
      <c r="F120" s="10">
        <v>1</v>
      </c>
      <c r="G120" s="11" t="s">
        <v>768</v>
      </c>
      <c r="H120" s="58">
        <v>46143</v>
      </c>
      <c r="I120" s="11" t="s">
        <v>966</v>
      </c>
      <c r="J120" s="10">
        <v>1</v>
      </c>
      <c r="K120" s="57">
        <v>46143</v>
      </c>
      <c r="L120" s="55">
        <v>1820000</v>
      </c>
      <c r="M120" t="s">
        <v>2275</v>
      </c>
      <c r="N120" t="s">
        <v>2234</v>
      </c>
      <c r="O120" t="s">
        <v>2258</v>
      </c>
      <c r="P120" t="s">
        <v>2284</v>
      </c>
    </row>
    <row r="121" spans="1:16" x14ac:dyDescent="0.25">
      <c r="A121" s="51" t="s">
        <v>323</v>
      </c>
      <c r="B121" s="7" t="s">
        <v>2196</v>
      </c>
      <c r="C121" t="s">
        <v>28</v>
      </c>
      <c r="D121" s="7" t="s">
        <v>324</v>
      </c>
      <c r="E121" t="s">
        <v>326</v>
      </c>
      <c r="F121" s="7">
        <v>1</v>
      </c>
      <c r="G121" t="s">
        <v>319</v>
      </c>
      <c r="H121" s="59">
        <v>45870</v>
      </c>
      <c r="I121" t="s">
        <v>320</v>
      </c>
      <c r="J121" s="7">
        <v>12</v>
      </c>
      <c r="K121" t="s">
        <v>318</v>
      </c>
      <c r="L121" s="56">
        <v>28875000</v>
      </c>
      <c r="M121" t="s">
        <v>2225</v>
      </c>
      <c r="N121" t="s">
        <v>2234</v>
      </c>
      <c r="O121" t="s">
        <v>2258</v>
      </c>
      <c r="P121" t="s">
        <v>2284</v>
      </c>
    </row>
    <row r="122" spans="1:16" x14ac:dyDescent="0.25">
      <c r="A122" s="50" t="s">
        <v>1013</v>
      </c>
      <c r="B122" s="10" t="s">
        <v>2199</v>
      </c>
      <c r="C122" s="11" t="s">
        <v>28</v>
      </c>
      <c r="D122" s="10" t="s">
        <v>1014</v>
      </c>
      <c r="E122" s="11" t="s">
        <v>623</v>
      </c>
      <c r="F122" s="10">
        <v>1</v>
      </c>
      <c r="G122" s="11" t="s">
        <v>768</v>
      </c>
      <c r="H122" s="58">
        <v>46082</v>
      </c>
      <c r="I122" s="11" t="s">
        <v>966</v>
      </c>
      <c r="J122" s="10">
        <v>1</v>
      </c>
      <c r="K122" s="57">
        <v>46082</v>
      </c>
      <c r="L122" s="55">
        <v>1200000</v>
      </c>
      <c r="M122" t="s">
        <v>2275</v>
      </c>
      <c r="N122" t="s">
        <v>2234</v>
      </c>
      <c r="O122" t="s">
        <v>2258</v>
      </c>
      <c r="P122" t="s">
        <v>2284</v>
      </c>
    </row>
    <row r="123" spans="1:16" x14ac:dyDescent="0.25">
      <c r="A123" s="51" t="s">
        <v>328</v>
      </c>
      <c r="B123" s="7" t="s">
        <v>2196</v>
      </c>
      <c r="C123" t="s">
        <v>28</v>
      </c>
      <c r="D123" s="7" t="s">
        <v>329</v>
      </c>
      <c r="E123" t="s">
        <v>331</v>
      </c>
      <c r="F123" s="7">
        <v>1</v>
      </c>
      <c r="G123" t="s">
        <v>332</v>
      </c>
      <c r="H123" s="59">
        <v>45839</v>
      </c>
      <c r="I123" t="s">
        <v>333</v>
      </c>
      <c r="J123" s="7">
        <v>12</v>
      </c>
      <c r="K123" t="s">
        <v>308</v>
      </c>
      <c r="L123" s="56">
        <v>52500000</v>
      </c>
      <c r="M123" t="s">
        <v>2221</v>
      </c>
      <c r="N123" t="s">
        <v>2234</v>
      </c>
      <c r="O123" t="s">
        <v>2259</v>
      </c>
      <c r="P123" t="s">
        <v>2284</v>
      </c>
    </row>
    <row r="124" spans="1:16" x14ac:dyDescent="0.25">
      <c r="A124" s="50" t="s">
        <v>1016</v>
      </c>
      <c r="B124" s="10" t="s">
        <v>2199</v>
      </c>
      <c r="C124" s="11" t="s">
        <v>28</v>
      </c>
      <c r="D124" s="10" t="s">
        <v>1017</v>
      </c>
      <c r="E124" s="11" t="s">
        <v>623</v>
      </c>
      <c r="F124" s="10">
        <v>1</v>
      </c>
      <c r="G124" s="11" t="s">
        <v>768</v>
      </c>
      <c r="H124" s="58">
        <v>46174</v>
      </c>
      <c r="I124" s="11" t="s">
        <v>966</v>
      </c>
      <c r="J124" s="10">
        <v>1</v>
      </c>
      <c r="K124" s="57">
        <v>46174</v>
      </c>
      <c r="L124" s="55">
        <v>2500020</v>
      </c>
      <c r="M124" t="s">
        <v>2275</v>
      </c>
      <c r="N124" t="s">
        <v>2234</v>
      </c>
      <c r="O124" t="s">
        <v>2258</v>
      </c>
      <c r="P124" t="s">
        <v>2284</v>
      </c>
    </row>
    <row r="125" spans="1:16" x14ac:dyDescent="0.25">
      <c r="A125" s="51" t="s">
        <v>337</v>
      </c>
      <c r="B125" s="7" t="s">
        <v>2196</v>
      </c>
      <c r="C125" t="s">
        <v>28</v>
      </c>
      <c r="D125" s="7" t="s">
        <v>338</v>
      </c>
      <c r="E125" t="s">
        <v>340</v>
      </c>
      <c r="F125" s="7">
        <v>1</v>
      </c>
      <c r="G125" t="s">
        <v>341</v>
      </c>
      <c r="H125" s="59">
        <v>45809</v>
      </c>
      <c r="I125" t="s">
        <v>342</v>
      </c>
      <c r="J125" s="7">
        <v>18</v>
      </c>
      <c r="K125" t="s">
        <v>206</v>
      </c>
      <c r="L125" s="56">
        <v>11000004</v>
      </c>
      <c r="M125" t="s">
        <v>2278</v>
      </c>
      <c r="N125" t="s">
        <v>2256</v>
      </c>
      <c r="O125" t="s">
        <v>2268</v>
      </c>
      <c r="P125" t="s">
        <v>2284</v>
      </c>
    </row>
    <row r="126" spans="1:16" x14ac:dyDescent="0.25">
      <c r="A126" s="50" t="s">
        <v>1019</v>
      </c>
      <c r="B126" s="10" t="s">
        <v>2199</v>
      </c>
      <c r="C126" s="11" t="s">
        <v>28</v>
      </c>
      <c r="D126" s="10" t="s">
        <v>1020</v>
      </c>
      <c r="E126" s="11" t="s">
        <v>121</v>
      </c>
      <c r="F126" s="10">
        <v>1</v>
      </c>
      <c r="G126" s="11" t="s">
        <v>768</v>
      </c>
      <c r="H126" s="58">
        <v>46235</v>
      </c>
      <c r="I126" s="11" t="s">
        <v>966</v>
      </c>
      <c r="J126" s="10">
        <v>1</v>
      </c>
      <c r="K126" s="57">
        <v>46235</v>
      </c>
      <c r="L126" s="55">
        <v>2500000</v>
      </c>
      <c r="M126" t="s">
        <v>2275</v>
      </c>
      <c r="N126" t="s">
        <v>2234</v>
      </c>
      <c r="O126" t="s">
        <v>2258</v>
      </c>
      <c r="P126" t="s">
        <v>2284</v>
      </c>
    </row>
    <row r="127" spans="1:16" x14ac:dyDescent="0.25">
      <c r="A127" s="51" t="s">
        <v>355</v>
      </c>
      <c r="B127" s="7" t="s">
        <v>2196</v>
      </c>
      <c r="C127" t="s">
        <v>28</v>
      </c>
      <c r="D127" s="7" t="s">
        <v>357</v>
      </c>
      <c r="E127" t="s">
        <v>359</v>
      </c>
      <c r="F127" s="7">
        <v>1</v>
      </c>
      <c r="G127" t="s">
        <v>360</v>
      </c>
      <c r="H127" s="59">
        <v>45870</v>
      </c>
      <c r="I127" t="s">
        <v>361</v>
      </c>
      <c r="J127" s="7">
        <v>12</v>
      </c>
      <c r="K127" t="s">
        <v>318</v>
      </c>
      <c r="L127" s="56">
        <v>30250000</v>
      </c>
      <c r="M127" t="s">
        <v>2279</v>
      </c>
      <c r="N127" t="s">
        <v>2234</v>
      </c>
      <c r="O127" t="s">
        <v>2258</v>
      </c>
      <c r="P127" t="s">
        <v>2284</v>
      </c>
    </row>
    <row r="128" spans="1:16" x14ac:dyDescent="0.25">
      <c r="A128" s="50" t="s">
        <v>1022</v>
      </c>
      <c r="B128" s="10" t="s">
        <v>2199</v>
      </c>
      <c r="C128" s="11" t="s">
        <v>28</v>
      </c>
      <c r="D128" s="10" t="s">
        <v>1023</v>
      </c>
      <c r="E128" s="11" t="s">
        <v>623</v>
      </c>
      <c r="F128" s="10">
        <v>1</v>
      </c>
      <c r="G128" s="11" t="s">
        <v>768</v>
      </c>
      <c r="H128" s="58">
        <v>46235</v>
      </c>
      <c r="I128" s="11" t="s">
        <v>966</v>
      </c>
      <c r="J128" s="10">
        <v>1</v>
      </c>
      <c r="K128" s="57">
        <v>46235</v>
      </c>
      <c r="L128" s="55">
        <v>2500000</v>
      </c>
      <c r="M128" t="s">
        <v>2275</v>
      </c>
      <c r="N128" t="s">
        <v>2234</v>
      </c>
      <c r="O128" t="s">
        <v>2258</v>
      </c>
      <c r="P128" t="s">
        <v>2284</v>
      </c>
    </row>
    <row r="129" spans="1:16" x14ac:dyDescent="0.25">
      <c r="A129" s="51" t="s">
        <v>366</v>
      </c>
      <c r="B129" s="7" t="s">
        <v>2196</v>
      </c>
      <c r="C129" t="s">
        <v>28</v>
      </c>
      <c r="D129" s="7" t="s">
        <v>368</v>
      </c>
      <c r="E129" t="s">
        <v>370</v>
      </c>
      <c r="F129" s="7">
        <v>1</v>
      </c>
      <c r="G129" t="s">
        <v>341</v>
      </c>
      <c r="H129" s="59">
        <v>45870</v>
      </c>
      <c r="I129" t="s">
        <v>372</v>
      </c>
      <c r="J129" s="7">
        <v>12</v>
      </c>
      <c r="K129" t="s">
        <v>371</v>
      </c>
      <c r="L129" s="56">
        <v>80000000</v>
      </c>
      <c r="M129" t="s">
        <v>2278</v>
      </c>
      <c r="N129" t="s">
        <v>2256</v>
      </c>
      <c r="O129" t="s">
        <v>2268</v>
      </c>
      <c r="P129" t="s">
        <v>2284</v>
      </c>
    </row>
    <row r="130" spans="1:16" x14ac:dyDescent="0.25">
      <c r="A130" s="50" t="s">
        <v>1025</v>
      </c>
      <c r="B130" s="10" t="s">
        <v>2199</v>
      </c>
      <c r="C130" s="11" t="s">
        <v>28</v>
      </c>
      <c r="D130" s="10" t="s">
        <v>1026</v>
      </c>
      <c r="E130" s="11" t="s">
        <v>1028</v>
      </c>
      <c r="F130" s="10">
        <v>1</v>
      </c>
      <c r="G130" s="11" t="s">
        <v>768</v>
      </c>
      <c r="H130" s="58">
        <v>46327</v>
      </c>
      <c r="I130" s="11" t="s">
        <v>386</v>
      </c>
      <c r="J130" s="10">
        <v>12</v>
      </c>
      <c r="K130" s="11" t="s">
        <v>1029</v>
      </c>
      <c r="L130" s="55">
        <v>0</v>
      </c>
      <c r="M130" t="s">
        <v>2275</v>
      </c>
      <c r="N130" t="s">
        <v>2234</v>
      </c>
      <c r="O130" t="s">
        <v>2258</v>
      </c>
      <c r="P130" t="s">
        <v>2284</v>
      </c>
    </row>
    <row r="131" spans="1:16" x14ac:dyDescent="0.25">
      <c r="A131" s="51" t="s">
        <v>382</v>
      </c>
      <c r="B131" s="7" t="s">
        <v>2196</v>
      </c>
      <c r="C131" t="s">
        <v>28</v>
      </c>
      <c r="D131" s="7" t="s">
        <v>383</v>
      </c>
      <c r="E131" t="s">
        <v>326</v>
      </c>
      <c r="F131" s="7">
        <v>1</v>
      </c>
      <c r="G131" t="s">
        <v>385</v>
      </c>
      <c r="H131" s="59">
        <v>45870</v>
      </c>
      <c r="I131" t="s">
        <v>386</v>
      </c>
      <c r="J131" s="7">
        <v>12</v>
      </c>
      <c r="K131" t="s">
        <v>318</v>
      </c>
      <c r="L131" s="56">
        <v>16041663</v>
      </c>
      <c r="M131" t="s">
        <v>2275</v>
      </c>
      <c r="N131" t="s">
        <v>2234</v>
      </c>
      <c r="O131" t="s">
        <v>2258</v>
      </c>
      <c r="P131" t="s">
        <v>2284</v>
      </c>
    </row>
    <row r="132" spans="1:16" x14ac:dyDescent="0.25">
      <c r="A132" s="50" t="s">
        <v>1039</v>
      </c>
      <c r="B132" s="10" t="s">
        <v>2199</v>
      </c>
      <c r="C132" s="11" t="s">
        <v>28</v>
      </c>
      <c r="D132" s="10" t="s">
        <v>1040</v>
      </c>
      <c r="E132" s="11" t="s">
        <v>486</v>
      </c>
      <c r="F132" s="10">
        <v>1</v>
      </c>
      <c r="G132" s="11" t="s">
        <v>768</v>
      </c>
      <c r="H132" s="58">
        <v>46082</v>
      </c>
      <c r="I132" s="11" t="s">
        <v>386</v>
      </c>
      <c r="J132" s="10">
        <v>1</v>
      </c>
      <c r="K132" s="57">
        <v>46082</v>
      </c>
      <c r="L132" s="55">
        <v>816730</v>
      </c>
      <c r="M132" t="s">
        <v>2275</v>
      </c>
      <c r="N132" t="s">
        <v>2234</v>
      </c>
      <c r="O132" t="s">
        <v>2258</v>
      </c>
      <c r="P132" t="s">
        <v>2284</v>
      </c>
    </row>
    <row r="133" spans="1:16" x14ac:dyDescent="0.25">
      <c r="A133" s="51" t="s">
        <v>389</v>
      </c>
      <c r="B133" s="7" t="s">
        <v>2196</v>
      </c>
      <c r="C133" t="s">
        <v>28</v>
      </c>
      <c r="D133" s="7" t="s">
        <v>390</v>
      </c>
      <c r="E133" t="s">
        <v>326</v>
      </c>
      <c r="F133" s="7">
        <v>1</v>
      </c>
      <c r="G133" t="s">
        <v>378</v>
      </c>
      <c r="H133" s="59">
        <v>45870</v>
      </c>
      <c r="I133" t="s">
        <v>361</v>
      </c>
      <c r="J133" s="7">
        <v>12</v>
      </c>
      <c r="K133" t="s">
        <v>318</v>
      </c>
      <c r="L133" s="56">
        <v>16500000</v>
      </c>
      <c r="M133" t="s">
        <v>2254</v>
      </c>
      <c r="N133" t="s">
        <v>2234</v>
      </c>
      <c r="O133" t="s">
        <v>2258</v>
      </c>
      <c r="P133" t="s">
        <v>2284</v>
      </c>
    </row>
    <row r="134" spans="1:16" x14ac:dyDescent="0.25">
      <c r="A134" s="50" t="s">
        <v>1042</v>
      </c>
      <c r="B134" s="10" t="s">
        <v>2199</v>
      </c>
      <c r="C134" s="11" t="s">
        <v>28</v>
      </c>
      <c r="D134" s="10" t="s">
        <v>1044</v>
      </c>
      <c r="E134" s="11" t="s">
        <v>1012</v>
      </c>
      <c r="F134" s="10">
        <v>1</v>
      </c>
      <c r="G134" s="11" t="s">
        <v>531</v>
      </c>
      <c r="H134" s="58">
        <v>46023</v>
      </c>
      <c r="I134" s="11" t="s">
        <v>532</v>
      </c>
      <c r="J134" s="10">
        <v>12</v>
      </c>
      <c r="K134" s="11" t="s">
        <v>413</v>
      </c>
      <c r="L134" s="55">
        <v>60000000</v>
      </c>
      <c r="M134" t="s">
        <v>2249</v>
      </c>
      <c r="N134" t="s">
        <v>2256</v>
      </c>
      <c r="O134" t="s">
        <v>2268</v>
      </c>
      <c r="P134" t="s">
        <v>2284</v>
      </c>
    </row>
    <row r="135" spans="1:16" x14ac:dyDescent="0.25">
      <c r="A135" s="51" t="s">
        <v>392</v>
      </c>
      <c r="B135" s="7" t="s">
        <v>2196</v>
      </c>
      <c r="C135" t="s">
        <v>28</v>
      </c>
      <c r="D135" s="7" t="s">
        <v>393</v>
      </c>
      <c r="E135" t="s">
        <v>326</v>
      </c>
      <c r="F135" s="7">
        <v>1</v>
      </c>
      <c r="G135" t="s">
        <v>395</v>
      </c>
      <c r="H135" s="59">
        <v>45870</v>
      </c>
      <c r="I135" t="s">
        <v>396</v>
      </c>
      <c r="J135" s="7">
        <v>12</v>
      </c>
      <c r="K135" t="s">
        <v>318</v>
      </c>
      <c r="L135" s="56">
        <v>17416663</v>
      </c>
      <c r="M135" t="s">
        <v>2223</v>
      </c>
      <c r="N135" t="s">
        <v>2234</v>
      </c>
      <c r="O135" t="s">
        <v>2258</v>
      </c>
      <c r="P135" t="s">
        <v>2284</v>
      </c>
    </row>
    <row r="136" spans="1:16" x14ac:dyDescent="0.25">
      <c r="A136" s="50" t="s">
        <v>1047</v>
      </c>
      <c r="B136" s="10" t="s">
        <v>2199</v>
      </c>
      <c r="C136" s="11" t="s">
        <v>28</v>
      </c>
      <c r="D136" s="10" t="s">
        <v>1049</v>
      </c>
      <c r="E136" s="11" t="s">
        <v>1012</v>
      </c>
      <c r="F136" s="10">
        <v>1</v>
      </c>
      <c r="G136" s="11" t="s">
        <v>531</v>
      </c>
      <c r="H136" s="58">
        <v>46023</v>
      </c>
      <c r="I136" s="11" t="s">
        <v>1051</v>
      </c>
      <c r="J136" s="10">
        <v>12</v>
      </c>
      <c r="K136" s="11" t="s">
        <v>413</v>
      </c>
      <c r="L136" s="55">
        <v>11000000</v>
      </c>
      <c r="M136" t="s">
        <v>2249</v>
      </c>
      <c r="N136" t="s">
        <v>2256</v>
      </c>
      <c r="O136" t="s">
        <v>2268</v>
      </c>
      <c r="P136" t="s">
        <v>2284</v>
      </c>
    </row>
    <row r="137" spans="1:16" x14ac:dyDescent="0.25">
      <c r="A137" s="51" t="s">
        <v>399</v>
      </c>
      <c r="B137" s="7" t="s">
        <v>2196</v>
      </c>
      <c r="C137" t="s">
        <v>28</v>
      </c>
      <c r="D137" s="7" t="s">
        <v>400</v>
      </c>
      <c r="E137" t="s">
        <v>326</v>
      </c>
      <c r="F137" s="7">
        <v>1</v>
      </c>
      <c r="G137" t="s">
        <v>402</v>
      </c>
      <c r="H137" s="59">
        <v>45870</v>
      </c>
      <c r="I137" t="s">
        <v>320</v>
      </c>
      <c r="J137" s="7">
        <v>12</v>
      </c>
      <c r="K137" t="s">
        <v>318</v>
      </c>
      <c r="L137" s="56">
        <v>28875000</v>
      </c>
      <c r="M137" t="s">
        <v>2253</v>
      </c>
      <c r="N137" t="s">
        <v>2234</v>
      </c>
      <c r="O137" t="s">
        <v>2258</v>
      </c>
      <c r="P137" t="s">
        <v>2284</v>
      </c>
    </row>
    <row r="138" spans="1:16" x14ac:dyDescent="0.25">
      <c r="A138" s="50" t="s">
        <v>405</v>
      </c>
      <c r="B138" s="10" t="s">
        <v>2196</v>
      </c>
      <c r="C138" s="11" t="s">
        <v>28</v>
      </c>
      <c r="D138" s="10" t="s">
        <v>406</v>
      </c>
      <c r="E138" s="11" t="s">
        <v>326</v>
      </c>
      <c r="F138" s="10">
        <v>1</v>
      </c>
      <c r="G138" s="11" t="s">
        <v>360</v>
      </c>
      <c r="H138" s="58">
        <v>45870</v>
      </c>
      <c r="I138" s="11" t="s">
        <v>361</v>
      </c>
      <c r="J138" s="10">
        <v>12</v>
      </c>
      <c r="K138" s="11" t="s">
        <v>318</v>
      </c>
      <c r="L138" s="55">
        <v>23833337</v>
      </c>
      <c r="M138" t="s">
        <v>2279</v>
      </c>
      <c r="N138" t="s">
        <v>2234</v>
      </c>
      <c r="O138" t="s">
        <v>2258</v>
      </c>
      <c r="P138" t="s">
        <v>2284</v>
      </c>
    </row>
    <row r="139" spans="1:16" x14ac:dyDescent="0.25">
      <c r="A139" s="51" t="s">
        <v>1059</v>
      </c>
      <c r="B139" s="7" t="s">
        <v>2199</v>
      </c>
      <c r="C139" t="s">
        <v>28</v>
      </c>
      <c r="D139" s="7" t="s">
        <v>1060</v>
      </c>
      <c r="E139" t="s">
        <v>1062</v>
      </c>
      <c r="F139" s="7">
        <v>2</v>
      </c>
      <c r="G139" t="s">
        <v>790</v>
      </c>
      <c r="H139" s="59">
        <v>46296</v>
      </c>
      <c r="I139" t="s">
        <v>791</v>
      </c>
      <c r="J139" s="7">
        <v>1</v>
      </c>
      <c r="K139" s="1">
        <v>46296</v>
      </c>
      <c r="L139" s="56">
        <v>400000</v>
      </c>
      <c r="M139" t="s">
        <v>2232</v>
      </c>
      <c r="N139" t="s">
        <v>2234</v>
      </c>
      <c r="O139" t="s">
        <v>2265</v>
      </c>
      <c r="P139" t="s">
        <v>2284</v>
      </c>
    </row>
    <row r="140" spans="1:16" x14ac:dyDescent="0.25">
      <c r="A140" s="50" t="s">
        <v>1059</v>
      </c>
      <c r="B140" s="10" t="s">
        <v>2199</v>
      </c>
      <c r="C140" s="11" t="s">
        <v>28</v>
      </c>
      <c r="D140" s="10" t="s">
        <v>1060</v>
      </c>
      <c r="E140" s="11" t="s">
        <v>486</v>
      </c>
      <c r="F140" s="10">
        <v>2</v>
      </c>
      <c r="G140" s="11" t="s">
        <v>790</v>
      </c>
      <c r="H140" s="58">
        <v>46296</v>
      </c>
      <c r="I140" s="11" t="s">
        <v>791</v>
      </c>
      <c r="J140" s="10">
        <v>1</v>
      </c>
      <c r="K140" s="57">
        <v>46296</v>
      </c>
      <c r="L140" s="55">
        <v>110006</v>
      </c>
      <c r="M140" t="s">
        <v>2232</v>
      </c>
      <c r="N140" t="s">
        <v>2234</v>
      </c>
      <c r="O140" t="s">
        <v>2265</v>
      </c>
      <c r="P140" t="s">
        <v>2284</v>
      </c>
    </row>
    <row r="141" spans="1:16" x14ac:dyDescent="0.25">
      <c r="A141" s="51" t="s">
        <v>408</v>
      </c>
      <c r="B141" s="7" t="s">
        <v>2196</v>
      </c>
      <c r="C141" t="s">
        <v>28</v>
      </c>
      <c r="D141" s="7" t="s">
        <v>410</v>
      </c>
      <c r="E141" t="s">
        <v>412</v>
      </c>
      <c r="F141" s="7">
        <v>1</v>
      </c>
      <c r="G141" t="s">
        <v>414</v>
      </c>
      <c r="H141" s="59">
        <v>45870</v>
      </c>
      <c r="I141" t="s">
        <v>415</v>
      </c>
      <c r="J141" s="7">
        <v>12</v>
      </c>
      <c r="K141" t="s">
        <v>413</v>
      </c>
      <c r="L141" s="56">
        <v>500000000</v>
      </c>
      <c r="M141" t="s">
        <v>2222</v>
      </c>
      <c r="N141" t="s">
        <v>2234</v>
      </c>
      <c r="O141" t="s">
        <v>2260</v>
      </c>
      <c r="P141" t="s">
        <v>2284</v>
      </c>
    </row>
    <row r="142" spans="1:16" x14ac:dyDescent="0.25">
      <c r="A142" s="50" t="s">
        <v>1063</v>
      </c>
      <c r="B142" s="10" t="s">
        <v>2199</v>
      </c>
      <c r="C142" s="11" t="s">
        <v>28</v>
      </c>
      <c r="D142" s="10" t="s">
        <v>1064</v>
      </c>
      <c r="E142" s="11" t="s">
        <v>486</v>
      </c>
      <c r="F142" s="10">
        <v>2</v>
      </c>
      <c r="G142" s="11" t="s">
        <v>790</v>
      </c>
      <c r="H142" s="58">
        <v>46296</v>
      </c>
      <c r="I142" s="11" t="s">
        <v>791</v>
      </c>
      <c r="J142" s="10">
        <v>1</v>
      </c>
      <c r="K142" s="57">
        <v>46296</v>
      </c>
      <c r="L142" s="55">
        <v>50000</v>
      </c>
      <c r="M142" t="s">
        <v>2232</v>
      </c>
      <c r="N142" t="s">
        <v>2234</v>
      </c>
      <c r="O142" t="s">
        <v>2265</v>
      </c>
      <c r="P142" t="s">
        <v>2284</v>
      </c>
    </row>
    <row r="143" spans="1:16" x14ac:dyDescent="0.25">
      <c r="A143" s="51" t="s">
        <v>1063</v>
      </c>
      <c r="B143" s="7" t="s">
        <v>2199</v>
      </c>
      <c r="C143" t="s">
        <v>28</v>
      </c>
      <c r="D143" s="7" t="s">
        <v>1064</v>
      </c>
      <c r="E143" t="s">
        <v>602</v>
      </c>
      <c r="F143" s="7">
        <v>2</v>
      </c>
      <c r="G143" t="s">
        <v>790</v>
      </c>
      <c r="H143" s="59">
        <v>46296</v>
      </c>
      <c r="I143" t="s">
        <v>791</v>
      </c>
      <c r="J143" s="7">
        <v>1</v>
      </c>
      <c r="K143" s="1">
        <v>46296</v>
      </c>
      <c r="L143" s="56">
        <v>400000</v>
      </c>
      <c r="M143" t="s">
        <v>2232</v>
      </c>
      <c r="N143" t="s">
        <v>2234</v>
      </c>
      <c r="O143" t="s">
        <v>2265</v>
      </c>
      <c r="P143" t="s">
        <v>2284</v>
      </c>
    </row>
    <row r="144" spans="1:16" x14ac:dyDescent="0.25">
      <c r="A144" s="50" t="s">
        <v>418</v>
      </c>
      <c r="B144" s="10" t="s">
        <v>2196</v>
      </c>
      <c r="C144" s="11" t="s">
        <v>28</v>
      </c>
      <c r="D144" s="10" t="s">
        <v>419</v>
      </c>
      <c r="E144" s="11" t="s">
        <v>421</v>
      </c>
      <c r="F144" s="10">
        <v>1</v>
      </c>
      <c r="G144" s="11" t="s">
        <v>422</v>
      </c>
      <c r="H144" s="58">
        <v>45870</v>
      </c>
      <c r="I144" s="11" t="s">
        <v>423</v>
      </c>
      <c r="J144" s="10">
        <v>12</v>
      </c>
      <c r="K144" s="11" t="s">
        <v>318</v>
      </c>
      <c r="L144" s="55">
        <v>87524976</v>
      </c>
      <c r="M144" t="s">
        <v>2224</v>
      </c>
      <c r="N144" t="s">
        <v>2227</v>
      </c>
      <c r="O144" t="s">
        <v>2261</v>
      </c>
      <c r="P144" t="s">
        <v>2284</v>
      </c>
    </row>
    <row r="145" spans="1:16" x14ac:dyDescent="0.25">
      <c r="A145" s="51" t="s">
        <v>1069</v>
      </c>
      <c r="B145" s="7" t="s">
        <v>2199</v>
      </c>
      <c r="C145" t="s">
        <v>28</v>
      </c>
      <c r="D145" s="7" t="s">
        <v>1070</v>
      </c>
      <c r="E145" t="s">
        <v>819</v>
      </c>
      <c r="F145" s="7">
        <v>1</v>
      </c>
      <c r="G145" t="s">
        <v>934</v>
      </c>
      <c r="H145" s="59">
        <v>46023</v>
      </c>
      <c r="I145" t="s">
        <v>935</v>
      </c>
      <c r="J145" s="7">
        <v>1</v>
      </c>
      <c r="K145" s="1">
        <v>46023</v>
      </c>
      <c r="L145" s="56">
        <v>450000</v>
      </c>
      <c r="M145" t="s">
        <v>2230</v>
      </c>
      <c r="N145" t="s">
        <v>2227</v>
      </c>
      <c r="O145" t="s">
        <v>2261</v>
      </c>
      <c r="P145" t="s">
        <v>2284</v>
      </c>
    </row>
    <row r="146" spans="1:16" x14ac:dyDescent="0.25">
      <c r="A146" s="50" t="s">
        <v>426</v>
      </c>
      <c r="B146" s="10" t="s">
        <v>2196</v>
      </c>
      <c r="C146" s="11" t="s">
        <v>28</v>
      </c>
      <c r="D146" s="10" t="s">
        <v>428</v>
      </c>
      <c r="E146" s="11" t="s">
        <v>412</v>
      </c>
      <c r="F146" s="10">
        <v>1</v>
      </c>
      <c r="G146" s="11" t="s">
        <v>430</v>
      </c>
      <c r="H146" s="58">
        <v>45870</v>
      </c>
      <c r="I146" s="11" t="s">
        <v>431</v>
      </c>
      <c r="J146" s="10">
        <v>12</v>
      </c>
      <c r="K146" s="11" t="s">
        <v>318</v>
      </c>
      <c r="L146" s="55">
        <v>48583326</v>
      </c>
      <c r="M146" t="s">
        <v>2222</v>
      </c>
      <c r="N146" t="s">
        <v>2234</v>
      </c>
      <c r="O146" t="s">
        <v>2260</v>
      </c>
      <c r="P146" t="s">
        <v>2284</v>
      </c>
    </row>
    <row r="147" spans="1:16" x14ac:dyDescent="0.25">
      <c r="A147" s="51" t="s">
        <v>1072</v>
      </c>
      <c r="B147" s="7" t="s">
        <v>2199</v>
      </c>
      <c r="C147" t="s">
        <v>28</v>
      </c>
      <c r="D147" s="7" t="s">
        <v>1073</v>
      </c>
      <c r="E147" t="s">
        <v>486</v>
      </c>
      <c r="F147" s="7">
        <v>1</v>
      </c>
      <c r="G147" t="s">
        <v>1075</v>
      </c>
      <c r="H147" s="59">
        <v>46054</v>
      </c>
      <c r="I147" t="s">
        <v>1076</v>
      </c>
      <c r="J147" s="7">
        <v>1</v>
      </c>
      <c r="K147" s="1">
        <v>46054</v>
      </c>
      <c r="L147" s="56">
        <v>169000</v>
      </c>
      <c r="M147" t="s">
        <v>2224</v>
      </c>
      <c r="N147" t="s">
        <v>2227</v>
      </c>
      <c r="O147" t="s">
        <v>2261</v>
      </c>
      <c r="P147" t="s">
        <v>2284</v>
      </c>
    </row>
    <row r="148" spans="1:16" x14ac:dyDescent="0.25">
      <c r="A148" s="50" t="s">
        <v>1079</v>
      </c>
      <c r="B148" s="10" t="s">
        <v>2199</v>
      </c>
      <c r="C148" s="11" t="s">
        <v>28</v>
      </c>
      <c r="D148" s="10" t="s">
        <v>1081</v>
      </c>
      <c r="E148" s="11" t="s">
        <v>1083</v>
      </c>
      <c r="F148" s="10">
        <v>1</v>
      </c>
      <c r="G148" s="11" t="s">
        <v>1075</v>
      </c>
      <c r="H148" s="58">
        <v>46082</v>
      </c>
      <c r="I148" s="11" t="s">
        <v>1076</v>
      </c>
      <c r="J148" s="10">
        <v>1</v>
      </c>
      <c r="K148" s="57">
        <v>46082</v>
      </c>
      <c r="L148" s="55">
        <v>100000</v>
      </c>
      <c r="M148" t="s">
        <v>2224</v>
      </c>
      <c r="N148" t="s">
        <v>2227</v>
      </c>
      <c r="O148" t="s">
        <v>2261</v>
      </c>
      <c r="P148" t="s">
        <v>2284</v>
      </c>
    </row>
    <row r="149" spans="1:16" x14ac:dyDescent="0.25">
      <c r="A149" s="51" t="s">
        <v>1085</v>
      </c>
      <c r="B149" s="7" t="s">
        <v>2199</v>
      </c>
      <c r="C149" t="s">
        <v>28</v>
      </c>
      <c r="D149" s="7" t="s">
        <v>1086</v>
      </c>
      <c r="E149" t="s">
        <v>1088</v>
      </c>
      <c r="F149" s="7">
        <v>1</v>
      </c>
      <c r="G149" t="s">
        <v>934</v>
      </c>
      <c r="H149" s="59">
        <v>46023</v>
      </c>
      <c r="I149" t="s">
        <v>935</v>
      </c>
      <c r="J149" s="7">
        <v>1</v>
      </c>
      <c r="K149" s="1">
        <v>46023</v>
      </c>
      <c r="L149" s="56">
        <v>352600</v>
      </c>
      <c r="M149" t="s">
        <v>2230</v>
      </c>
      <c r="N149" t="s">
        <v>2227</v>
      </c>
      <c r="O149" t="s">
        <v>2261</v>
      </c>
      <c r="P149" t="s">
        <v>2284</v>
      </c>
    </row>
    <row r="150" spans="1:16" x14ac:dyDescent="0.25">
      <c r="A150" s="50" t="s">
        <v>434</v>
      </c>
      <c r="B150" s="10" t="s">
        <v>2196</v>
      </c>
      <c r="C150" s="11" t="s">
        <v>28</v>
      </c>
      <c r="D150" s="10" t="s">
        <v>435</v>
      </c>
      <c r="E150" s="11" t="s">
        <v>359</v>
      </c>
      <c r="F150" s="10">
        <v>1</v>
      </c>
      <c r="G150" s="11" t="s">
        <v>319</v>
      </c>
      <c r="H150" s="58">
        <v>45870</v>
      </c>
      <c r="I150" s="11" t="s">
        <v>320</v>
      </c>
      <c r="J150" s="10">
        <v>12</v>
      </c>
      <c r="K150" s="11" t="s">
        <v>318</v>
      </c>
      <c r="L150" s="55">
        <v>73333326</v>
      </c>
      <c r="M150" t="s">
        <v>2225</v>
      </c>
      <c r="N150" t="s">
        <v>2234</v>
      </c>
      <c r="O150" t="s">
        <v>2258</v>
      </c>
      <c r="P150" t="s">
        <v>2284</v>
      </c>
    </row>
    <row r="151" spans="1:16" x14ac:dyDescent="0.25">
      <c r="A151" s="51" t="s">
        <v>1089</v>
      </c>
      <c r="B151" s="7" t="s">
        <v>2199</v>
      </c>
      <c r="C151" t="s">
        <v>28</v>
      </c>
      <c r="D151" s="7" t="s">
        <v>1090</v>
      </c>
      <c r="E151" t="s">
        <v>781</v>
      </c>
      <c r="F151" s="7">
        <v>1</v>
      </c>
      <c r="G151" t="s">
        <v>934</v>
      </c>
      <c r="H151" s="59">
        <v>46054</v>
      </c>
      <c r="I151" t="s">
        <v>935</v>
      </c>
      <c r="J151" s="7">
        <v>1</v>
      </c>
      <c r="K151" s="1">
        <v>46054</v>
      </c>
      <c r="L151" s="56">
        <v>50004</v>
      </c>
      <c r="M151" t="s">
        <v>2230</v>
      </c>
      <c r="N151" t="s">
        <v>2227</v>
      </c>
      <c r="O151" t="s">
        <v>2261</v>
      </c>
      <c r="P151" t="s">
        <v>2284</v>
      </c>
    </row>
    <row r="152" spans="1:16" x14ac:dyDescent="0.25">
      <c r="A152" s="50" t="s">
        <v>438</v>
      </c>
      <c r="B152" s="10" t="s">
        <v>2196</v>
      </c>
      <c r="C152" s="11" t="s">
        <v>28</v>
      </c>
      <c r="D152" s="10" t="s">
        <v>440</v>
      </c>
      <c r="E152" s="11" t="s">
        <v>442</v>
      </c>
      <c r="F152" s="10">
        <v>2</v>
      </c>
      <c r="G152" s="11" t="s">
        <v>360</v>
      </c>
      <c r="H152" s="58">
        <v>45870</v>
      </c>
      <c r="I152" s="11" t="s">
        <v>361</v>
      </c>
      <c r="J152" s="10">
        <v>12</v>
      </c>
      <c r="K152" s="11" t="s">
        <v>413</v>
      </c>
      <c r="L152" s="55">
        <v>3503500</v>
      </c>
      <c r="M152" t="s">
        <v>2279</v>
      </c>
      <c r="N152" t="s">
        <v>2234</v>
      </c>
      <c r="O152" t="s">
        <v>2258</v>
      </c>
      <c r="P152" t="s">
        <v>2284</v>
      </c>
    </row>
    <row r="153" spans="1:16" x14ac:dyDescent="0.25">
      <c r="A153" s="51" t="s">
        <v>438</v>
      </c>
      <c r="B153" s="7" t="s">
        <v>2196</v>
      </c>
      <c r="C153" t="s">
        <v>28</v>
      </c>
      <c r="D153" s="7" t="s">
        <v>440</v>
      </c>
      <c r="E153" t="s">
        <v>443</v>
      </c>
      <c r="F153" s="7">
        <v>2</v>
      </c>
      <c r="G153" t="s">
        <v>360</v>
      </c>
      <c r="H153" s="59">
        <v>45870</v>
      </c>
      <c r="I153" t="s">
        <v>361</v>
      </c>
      <c r="J153" s="7">
        <v>12</v>
      </c>
      <c r="K153" t="s">
        <v>413</v>
      </c>
      <c r="L153" s="56">
        <v>2914000</v>
      </c>
      <c r="M153" t="s">
        <v>2279</v>
      </c>
      <c r="N153" t="s">
        <v>2234</v>
      </c>
      <c r="O153" t="s">
        <v>2258</v>
      </c>
      <c r="P153" t="s">
        <v>2284</v>
      </c>
    </row>
    <row r="154" spans="1:16" x14ac:dyDescent="0.25">
      <c r="A154" s="50" t="s">
        <v>1092</v>
      </c>
      <c r="B154" s="10" t="s">
        <v>2199</v>
      </c>
      <c r="C154" s="11" t="s">
        <v>28</v>
      </c>
      <c r="D154" s="10" t="s">
        <v>1093</v>
      </c>
      <c r="E154" s="11" t="s">
        <v>486</v>
      </c>
      <c r="F154" s="10">
        <v>1</v>
      </c>
      <c r="G154" s="11" t="s">
        <v>1095</v>
      </c>
      <c r="H154" s="58">
        <v>46296</v>
      </c>
      <c r="I154" s="11" t="s">
        <v>1096</v>
      </c>
      <c r="J154" s="10">
        <v>1</v>
      </c>
      <c r="K154" s="57">
        <v>46296</v>
      </c>
      <c r="L154" s="55">
        <v>624234</v>
      </c>
      <c r="M154" t="s">
        <v>2250</v>
      </c>
      <c r="N154" t="s">
        <v>2227</v>
      </c>
      <c r="O154" t="s">
        <v>2261</v>
      </c>
      <c r="P154" t="s">
        <v>2284</v>
      </c>
    </row>
    <row r="155" spans="1:16" x14ac:dyDescent="0.25">
      <c r="A155" s="51" t="s">
        <v>444</v>
      </c>
      <c r="B155" s="7" t="s">
        <v>2196</v>
      </c>
      <c r="C155" t="s">
        <v>28</v>
      </c>
      <c r="D155" s="7" t="s">
        <v>445</v>
      </c>
      <c r="E155" t="s">
        <v>447</v>
      </c>
      <c r="F155" s="7">
        <v>1</v>
      </c>
      <c r="G155" t="s">
        <v>37</v>
      </c>
      <c r="H155" s="59">
        <v>45870</v>
      </c>
      <c r="I155" t="s">
        <v>449</v>
      </c>
      <c r="J155" s="7">
        <v>32</v>
      </c>
      <c r="K155" t="s">
        <v>448</v>
      </c>
      <c r="L155" s="56">
        <v>89478000</v>
      </c>
      <c r="M155" t="s">
        <v>2217</v>
      </c>
      <c r="N155" t="s">
        <v>2256</v>
      </c>
      <c r="O155" t="s">
        <v>2280</v>
      </c>
      <c r="P155" t="s">
        <v>2284</v>
      </c>
    </row>
    <row r="156" spans="1:16" x14ac:dyDescent="0.25">
      <c r="A156" s="50" t="s">
        <v>1099</v>
      </c>
      <c r="B156" s="10" t="s">
        <v>2199</v>
      </c>
      <c r="C156" s="11" t="s">
        <v>28</v>
      </c>
      <c r="D156" s="10" t="s">
        <v>1100</v>
      </c>
      <c r="E156" s="11" t="s">
        <v>359</v>
      </c>
      <c r="F156" s="10">
        <v>2</v>
      </c>
      <c r="G156" s="11" t="s">
        <v>457</v>
      </c>
      <c r="H156" s="58">
        <v>46174</v>
      </c>
      <c r="I156" s="11" t="s">
        <v>458</v>
      </c>
      <c r="J156" s="10">
        <v>1</v>
      </c>
      <c r="K156" s="57">
        <v>46174</v>
      </c>
      <c r="L156" s="55">
        <v>123178</v>
      </c>
      <c r="M156" t="s">
        <v>2228</v>
      </c>
      <c r="N156" t="s">
        <v>2227</v>
      </c>
      <c r="O156" t="s">
        <v>2261</v>
      </c>
      <c r="P156" t="s">
        <v>2284</v>
      </c>
    </row>
    <row r="157" spans="1:16" x14ac:dyDescent="0.25">
      <c r="A157" s="51" t="s">
        <v>1099</v>
      </c>
      <c r="B157" s="7" t="s">
        <v>2199</v>
      </c>
      <c r="C157" t="s">
        <v>28</v>
      </c>
      <c r="D157" s="7" t="s">
        <v>1100</v>
      </c>
      <c r="E157" t="s">
        <v>855</v>
      </c>
      <c r="F157" s="7">
        <v>2</v>
      </c>
      <c r="G157" t="s">
        <v>457</v>
      </c>
      <c r="H157" s="59">
        <v>46174</v>
      </c>
      <c r="I157" t="s">
        <v>458</v>
      </c>
      <c r="J157" s="7">
        <v>1</v>
      </c>
      <c r="K157" s="1">
        <v>46174</v>
      </c>
      <c r="L157" s="56">
        <v>60060</v>
      </c>
      <c r="M157" t="s">
        <v>2228</v>
      </c>
      <c r="N157" t="s">
        <v>2227</v>
      </c>
      <c r="O157" t="s">
        <v>2261</v>
      </c>
      <c r="P157" t="s">
        <v>2284</v>
      </c>
    </row>
    <row r="158" spans="1:16" x14ac:dyDescent="0.25">
      <c r="A158" s="50" t="s">
        <v>452</v>
      </c>
      <c r="B158" s="10" t="s">
        <v>2196</v>
      </c>
      <c r="C158" s="11" t="s">
        <v>28</v>
      </c>
      <c r="D158" s="10" t="s">
        <v>454</v>
      </c>
      <c r="E158" s="11" t="s">
        <v>456</v>
      </c>
      <c r="F158" s="10">
        <v>1</v>
      </c>
      <c r="G158" s="11" t="s">
        <v>457</v>
      </c>
      <c r="H158" s="58">
        <v>45870</v>
      </c>
      <c r="I158" s="11" t="s">
        <v>458</v>
      </c>
      <c r="J158" s="10">
        <v>12</v>
      </c>
      <c r="K158" s="11" t="s">
        <v>318</v>
      </c>
      <c r="L158" s="55">
        <v>189933326</v>
      </c>
      <c r="M158" t="s">
        <v>2228</v>
      </c>
      <c r="N158" t="s">
        <v>2227</v>
      </c>
      <c r="O158" t="s">
        <v>2261</v>
      </c>
      <c r="P158" t="s">
        <v>2284</v>
      </c>
    </row>
    <row r="159" spans="1:16" x14ac:dyDescent="0.25">
      <c r="A159" s="51" t="s">
        <v>1103</v>
      </c>
      <c r="B159" s="7" t="s">
        <v>2199</v>
      </c>
      <c r="C159" t="s">
        <v>28</v>
      </c>
      <c r="D159" s="7" t="s">
        <v>1104</v>
      </c>
      <c r="E159" t="s">
        <v>807</v>
      </c>
      <c r="F159" s="7">
        <v>1</v>
      </c>
      <c r="G159" t="s">
        <v>1106</v>
      </c>
      <c r="H159" s="59">
        <v>46296</v>
      </c>
      <c r="I159" t="s">
        <v>1107</v>
      </c>
      <c r="J159" s="7">
        <v>1</v>
      </c>
      <c r="K159" s="1">
        <v>46296</v>
      </c>
      <c r="L159" s="56">
        <v>5696005</v>
      </c>
      <c r="M159" t="s">
        <v>2233</v>
      </c>
      <c r="N159" t="s">
        <v>2256</v>
      </c>
      <c r="O159" t="s">
        <v>2266</v>
      </c>
      <c r="P159" t="s">
        <v>2284</v>
      </c>
    </row>
    <row r="160" spans="1:16" x14ac:dyDescent="0.25">
      <c r="A160" s="50" t="s">
        <v>461</v>
      </c>
      <c r="B160" s="10" t="s">
        <v>2196</v>
      </c>
      <c r="C160" s="11" t="s">
        <v>28</v>
      </c>
      <c r="D160" s="10" t="s">
        <v>462</v>
      </c>
      <c r="E160" s="11" t="s">
        <v>464</v>
      </c>
      <c r="F160" s="10">
        <v>1</v>
      </c>
      <c r="G160" s="11" t="s">
        <v>465</v>
      </c>
      <c r="H160" s="58">
        <v>45992</v>
      </c>
      <c r="I160" s="11" t="s">
        <v>466</v>
      </c>
      <c r="J160" s="10">
        <v>12</v>
      </c>
      <c r="K160" s="11" t="s">
        <v>413</v>
      </c>
      <c r="L160" s="55">
        <v>246357600</v>
      </c>
      <c r="M160" t="s">
        <v>2220</v>
      </c>
      <c r="N160" t="s">
        <v>2234</v>
      </c>
      <c r="O160" t="s">
        <v>2258</v>
      </c>
      <c r="P160" t="s">
        <v>2284</v>
      </c>
    </row>
    <row r="161" spans="1:16" x14ac:dyDescent="0.25">
      <c r="A161" s="51" t="s">
        <v>1110</v>
      </c>
      <c r="B161" s="7" t="s">
        <v>2199</v>
      </c>
      <c r="C161" t="s">
        <v>28</v>
      </c>
      <c r="D161" s="7" t="s">
        <v>1111</v>
      </c>
      <c r="E161" t="s">
        <v>359</v>
      </c>
      <c r="F161" s="7">
        <v>2</v>
      </c>
      <c r="G161" t="s">
        <v>457</v>
      </c>
      <c r="H161" s="59">
        <v>46204</v>
      </c>
      <c r="I161" t="s">
        <v>458</v>
      </c>
      <c r="J161" s="7">
        <v>1</v>
      </c>
      <c r="K161" s="1">
        <v>46204</v>
      </c>
      <c r="L161" s="56">
        <v>150006</v>
      </c>
      <c r="M161" t="s">
        <v>2228</v>
      </c>
      <c r="N161" t="s">
        <v>2227</v>
      </c>
      <c r="O161" t="s">
        <v>2261</v>
      </c>
      <c r="P161" t="s">
        <v>2284</v>
      </c>
    </row>
    <row r="162" spans="1:16" x14ac:dyDescent="0.25">
      <c r="A162" s="50" t="s">
        <v>1110</v>
      </c>
      <c r="B162" s="10" t="s">
        <v>2199</v>
      </c>
      <c r="C162" s="11" t="s">
        <v>28</v>
      </c>
      <c r="D162" s="10" t="s">
        <v>1111</v>
      </c>
      <c r="E162" s="11" t="s">
        <v>962</v>
      </c>
      <c r="F162" s="10">
        <v>2</v>
      </c>
      <c r="G162" s="11" t="s">
        <v>457</v>
      </c>
      <c r="H162" s="58">
        <v>46204</v>
      </c>
      <c r="I162" s="11" t="s">
        <v>458</v>
      </c>
      <c r="J162" s="10">
        <v>1</v>
      </c>
      <c r="K162" s="57">
        <v>46204</v>
      </c>
      <c r="L162" s="55">
        <v>75040</v>
      </c>
      <c r="M162" t="s">
        <v>2228</v>
      </c>
      <c r="N162" t="s">
        <v>2227</v>
      </c>
      <c r="O162" t="s">
        <v>2261</v>
      </c>
      <c r="P162" t="s">
        <v>2284</v>
      </c>
    </row>
    <row r="163" spans="1:16" x14ac:dyDescent="0.25">
      <c r="A163" s="51" t="s">
        <v>476</v>
      </c>
      <c r="B163" s="7" t="s">
        <v>2196</v>
      </c>
      <c r="C163" t="s">
        <v>28</v>
      </c>
      <c r="D163" s="7" t="s">
        <v>477</v>
      </c>
      <c r="E163" t="s">
        <v>481</v>
      </c>
      <c r="F163" s="7">
        <v>2</v>
      </c>
      <c r="G163" t="s">
        <v>227</v>
      </c>
      <c r="H163" s="59">
        <v>45870</v>
      </c>
      <c r="I163" t="s">
        <v>480</v>
      </c>
      <c r="J163" s="7">
        <v>12</v>
      </c>
      <c r="K163" t="s">
        <v>413</v>
      </c>
      <c r="L163" s="56">
        <v>23924290</v>
      </c>
      <c r="M163" t="s">
        <v>2220</v>
      </c>
      <c r="N163" t="s">
        <v>2234</v>
      </c>
      <c r="O163" t="s">
        <v>2258</v>
      </c>
      <c r="P163" t="s">
        <v>2284</v>
      </c>
    </row>
    <row r="164" spans="1:16" x14ac:dyDescent="0.25">
      <c r="A164" s="50" t="s">
        <v>476</v>
      </c>
      <c r="B164" s="10" t="s">
        <v>2196</v>
      </c>
      <c r="C164" s="11" t="s">
        <v>28</v>
      </c>
      <c r="D164" s="10" t="s">
        <v>477</v>
      </c>
      <c r="E164" s="11" t="s">
        <v>479</v>
      </c>
      <c r="F164" s="10">
        <v>2</v>
      </c>
      <c r="G164" s="11" t="s">
        <v>227</v>
      </c>
      <c r="H164" s="58">
        <v>46023</v>
      </c>
      <c r="I164" s="11" t="s">
        <v>480</v>
      </c>
      <c r="J164" s="10">
        <v>12</v>
      </c>
      <c r="K164" s="11" t="s">
        <v>413</v>
      </c>
      <c r="L164" s="55">
        <v>90702500</v>
      </c>
      <c r="M164" t="s">
        <v>2220</v>
      </c>
      <c r="N164" t="s">
        <v>2234</v>
      </c>
      <c r="O164" t="s">
        <v>2258</v>
      </c>
      <c r="P164" t="s">
        <v>2284</v>
      </c>
    </row>
    <row r="165" spans="1:16" x14ac:dyDescent="0.25">
      <c r="A165" s="51" t="s">
        <v>1113</v>
      </c>
      <c r="B165" s="7" t="s">
        <v>2199</v>
      </c>
      <c r="C165" t="s">
        <v>28</v>
      </c>
      <c r="D165" s="7" t="s">
        <v>1115</v>
      </c>
      <c r="E165" t="s">
        <v>1117</v>
      </c>
      <c r="F165" s="7">
        <v>1</v>
      </c>
      <c r="G165" t="s">
        <v>309</v>
      </c>
      <c r="H165" s="59">
        <v>46113</v>
      </c>
      <c r="I165" t="s">
        <v>893</v>
      </c>
      <c r="J165" s="7">
        <v>32</v>
      </c>
      <c r="K165" t="s">
        <v>1118</v>
      </c>
      <c r="L165" s="56">
        <v>371161848</v>
      </c>
      <c r="M165" t="s">
        <v>2221</v>
      </c>
      <c r="N165" t="s">
        <v>2234</v>
      </c>
      <c r="O165" t="s">
        <v>2259</v>
      </c>
      <c r="P165" t="s">
        <v>2284</v>
      </c>
    </row>
    <row r="166" spans="1:16" x14ac:dyDescent="0.25">
      <c r="A166" s="50" t="s">
        <v>482</v>
      </c>
      <c r="B166" s="10" t="s">
        <v>2196</v>
      </c>
      <c r="C166" s="11" t="s">
        <v>28</v>
      </c>
      <c r="D166" s="10" t="s">
        <v>484</v>
      </c>
      <c r="E166" s="11" t="s">
        <v>486</v>
      </c>
      <c r="F166" s="10">
        <v>1</v>
      </c>
      <c r="G166" s="11" t="s">
        <v>487</v>
      </c>
      <c r="H166" s="58">
        <v>45870</v>
      </c>
      <c r="I166" s="11" t="s">
        <v>488</v>
      </c>
      <c r="J166" s="10">
        <v>12</v>
      </c>
      <c r="K166" s="11" t="s">
        <v>308</v>
      </c>
      <c r="L166" s="55">
        <v>16817500</v>
      </c>
      <c r="M166" t="s">
        <v>2244</v>
      </c>
      <c r="N166" t="s">
        <v>2256</v>
      </c>
      <c r="O166" t="s">
        <v>2268</v>
      </c>
      <c r="P166" t="s">
        <v>2284</v>
      </c>
    </row>
    <row r="167" spans="1:16" x14ac:dyDescent="0.25">
      <c r="A167" s="51" t="s">
        <v>1119</v>
      </c>
      <c r="B167" s="7" t="s">
        <v>2199</v>
      </c>
      <c r="C167" t="s">
        <v>28</v>
      </c>
      <c r="D167" s="7" t="s">
        <v>1120</v>
      </c>
      <c r="E167" t="s">
        <v>1121</v>
      </c>
      <c r="F167" s="7">
        <v>1</v>
      </c>
      <c r="G167" t="s">
        <v>1122</v>
      </c>
      <c r="H167" s="59">
        <v>46082</v>
      </c>
      <c r="I167" t="s">
        <v>1123</v>
      </c>
      <c r="J167" s="7">
        <v>1</v>
      </c>
      <c r="K167" s="1">
        <v>46082</v>
      </c>
      <c r="L167" s="56">
        <v>600000</v>
      </c>
      <c r="M167" t="s">
        <v>2244</v>
      </c>
      <c r="N167" t="s">
        <v>2256</v>
      </c>
      <c r="O167" t="s">
        <v>2268</v>
      </c>
      <c r="P167" t="s">
        <v>2284</v>
      </c>
    </row>
    <row r="168" spans="1:16" x14ac:dyDescent="0.25">
      <c r="A168" s="50" t="s">
        <v>493</v>
      </c>
      <c r="B168" s="10" t="s">
        <v>2196</v>
      </c>
      <c r="C168" s="11" t="s">
        <v>28</v>
      </c>
      <c r="D168" s="10" t="s">
        <v>494</v>
      </c>
      <c r="E168" s="11" t="s">
        <v>496</v>
      </c>
      <c r="F168" s="10">
        <v>1</v>
      </c>
      <c r="G168" s="11" t="s">
        <v>497</v>
      </c>
      <c r="H168" s="58">
        <v>45870</v>
      </c>
      <c r="I168" s="11" t="s">
        <v>302</v>
      </c>
      <c r="J168" s="10">
        <v>24</v>
      </c>
      <c r="K168" s="11" t="s">
        <v>278</v>
      </c>
      <c r="L168" s="55">
        <v>72999996</v>
      </c>
      <c r="M168" t="s">
        <v>2230</v>
      </c>
      <c r="N168" t="s">
        <v>2227</v>
      </c>
      <c r="O168" t="s">
        <v>2261</v>
      </c>
      <c r="P168" t="s">
        <v>2284</v>
      </c>
    </row>
    <row r="169" spans="1:16" x14ac:dyDescent="0.25">
      <c r="A169" s="51" t="s">
        <v>1126</v>
      </c>
      <c r="B169" s="7" t="s">
        <v>2199</v>
      </c>
      <c r="C169" t="s">
        <v>28</v>
      </c>
      <c r="D169" s="7" t="s">
        <v>1127</v>
      </c>
      <c r="E169" t="s">
        <v>1129</v>
      </c>
      <c r="F169" s="7">
        <v>1</v>
      </c>
      <c r="G169" t="s">
        <v>1122</v>
      </c>
      <c r="H169" s="59">
        <v>46082</v>
      </c>
      <c r="I169" t="s">
        <v>1123</v>
      </c>
      <c r="J169" s="7">
        <v>1</v>
      </c>
      <c r="K169" s="1">
        <v>46082</v>
      </c>
      <c r="L169" s="56">
        <v>1700000</v>
      </c>
      <c r="M169" t="s">
        <v>2244</v>
      </c>
      <c r="N169" t="s">
        <v>2256</v>
      </c>
      <c r="O169" t="s">
        <v>2268</v>
      </c>
      <c r="P169" t="s">
        <v>2284</v>
      </c>
    </row>
    <row r="170" spans="1:16" x14ac:dyDescent="0.25">
      <c r="A170" s="50" t="s">
        <v>499</v>
      </c>
      <c r="B170" s="10" t="s">
        <v>2196</v>
      </c>
      <c r="C170" s="11" t="s">
        <v>28</v>
      </c>
      <c r="D170" s="10" t="s">
        <v>501</v>
      </c>
      <c r="E170" s="11" t="s">
        <v>503</v>
      </c>
      <c r="F170" s="10">
        <v>1</v>
      </c>
      <c r="G170" s="11" t="s">
        <v>505</v>
      </c>
      <c r="H170" s="58">
        <v>45870</v>
      </c>
      <c r="I170" s="11" t="s">
        <v>506</v>
      </c>
      <c r="J170" s="10">
        <v>16</v>
      </c>
      <c r="K170" s="11" t="s">
        <v>504</v>
      </c>
      <c r="L170" s="55">
        <v>56250000</v>
      </c>
      <c r="M170" t="s">
        <v>2276</v>
      </c>
      <c r="N170" t="s">
        <v>2234</v>
      </c>
      <c r="O170" t="s">
        <v>2277</v>
      </c>
      <c r="P170" t="s">
        <v>2284</v>
      </c>
    </row>
    <row r="171" spans="1:16" x14ac:dyDescent="0.25">
      <c r="A171" s="51" t="s">
        <v>1130</v>
      </c>
      <c r="B171" s="7" t="s">
        <v>2199</v>
      </c>
      <c r="C171" t="s">
        <v>28</v>
      </c>
      <c r="D171" s="7" t="s">
        <v>1131</v>
      </c>
      <c r="E171" t="s">
        <v>1133</v>
      </c>
      <c r="F171" s="7">
        <v>1</v>
      </c>
      <c r="G171" t="s">
        <v>1122</v>
      </c>
      <c r="H171" s="59">
        <v>46082</v>
      </c>
      <c r="I171" t="s">
        <v>1123</v>
      </c>
      <c r="J171" s="7">
        <v>1</v>
      </c>
      <c r="K171" s="1">
        <v>46082</v>
      </c>
      <c r="L171" s="56">
        <v>1670016</v>
      </c>
      <c r="M171" t="s">
        <v>2244</v>
      </c>
      <c r="N171" t="s">
        <v>2256</v>
      </c>
      <c r="O171" t="s">
        <v>2268</v>
      </c>
      <c r="P171" t="s">
        <v>2284</v>
      </c>
    </row>
    <row r="172" spans="1:16" x14ac:dyDescent="0.25">
      <c r="A172" s="50" t="s">
        <v>509</v>
      </c>
      <c r="B172" s="10" t="s">
        <v>2196</v>
      </c>
      <c r="C172" s="11" t="s">
        <v>28</v>
      </c>
      <c r="D172" s="10" t="s">
        <v>510</v>
      </c>
      <c r="E172" s="11" t="s">
        <v>512</v>
      </c>
      <c r="F172" s="10">
        <v>1</v>
      </c>
      <c r="G172" s="11" t="s">
        <v>513</v>
      </c>
      <c r="H172" s="58">
        <v>45870</v>
      </c>
      <c r="I172" s="11" t="s">
        <v>514</v>
      </c>
      <c r="J172" s="10">
        <v>12</v>
      </c>
      <c r="K172" s="11" t="s">
        <v>413</v>
      </c>
      <c r="L172" s="55">
        <v>83594337</v>
      </c>
      <c r="M172" t="s">
        <v>2233</v>
      </c>
      <c r="N172" t="s">
        <v>2256</v>
      </c>
      <c r="O172" t="s">
        <v>2266</v>
      </c>
      <c r="P172" t="s">
        <v>2284</v>
      </c>
    </row>
    <row r="173" spans="1:16" x14ac:dyDescent="0.25">
      <c r="A173" s="51" t="s">
        <v>1134</v>
      </c>
      <c r="B173" s="7" t="s">
        <v>2199</v>
      </c>
      <c r="C173" t="s">
        <v>28</v>
      </c>
      <c r="D173" s="7" t="s">
        <v>1135</v>
      </c>
      <c r="E173" t="s">
        <v>1137</v>
      </c>
      <c r="F173" s="7">
        <v>1</v>
      </c>
      <c r="G173" t="s">
        <v>1122</v>
      </c>
      <c r="H173" s="59">
        <v>46082</v>
      </c>
      <c r="I173" t="s">
        <v>1123</v>
      </c>
      <c r="J173" s="7">
        <v>1</v>
      </c>
      <c r="K173" s="1">
        <v>46082</v>
      </c>
      <c r="L173" s="56">
        <v>900000</v>
      </c>
      <c r="M173" t="s">
        <v>2244</v>
      </c>
      <c r="N173" t="s">
        <v>2256</v>
      </c>
      <c r="O173" t="s">
        <v>2268</v>
      </c>
      <c r="P173" t="s">
        <v>2284</v>
      </c>
    </row>
    <row r="174" spans="1:16" x14ac:dyDescent="0.25">
      <c r="A174" s="50" t="s">
        <v>517</v>
      </c>
      <c r="B174" s="10" t="s">
        <v>2196</v>
      </c>
      <c r="C174" s="11" t="s">
        <v>28</v>
      </c>
      <c r="D174" s="10" t="s">
        <v>518</v>
      </c>
      <c r="E174" s="11" t="s">
        <v>520</v>
      </c>
      <c r="F174" s="10">
        <v>1</v>
      </c>
      <c r="G174" s="11" t="s">
        <v>522</v>
      </c>
      <c r="H174" s="58">
        <v>45870</v>
      </c>
      <c r="I174" s="11" t="s">
        <v>523</v>
      </c>
      <c r="J174" s="10">
        <v>15</v>
      </c>
      <c r="K174" s="11" t="s">
        <v>521</v>
      </c>
      <c r="L174" s="55">
        <v>10192001</v>
      </c>
      <c r="M174" t="s">
        <v>2221</v>
      </c>
      <c r="N174" t="s">
        <v>2234</v>
      </c>
      <c r="O174" t="s">
        <v>2259</v>
      </c>
      <c r="P174" t="s">
        <v>2284</v>
      </c>
    </row>
    <row r="175" spans="1:16" x14ac:dyDescent="0.25">
      <c r="A175" s="51" t="s">
        <v>1138</v>
      </c>
      <c r="B175" s="7" t="s">
        <v>2199</v>
      </c>
      <c r="C175" t="s">
        <v>28</v>
      </c>
      <c r="D175" s="7" t="s">
        <v>1140</v>
      </c>
      <c r="E175" t="s">
        <v>1142</v>
      </c>
      <c r="F175" s="7">
        <v>1</v>
      </c>
      <c r="G175" t="s">
        <v>1122</v>
      </c>
      <c r="H175" s="59">
        <v>46082</v>
      </c>
      <c r="I175" t="s">
        <v>1123</v>
      </c>
      <c r="J175" s="7">
        <v>1</v>
      </c>
      <c r="K175" s="1">
        <v>46082</v>
      </c>
      <c r="L175" s="56">
        <v>3500010</v>
      </c>
      <c r="M175" t="s">
        <v>2244</v>
      </c>
      <c r="N175" t="s">
        <v>2256</v>
      </c>
      <c r="O175" t="s">
        <v>2268</v>
      </c>
      <c r="P175" t="s">
        <v>2284</v>
      </c>
    </row>
    <row r="176" spans="1:16" x14ac:dyDescent="0.25">
      <c r="A176" s="50" t="s">
        <v>527</v>
      </c>
      <c r="B176" s="10" t="s">
        <v>2196</v>
      </c>
      <c r="C176" s="11" t="s">
        <v>28</v>
      </c>
      <c r="D176" s="10" t="s">
        <v>528</v>
      </c>
      <c r="E176" s="11" t="s">
        <v>530</v>
      </c>
      <c r="F176" s="10">
        <v>1</v>
      </c>
      <c r="G176" s="11" t="s">
        <v>531</v>
      </c>
      <c r="H176" s="58">
        <v>45870</v>
      </c>
      <c r="I176" s="11" t="s">
        <v>532</v>
      </c>
      <c r="J176" s="10">
        <v>12</v>
      </c>
      <c r="K176" s="11" t="s">
        <v>413</v>
      </c>
      <c r="L176" s="55">
        <v>40000000</v>
      </c>
      <c r="M176" t="s">
        <v>2249</v>
      </c>
      <c r="N176" t="s">
        <v>2256</v>
      </c>
      <c r="O176" t="s">
        <v>2268</v>
      </c>
      <c r="P176" t="s">
        <v>2284</v>
      </c>
    </row>
    <row r="177" spans="1:16" x14ac:dyDescent="0.25">
      <c r="A177" s="51" t="s">
        <v>1156</v>
      </c>
      <c r="B177" s="7" t="s">
        <v>2199</v>
      </c>
      <c r="C177" t="s">
        <v>28</v>
      </c>
      <c r="D177" s="7" t="s">
        <v>1158</v>
      </c>
      <c r="E177" t="s">
        <v>1167</v>
      </c>
      <c r="F177" s="7">
        <v>5</v>
      </c>
      <c r="G177" t="s">
        <v>1162</v>
      </c>
      <c r="H177" s="59">
        <v>46174</v>
      </c>
      <c r="I177" t="s">
        <v>258</v>
      </c>
      <c r="J177" s="7">
        <v>1</v>
      </c>
      <c r="K177" s="1">
        <v>46174</v>
      </c>
      <c r="L177" s="56">
        <v>6000000</v>
      </c>
      <c r="M177" t="s">
        <v>2243</v>
      </c>
      <c r="N177" t="s">
        <v>2256</v>
      </c>
      <c r="O177" t="s">
        <v>2272</v>
      </c>
      <c r="P177" t="s">
        <v>2284</v>
      </c>
    </row>
    <row r="178" spans="1:16" x14ac:dyDescent="0.25">
      <c r="A178" s="50" t="s">
        <v>1156</v>
      </c>
      <c r="B178" s="10" t="s">
        <v>2199</v>
      </c>
      <c r="C178" s="11" t="s">
        <v>28</v>
      </c>
      <c r="D178" s="10" t="s">
        <v>1158</v>
      </c>
      <c r="E178" s="11" t="s">
        <v>1164</v>
      </c>
      <c r="F178" s="10">
        <v>5</v>
      </c>
      <c r="G178" s="11" t="s">
        <v>1162</v>
      </c>
      <c r="H178" s="58">
        <v>46174</v>
      </c>
      <c r="I178" s="11" t="s">
        <v>258</v>
      </c>
      <c r="J178" s="10">
        <v>1</v>
      </c>
      <c r="K178" s="57">
        <v>46174</v>
      </c>
      <c r="L178" s="55">
        <v>3700002</v>
      </c>
      <c r="M178" t="s">
        <v>2243</v>
      </c>
      <c r="N178" t="s">
        <v>2256</v>
      </c>
      <c r="O178" t="s">
        <v>2272</v>
      </c>
      <c r="P178" t="s">
        <v>2284</v>
      </c>
    </row>
    <row r="179" spans="1:16" x14ac:dyDescent="0.25">
      <c r="A179" s="51" t="s">
        <v>1156</v>
      </c>
      <c r="B179" s="7" t="s">
        <v>2199</v>
      </c>
      <c r="C179" t="s">
        <v>28</v>
      </c>
      <c r="D179" s="7" t="s">
        <v>1158</v>
      </c>
      <c r="E179" t="s">
        <v>1165</v>
      </c>
      <c r="F179" s="7">
        <v>5</v>
      </c>
      <c r="G179" t="s">
        <v>1162</v>
      </c>
      <c r="H179" s="59">
        <v>46174</v>
      </c>
      <c r="I179" t="s">
        <v>258</v>
      </c>
      <c r="J179" s="7">
        <v>1</v>
      </c>
      <c r="K179" s="1">
        <v>46174</v>
      </c>
      <c r="L179" s="56">
        <v>3000000</v>
      </c>
      <c r="M179" t="s">
        <v>2243</v>
      </c>
      <c r="N179" t="s">
        <v>2256</v>
      </c>
      <c r="O179" t="s">
        <v>2272</v>
      </c>
      <c r="P179" t="s">
        <v>2284</v>
      </c>
    </row>
    <row r="180" spans="1:16" x14ac:dyDescent="0.25">
      <c r="A180" s="50" t="s">
        <v>1156</v>
      </c>
      <c r="B180" s="10" t="s">
        <v>2199</v>
      </c>
      <c r="C180" s="11" t="s">
        <v>28</v>
      </c>
      <c r="D180" s="10" t="s">
        <v>1158</v>
      </c>
      <c r="E180" s="11" t="s">
        <v>1166</v>
      </c>
      <c r="F180" s="10">
        <v>5</v>
      </c>
      <c r="G180" s="11" t="s">
        <v>1162</v>
      </c>
      <c r="H180" s="58">
        <v>46174</v>
      </c>
      <c r="I180" s="11" t="s">
        <v>258</v>
      </c>
      <c r="J180" s="10">
        <v>1</v>
      </c>
      <c r="K180" s="57">
        <v>46174</v>
      </c>
      <c r="L180" s="55">
        <v>600000</v>
      </c>
      <c r="M180" t="s">
        <v>2243</v>
      </c>
      <c r="N180" t="s">
        <v>2256</v>
      </c>
      <c r="O180" t="s">
        <v>2272</v>
      </c>
      <c r="P180" t="s">
        <v>2284</v>
      </c>
    </row>
    <row r="181" spans="1:16" x14ac:dyDescent="0.25">
      <c r="A181" s="51" t="s">
        <v>1156</v>
      </c>
      <c r="B181" s="7" t="s">
        <v>2199</v>
      </c>
      <c r="C181" t="s">
        <v>28</v>
      </c>
      <c r="D181" s="7" t="s">
        <v>1158</v>
      </c>
      <c r="E181" t="s">
        <v>1160</v>
      </c>
      <c r="F181" s="7">
        <v>5</v>
      </c>
      <c r="G181" t="s">
        <v>1162</v>
      </c>
      <c r="H181" s="59">
        <v>46082</v>
      </c>
      <c r="I181" t="s">
        <v>258</v>
      </c>
      <c r="J181" s="7">
        <v>3</v>
      </c>
      <c r="K181" t="s">
        <v>1161</v>
      </c>
      <c r="L181" s="56">
        <v>4450000</v>
      </c>
      <c r="M181" t="s">
        <v>2243</v>
      </c>
      <c r="N181" t="s">
        <v>2256</v>
      </c>
      <c r="O181" t="s">
        <v>2272</v>
      </c>
      <c r="P181" t="s">
        <v>2284</v>
      </c>
    </row>
    <row r="182" spans="1:16" x14ac:dyDescent="0.25">
      <c r="A182" s="50" t="s">
        <v>535</v>
      </c>
      <c r="B182" s="10" t="s">
        <v>2196</v>
      </c>
      <c r="C182" s="11" t="s">
        <v>28</v>
      </c>
      <c r="D182" s="10" t="s">
        <v>537</v>
      </c>
      <c r="E182" s="11" t="s">
        <v>496</v>
      </c>
      <c r="F182" s="10">
        <v>1</v>
      </c>
      <c r="G182" s="11" t="s">
        <v>531</v>
      </c>
      <c r="H182" s="58">
        <v>45870</v>
      </c>
      <c r="I182" s="11" t="s">
        <v>532</v>
      </c>
      <c r="J182" s="10">
        <v>12</v>
      </c>
      <c r="K182" s="11" t="s">
        <v>413</v>
      </c>
      <c r="L182" s="55">
        <v>80000000</v>
      </c>
      <c r="M182" t="s">
        <v>2249</v>
      </c>
      <c r="N182" t="s">
        <v>2256</v>
      </c>
      <c r="O182" t="s">
        <v>2268</v>
      </c>
      <c r="P182" t="s">
        <v>2284</v>
      </c>
    </row>
    <row r="183" spans="1:16" x14ac:dyDescent="0.25">
      <c r="A183" s="51" t="s">
        <v>539</v>
      </c>
      <c r="B183" s="7" t="s">
        <v>2196</v>
      </c>
      <c r="C183" t="s">
        <v>28</v>
      </c>
      <c r="D183" s="7" t="s">
        <v>541</v>
      </c>
      <c r="E183" t="s">
        <v>543</v>
      </c>
      <c r="F183" s="7">
        <v>1</v>
      </c>
      <c r="G183" t="s">
        <v>55</v>
      </c>
      <c r="H183" s="59">
        <v>45870</v>
      </c>
      <c r="I183" t="s">
        <v>544</v>
      </c>
      <c r="J183" s="7">
        <v>24</v>
      </c>
      <c r="K183" t="s">
        <v>278</v>
      </c>
      <c r="L183" s="56">
        <v>39999996</v>
      </c>
      <c r="M183" t="s">
        <v>2235</v>
      </c>
      <c r="N183" t="s">
        <v>2256</v>
      </c>
      <c r="O183" t="s">
        <v>2268</v>
      </c>
      <c r="P183" t="s">
        <v>2284</v>
      </c>
    </row>
    <row r="184" spans="1:16" x14ac:dyDescent="0.25">
      <c r="A184" s="50" t="s">
        <v>1168</v>
      </c>
      <c r="B184" s="10" t="s">
        <v>2199</v>
      </c>
      <c r="C184" s="11" t="s">
        <v>28</v>
      </c>
      <c r="D184" s="10" t="s">
        <v>1169</v>
      </c>
      <c r="E184" s="11" t="s">
        <v>496</v>
      </c>
      <c r="F184" s="10">
        <v>1</v>
      </c>
      <c r="G184" s="11" t="s">
        <v>1162</v>
      </c>
      <c r="H184" s="58">
        <v>46266</v>
      </c>
      <c r="I184" s="11" t="s">
        <v>258</v>
      </c>
      <c r="J184" s="10">
        <v>12</v>
      </c>
      <c r="K184" s="11" t="s">
        <v>1029</v>
      </c>
      <c r="L184" s="55">
        <v>0</v>
      </c>
      <c r="M184" t="s">
        <v>2243</v>
      </c>
      <c r="N184" t="s">
        <v>2256</v>
      </c>
      <c r="O184" t="s">
        <v>2272</v>
      </c>
      <c r="P184" t="s">
        <v>2284</v>
      </c>
    </row>
    <row r="185" spans="1:16" x14ac:dyDescent="0.25">
      <c r="A185" s="51" t="s">
        <v>548</v>
      </c>
      <c r="B185" s="7" t="s">
        <v>2196</v>
      </c>
      <c r="C185" t="s">
        <v>28</v>
      </c>
      <c r="D185" s="7" t="s">
        <v>550</v>
      </c>
      <c r="E185" t="s">
        <v>496</v>
      </c>
      <c r="F185" s="7">
        <v>1</v>
      </c>
      <c r="G185" t="s">
        <v>55</v>
      </c>
      <c r="H185" s="59">
        <v>45870</v>
      </c>
      <c r="I185" t="s">
        <v>544</v>
      </c>
      <c r="J185" s="7">
        <v>12</v>
      </c>
      <c r="K185" t="s">
        <v>413</v>
      </c>
      <c r="L185" s="56">
        <v>96100000</v>
      </c>
      <c r="M185" t="s">
        <v>2235</v>
      </c>
      <c r="N185" t="s">
        <v>2256</v>
      </c>
      <c r="O185" t="s">
        <v>2268</v>
      </c>
      <c r="P185" t="s">
        <v>2284</v>
      </c>
    </row>
    <row r="186" spans="1:16" x14ac:dyDescent="0.25">
      <c r="A186" s="50" t="s">
        <v>1176</v>
      </c>
      <c r="B186" s="10" t="s">
        <v>2199</v>
      </c>
      <c r="C186" s="11" t="s">
        <v>28</v>
      </c>
      <c r="D186" s="10" t="s">
        <v>1177</v>
      </c>
      <c r="E186" s="11" t="s">
        <v>1179</v>
      </c>
      <c r="F186" s="10">
        <v>1</v>
      </c>
      <c r="G186" s="11" t="s">
        <v>1180</v>
      </c>
      <c r="H186" s="58">
        <v>46082</v>
      </c>
      <c r="I186" s="11" t="s">
        <v>1181</v>
      </c>
      <c r="J186" s="10">
        <v>1</v>
      </c>
      <c r="K186" s="57">
        <v>46082</v>
      </c>
      <c r="L186" s="55">
        <v>696000</v>
      </c>
      <c r="M186" t="s">
        <v>2230</v>
      </c>
      <c r="N186" t="s">
        <v>2227</v>
      </c>
      <c r="O186" t="s">
        <v>2261</v>
      </c>
      <c r="P186" t="s">
        <v>2284</v>
      </c>
    </row>
    <row r="187" spans="1:16" x14ac:dyDescent="0.25">
      <c r="A187" s="51" t="s">
        <v>552</v>
      </c>
      <c r="B187" s="7" t="s">
        <v>2196</v>
      </c>
      <c r="C187" t="s">
        <v>28</v>
      </c>
      <c r="D187" s="7" t="s">
        <v>553</v>
      </c>
      <c r="E187" t="s">
        <v>512</v>
      </c>
      <c r="F187" s="7">
        <v>1</v>
      </c>
      <c r="G187" t="s">
        <v>122</v>
      </c>
      <c r="H187" s="59">
        <v>45870</v>
      </c>
      <c r="I187" t="s">
        <v>555</v>
      </c>
      <c r="J187" s="7">
        <v>24</v>
      </c>
      <c r="K187" t="s">
        <v>278</v>
      </c>
      <c r="L187" s="56">
        <v>100200000</v>
      </c>
      <c r="M187" t="s">
        <v>2235</v>
      </c>
      <c r="N187" t="s">
        <v>2256</v>
      </c>
      <c r="O187" t="s">
        <v>2268</v>
      </c>
      <c r="P187" t="s">
        <v>2284</v>
      </c>
    </row>
    <row r="188" spans="1:16" x14ac:dyDescent="0.25">
      <c r="A188" s="50" t="s">
        <v>1183</v>
      </c>
      <c r="B188" s="10" t="s">
        <v>2199</v>
      </c>
      <c r="C188" s="11" t="s">
        <v>28</v>
      </c>
      <c r="D188" s="10" t="s">
        <v>1185</v>
      </c>
      <c r="E188" s="11" t="s">
        <v>1187</v>
      </c>
      <c r="F188" s="10">
        <v>1</v>
      </c>
      <c r="G188" s="11" t="s">
        <v>790</v>
      </c>
      <c r="H188" s="58">
        <v>46143</v>
      </c>
      <c r="I188" s="11" t="s">
        <v>791</v>
      </c>
      <c r="J188" s="10">
        <v>1</v>
      </c>
      <c r="K188" s="57">
        <v>46143</v>
      </c>
      <c r="L188" s="55">
        <v>2885085</v>
      </c>
      <c r="M188" t="s">
        <v>2232</v>
      </c>
      <c r="N188" t="s">
        <v>2234</v>
      </c>
      <c r="O188" t="s">
        <v>2265</v>
      </c>
      <c r="P188" t="s">
        <v>2284</v>
      </c>
    </row>
    <row r="189" spans="1:16" x14ac:dyDescent="0.25">
      <c r="A189" s="51" t="s">
        <v>557</v>
      </c>
      <c r="B189" s="7" t="s">
        <v>2196</v>
      </c>
      <c r="C189" t="s">
        <v>28</v>
      </c>
      <c r="D189" s="7" t="s">
        <v>558</v>
      </c>
      <c r="E189" t="s">
        <v>496</v>
      </c>
      <c r="F189" s="7">
        <v>1</v>
      </c>
      <c r="G189" t="s">
        <v>122</v>
      </c>
      <c r="H189" s="59">
        <v>45870</v>
      </c>
      <c r="I189" t="s">
        <v>555</v>
      </c>
      <c r="J189" s="7">
        <v>12</v>
      </c>
      <c r="K189" t="s">
        <v>413</v>
      </c>
      <c r="L189" s="56">
        <v>30000000</v>
      </c>
      <c r="M189" t="s">
        <v>2235</v>
      </c>
      <c r="N189" t="s">
        <v>2256</v>
      </c>
      <c r="O189" t="s">
        <v>2268</v>
      </c>
      <c r="P189" t="s">
        <v>2284</v>
      </c>
    </row>
    <row r="190" spans="1:16" x14ac:dyDescent="0.25">
      <c r="A190" s="50" t="s">
        <v>1188</v>
      </c>
      <c r="B190" s="10" t="s">
        <v>2199</v>
      </c>
      <c r="C190" s="11" t="s">
        <v>28</v>
      </c>
      <c r="D190" s="10" t="s">
        <v>1189</v>
      </c>
      <c r="E190" s="11" t="s">
        <v>1191</v>
      </c>
      <c r="F190" s="10">
        <v>5</v>
      </c>
      <c r="G190" s="11" t="s">
        <v>790</v>
      </c>
      <c r="H190" s="58">
        <v>46296</v>
      </c>
      <c r="I190" s="11" t="s">
        <v>791</v>
      </c>
      <c r="J190" s="10">
        <v>1</v>
      </c>
      <c r="K190" s="57">
        <v>46296</v>
      </c>
      <c r="L190" s="55">
        <v>1000000</v>
      </c>
      <c r="M190" t="s">
        <v>2232</v>
      </c>
      <c r="N190" t="s">
        <v>2234</v>
      </c>
      <c r="O190" t="s">
        <v>2265</v>
      </c>
      <c r="P190" t="s">
        <v>2284</v>
      </c>
    </row>
    <row r="191" spans="1:16" x14ac:dyDescent="0.25">
      <c r="A191" s="51" t="s">
        <v>1188</v>
      </c>
      <c r="B191" s="7" t="s">
        <v>2199</v>
      </c>
      <c r="C191" t="s">
        <v>28</v>
      </c>
      <c r="D191" s="7" t="s">
        <v>1189</v>
      </c>
      <c r="E191" t="s">
        <v>486</v>
      </c>
      <c r="F191" s="7">
        <v>5</v>
      </c>
      <c r="G191" t="s">
        <v>790</v>
      </c>
      <c r="H191" s="59">
        <v>46296</v>
      </c>
      <c r="I191" t="s">
        <v>791</v>
      </c>
      <c r="J191" s="7">
        <v>1</v>
      </c>
      <c r="K191" s="1">
        <v>46296</v>
      </c>
      <c r="L191" s="56">
        <v>300000</v>
      </c>
      <c r="M191" t="s">
        <v>2232</v>
      </c>
      <c r="N191" t="s">
        <v>2234</v>
      </c>
      <c r="O191" t="s">
        <v>2265</v>
      </c>
      <c r="P191" t="s">
        <v>2284</v>
      </c>
    </row>
    <row r="192" spans="1:16" x14ac:dyDescent="0.25">
      <c r="A192" s="50" t="s">
        <v>1188</v>
      </c>
      <c r="B192" s="10" t="s">
        <v>2199</v>
      </c>
      <c r="C192" s="11" t="s">
        <v>28</v>
      </c>
      <c r="D192" s="10" t="s">
        <v>1189</v>
      </c>
      <c r="E192" s="11" t="s">
        <v>855</v>
      </c>
      <c r="F192" s="10">
        <v>5</v>
      </c>
      <c r="G192" s="11" t="s">
        <v>790</v>
      </c>
      <c r="H192" s="58">
        <v>46296</v>
      </c>
      <c r="I192" s="11" t="s">
        <v>791</v>
      </c>
      <c r="J192" s="10">
        <v>1</v>
      </c>
      <c r="K192" s="57">
        <v>46296</v>
      </c>
      <c r="L192" s="55">
        <v>47268</v>
      </c>
      <c r="M192" t="s">
        <v>2232</v>
      </c>
      <c r="N192" t="s">
        <v>2234</v>
      </c>
      <c r="O192" t="s">
        <v>2265</v>
      </c>
      <c r="P192" t="s">
        <v>2284</v>
      </c>
    </row>
    <row r="193" spans="1:16" x14ac:dyDescent="0.25">
      <c r="A193" s="51" t="s">
        <v>1188</v>
      </c>
      <c r="B193" s="7" t="s">
        <v>2199</v>
      </c>
      <c r="C193" t="s">
        <v>28</v>
      </c>
      <c r="D193" s="7" t="s">
        <v>1189</v>
      </c>
      <c r="E193" t="s">
        <v>602</v>
      </c>
      <c r="F193" s="7">
        <v>5</v>
      </c>
      <c r="G193" t="s">
        <v>790</v>
      </c>
      <c r="H193" s="59">
        <v>46296</v>
      </c>
      <c r="I193" t="s">
        <v>791</v>
      </c>
      <c r="J193" s="7">
        <v>1</v>
      </c>
      <c r="K193" s="1">
        <v>46296</v>
      </c>
      <c r="L193" s="56">
        <v>1500000</v>
      </c>
      <c r="M193" t="s">
        <v>2232</v>
      </c>
      <c r="N193" t="s">
        <v>2234</v>
      </c>
      <c r="O193" t="s">
        <v>2265</v>
      </c>
      <c r="P193" t="s">
        <v>2284</v>
      </c>
    </row>
    <row r="194" spans="1:16" x14ac:dyDescent="0.25">
      <c r="A194" s="50" t="s">
        <v>1188</v>
      </c>
      <c r="B194" s="10" t="s">
        <v>2199</v>
      </c>
      <c r="C194" s="11" t="s">
        <v>28</v>
      </c>
      <c r="D194" s="10" t="s">
        <v>1189</v>
      </c>
      <c r="E194" s="11" t="s">
        <v>1192</v>
      </c>
      <c r="F194" s="10">
        <v>5</v>
      </c>
      <c r="G194" s="11" t="s">
        <v>790</v>
      </c>
      <c r="H194" s="58">
        <v>46296</v>
      </c>
      <c r="I194" s="11" t="s">
        <v>791</v>
      </c>
      <c r="J194" s="10">
        <v>1</v>
      </c>
      <c r="K194" s="57">
        <v>46296</v>
      </c>
      <c r="L194" s="55">
        <v>150000</v>
      </c>
      <c r="M194" t="s">
        <v>2232</v>
      </c>
      <c r="N194" t="s">
        <v>2234</v>
      </c>
      <c r="O194" t="s">
        <v>2265</v>
      </c>
      <c r="P194" t="s">
        <v>2284</v>
      </c>
    </row>
    <row r="195" spans="1:16" x14ac:dyDescent="0.25">
      <c r="A195" s="51" t="s">
        <v>1207</v>
      </c>
      <c r="B195" s="7" t="s">
        <v>2199</v>
      </c>
      <c r="C195" t="s">
        <v>28</v>
      </c>
      <c r="D195" s="7" t="s">
        <v>1208</v>
      </c>
      <c r="E195" t="s">
        <v>1210</v>
      </c>
      <c r="F195" s="7">
        <v>1</v>
      </c>
      <c r="G195" t="s">
        <v>1211</v>
      </c>
      <c r="H195" s="59">
        <v>46082</v>
      </c>
      <c r="I195" t="s">
        <v>320</v>
      </c>
      <c r="J195" s="7">
        <v>1</v>
      </c>
      <c r="K195" s="1">
        <v>46113</v>
      </c>
      <c r="L195" s="56">
        <v>198030</v>
      </c>
      <c r="M195" t="s">
        <v>2225</v>
      </c>
      <c r="N195" t="s">
        <v>2234</v>
      </c>
      <c r="O195" t="s">
        <v>2258</v>
      </c>
      <c r="P195" t="s">
        <v>2284</v>
      </c>
    </row>
    <row r="196" spans="1:16" x14ac:dyDescent="0.25">
      <c r="A196" s="50" t="s">
        <v>1213</v>
      </c>
      <c r="B196" s="10" t="s">
        <v>2199</v>
      </c>
      <c r="C196" s="11" t="s">
        <v>28</v>
      </c>
      <c r="D196" s="10" t="s">
        <v>1214</v>
      </c>
      <c r="E196" s="11" t="s">
        <v>1216</v>
      </c>
      <c r="F196" s="10">
        <v>1</v>
      </c>
      <c r="G196" s="11" t="s">
        <v>395</v>
      </c>
      <c r="H196" s="58">
        <v>46023</v>
      </c>
      <c r="I196" s="11" t="s">
        <v>1217</v>
      </c>
      <c r="J196" s="10">
        <v>1</v>
      </c>
      <c r="K196" s="57">
        <v>46023</v>
      </c>
      <c r="L196" s="55">
        <v>126581</v>
      </c>
      <c r="M196" t="s">
        <v>2223</v>
      </c>
      <c r="N196" t="s">
        <v>2234</v>
      </c>
      <c r="O196" t="s">
        <v>2258</v>
      </c>
      <c r="P196" t="s">
        <v>2284</v>
      </c>
    </row>
    <row r="197" spans="1:16" x14ac:dyDescent="0.25">
      <c r="A197" s="51" t="s">
        <v>1219</v>
      </c>
      <c r="B197" s="7" t="s">
        <v>2199</v>
      </c>
      <c r="C197" t="s">
        <v>28</v>
      </c>
      <c r="D197" s="7" t="s">
        <v>1220</v>
      </c>
      <c r="E197" t="s">
        <v>1223</v>
      </c>
      <c r="F197" s="7">
        <v>2</v>
      </c>
      <c r="G197" t="s">
        <v>395</v>
      </c>
      <c r="H197" s="59">
        <v>46023</v>
      </c>
      <c r="I197" t="s">
        <v>1217</v>
      </c>
      <c r="J197" s="7">
        <v>1</v>
      </c>
      <c r="K197" s="1">
        <v>46023</v>
      </c>
      <c r="L197" s="56">
        <v>45000</v>
      </c>
      <c r="M197" t="s">
        <v>2223</v>
      </c>
      <c r="N197" t="s">
        <v>2234</v>
      </c>
      <c r="O197" t="s">
        <v>2258</v>
      </c>
      <c r="P197" t="s">
        <v>2284</v>
      </c>
    </row>
    <row r="198" spans="1:16" x14ac:dyDescent="0.25">
      <c r="A198" s="50" t="s">
        <v>1219</v>
      </c>
      <c r="B198" s="10" t="s">
        <v>2199</v>
      </c>
      <c r="C198" s="11" t="s">
        <v>28</v>
      </c>
      <c r="D198" s="10" t="s">
        <v>1220</v>
      </c>
      <c r="E198" s="11" t="s">
        <v>1222</v>
      </c>
      <c r="F198" s="10">
        <v>2</v>
      </c>
      <c r="G198" s="11" t="s">
        <v>395</v>
      </c>
      <c r="H198" s="58">
        <v>46023</v>
      </c>
      <c r="I198" s="11" t="s">
        <v>1217</v>
      </c>
      <c r="J198" s="10">
        <v>1</v>
      </c>
      <c r="K198" s="57">
        <v>46023</v>
      </c>
      <c r="L198" s="55">
        <v>127000</v>
      </c>
      <c r="M198" t="s">
        <v>2223</v>
      </c>
      <c r="N198" t="s">
        <v>2234</v>
      </c>
      <c r="O198" t="s">
        <v>2258</v>
      </c>
      <c r="P198" t="s">
        <v>2284</v>
      </c>
    </row>
    <row r="199" spans="1:16" x14ac:dyDescent="0.25">
      <c r="A199" s="51" t="s">
        <v>1224</v>
      </c>
      <c r="B199" s="7" t="s">
        <v>2199</v>
      </c>
      <c r="C199" t="s">
        <v>28</v>
      </c>
      <c r="D199" s="7" t="s">
        <v>1225</v>
      </c>
      <c r="E199" t="s">
        <v>486</v>
      </c>
      <c r="F199" s="7">
        <v>2</v>
      </c>
      <c r="G199" t="s">
        <v>1211</v>
      </c>
      <c r="H199" s="59">
        <v>46113</v>
      </c>
      <c r="I199" t="s">
        <v>320</v>
      </c>
      <c r="J199" s="7">
        <v>1</v>
      </c>
      <c r="K199" s="1">
        <v>46113</v>
      </c>
      <c r="L199" s="56">
        <v>695014</v>
      </c>
      <c r="M199" t="s">
        <v>2225</v>
      </c>
      <c r="N199" t="s">
        <v>2234</v>
      </c>
      <c r="O199" t="s">
        <v>2258</v>
      </c>
      <c r="P199" t="s">
        <v>2284</v>
      </c>
    </row>
    <row r="200" spans="1:16" x14ac:dyDescent="0.25">
      <c r="A200" s="50" t="s">
        <v>1224</v>
      </c>
      <c r="B200" s="10" t="s">
        <v>2199</v>
      </c>
      <c r="C200" s="11" t="s">
        <v>28</v>
      </c>
      <c r="D200" s="10" t="s">
        <v>1225</v>
      </c>
      <c r="E200" s="11" t="s">
        <v>1227</v>
      </c>
      <c r="F200" s="10">
        <v>2</v>
      </c>
      <c r="G200" s="11" t="s">
        <v>1211</v>
      </c>
      <c r="H200" s="58">
        <v>46113</v>
      </c>
      <c r="I200" s="11" t="s">
        <v>320</v>
      </c>
      <c r="J200" s="10">
        <v>1</v>
      </c>
      <c r="K200" s="57">
        <v>46113</v>
      </c>
      <c r="L200" s="55">
        <v>20000</v>
      </c>
      <c r="M200" t="s">
        <v>2225</v>
      </c>
      <c r="N200" t="s">
        <v>2234</v>
      </c>
      <c r="O200" t="s">
        <v>2258</v>
      </c>
      <c r="P200" t="s">
        <v>2284</v>
      </c>
    </row>
    <row r="201" spans="1:16" x14ac:dyDescent="0.25">
      <c r="A201" s="51" t="s">
        <v>1228</v>
      </c>
      <c r="B201" s="7" t="s">
        <v>2199</v>
      </c>
      <c r="C201" t="s">
        <v>28</v>
      </c>
      <c r="D201" s="7" t="s">
        <v>1229</v>
      </c>
      <c r="E201" t="s">
        <v>781</v>
      </c>
      <c r="F201" s="7">
        <v>2</v>
      </c>
      <c r="G201" t="s">
        <v>64</v>
      </c>
      <c r="H201" s="59">
        <v>46023</v>
      </c>
      <c r="I201" t="s">
        <v>65</v>
      </c>
      <c r="J201" s="7">
        <v>1</v>
      </c>
      <c r="K201" s="1">
        <v>46023</v>
      </c>
      <c r="L201" s="56">
        <v>30000</v>
      </c>
      <c r="M201" t="s">
        <v>2226</v>
      </c>
      <c r="N201" t="s">
        <v>2262</v>
      </c>
      <c r="O201" t="s">
        <v>2226</v>
      </c>
      <c r="P201" t="s">
        <v>2284</v>
      </c>
    </row>
    <row r="202" spans="1:16" x14ac:dyDescent="0.25">
      <c r="A202" s="50" t="s">
        <v>1228</v>
      </c>
      <c r="B202" s="10" t="s">
        <v>2199</v>
      </c>
      <c r="C202" s="11" t="s">
        <v>28</v>
      </c>
      <c r="D202" s="10" t="s">
        <v>1229</v>
      </c>
      <c r="E202" s="11" t="s">
        <v>1233</v>
      </c>
      <c r="F202" s="10">
        <v>2</v>
      </c>
      <c r="G202" s="11" t="s">
        <v>64</v>
      </c>
      <c r="H202" s="58">
        <v>46023</v>
      </c>
      <c r="I202" s="11" t="s">
        <v>65</v>
      </c>
      <c r="J202" s="10">
        <v>1</v>
      </c>
      <c r="K202" s="57">
        <v>46023</v>
      </c>
      <c r="L202" s="55">
        <v>900000</v>
      </c>
      <c r="M202" t="s">
        <v>2226</v>
      </c>
      <c r="N202" t="s">
        <v>2262</v>
      </c>
      <c r="O202" t="s">
        <v>2226</v>
      </c>
      <c r="P202" t="s">
        <v>2284</v>
      </c>
    </row>
    <row r="203" spans="1:16" x14ac:dyDescent="0.25">
      <c r="A203" s="51" t="s">
        <v>560</v>
      </c>
      <c r="B203" s="7" t="s">
        <v>2196</v>
      </c>
      <c r="C203" t="s">
        <v>28</v>
      </c>
      <c r="D203" s="7" t="s">
        <v>562</v>
      </c>
      <c r="E203" t="s">
        <v>564</v>
      </c>
      <c r="F203" s="7">
        <v>1</v>
      </c>
      <c r="G203" t="s">
        <v>169</v>
      </c>
      <c r="H203" s="59">
        <v>45992</v>
      </c>
      <c r="I203" t="s">
        <v>65</v>
      </c>
      <c r="J203" s="7">
        <v>32</v>
      </c>
      <c r="K203" t="s">
        <v>196</v>
      </c>
      <c r="L203" s="56">
        <v>69333336</v>
      </c>
      <c r="M203" t="s">
        <v>2226</v>
      </c>
      <c r="N203" t="s">
        <v>2262</v>
      </c>
      <c r="O203" t="s">
        <v>2226</v>
      </c>
      <c r="P203" t="s">
        <v>2284</v>
      </c>
    </row>
    <row r="204" spans="1:16" x14ac:dyDescent="0.25">
      <c r="A204" s="50" t="s">
        <v>1234</v>
      </c>
      <c r="B204" s="10" t="s">
        <v>2199</v>
      </c>
      <c r="C204" s="11" t="s">
        <v>28</v>
      </c>
      <c r="D204" s="10" t="s">
        <v>1235</v>
      </c>
      <c r="E204" s="11" t="s">
        <v>1237</v>
      </c>
      <c r="F204" s="10">
        <v>1</v>
      </c>
      <c r="G204" s="11" t="s">
        <v>64</v>
      </c>
      <c r="H204" s="58">
        <v>46023</v>
      </c>
      <c r="I204" s="11" t="s">
        <v>65</v>
      </c>
      <c r="J204" s="10">
        <v>1</v>
      </c>
      <c r="K204" s="57">
        <v>46054</v>
      </c>
      <c r="L204" s="55">
        <v>1400000</v>
      </c>
      <c r="M204" t="s">
        <v>2226</v>
      </c>
      <c r="N204" t="s">
        <v>2262</v>
      </c>
      <c r="O204" t="s">
        <v>2226</v>
      </c>
      <c r="P204" t="s">
        <v>2284</v>
      </c>
    </row>
    <row r="205" spans="1:16" x14ac:dyDescent="0.25">
      <c r="A205" s="51" t="s">
        <v>1245</v>
      </c>
      <c r="B205" s="7" t="s">
        <v>2199</v>
      </c>
      <c r="C205" t="s">
        <v>28</v>
      </c>
      <c r="D205" s="7" t="s">
        <v>1247</v>
      </c>
      <c r="E205" t="s">
        <v>1251</v>
      </c>
      <c r="F205" s="7">
        <v>3</v>
      </c>
      <c r="G205" t="s">
        <v>122</v>
      </c>
      <c r="H205" s="59">
        <v>46054</v>
      </c>
      <c r="I205" t="s">
        <v>544</v>
      </c>
      <c r="J205" s="7">
        <v>1</v>
      </c>
      <c r="K205" s="1">
        <v>46054</v>
      </c>
      <c r="L205" s="56">
        <v>60000</v>
      </c>
      <c r="M205" t="s">
        <v>2235</v>
      </c>
      <c r="N205" t="s">
        <v>2256</v>
      </c>
      <c r="O205" t="s">
        <v>2268</v>
      </c>
      <c r="P205" t="s">
        <v>2284</v>
      </c>
    </row>
    <row r="206" spans="1:16" x14ac:dyDescent="0.25">
      <c r="A206" s="50" t="s">
        <v>1245</v>
      </c>
      <c r="B206" s="10" t="s">
        <v>2199</v>
      </c>
      <c r="C206" s="11" t="s">
        <v>28</v>
      </c>
      <c r="D206" s="10" t="s">
        <v>1247</v>
      </c>
      <c r="E206" s="11" t="s">
        <v>1249</v>
      </c>
      <c r="F206" s="10">
        <v>3</v>
      </c>
      <c r="G206" s="11" t="s">
        <v>122</v>
      </c>
      <c r="H206" s="58">
        <v>46054</v>
      </c>
      <c r="I206" s="11" t="s">
        <v>544</v>
      </c>
      <c r="J206" s="10">
        <v>1</v>
      </c>
      <c r="K206" s="57">
        <v>46054</v>
      </c>
      <c r="L206" s="55">
        <v>160000</v>
      </c>
      <c r="M206" t="s">
        <v>2235</v>
      </c>
      <c r="N206" t="s">
        <v>2256</v>
      </c>
      <c r="O206" t="s">
        <v>2268</v>
      </c>
      <c r="P206" t="s">
        <v>2284</v>
      </c>
    </row>
    <row r="207" spans="1:16" x14ac:dyDescent="0.25">
      <c r="A207" s="51" t="s">
        <v>1245</v>
      </c>
      <c r="B207" s="7" t="s">
        <v>2199</v>
      </c>
      <c r="C207" t="s">
        <v>28</v>
      </c>
      <c r="D207" s="7" t="s">
        <v>1247</v>
      </c>
      <c r="E207" t="s">
        <v>1250</v>
      </c>
      <c r="F207" s="7">
        <v>3</v>
      </c>
      <c r="G207" t="s">
        <v>122</v>
      </c>
      <c r="H207" s="59">
        <v>46054</v>
      </c>
      <c r="I207" t="s">
        <v>544</v>
      </c>
      <c r="J207" s="7">
        <v>1</v>
      </c>
      <c r="K207" s="1">
        <v>46054</v>
      </c>
      <c r="L207" s="56">
        <v>390000</v>
      </c>
      <c r="M207" t="s">
        <v>2235</v>
      </c>
      <c r="N207" t="s">
        <v>2256</v>
      </c>
      <c r="O207" t="s">
        <v>2268</v>
      </c>
      <c r="P207" t="s">
        <v>2284</v>
      </c>
    </row>
    <row r="208" spans="1:16" x14ac:dyDescent="0.25">
      <c r="A208" s="50" t="s">
        <v>1252</v>
      </c>
      <c r="B208" s="10" t="s">
        <v>2199</v>
      </c>
      <c r="C208" s="11" t="s">
        <v>28</v>
      </c>
      <c r="D208" s="10" t="s">
        <v>1253</v>
      </c>
      <c r="E208" s="11" t="s">
        <v>140</v>
      </c>
      <c r="F208" s="10">
        <v>1</v>
      </c>
      <c r="G208" s="11" t="s">
        <v>1255</v>
      </c>
      <c r="H208" s="58">
        <v>46054</v>
      </c>
      <c r="I208" s="11" t="s">
        <v>1256</v>
      </c>
      <c r="J208" s="10">
        <v>1</v>
      </c>
      <c r="K208" s="57">
        <v>46054</v>
      </c>
      <c r="L208" s="55">
        <v>52000</v>
      </c>
      <c r="M208" t="s">
        <v>2239</v>
      </c>
      <c r="N208" t="s">
        <v>2227</v>
      </c>
      <c r="O208" t="s">
        <v>2269</v>
      </c>
      <c r="P208" t="s">
        <v>2284</v>
      </c>
    </row>
    <row r="209" spans="1:16" x14ac:dyDescent="0.25">
      <c r="A209" s="51" t="s">
        <v>1259</v>
      </c>
      <c r="B209" s="7" t="s">
        <v>2199</v>
      </c>
      <c r="C209" t="s">
        <v>28</v>
      </c>
      <c r="D209" s="7" t="s">
        <v>1260</v>
      </c>
      <c r="E209" t="s">
        <v>777</v>
      </c>
      <c r="F209" s="7">
        <v>2</v>
      </c>
      <c r="G209" t="s">
        <v>395</v>
      </c>
      <c r="H209" s="59">
        <v>46023</v>
      </c>
      <c r="I209" t="s">
        <v>1217</v>
      </c>
      <c r="J209" s="7">
        <v>1</v>
      </c>
      <c r="K209" s="1">
        <v>46023</v>
      </c>
      <c r="L209" s="56">
        <v>90100</v>
      </c>
      <c r="M209" t="s">
        <v>2223</v>
      </c>
      <c r="N209" t="s">
        <v>2234</v>
      </c>
      <c r="O209" t="s">
        <v>2258</v>
      </c>
      <c r="P209" t="s">
        <v>2284</v>
      </c>
    </row>
    <row r="210" spans="1:16" x14ac:dyDescent="0.25">
      <c r="A210" s="50" t="s">
        <v>1259</v>
      </c>
      <c r="B210" s="10" t="s">
        <v>2199</v>
      </c>
      <c r="C210" s="11" t="s">
        <v>28</v>
      </c>
      <c r="D210" s="10" t="s">
        <v>1260</v>
      </c>
      <c r="E210" s="11" t="s">
        <v>1263</v>
      </c>
      <c r="F210" s="10">
        <v>2</v>
      </c>
      <c r="G210" s="11" t="s">
        <v>395</v>
      </c>
      <c r="H210" s="58">
        <v>46023</v>
      </c>
      <c r="I210" s="11" t="s">
        <v>1217</v>
      </c>
      <c r="J210" s="10">
        <v>1</v>
      </c>
      <c r="K210" s="57">
        <v>46023</v>
      </c>
      <c r="L210" s="55">
        <v>280000</v>
      </c>
      <c r="M210" t="s">
        <v>2223</v>
      </c>
      <c r="N210" t="s">
        <v>2234</v>
      </c>
      <c r="O210" t="s">
        <v>2258</v>
      </c>
      <c r="P210" t="s">
        <v>2284</v>
      </c>
    </row>
    <row r="211" spans="1:16" x14ac:dyDescent="0.25">
      <c r="A211" s="51" t="s">
        <v>1269</v>
      </c>
      <c r="B211" s="7" t="s">
        <v>2199</v>
      </c>
      <c r="C211" t="s">
        <v>28</v>
      </c>
      <c r="D211" s="7" t="s">
        <v>1270</v>
      </c>
      <c r="E211" t="s">
        <v>1277</v>
      </c>
      <c r="F211" s="7">
        <v>5</v>
      </c>
      <c r="G211" t="s">
        <v>1273</v>
      </c>
      <c r="H211" s="59">
        <v>46082</v>
      </c>
      <c r="I211" t="s">
        <v>514</v>
      </c>
      <c r="J211" s="7">
        <v>1</v>
      </c>
      <c r="K211" s="1">
        <v>46082</v>
      </c>
      <c r="L211" s="56">
        <v>164000</v>
      </c>
      <c r="M211" t="s">
        <v>2242</v>
      </c>
      <c r="N211" t="s">
        <v>2227</v>
      </c>
      <c r="O211" t="s">
        <v>2271</v>
      </c>
      <c r="P211" t="s">
        <v>2284</v>
      </c>
    </row>
    <row r="212" spans="1:16" x14ac:dyDescent="0.25">
      <c r="A212" s="50" t="s">
        <v>1269</v>
      </c>
      <c r="B212" s="10" t="s">
        <v>2199</v>
      </c>
      <c r="C212" s="11" t="s">
        <v>28</v>
      </c>
      <c r="D212" s="10" t="s">
        <v>1270</v>
      </c>
      <c r="E212" s="11" t="s">
        <v>1272</v>
      </c>
      <c r="F212" s="10">
        <v>5</v>
      </c>
      <c r="G212" s="11" t="s">
        <v>1273</v>
      </c>
      <c r="H212" s="58">
        <v>46023</v>
      </c>
      <c r="I212" s="11" t="s">
        <v>514</v>
      </c>
      <c r="J212" s="10">
        <v>1</v>
      </c>
      <c r="K212" s="57">
        <v>46023</v>
      </c>
      <c r="L212" s="55">
        <v>198000</v>
      </c>
      <c r="M212" t="s">
        <v>2242</v>
      </c>
      <c r="N212" t="s">
        <v>2227</v>
      </c>
      <c r="O212" t="s">
        <v>2271</v>
      </c>
      <c r="P212" t="s">
        <v>2284</v>
      </c>
    </row>
    <row r="213" spans="1:16" x14ac:dyDescent="0.25">
      <c r="A213" s="51" t="s">
        <v>1269</v>
      </c>
      <c r="B213" s="7" t="s">
        <v>2199</v>
      </c>
      <c r="C213" t="s">
        <v>28</v>
      </c>
      <c r="D213" s="7" t="s">
        <v>1270</v>
      </c>
      <c r="E213" t="s">
        <v>1279</v>
      </c>
      <c r="F213" s="7">
        <v>5</v>
      </c>
      <c r="G213" t="s">
        <v>1273</v>
      </c>
      <c r="H213" s="59">
        <v>46082</v>
      </c>
      <c r="I213" t="s">
        <v>514</v>
      </c>
      <c r="J213" s="7">
        <v>1</v>
      </c>
      <c r="K213" s="1">
        <v>46082</v>
      </c>
      <c r="L213" s="56">
        <v>75000</v>
      </c>
      <c r="M213" t="s">
        <v>2242</v>
      </c>
      <c r="N213" t="s">
        <v>2227</v>
      </c>
      <c r="O213" t="s">
        <v>2271</v>
      </c>
      <c r="P213" t="s">
        <v>2284</v>
      </c>
    </row>
    <row r="214" spans="1:16" x14ac:dyDescent="0.25">
      <c r="A214" s="50" t="s">
        <v>1269</v>
      </c>
      <c r="B214" s="10" t="s">
        <v>2199</v>
      </c>
      <c r="C214" s="11" t="s">
        <v>28</v>
      </c>
      <c r="D214" s="10" t="s">
        <v>1270</v>
      </c>
      <c r="E214" s="11" t="s">
        <v>1276</v>
      </c>
      <c r="F214" s="10">
        <v>5</v>
      </c>
      <c r="G214" s="11" t="s">
        <v>1273</v>
      </c>
      <c r="H214" s="58">
        <v>46023</v>
      </c>
      <c r="I214" s="11" t="s">
        <v>514</v>
      </c>
      <c r="J214" s="10">
        <v>1</v>
      </c>
      <c r="K214" s="57">
        <v>46023</v>
      </c>
      <c r="L214" s="55">
        <v>106000</v>
      </c>
      <c r="M214" t="s">
        <v>2242</v>
      </c>
      <c r="N214" t="s">
        <v>2227</v>
      </c>
      <c r="O214" t="s">
        <v>2271</v>
      </c>
      <c r="P214" t="s">
        <v>2284</v>
      </c>
    </row>
    <row r="215" spans="1:16" x14ac:dyDescent="0.25">
      <c r="A215" s="51" t="s">
        <v>1269</v>
      </c>
      <c r="B215" s="7" t="s">
        <v>2199</v>
      </c>
      <c r="C215" t="s">
        <v>28</v>
      </c>
      <c r="D215" s="7" t="s">
        <v>1270</v>
      </c>
      <c r="E215" t="s">
        <v>1278</v>
      </c>
      <c r="F215" s="7">
        <v>5</v>
      </c>
      <c r="G215" t="s">
        <v>1273</v>
      </c>
      <c r="H215" s="59">
        <v>46082</v>
      </c>
      <c r="I215" t="s">
        <v>514</v>
      </c>
      <c r="J215" s="7">
        <v>1</v>
      </c>
      <c r="K215" s="1">
        <v>46082</v>
      </c>
      <c r="L215" s="56">
        <v>60000</v>
      </c>
      <c r="M215" t="s">
        <v>2242</v>
      </c>
      <c r="N215" t="s">
        <v>2227</v>
      </c>
      <c r="O215" t="s">
        <v>2271</v>
      </c>
      <c r="P215" t="s">
        <v>2284</v>
      </c>
    </row>
    <row r="216" spans="1:16" x14ac:dyDescent="0.25">
      <c r="A216" s="50" t="s">
        <v>1345</v>
      </c>
      <c r="B216" s="10" t="s">
        <v>2199</v>
      </c>
      <c r="C216" s="11" t="s">
        <v>28</v>
      </c>
      <c r="D216" s="10" t="s">
        <v>1347</v>
      </c>
      <c r="E216" s="11" t="s">
        <v>1133</v>
      </c>
      <c r="F216" s="10">
        <v>1</v>
      </c>
      <c r="G216" s="11" t="s">
        <v>1299</v>
      </c>
      <c r="H216" s="58">
        <v>46113</v>
      </c>
      <c r="I216" s="11" t="s">
        <v>1300</v>
      </c>
      <c r="J216" s="10">
        <v>1</v>
      </c>
      <c r="K216" s="57">
        <v>46113</v>
      </c>
      <c r="L216" s="55">
        <v>150000</v>
      </c>
      <c r="M216" t="s">
        <v>2245</v>
      </c>
      <c r="N216" t="s">
        <v>2256</v>
      </c>
      <c r="O216" t="s">
        <v>2272</v>
      </c>
      <c r="P216" t="s">
        <v>2284</v>
      </c>
    </row>
    <row r="217" spans="1:16" x14ac:dyDescent="0.25">
      <c r="A217" s="51" t="s">
        <v>1395</v>
      </c>
      <c r="B217" s="7" t="s">
        <v>2199</v>
      </c>
      <c r="C217" t="s">
        <v>28</v>
      </c>
      <c r="D217" s="7" t="s">
        <v>1396</v>
      </c>
      <c r="E217" t="s">
        <v>1133</v>
      </c>
      <c r="F217" s="7">
        <v>1</v>
      </c>
      <c r="G217" t="s">
        <v>64</v>
      </c>
      <c r="H217" s="59">
        <v>46054</v>
      </c>
      <c r="I217" t="s">
        <v>65</v>
      </c>
      <c r="J217" s="7">
        <v>1</v>
      </c>
      <c r="K217" s="1">
        <v>46054</v>
      </c>
      <c r="L217" s="56">
        <v>500004</v>
      </c>
      <c r="M217" t="s">
        <v>2226</v>
      </c>
      <c r="N217" t="s">
        <v>2262</v>
      </c>
      <c r="O217" t="s">
        <v>2226</v>
      </c>
      <c r="P217" t="s">
        <v>2284</v>
      </c>
    </row>
    <row r="218" spans="1:16" x14ac:dyDescent="0.25">
      <c r="A218" s="50" t="s">
        <v>1403</v>
      </c>
      <c r="B218" s="10" t="s">
        <v>2199</v>
      </c>
      <c r="C218" s="11" t="s">
        <v>28</v>
      </c>
      <c r="D218" s="10" t="s">
        <v>1404</v>
      </c>
      <c r="E218" s="11" t="s">
        <v>359</v>
      </c>
      <c r="F218" s="10">
        <v>3</v>
      </c>
      <c r="G218" s="11" t="s">
        <v>1035</v>
      </c>
      <c r="H218" s="58">
        <v>46327</v>
      </c>
      <c r="I218" s="11" t="s">
        <v>1036</v>
      </c>
      <c r="J218" s="10">
        <v>1</v>
      </c>
      <c r="K218" s="57">
        <v>46327</v>
      </c>
      <c r="L218" s="55">
        <v>153624</v>
      </c>
      <c r="M218" t="s">
        <v>2230</v>
      </c>
      <c r="N218" t="s">
        <v>2227</v>
      </c>
      <c r="O218" t="s">
        <v>2261</v>
      </c>
      <c r="P218" t="s">
        <v>2284</v>
      </c>
    </row>
    <row r="219" spans="1:16" x14ac:dyDescent="0.25">
      <c r="A219" s="51" t="s">
        <v>1403</v>
      </c>
      <c r="B219" s="7" t="s">
        <v>2199</v>
      </c>
      <c r="C219" t="s">
        <v>28</v>
      </c>
      <c r="D219" s="7" t="s">
        <v>1404</v>
      </c>
      <c r="E219" t="s">
        <v>855</v>
      </c>
      <c r="F219" s="7">
        <v>3</v>
      </c>
      <c r="G219" t="s">
        <v>1035</v>
      </c>
      <c r="H219" s="59">
        <v>46327</v>
      </c>
      <c r="I219" t="s">
        <v>1036</v>
      </c>
      <c r="J219" s="7">
        <v>1</v>
      </c>
      <c r="K219" s="1">
        <v>46327</v>
      </c>
      <c r="L219" s="56">
        <v>17000</v>
      </c>
      <c r="M219" t="s">
        <v>2230</v>
      </c>
      <c r="N219" t="s">
        <v>2227</v>
      </c>
      <c r="O219" t="s">
        <v>2261</v>
      </c>
      <c r="P219" t="s">
        <v>2284</v>
      </c>
    </row>
    <row r="220" spans="1:16" x14ac:dyDescent="0.25">
      <c r="A220" s="50" t="s">
        <v>1403</v>
      </c>
      <c r="B220" s="10" t="s">
        <v>2199</v>
      </c>
      <c r="C220" s="11" t="s">
        <v>28</v>
      </c>
      <c r="D220" s="10" t="s">
        <v>1404</v>
      </c>
      <c r="E220" s="11" t="s">
        <v>1406</v>
      </c>
      <c r="F220" s="10">
        <v>3</v>
      </c>
      <c r="G220" s="11" t="s">
        <v>1035</v>
      </c>
      <c r="H220" s="58">
        <v>46327</v>
      </c>
      <c r="I220" s="11" t="s">
        <v>1036</v>
      </c>
      <c r="J220" s="10">
        <v>1</v>
      </c>
      <c r="K220" s="57">
        <v>46327</v>
      </c>
      <c r="L220" s="55">
        <v>3000</v>
      </c>
      <c r="M220" t="s">
        <v>2230</v>
      </c>
      <c r="N220" t="s">
        <v>2227</v>
      </c>
      <c r="O220" t="s">
        <v>2261</v>
      </c>
      <c r="P220" t="s">
        <v>2284</v>
      </c>
    </row>
    <row r="221" spans="1:16" x14ac:dyDescent="0.25">
      <c r="A221" s="51" t="s">
        <v>1407</v>
      </c>
      <c r="B221" s="7" t="s">
        <v>2199</v>
      </c>
      <c r="C221" t="s">
        <v>28</v>
      </c>
      <c r="D221" s="7" t="s">
        <v>1408</v>
      </c>
      <c r="E221" t="s">
        <v>1410</v>
      </c>
      <c r="F221" s="7">
        <v>1</v>
      </c>
      <c r="G221" t="s">
        <v>590</v>
      </c>
      <c r="H221" s="59">
        <v>46082</v>
      </c>
      <c r="I221" t="s">
        <v>591</v>
      </c>
      <c r="J221" s="7">
        <v>1</v>
      </c>
      <c r="K221" s="1">
        <v>46082</v>
      </c>
      <c r="L221" s="56">
        <v>80000</v>
      </c>
      <c r="M221" t="s">
        <v>2222</v>
      </c>
      <c r="N221" t="s">
        <v>2234</v>
      </c>
      <c r="O221" t="s">
        <v>2260</v>
      </c>
      <c r="P221" t="s">
        <v>2284</v>
      </c>
    </row>
    <row r="222" spans="1:16" x14ac:dyDescent="0.25">
      <c r="A222" s="50" t="s">
        <v>1411</v>
      </c>
      <c r="B222" s="10" t="s">
        <v>2199</v>
      </c>
      <c r="C222" s="11" t="s">
        <v>28</v>
      </c>
      <c r="D222" s="10" t="s">
        <v>1413</v>
      </c>
      <c r="E222" s="11" t="s">
        <v>882</v>
      </c>
      <c r="F222" s="10">
        <v>1</v>
      </c>
      <c r="G222" s="11" t="s">
        <v>1415</v>
      </c>
      <c r="H222" s="58">
        <v>46174</v>
      </c>
      <c r="I222" s="11" t="s">
        <v>514</v>
      </c>
      <c r="J222" s="10">
        <v>1</v>
      </c>
      <c r="K222" s="57">
        <v>46174</v>
      </c>
      <c r="L222" s="55">
        <v>2000000</v>
      </c>
      <c r="M222" t="s">
        <v>2233</v>
      </c>
      <c r="N222" t="s">
        <v>2256</v>
      </c>
      <c r="O222" t="s">
        <v>2266</v>
      </c>
      <c r="P222" t="s">
        <v>2284</v>
      </c>
    </row>
    <row r="223" spans="1:16" x14ac:dyDescent="0.25">
      <c r="A223" s="51" t="s">
        <v>1416</v>
      </c>
      <c r="B223" s="7" t="s">
        <v>2199</v>
      </c>
      <c r="C223" t="s">
        <v>28</v>
      </c>
      <c r="D223" s="7" t="s">
        <v>1417</v>
      </c>
      <c r="E223" t="s">
        <v>623</v>
      </c>
      <c r="F223" s="7">
        <v>1</v>
      </c>
      <c r="G223" t="s">
        <v>1415</v>
      </c>
      <c r="H223" s="59">
        <v>46357</v>
      </c>
      <c r="I223" t="s">
        <v>514</v>
      </c>
      <c r="J223" s="7">
        <v>1</v>
      </c>
      <c r="K223" s="1">
        <v>46357</v>
      </c>
      <c r="L223" s="56">
        <v>6000000</v>
      </c>
      <c r="M223" t="s">
        <v>2233</v>
      </c>
      <c r="N223" t="s">
        <v>2256</v>
      </c>
      <c r="O223" t="s">
        <v>2266</v>
      </c>
      <c r="P223" t="s">
        <v>2284</v>
      </c>
    </row>
    <row r="224" spans="1:16" x14ac:dyDescent="0.25">
      <c r="A224" s="50" t="s">
        <v>1419</v>
      </c>
      <c r="B224" s="10" t="s">
        <v>2199</v>
      </c>
      <c r="C224" s="11" t="s">
        <v>28</v>
      </c>
      <c r="D224" s="10" t="s">
        <v>1420</v>
      </c>
      <c r="E224" s="11" t="s">
        <v>882</v>
      </c>
      <c r="F224" s="10">
        <v>1</v>
      </c>
      <c r="G224" s="11" t="s">
        <v>1415</v>
      </c>
      <c r="H224" s="58">
        <v>46357</v>
      </c>
      <c r="I224" s="11" t="s">
        <v>514</v>
      </c>
      <c r="J224" s="10">
        <v>12</v>
      </c>
      <c r="K224" s="11" t="s">
        <v>1029</v>
      </c>
      <c r="L224" s="55">
        <v>0</v>
      </c>
      <c r="M224" t="s">
        <v>2233</v>
      </c>
      <c r="N224" t="s">
        <v>2256</v>
      </c>
      <c r="O224" t="s">
        <v>2266</v>
      </c>
      <c r="P224" t="s">
        <v>2284</v>
      </c>
    </row>
    <row r="225" spans="1:16" x14ac:dyDescent="0.25">
      <c r="A225" s="51" t="s">
        <v>1422</v>
      </c>
      <c r="B225" s="7" t="s">
        <v>2199</v>
      </c>
      <c r="C225" t="s">
        <v>28</v>
      </c>
      <c r="D225" s="7" t="s">
        <v>1423</v>
      </c>
      <c r="E225" t="s">
        <v>1425</v>
      </c>
      <c r="F225" s="7">
        <v>1</v>
      </c>
      <c r="G225" t="s">
        <v>1415</v>
      </c>
      <c r="H225" s="59">
        <v>46327</v>
      </c>
      <c r="I225" t="s">
        <v>514</v>
      </c>
      <c r="J225" s="7">
        <v>1</v>
      </c>
      <c r="K225" s="1">
        <v>46327</v>
      </c>
      <c r="L225" s="56">
        <v>25000000</v>
      </c>
      <c r="M225" t="s">
        <v>2233</v>
      </c>
      <c r="N225" t="s">
        <v>2256</v>
      </c>
      <c r="O225" t="s">
        <v>2266</v>
      </c>
      <c r="P225" t="s">
        <v>2284</v>
      </c>
    </row>
    <row r="226" spans="1:16" x14ac:dyDescent="0.25">
      <c r="A226" s="50" t="s">
        <v>1426</v>
      </c>
      <c r="B226" s="10" t="s">
        <v>2199</v>
      </c>
      <c r="C226" s="11" t="s">
        <v>28</v>
      </c>
      <c r="D226" s="10" t="s">
        <v>1427</v>
      </c>
      <c r="E226" s="11" t="s">
        <v>623</v>
      </c>
      <c r="F226" s="10">
        <v>1</v>
      </c>
      <c r="G226" s="11" t="s">
        <v>1415</v>
      </c>
      <c r="H226" s="58">
        <v>46327</v>
      </c>
      <c r="I226" s="11" t="s">
        <v>514</v>
      </c>
      <c r="J226" s="10">
        <v>1</v>
      </c>
      <c r="K226" s="57">
        <v>46327</v>
      </c>
      <c r="L226" s="55">
        <v>10000000</v>
      </c>
      <c r="M226" t="s">
        <v>2233</v>
      </c>
      <c r="N226" t="s">
        <v>2256</v>
      </c>
      <c r="O226" t="s">
        <v>2266</v>
      </c>
      <c r="P226" t="s">
        <v>2284</v>
      </c>
    </row>
    <row r="227" spans="1:16" x14ac:dyDescent="0.25">
      <c r="A227" s="51" t="s">
        <v>1429</v>
      </c>
      <c r="B227" s="7" t="s">
        <v>2199</v>
      </c>
      <c r="C227" t="s">
        <v>28</v>
      </c>
      <c r="D227" s="7" t="s">
        <v>1430</v>
      </c>
      <c r="E227" t="s">
        <v>623</v>
      </c>
      <c r="F227" s="7">
        <v>1</v>
      </c>
      <c r="G227" t="s">
        <v>1432</v>
      </c>
      <c r="H227" s="59">
        <v>46296</v>
      </c>
      <c r="I227" t="s">
        <v>1433</v>
      </c>
      <c r="J227" s="7">
        <v>1</v>
      </c>
      <c r="K227" s="1">
        <v>46296</v>
      </c>
      <c r="L227" s="56">
        <v>35304528</v>
      </c>
      <c r="M227" t="s">
        <v>2233</v>
      </c>
      <c r="N227" t="s">
        <v>2256</v>
      </c>
      <c r="O227" t="s">
        <v>2266</v>
      </c>
      <c r="P227" t="s">
        <v>2284</v>
      </c>
    </row>
    <row r="228" spans="1:16" x14ac:dyDescent="0.25">
      <c r="A228" s="50" t="s">
        <v>1436</v>
      </c>
      <c r="B228" s="10" t="s">
        <v>2199</v>
      </c>
      <c r="C228" s="11" t="s">
        <v>28</v>
      </c>
      <c r="D228" s="10" t="s">
        <v>1438</v>
      </c>
      <c r="E228" s="11" t="s">
        <v>1440</v>
      </c>
      <c r="F228" s="10">
        <v>3</v>
      </c>
      <c r="G228" s="11" t="s">
        <v>64</v>
      </c>
      <c r="H228" s="58">
        <v>46235</v>
      </c>
      <c r="I228" s="11" t="s">
        <v>65</v>
      </c>
      <c r="J228" s="10">
        <v>1</v>
      </c>
      <c r="K228" s="57">
        <v>46235</v>
      </c>
      <c r="L228" s="55">
        <v>50000</v>
      </c>
      <c r="M228" t="s">
        <v>2226</v>
      </c>
      <c r="N228" t="s">
        <v>2262</v>
      </c>
      <c r="O228" t="s">
        <v>2226</v>
      </c>
      <c r="P228" t="s">
        <v>2284</v>
      </c>
    </row>
    <row r="229" spans="1:16" x14ac:dyDescent="0.25">
      <c r="A229" s="51" t="s">
        <v>1436</v>
      </c>
      <c r="B229" s="7" t="s">
        <v>2199</v>
      </c>
      <c r="C229" t="s">
        <v>28</v>
      </c>
      <c r="D229" s="7" t="s">
        <v>1438</v>
      </c>
      <c r="E229" t="s">
        <v>1441</v>
      </c>
      <c r="F229" s="7">
        <v>3</v>
      </c>
      <c r="G229" t="s">
        <v>64</v>
      </c>
      <c r="H229" s="59">
        <v>46235</v>
      </c>
      <c r="I229" t="s">
        <v>65</v>
      </c>
      <c r="J229" s="7">
        <v>1</v>
      </c>
      <c r="K229" s="1">
        <v>46235</v>
      </c>
      <c r="L229" s="56">
        <v>420000</v>
      </c>
      <c r="M229" t="s">
        <v>2226</v>
      </c>
      <c r="N229" t="s">
        <v>2262</v>
      </c>
      <c r="O229" t="s">
        <v>2226</v>
      </c>
      <c r="P229" t="s">
        <v>2284</v>
      </c>
    </row>
    <row r="230" spans="1:16" x14ac:dyDescent="0.25">
      <c r="A230" s="50" t="s">
        <v>1436</v>
      </c>
      <c r="B230" s="10" t="s">
        <v>2199</v>
      </c>
      <c r="C230" s="11" t="s">
        <v>28</v>
      </c>
      <c r="D230" s="10" t="s">
        <v>1438</v>
      </c>
      <c r="E230" s="11" t="s">
        <v>1276</v>
      </c>
      <c r="F230" s="10">
        <v>3</v>
      </c>
      <c r="G230" s="11" t="s">
        <v>64</v>
      </c>
      <c r="H230" s="58">
        <v>46235</v>
      </c>
      <c r="I230" s="11" t="s">
        <v>65</v>
      </c>
      <c r="J230" s="10">
        <v>1</v>
      </c>
      <c r="K230" s="57">
        <v>46235</v>
      </c>
      <c r="L230" s="55">
        <v>30000</v>
      </c>
      <c r="M230" t="s">
        <v>2226</v>
      </c>
      <c r="N230" t="s">
        <v>2262</v>
      </c>
      <c r="O230" t="s">
        <v>2226</v>
      </c>
      <c r="P230" t="s">
        <v>2284</v>
      </c>
    </row>
    <row r="231" spans="1:16" x14ac:dyDescent="0.25">
      <c r="A231" s="51" t="s">
        <v>1442</v>
      </c>
      <c r="B231" s="7" t="s">
        <v>2199</v>
      </c>
      <c r="C231" t="s">
        <v>28</v>
      </c>
      <c r="D231" s="7" t="s">
        <v>1443</v>
      </c>
      <c r="E231" t="s">
        <v>786</v>
      </c>
      <c r="F231" s="7">
        <v>1</v>
      </c>
      <c r="G231" t="s">
        <v>1445</v>
      </c>
      <c r="H231" s="59">
        <v>46054</v>
      </c>
      <c r="I231" t="s">
        <v>1446</v>
      </c>
      <c r="J231" s="7">
        <v>1</v>
      </c>
      <c r="K231" s="1">
        <v>46054</v>
      </c>
      <c r="L231" s="56">
        <v>299940</v>
      </c>
      <c r="M231" t="s">
        <v>2222</v>
      </c>
      <c r="N231" t="s">
        <v>2234</v>
      </c>
      <c r="O231" t="s">
        <v>2260</v>
      </c>
      <c r="P231" t="s">
        <v>2284</v>
      </c>
    </row>
    <row r="232" spans="1:16" x14ac:dyDescent="0.25">
      <c r="A232" s="50" t="s">
        <v>1449</v>
      </c>
      <c r="B232" s="10" t="s">
        <v>2199</v>
      </c>
      <c r="C232" s="11" t="s">
        <v>28</v>
      </c>
      <c r="D232" s="10" t="s">
        <v>1450</v>
      </c>
      <c r="E232" s="11" t="s">
        <v>1133</v>
      </c>
      <c r="F232" s="10">
        <v>2</v>
      </c>
      <c r="G232" s="11" t="s">
        <v>1075</v>
      </c>
      <c r="H232" s="58">
        <v>46082</v>
      </c>
      <c r="I232" s="11" t="s">
        <v>1076</v>
      </c>
      <c r="J232" s="10">
        <v>1</v>
      </c>
      <c r="K232" s="57">
        <v>46082</v>
      </c>
      <c r="L232" s="55">
        <v>230000</v>
      </c>
      <c r="M232" t="s">
        <v>2224</v>
      </c>
      <c r="N232" t="s">
        <v>2227</v>
      </c>
      <c r="O232" t="s">
        <v>2261</v>
      </c>
      <c r="P232" t="s">
        <v>2284</v>
      </c>
    </row>
    <row r="233" spans="1:16" x14ac:dyDescent="0.25">
      <c r="A233" s="51" t="s">
        <v>1449</v>
      </c>
      <c r="B233" s="7" t="s">
        <v>2199</v>
      </c>
      <c r="C233" t="s">
        <v>28</v>
      </c>
      <c r="D233" s="7" t="s">
        <v>1450</v>
      </c>
      <c r="E233" t="s">
        <v>1452</v>
      </c>
      <c r="F233" s="7">
        <v>2</v>
      </c>
      <c r="G233" t="s">
        <v>1075</v>
      </c>
      <c r="H233" s="59">
        <v>46023</v>
      </c>
      <c r="I233" t="s">
        <v>1076</v>
      </c>
      <c r="J233" s="7">
        <v>1</v>
      </c>
      <c r="K233" s="1">
        <v>46023</v>
      </c>
      <c r="L233" s="56">
        <v>160000</v>
      </c>
      <c r="M233" t="s">
        <v>2224</v>
      </c>
      <c r="N233" t="s">
        <v>2227</v>
      </c>
      <c r="O233" t="s">
        <v>2261</v>
      </c>
      <c r="P233" t="s">
        <v>2284</v>
      </c>
    </row>
    <row r="234" spans="1:16" x14ac:dyDescent="0.25">
      <c r="A234" s="50" t="s">
        <v>1453</v>
      </c>
      <c r="B234" s="10" t="s">
        <v>2199</v>
      </c>
      <c r="C234" s="11" t="s">
        <v>28</v>
      </c>
      <c r="D234" s="10" t="s">
        <v>1454</v>
      </c>
      <c r="E234" s="11" t="s">
        <v>602</v>
      </c>
      <c r="F234" s="10">
        <v>1</v>
      </c>
      <c r="G234" s="11" t="s">
        <v>1445</v>
      </c>
      <c r="H234" s="58">
        <v>46113</v>
      </c>
      <c r="I234" s="11" t="s">
        <v>1446</v>
      </c>
      <c r="J234" s="10">
        <v>1</v>
      </c>
      <c r="K234" s="57">
        <v>46113</v>
      </c>
      <c r="L234" s="55">
        <v>720000</v>
      </c>
      <c r="M234" t="s">
        <v>2222</v>
      </c>
      <c r="N234" t="s">
        <v>2234</v>
      </c>
      <c r="O234" t="s">
        <v>2260</v>
      </c>
      <c r="P234" t="s">
        <v>2284</v>
      </c>
    </row>
    <row r="235" spans="1:16" x14ac:dyDescent="0.25">
      <c r="A235" s="51" t="s">
        <v>1456</v>
      </c>
      <c r="B235" s="7" t="s">
        <v>2199</v>
      </c>
      <c r="C235" t="s">
        <v>28</v>
      </c>
      <c r="D235" s="7" t="s">
        <v>1457</v>
      </c>
      <c r="E235" t="s">
        <v>1459</v>
      </c>
      <c r="F235" s="7">
        <v>1</v>
      </c>
      <c r="G235" t="s">
        <v>1211</v>
      </c>
      <c r="H235" s="59">
        <v>46054</v>
      </c>
      <c r="I235" t="s">
        <v>320</v>
      </c>
      <c r="J235" s="7">
        <v>1</v>
      </c>
      <c r="K235" s="1">
        <v>46054</v>
      </c>
      <c r="L235" s="56">
        <v>170001</v>
      </c>
      <c r="M235" t="s">
        <v>2225</v>
      </c>
      <c r="N235" t="s">
        <v>2234</v>
      </c>
      <c r="O235" t="s">
        <v>2258</v>
      </c>
      <c r="P235" t="s">
        <v>2284</v>
      </c>
    </row>
    <row r="236" spans="1:16" x14ac:dyDescent="0.25">
      <c r="A236" s="50" t="s">
        <v>1460</v>
      </c>
      <c r="B236" s="10" t="s">
        <v>2199</v>
      </c>
      <c r="C236" s="11" t="s">
        <v>28</v>
      </c>
      <c r="D236" s="10" t="s">
        <v>1461</v>
      </c>
      <c r="E236" s="11" t="s">
        <v>1463</v>
      </c>
      <c r="F236" s="10">
        <v>1</v>
      </c>
      <c r="G236" s="11" t="s">
        <v>1075</v>
      </c>
      <c r="H236" s="58">
        <v>46023</v>
      </c>
      <c r="I236" s="11" t="s">
        <v>1076</v>
      </c>
      <c r="J236" s="10">
        <v>1</v>
      </c>
      <c r="K236" s="57">
        <v>46023</v>
      </c>
      <c r="L236" s="55">
        <v>8196174</v>
      </c>
      <c r="M236" t="s">
        <v>2224</v>
      </c>
      <c r="N236" t="s">
        <v>2227</v>
      </c>
      <c r="O236" t="s">
        <v>2261</v>
      </c>
      <c r="P236" t="s">
        <v>2284</v>
      </c>
    </row>
    <row r="237" spans="1:16" x14ac:dyDescent="0.25">
      <c r="A237" s="51" t="s">
        <v>1466</v>
      </c>
      <c r="B237" s="7" t="s">
        <v>2199</v>
      </c>
      <c r="C237" t="s">
        <v>28</v>
      </c>
      <c r="D237" s="7" t="s">
        <v>1467</v>
      </c>
      <c r="E237" t="s">
        <v>760</v>
      </c>
      <c r="F237" s="7">
        <v>1</v>
      </c>
      <c r="G237" t="s">
        <v>1469</v>
      </c>
      <c r="H237" s="59">
        <v>46054</v>
      </c>
      <c r="I237" t="s">
        <v>1470</v>
      </c>
      <c r="J237" s="7">
        <v>1</v>
      </c>
      <c r="K237" s="1">
        <v>46054</v>
      </c>
      <c r="L237" s="56">
        <v>5000001</v>
      </c>
      <c r="M237" t="s">
        <v>2238</v>
      </c>
      <c r="N237" t="s">
        <v>2227</v>
      </c>
      <c r="O237" t="s">
        <v>2269</v>
      </c>
      <c r="P237" t="s">
        <v>2284</v>
      </c>
    </row>
    <row r="238" spans="1:16" x14ac:dyDescent="0.25">
      <c r="A238" s="50" t="s">
        <v>1473</v>
      </c>
      <c r="B238" s="10" t="s">
        <v>2199</v>
      </c>
      <c r="C238" s="11" t="s">
        <v>28</v>
      </c>
      <c r="D238" s="10" t="s">
        <v>1474</v>
      </c>
      <c r="E238" s="11" t="s">
        <v>1476</v>
      </c>
      <c r="F238" s="10">
        <v>1</v>
      </c>
      <c r="G238" s="11" t="s">
        <v>1477</v>
      </c>
      <c r="H238" s="58">
        <v>46023</v>
      </c>
      <c r="I238" s="11" t="s">
        <v>219</v>
      </c>
      <c r="J238" s="10">
        <v>1</v>
      </c>
      <c r="K238" s="57">
        <v>46023</v>
      </c>
      <c r="L238" s="55">
        <v>300006</v>
      </c>
      <c r="M238" t="s">
        <v>2226</v>
      </c>
      <c r="N238" t="s">
        <v>2262</v>
      </c>
      <c r="O238" t="s">
        <v>2226</v>
      </c>
      <c r="P238" t="s">
        <v>2284</v>
      </c>
    </row>
    <row r="239" spans="1:16" x14ac:dyDescent="0.25">
      <c r="A239" s="51" t="s">
        <v>1479</v>
      </c>
      <c r="B239" s="7" t="s">
        <v>2199</v>
      </c>
      <c r="C239" t="s">
        <v>28</v>
      </c>
      <c r="D239" s="7" t="s">
        <v>1480</v>
      </c>
      <c r="E239" t="s">
        <v>602</v>
      </c>
      <c r="F239" s="7">
        <v>1</v>
      </c>
      <c r="G239" t="s">
        <v>1445</v>
      </c>
      <c r="H239" s="59">
        <v>46113</v>
      </c>
      <c r="I239" t="s">
        <v>1446</v>
      </c>
      <c r="J239" s="7">
        <v>1</v>
      </c>
      <c r="K239" s="1">
        <v>46143</v>
      </c>
      <c r="L239" s="56">
        <v>220000</v>
      </c>
      <c r="M239" t="s">
        <v>2222</v>
      </c>
      <c r="N239" t="s">
        <v>2234</v>
      </c>
      <c r="O239" t="s">
        <v>2260</v>
      </c>
      <c r="P239" t="s">
        <v>2284</v>
      </c>
    </row>
    <row r="240" spans="1:16" x14ac:dyDescent="0.25">
      <c r="A240" s="50" t="s">
        <v>1482</v>
      </c>
      <c r="B240" s="10" t="s">
        <v>2199</v>
      </c>
      <c r="C240" s="11" t="s">
        <v>28</v>
      </c>
      <c r="D240" s="10" t="s">
        <v>1483</v>
      </c>
      <c r="E240" s="11" t="s">
        <v>1459</v>
      </c>
      <c r="F240" s="10">
        <v>1</v>
      </c>
      <c r="G240" s="11" t="s">
        <v>1477</v>
      </c>
      <c r="H240" s="58">
        <v>46023</v>
      </c>
      <c r="I240" s="11" t="s">
        <v>219</v>
      </c>
      <c r="J240" s="10">
        <v>1</v>
      </c>
      <c r="K240" s="57">
        <v>46023</v>
      </c>
      <c r="L240" s="55">
        <v>1500018</v>
      </c>
      <c r="M240" t="s">
        <v>2226</v>
      </c>
      <c r="N240" t="s">
        <v>2262</v>
      </c>
      <c r="O240" t="s">
        <v>2226</v>
      </c>
      <c r="P240" t="s">
        <v>2284</v>
      </c>
    </row>
    <row r="241" spans="1:16" x14ac:dyDescent="0.25">
      <c r="A241" s="51" t="s">
        <v>1489</v>
      </c>
      <c r="B241" s="7" t="s">
        <v>2199</v>
      </c>
      <c r="C241" t="s">
        <v>28</v>
      </c>
      <c r="D241" s="7" t="s">
        <v>1490</v>
      </c>
      <c r="E241" t="s">
        <v>359</v>
      </c>
      <c r="F241" s="7">
        <v>1</v>
      </c>
      <c r="G241" t="s">
        <v>1211</v>
      </c>
      <c r="H241" s="59">
        <v>46113</v>
      </c>
      <c r="I241" t="s">
        <v>320</v>
      </c>
      <c r="J241" s="7">
        <v>1</v>
      </c>
      <c r="K241" s="1">
        <v>46113</v>
      </c>
      <c r="L241" s="56">
        <v>218020</v>
      </c>
      <c r="M241" t="s">
        <v>2225</v>
      </c>
      <c r="N241" t="s">
        <v>2234</v>
      </c>
      <c r="O241" t="s">
        <v>2258</v>
      </c>
      <c r="P241" t="s">
        <v>2284</v>
      </c>
    </row>
    <row r="242" spans="1:16" x14ac:dyDescent="0.25">
      <c r="A242" s="50" t="s">
        <v>1492</v>
      </c>
      <c r="B242" s="10" t="s">
        <v>2199</v>
      </c>
      <c r="C242" s="11" t="s">
        <v>28</v>
      </c>
      <c r="D242" s="10" t="s">
        <v>1494</v>
      </c>
      <c r="E242" s="11" t="s">
        <v>1410</v>
      </c>
      <c r="F242" s="10">
        <v>1</v>
      </c>
      <c r="G242" s="11" t="s">
        <v>590</v>
      </c>
      <c r="H242" s="58">
        <v>46082</v>
      </c>
      <c r="I242" s="11" t="s">
        <v>591</v>
      </c>
      <c r="J242" s="10">
        <v>1</v>
      </c>
      <c r="K242" s="57">
        <v>46082</v>
      </c>
      <c r="L242" s="55">
        <v>100000</v>
      </c>
      <c r="M242" t="s">
        <v>2222</v>
      </c>
      <c r="N242" t="s">
        <v>2234</v>
      </c>
      <c r="O242" t="s">
        <v>2260</v>
      </c>
      <c r="P242" t="s">
        <v>2284</v>
      </c>
    </row>
    <row r="243" spans="1:16" x14ac:dyDescent="0.25">
      <c r="A243" s="51" t="s">
        <v>1497</v>
      </c>
      <c r="B243" s="7" t="s">
        <v>2199</v>
      </c>
      <c r="C243" t="s">
        <v>28</v>
      </c>
      <c r="D243" s="7" t="s">
        <v>1498</v>
      </c>
      <c r="E243" t="s">
        <v>1500</v>
      </c>
      <c r="F243" s="7">
        <v>1</v>
      </c>
      <c r="G243" t="s">
        <v>1075</v>
      </c>
      <c r="H243" s="59">
        <v>46082</v>
      </c>
      <c r="I243" t="s">
        <v>1076</v>
      </c>
      <c r="J243" s="7">
        <v>1</v>
      </c>
      <c r="K243" s="1">
        <v>46082</v>
      </c>
      <c r="L243" s="56">
        <v>335005</v>
      </c>
      <c r="M243" t="s">
        <v>2224</v>
      </c>
      <c r="N243" t="s">
        <v>2227</v>
      </c>
      <c r="O243" t="s">
        <v>2261</v>
      </c>
      <c r="P243" t="s">
        <v>2284</v>
      </c>
    </row>
    <row r="244" spans="1:16" x14ac:dyDescent="0.25">
      <c r="A244" s="50" t="s">
        <v>1501</v>
      </c>
      <c r="B244" s="10" t="s">
        <v>2199</v>
      </c>
      <c r="C244" s="11" t="s">
        <v>28</v>
      </c>
      <c r="D244" s="10" t="s">
        <v>1502</v>
      </c>
      <c r="E244" s="11" t="s">
        <v>1504</v>
      </c>
      <c r="F244" s="10">
        <v>1</v>
      </c>
      <c r="G244" s="11" t="s">
        <v>1505</v>
      </c>
      <c r="H244" s="58">
        <v>46023</v>
      </c>
      <c r="I244" s="11" t="s">
        <v>423</v>
      </c>
      <c r="J244" s="10">
        <v>12</v>
      </c>
      <c r="K244" s="11" t="s">
        <v>413</v>
      </c>
      <c r="L244" s="55">
        <v>2400000</v>
      </c>
      <c r="M244" t="s">
        <v>2224</v>
      </c>
      <c r="N244" t="s">
        <v>2227</v>
      </c>
      <c r="O244" t="s">
        <v>2261</v>
      </c>
      <c r="P244" t="s">
        <v>2284</v>
      </c>
    </row>
    <row r="245" spans="1:16" x14ac:dyDescent="0.25">
      <c r="A245" s="51" t="s">
        <v>1509</v>
      </c>
      <c r="B245" s="7" t="s">
        <v>2199</v>
      </c>
      <c r="C245" t="s">
        <v>28</v>
      </c>
      <c r="D245" s="7" t="s">
        <v>1510</v>
      </c>
      <c r="E245" t="s">
        <v>1512</v>
      </c>
      <c r="F245" s="7">
        <v>2</v>
      </c>
      <c r="G245" t="s">
        <v>590</v>
      </c>
      <c r="H245" s="59">
        <v>46113</v>
      </c>
      <c r="I245" t="s">
        <v>591</v>
      </c>
      <c r="J245" s="7">
        <v>1</v>
      </c>
      <c r="K245" s="1">
        <v>46113</v>
      </c>
      <c r="L245" s="56">
        <v>76086</v>
      </c>
      <c r="M245" t="s">
        <v>2222</v>
      </c>
      <c r="N245" t="s">
        <v>2234</v>
      </c>
      <c r="O245" t="s">
        <v>2260</v>
      </c>
      <c r="P245" t="s">
        <v>2284</v>
      </c>
    </row>
    <row r="246" spans="1:16" x14ac:dyDescent="0.25">
      <c r="A246" s="50" t="s">
        <v>1509</v>
      </c>
      <c r="B246" s="10" t="s">
        <v>2199</v>
      </c>
      <c r="C246" s="11" t="s">
        <v>28</v>
      </c>
      <c r="D246" s="10" t="s">
        <v>1510</v>
      </c>
      <c r="E246" s="11" t="s">
        <v>1513</v>
      </c>
      <c r="F246" s="10">
        <v>2</v>
      </c>
      <c r="G246" s="11" t="s">
        <v>590</v>
      </c>
      <c r="H246" s="58">
        <v>46113</v>
      </c>
      <c r="I246" s="11" t="s">
        <v>591</v>
      </c>
      <c r="J246" s="10">
        <v>1</v>
      </c>
      <c r="K246" s="57">
        <v>46113</v>
      </c>
      <c r="L246" s="55">
        <v>224004</v>
      </c>
      <c r="M246" t="s">
        <v>2222</v>
      </c>
      <c r="N246" t="s">
        <v>2234</v>
      </c>
      <c r="O246" t="s">
        <v>2260</v>
      </c>
      <c r="P246" t="s">
        <v>2284</v>
      </c>
    </row>
    <row r="247" spans="1:16" x14ac:dyDescent="0.25">
      <c r="A247" s="51" t="s">
        <v>1514</v>
      </c>
      <c r="B247" s="7" t="s">
        <v>2199</v>
      </c>
      <c r="C247" t="s">
        <v>28</v>
      </c>
      <c r="D247" s="7" t="s">
        <v>1515</v>
      </c>
      <c r="E247" t="s">
        <v>1251</v>
      </c>
      <c r="F247" s="7">
        <v>1</v>
      </c>
      <c r="G247" t="s">
        <v>1075</v>
      </c>
      <c r="H247" s="59">
        <v>46235</v>
      </c>
      <c r="I247" t="s">
        <v>1076</v>
      </c>
      <c r="J247" s="7">
        <v>1</v>
      </c>
      <c r="K247" s="1">
        <v>46266</v>
      </c>
      <c r="L247" s="56">
        <v>150000</v>
      </c>
      <c r="M247" t="s">
        <v>2224</v>
      </c>
      <c r="N247" t="s">
        <v>2227</v>
      </c>
      <c r="O247" t="s">
        <v>2261</v>
      </c>
      <c r="P247" t="s">
        <v>2284</v>
      </c>
    </row>
    <row r="248" spans="1:16" x14ac:dyDescent="0.25">
      <c r="A248" s="50" t="s">
        <v>1518</v>
      </c>
      <c r="B248" s="10" t="s">
        <v>2199</v>
      </c>
      <c r="C248" s="11" t="s">
        <v>28</v>
      </c>
      <c r="D248" s="10" t="s">
        <v>1520</v>
      </c>
      <c r="E248" s="11" t="s">
        <v>1523</v>
      </c>
      <c r="F248" s="10">
        <v>3</v>
      </c>
      <c r="G248" s="11" t="s">
        <v>761</v>
      </c>
      <c r="H248" s="58">
        <v>46143</v>
      </c>
      <c r="I248" s="11" t="s">
        <v>762</v>
      </c>
      <c r="J248" s="10">
        <v>1</v>
      </c>
      <c r="K248" s="57">
        <v>46143</v>
      </c>
      <c r="L248" s="55">
        <v>50004</v>
      </c>
      <c r="M248" t="s">
        <v>2220</v>
      </c>
      <c r="N248" t="s">
        <v>2234</v>
      </c>
      <c r="O248" t="s">
        <v>2258</v>
      </c>
      <c r="P248" t="s">
        <v>2284</v>
      </c>
    </row>
    <row r="249" spans="1:16" x14ac:dyDescent="0.25">
      <c r="A249" s="51" t="s">
        <v>1518</v>
      </c>
      <c r="B249" s="7" t="s">
        <v>2199</v>
      </c>
      <c r="C249" t="s">
        <v>28</v>
      </c>
      <c r="D249" s="7" t="s">
        <v>1520</v>
      </c>
      <c r="E249" t="s">
        <v>1524</v>
      </c>
      <c r="F249" s="7">
        <v>3</v>
      </c>
      <c r="G249" t="s">
        <v>761</v>
      </c>
      <c r="H249" s="59">
        <v>46143</v>
      </c>
      <c r="I249" t="s">
        <v>762</v>
      </c>
      <c r="J249" s="7">
        <v>1</v>
      </c>
      <c r="K249" s="1">
        <v>46143</v>
      </c>
      <c r="L249" s="56">
        <v>650000</v>
      </c>
      <c r="M249" t="s">
        <v>2220</v>
      </c>
      <c r="N249" t="s">
        <v>2234</v>
      </c>
      <c r="O249" t="s">
        <v>2258</v>
      </c>
      <c r="P249" t="s">
        <v>2284</v>
      </c>
    </row>
    <row r="250" spans="1:16" x14ac:dyDescent="0.25">
      <c r="A250" s="50" t="s">
        <v>1518</v>
      </c>
      <c r="B250" s="10" t="s">
        <v>2199</v>
      </c>
      <c r="C250" s="11" t="s">
        <v>28</v>
      </c>
      <c r="D250" s="10" t="s">
        <v>1520</v>
      </c>
      <c r="E250" s="11" t="s">
        <v>1522</v>
      </c>
      <c r="F250" s="10">
        <v>3</v>
      </c>
      <c r="G250" s="11" t="s">
        <v>761</v>
      </c>
      <c r="H250" s="58">
        <v>46143</v>
      </c>
      <c r="I250" s="11" t="s">
        <v>762</v>
      </c>
      <c r="J250" s="10">
        <v>1</v>
      </c>
      <c r="K250" s="57">
        <v>46143</v>
      </c>
      <c r="L250" s="55">
        <v>960000</v>
      </c>
      <c r="M250" t="s">
        <v>2220</v>
      </c>
      <c r="N250" t="s">
        <v>2234</v>
      </c>
      <c r="O250" t="s">
        <v>2258</v>
      </c>
      <c r="P250" t="s">
        <v>2284</v>
      </c>
    </row>
    <row r="251" spans="1:16" x14ac:dyDescent="0.25">
      <c r="A251" s="51" t="s">
        <v>1525</v>
      </c>
      <c r="B251" s="7" t="s">
        <v>2199</v>
      </c>
      <c r="C251" t="s">
        <v>28</v>
      </c>
      <c r="D251" s="7" t="s">
        <v>1502</v>
      </c>
      <c r="E251" t="s">
        <v>1527</v>
      </c>
      <c r="F251" s="7">
        <v>1</v>
      </c>
      <c r="G251" t="s">
        <v>1505</v>
      </c>
      <c r="H251" s="59">
        <v>46023</v>
      </c>
      <c r="I251" t="s">
        <v>423</v>
      </c>
      <c r="J251" s="7">
        <v>1</v>
      </c>
      <c r="K251" s="1">
        <v>46023</v>
      </c>
      <c r="L251" s="56">
        <v>3861900</v>
      </c>
      <c r="M251" t="s">
        <v>2224</v>
      </c>
      <c r="N251" t="s">
        <v>2227</v>
      </c>
      <c r="O251" t="s">
        <v>2261</v>
      </c>
      <c r="P251" t="s">
        <v>2284</v>
      </c>
    </row>
    <row r="252" spans="1:16" x14ac:dyDescent="0.25">
      <c r="A252" s="50" t="s">
        <v>1528</v>
      </c>
      <c r="B252" s="10" t="s">
        <v>2199</v>
      </c>
      <c r="C252" s="11" t="s">
        <v>28</v>
      </c>
      <c r="D252" s="10" t="s">
        <v>1529</v>
      </c>
      <c r="E252" s="11" t="s">
        <v>911</v>
      </c>
      <c r="F252" s="10">
        <v>2</v>
      </c>
      <c r="G252" s="11" t="s">
        <v>1075</v>
      </c>
      <c r="H252" s="58">
        <v>46143</v>
      </c>
      <c r="I252" s="11" t="s">
        <v>1076</v>
      </c>
      <c r="J252" s="10">
        <v>1</v>
      </c>
      <c r="K252" s="57">
        <v>46143</v>
      </c>
      <c r="L252" s="55">
        <v>20000</v>
      </c>
      <c r="M252" t="s">
        <v>2224</v>
      </c>
      <c r="N252" t="s">
        <v>2227</v>
      </c>
      <c r="O252" t="s">
        <v>2261</v>
      </c>
      <c r="P252" t="s">
        <v>2284</v>
      </c>
    </row>
    <row r="253" spans="1:16" x14ac:dyDescent="0.25">
      <c r="A253" s="51" t="s">
        <v>1528</v>
      </c>
      <c r="B253" s="7" t="s">
        <v>2199</v>
      </c>
      <c r="C253" t="s">
        <v>28</v>
      </c>
      <c r="D253" s="7" t="s">
        <v>1529</v>
      </c>
      <c r="E253" t="s">
        <v>1531</v>
      </c>
      <c r="F253" s="7">
        <v>2</v>
      </c>
      <c r="G253" t="s">
        <v>1075</v>
      </c>
      <c r="H253" s="59">
        <v>46143</v>
      </c>
      <c r="I253" t="s">
        <v>1076</v>
      </c>
      <c r="J253" s="7">
        <v>1</v>
      </c>
      <c r="K253" s="1">
        <v>46143</v>
      </c>
      <c r="L253" s="56">
        <v>16000</v>
      </c>
      <c r="M253" t="s">
        <v>2224</v>
      </c>
      <c r="N253" t="s">
        <v>2227</v>
      </c>
      <c r="O253" t="s">
        <v>2261</v>
      </c>
      <c r="P253" t="s">
        <v>2284</v>
      </c>
    </row>
    <row r="254" spans="1:16" x14ac:dyDescent="0.25">
      <c r="A254" s="50" t="s">
        <v>1532</v>
      </c>
      <c r="B254" s="10" t="s">
        <v>2199</v>
      </c>
      <c r="C254" s="11" t="s">
        <v>28</v>
      </c>
      <c r="D254" s="10" t="s">
        <v>1533</v>
      </c>
      <c r="E254" s="11" t="s">
        <v>1536</v>
      </c>
      <c r="F254" s="10">
        <v>5</v>
      </c>
      <c r="G254" s="11" t="s">
        <v>761</v>
      </c>
      <c r="H254" s="58">
        <v>46143</v>
      </c>
      <c r="I254" s="11" t="s">
        <v>762</v>
      </c>
      <c r="J254" s="10">
        <v>1</v>
      </c>
      <c r="K254" s="57">
        <v>46143</v>
      </c>
      <c r="L254" s="55">
        <v>120000</v>
      </c>
      <c r="M254" t="s">
        <v>2220</v>
      </c>
      <c r="N254" t="s">
        <v>2234</v>
      </c>
      <c r="O254" t="s">
        <v>2258</v>
      </c>
      <c r="P254" t="s">
        <v>2284</v>
      </c>
    </row>
    <row r="255" spans="1:16" x14ac:dyDescent="0.25">
      <c r="A255" s="51" t="s">
        <v>1532</v>
      </c>
      <c r="B255" s="7" t="s">
        <v>2199</v>
      </c>
      <c r="C255" t="s">
        <v>28</v>
      </c>
      <c r="D255" s="7" t="s">
        <v>1533</v>
      </c>
      <c r="E255" t="s">
        <v>1534</v>
      </c>
      <c r="F255" s="7">
        <v>5</v>
      </c>
      <c r="G255" t="s">
        <v>761</v>
      </c>
      <c r="H255" s="59">
        <v>46143</v>
      </c>
      <c r="I255" t="s">
        <v>762</v>
      </c>
      <c r="J255" s="7">
        <v>1</v>
      </c>
      <c r="K255" s="1">
        <v>46143</v>
      </c>
      <c r="L255" s="56">
        <v>1100001</v>
      </c>
      <c r="M255" t="s">
        <v>2220</v>
      </c>
      <c r="N255" t="s">
        <v>2234</v>
      </c>
      <c r="O255" t="s">
        <v>2258</v>
      </c>
      <c r="P255" t="s">
        <v>2284</v>
      </c>
    </row>
    <row r="256" spans="1:16" x14ac:dyDescent="0.25">
      <c r="A256" s="50" t="s">
        <v>1532</v>
      </c>
      <c r="B256" s="10" t="s">
        <v>2199</v>
      </c>
      <c r="C256" s="11" t="s">
        <v>28</v>
      </c>
      <c r="D256" s="10" t="s">
        <v>1533</v>
      </c>
      <c r="E256" s="11" t="s">
        <v>1537</v>
      </c>
      <c r="F256" s="10">
        <v>5</v>
      </c>
      <c r="G256" s="11" t="s">
        <v>761</v>
      </c>
      <c r="H256" s="58">
        <v>46143</v>
      </c>
      <c r="I256" s="11" t="s">
        <v>762</v>
      </c>
      <c r="J256" s="10">
        <v>1</v>
      </c>
      <c r="K256" s="57">
        <v>46143</v>
      </c>
      <c r="L256" s="55">
        <v>30000</v>
      </c>
      <c r="M256" t="s">
        <v>2220</v>
      </c>
      <c r="N256" t="s">
        <v>2234</v>
      </c>
      <c r="O256" t="s">
        <v>2258</v>
      </c>
      <c r="P256" t="s">
        <v>2284</v>
      </c>
    </row>
    <row r="257" spans="1:16" x14ac:dyDescent="0.25">
      <c r="A257" s="51" t="s">
        <v>1532</v>
      </c>
      <c r="B257" s="7" t="s">
        <v>2199</v>
      </c>
      <c r="C257" t="s">
        <v>28</v>
      </c>
      <c r="D257" s="7" t="s">
        <v>1533</v>
      </c>
      <c r="E257" t="s">
        <v>1538</v>
      </c>
      <c r="F257" s="7">
        <v>5</v>
      </c>
      <c r="G257" t="s">
        <v>761</v>
      </c>
      <c r="H257" s="59">
        <v>46143</v>
      </c>
      <c r="I257" t="s">
        <v>762</v>
      </c>
      <c r="J257" s="7">
        <v>1</v>
      </c>
      <c r="K257" s="1">
        <v>46143</v>
      </c>
      <c r="L257" s="56">
        <v>390000</v>
      </c>
      <c r="M257" t="s">
        <v>2220</v>
      </c>
      <c r="N257" t="s">
        <v>2234</v>
      </c>
      <c r="O257" t="s">
        <v>2258</v>
      </c>
      <c r="P257" t="s">
        <v>2284</v>
      </c>
    </row>
    <row r="258" spans="1:16" x14ac:dyDescent="0.25">
      <c r="A258" s="50" t="s">
        <v>1532</v>
      </c>
      <c r="B258" s="10" t="s">
        <v>2199</v>
      </c>
      <c r="C258" s="11" t="s">
        <v>28</v>
      </c>
      <c r="D258" s="10" t="s">
        <v>1533</v>
      </c>
      <c r="E258" s="11" t="s">
        <v>1535</v>
      </c>
      <c r="F258" s="10">
        <v>5</v>
      </c>
      <c r="G258" s="11" t="s">
        <v>761</v>
      </c>
      <c r="H258" s="58">
        <v>46143</v>
      </c>
      <c r="I258" s="11" t="s">
        <v>762</v>
      </c>
      <c r="J258" s="10">
        <v>1</v>
      </c>
      <c r="K258" s="57">
        <v>46143</v>
      </c>
      <c r="L258" s="55">
        <v>1100090</v>
      </c>
      <c r="M258" t="s">
        <v>2220</v>
      </c>
      <c r="N258" t="s">
        <v>2234</v>
      </c>
      <c r="O258" t="s">
        <v>2258</v>
      </c>
      <c r="P258" t="s">
        <v>2284</v>
      </c>
    </row>
    <row r="259" spans="1:16" x14ac:dyDescent="0.25">
      <c r="A259" s="51" t="s">
        <v>1539</v>
      </c>
      <c r="B259" s="7" t="s">
        <v>2199</v>
      </c>
      <c r="C259" t="s">
        <v>28</v>
      </c>
      <c r="D259" s="7" t="s">
        <v>1540</v>
      </c>
      <c r="E259" t="s">
        <v>1191</v>
      </c>
      <c r="F259" s="7">
        <v>1</v>
      </c>
      <c r="G259" t="s">
        <v>1211</v>
      </c>
      <c r="H259" s="59">
        <v>46327</v>
      </c>
      <c r="I259" t="s">
        <v>320</v>
      </c>
      <c r="J259" s="7">
        <v>1</v>
      </c>
      <c r="K259" s="1">
        <v>46327</v>
      </c>
      <c r="L259" s="56">
        <v>400000</v>
      </c>
      <c r="M259" t="s">
        <v>2225</v>
      </c>
      <c r="N259" t="s">
        <v>2234</v>
      </c>
      <c r="O259" t="s">
        <v>2258</v>
      </c>
      <c r="P259" t="s">
        <v>2284</v>
      </c>
    </row>
    <row r="260" spans="1:16" x14ac:dyDescent="0.25">
      <c r="A260" s="50" t="s">
        <v>1542</v>
      </c>
      <c r="B260" s="10" t="s">
        <v>2199</v>
      </c>
      <c r="C260" s="11" t="s">
        <v>28</v>
      </c>
      <c r="D260" s="10" t="s">
        <v>1543</v>
      </c>
      <c r="E260" s="11" t="s">
        <v>1545</v>
      </c>
      <c r="F260" s="10">
        <v>1</v>
      </c>
      <c r="G260" s="11" t="s">
        <v>1075</v>
      </c>
      <c r="H260" s="58">
        <v>46204</v>
      </c>
      <c r="I260" s="11" t="s">
        <v>1076</v>
      </c>
      <c r="J260" s="10">
        <v>1</v>
      </c>
      <c r="K260" s="57">
        <v>46204</v>
      </c>
      <c r="L260" s="55">
        <v>800000</v>
      </c>
      <c r="M260" t="s">
        <v>2224</v>
      </c>
      <c r="N260" t="s">
        <v>2227</v>
      </c>
      <c r="O260" t="s">
        <v>2261</v>
      </c>
      <c r="P260" t="s">
        <v>2284</v>
      </c>
    </row>
    <row r="261" spans="1:16" x14ac:dyDescent="0.25">
      <c r="A261" s="51" t="s">
        <v>1546</v>
      </c>
      <c r="B261" s="7" t="s">
        <v>2199</v>
      </c>
      <c r="C261" t="s">
        <v>28</v>
      </c>
      <c r="D261" s="7" t="s">
        <v>1548</v>
      </c>
      <c r="E261" t="s">
        <v>1549</v>
      </c>
      <c r="F261" s="7">
        <v>3</v>
      </c>
      <c r="G261" t="s">
        <v>761</v>
      </c>
      <c r="H261" s="59">
        <v>46143</v>
      </c>
      <c r="I261" t="s">
        <v>762</v>
      </c>
      <c r="J261" s="7">
        <v>1</v>
      </c>
      <c r="K261" s="1">
        <v>46143</v>
      </c>
      <c r="L261" s="56">
        <v>746010</v>
      </c>
      <c r="M261" t="s">
        <v>2220</v>
      </c>
      <c r="N261" t="s">
        <v>2234</v>
      </c>
      <c r="O261" t="s">
        <v>2258</v>
      </c>
      <c r="P261" t="s">
        <v>2284</v>
      </c>
    </row>
    <row r="262" spans="1:16" x14ac:dyDescent="0.25">
      <c r="A262" s="50" t="s">
        <v>1546</v>
      </c>
      <c r="B262" s="10" t="s">
        <v>2199</v>
      </c>
      <c r="C262" s="11" t="s">
        <v>28</v>
      </c>
      <c r="D262" s="10" t="s">
        <v>1548</v>
      </c>
      <c r="E262" s="11" t="s">
        <v>1550</v>
      </c>
      <c r="F262" s="10">
        <v>3</v>
      </c>
      <c r="G262" s="11" t="s">
        <v>761</v>
      </c>
      <c r="H262" s="58">
        <v>46143</v>
      </c>
      <c r="I262" s="11" t="s">
        <v>762</v>
      </c>
      <c r="J262" s="10">
        <v>1</v>
      </c>
      <c r="K262" s="57">
        <v>46143</v>
      </c>
      <c r="L262" s="55">
        <v>480032</v>
      </c>
      <c r="M262" t="s">
        <v>2220</v>
      </c>
      <c r="N262" t="s">
        <v>2234</v>
      </c>
      <c r="O262" t="s">
        <v>2258</v>
      </c>
      <c r="P262" t="s">
        <v>2284</v>
      </c>
    </row>
    <row r="263" spans="1:16" x14ac:dyDescent="0.25">
      <c r="A263" s="51" t="s">
        <v>1546</v>
      </c>
      <c r="B263" s="7" t="s">
        <v>2199</v>
      </c>
      <c r="C263" t="s">
        <v>28</v>
      </c>
      <c r="D263" s="7" t="s">
        <v>1548</v>
      </c>
      <c r="E263" t="s">
        <v>1227</v>
      </c>
      <c r="F263" s="7">
        <v>3</v>
      </c>
      <c r="G263" t="s">
        <v>761</v>
      </c>
      <c r="H263" s="59">
        <v>46143</v>
      </c>
      <c r="I263" t="s">
        <v>762</v>
      </c>
      <c r="J263" s="7">
        <v>1</v>
      </c>
      <c r="K263" s="1">
        <v>46143</v>
      </c>
      <c r="L263" s="56">
        <v>96000</v>
      </c>
      <c r="M263" t="s">
        <v>2220</v>
      </c>
      <c r="N263" t="s">
        <v>2234</v>
      </c>
      <c r="O263" t="s">
        <v>2258</v>
      </c>
      <c r="P263" t="s">
        <v>2284</v>
      </c>
    </row>
    <row r="264" spans="1:16" x14ac:dyDescent="0.25">
      <c r="A264" s="50" t="s">
        <v>1551</v>
      </c>
      <c r="B264" s="10" t="s">
        <v>2199</v>
      </c>
      <c r="C264" s="11" t="s">
        <v>28</v>
      </c>
      <c r="D264" s="10" t="s">
        <v>1553</v>
      </c>
      <c r="E264" s="11" t="s">
        <v>1554</v>
      </c>
      <c r="F264" s="10">
        <v>1</v>
      </c>
      <c r="G264" s="11" t="s">
        <v>761</v>
      </c>
      <c r="H264" s="58">
        <v>46143</v>
      </c>
      <c r="I264" s="11" t="s">
        <v>762</v>
      </c>
      <c r="J264" s="10">
        <v>1</v>
      </c>
      <c r="K264" s="57">
        <v>46143</v>
      </c>
      <c r="L264" s="55">
        <v>334061</v>
      </c>
      <c r="M264" t="s">
        <v>2220</v>
      </c>
      <c r="N264" t="s">
        <v>2234</v>
      </c>
      <c r="O264" t="s">
        <v>2258</v>
      </c>
      <c r="P264" t="s">
        <v>2284</v>
      </c>
    </row>
    <row r="265" spans="1:16" x14ac:dyDescent="0.25">
      <c r="A265" s="51" t="s">
        <v>1555</v>
      </c>
      <c r="B265" s="7" t="s">
        <v>2199</v>
      </c>
      <c r="C265" t="s">
        <v>28</v>
      </c>
      <c r="D265" s="7" t="s">
        <v>1556</v>
      </c>
      <c r="E265" t="s">
        <v>1558</v>
      </c>
      <c r="F265" s="7">
        <v>1</v>
      </c>
      <c r="G265" t="s">
        <v>1559</v>
      </c>
      <c r="H265" s="59">
        <v>46082</v>
      </c>
      <c r="I265" t="s">
        <v>1560</v>
      </c>
      <c r="J265" s="7">
        <v>1</v>
      </c>
      <c r="K265" s="1">
        <v>46113</v>
      </c>
      <c r="L265" s="56">
        <v>14500000</v>
      </c>
      <c r="M265" t="s">
        <v>2221</v>
      </c>
      <c r="N265" t="s">
        <v>2234</v>
      </c>
      <c r="O265" t="s">
        <v>2259</v>
      </c>
      <c r="P265" t="s">
        <v>2284</v>
      </c>
    </row>
    <row r="266" spans="1:16" x14ac:dyDescent="0.25">
      <c r="A266" s="50" t="s">
        <v>1563</v>
      </c>
      <c r="B266" s="10" t="s">
        <v>2199</v>
      </c>
      <c r="C266" s="11" t="s">
        <v>28</v>
      </c>
      <c r="D266" s="10" t="s">
        <v>1404</v>
      </c>
      <c r="E266" s="11" t="s">
        <v>815</v>
      </c>
      <c r="F266" s="10">
        <v>2</v>
      </c>
      <c r="G266" s="11" t="s">
        <v>1035</v>
      </c>
      <c r="H266" s="58">
        <v>46327</v>
      </c>
      <c r="I266" s="11" t="s">
        <v>1036</v>
      </c>
      <c r="J266" s="10">
        <v>1</v>
      </c>
      <c r="K266" s="57">
        <v>46327</v>
      </c>
      <c r="L266" s="55">
        <v>60000</v>
      </c>
      <c r="M266" t="s">
        <v>2230</v>
      </c>
      <c r="N266" t="s">
        <v>2227</v>
      </c>
      <c r="O266" t="s">
        <v>2261</v>
      </c>
      <c r="P266" t="s">
        <v>2284</v>
      </c>
    </row>
    <row r="267" spans="1:16" x14ac:dyDescent="0.25">
      <c r="A267" s="51" t="s">
        <v>1563</v>
      </c>
      <c r="B267" s="7" t="s">
        <v>2199</v>
      </c>
      <c r="C267" t="s">
        <v>28</v>
      </c>
      <c r="D267" s="7" t="s">
        <v>1404</v>
      </c>
      <c r="E267" t="s">
        <v>957</v>
      </c>
      <c r="F267" s="7">
        <v>2</v>
      </c>
      <c r="G267" t="s">
        <v>1035</v>
      </c>
      <c r="H267" s="59">
        <v>46327</v>
      </c>
      <c r="I267" t="s">
        <v>1036</v>
      </c>
      <c r="J267" s="7">
        <v>1</v>
      </c>
      <c r="K267" s="1">
        <v>46327</v>
      </c>
      <c r="L267" s="56">
        <v>400000</v>
      </c>
      <c r="M267" t="s">
        <v>2230</v>
      </c>
      <c r="N267" t="s">
        <v>2227</v>
      </c>
      <c r="O267" t="s">
        <v>2261</v>
      </c>
      <c r="P267" t="s">
        <v>2284</v>
      </c>
    </row>
    <row r="268" spans="1:16" x14ac:dyDescent="0.25">
      <c r="A268" s="50" t="s">
        <v>1566</v>
      </c>
      <c r="B268" s="10" t="s">
        <v>2199</v>
      </c>
      <c r="C268" s="11" t="s">
        <v>28</v>
      </c>
      <c r="D268" s="10" t="s">
        <v>1567</v>
      </c>
      <c r="E268" s="11" t="s">
        <v>1121</v>
      </c>
      <c r="F268" s="10">
        <v>1</v>
      </c>
      <c r="G268" s="11" t="s">
        <v>1211</v>
      </c>
      <c r="H268" s="58">
        <v>46054</v>
      </c>
      <c r="I268" s="11" t="s">
        <v>320</v>
      </c>
      <c r="J268" s="10">
        <v>1</v>
      </c>
      <c r="K268" s="57">
        <v>46054</v>
      </c>
      <c r="L268" s="55">
        <v>120000</v>
      </c>
      <c r="M268" t="s">
        <v>2225</v>
      </c>
      <c r="N268" t="s">
        <v>2234</v>
      </c>
      <c r="O268" t="s">
        <v>2258</v>
      </c>
      <c r="P268" t="s">
        <v>2284</v>
      </c>
    </row>
    <row r="269" spans="1:16" x14ac:dyDescent="0.25">
      <c r="A269" s="51" t="s">
        <v>1569</v>
      </c>
      <c r="B269" s="7" t="s">
        <v>2199</v>
      </c>
      <c r="C269" t="s">
        <v>28</v>
      </c>
      <c r="D269" s="7" t="s">
        <v>1570</v>
      </c>
      <c r="E269" t="s">
        <v>599</v>
      </c>
      <c r="F269" s="7">
        <v>1</v>
      </c>
      <c r="G269" t="s">
        <v>1572</v>
      </c>
      <c r="H269" s="59">
        <v>46082</v>
      </c>
      <c r="I269" t="s">
        <v>1573</v>
      </c>
      <c r="J269" s="7">
        <v>1</v>
      </c>
      <c r="K269" s="1">
        <v>46082</v>
      </c>
      <c r="L269" s="56">
        <v>7000000</v>
      </c>
      <c r="M269" t="s">
        <v>2222</v>
      </c>
      <c r="N269" t="s">
        <v>2234</v>
      </c>
      <c r="O269" t="s">
        <v>2260</v>
      </c>
      <c r="P269" t="s">
        <v>2284</v>
      </c>
    </row>
    <row r="270" spans="1:16" x14ac:dyDescent="0.25">
      <c r="A270" s="50" t="s">
        <v>1585</v>
      </c>
      <c r="B270" s="10" t="s">
        <v>2199</v>
      </c>
      <c r="C270" s="11" t="s">
        <v>28</v>
      </c>
      <c r="D270" s="10" t="s">
        <v>1587</v>
      </c>
      <c r="E270" s="11" t="s">
        <v>1589</v>
      </c>
      <c r="F270" s="10">
        <v>1</v>
      </c>
      <c r="G270" s="11" t="s">
        <v>1572</v>
      </c>
      <c r="H270" s="58">
        <v>46082</v>
      </c>
      <c r="I270" s="11" t="s">
        <v>1573</v>
      </c>
      <c r="J270" s="10">
        <v>1</v>
      </c>
      <c r="K270" s="57">
        <v>46082</v>
      </c>
      <c r="L270" s="55">
        <v>1428000</v>
      </c>
      <c r="M270" t="s">
        <v>2222</v>
      </c>
      <c r="N270" t="s">
        <v>2234</v>
      </c>
      <c r="O270" t="s">
        <v>2260</v>
      </c>
      <c r="P270" t="s">
        <v>2284</v>
      </c>
    </row>
    <row r="271" spans="1:16" x14ac:dyDescent="0.25">
      <c r="A271" s="51" t="s">
        <v>1590</v>
      </c>
      <c r="B271" s="7" t="s">
        <v>2199</v>
      </c>
      <c r="C271" t="s">
        <v>374</v>
      </c>
      <c r="D271" s="7" t="s">
        <v>1591</v>
      </c>
      <c r="E271" t="s">
        <v>1592</v>
      </c>
      <c r="F271" s="7">
        <v>3</v>
      </c>
      <c r="G271" t="s">
        <v>761</v>
      </c>
      <c r="H271" s="59">
        <v>46143</v>
      </c>
      <c r="I271" t="s">
        <v>762</v>
      </c>
      <c r="J271" s="7">
        <v>1</v>
      </c>
      <c r="K271" s="1">
        <v>46143</v>
      </c>
      <c r="L271" s="56">
        <v>150000</v>
      </c>
      <c r="M271" t="s">
        <v>2220</v>
      </c>
      <c r="N271" t="s">
        <v>2234</v>
      </c>
      <c r="O271" t="s">
        <v>2258</v>
      </c>
      <c r="P271" t="s">
        <v>2284</v>
      </c>
    </row>
    <row r="272" spans="1:16" x14ac:dyDescent="0.25">
      <c r="A272" s="50" t="s">
        <v>1590</v>
      </c>
      <c r="B272" s="10" t="s">
        <v>2199</v>
      </c>
      <c r="C272" s="11" t="s">
        <v>374</v>
      </c>
      <c r="D272" s="10" t="s">
        <v>1591</v>
      </c>
      <c r="E272" s="11" t="s">
        <v>1594</v>
      </c>
      <c r="F272" s="10">
        <v>3</v>
      </c>
      <c r="G272" s="11" t="s">
        <v>761</v>
      </c>
      <c r="H272" s="58">
        <v>46143</v>
      </c>
      <c r="I272" s="11" t="s">
        <v>762</v>
      </c>
      <c r="J272" s="10">
        <v>1</v>
      </c>
      <c r="K272" s="57">
        <v>46143</v>
      </c>
      <c r="L272" s="55">
        <v>75000</v>
      </c>
      <c r="M272" t="s">
        <v>2220</v>
      </c>
      <c r="N272" t="s">
        <v>2234</v>
      </c>
      <c r="O272" t="s">
        <v>2258</v>
      </c>
      <c r="P272" t="s">
        <v>2284</v>
      </c>
    </row>
    <row r="273" spans="1:16" x14ac:dyDescent="0.25">
      <c r="A273" s="51" t="s">
        <v>1590</v>
      </c>
      <c r="B273" s="7" t="s">
        <v>2199</v>
      </c>
      <c r="C273" t="s">
        <v>374</v>
      </c>
      <c r="D273" s="7" t="s">
        <v>1591</v>
      </c>
      <c r="E273" t="s">
        <v>1593</v>
      </c>
      <c r="F273" s="7">
        <v>3</v>
      </c>
      <c r="G273" t="s">
        <v>761</v>
      </c>
      <c r="H273" s="59">
        <v>46143</v>
      </c>
      <c r="I273" t="s">
        <v>762</v>
      </c>
      <c r="J273" s="7">
        <v>1</v>
      </c>
      <c r="K273" s="1">
        <v>46143</v>
      </c>
      <c r="L273" s="56">
        <v>70000</v>
      </c>
      <c r="M273" t="s">
        <v>2220</v>
      </c>
      <c r="N273" t="s">
        <v>2234</v>
      </c>
      <c r="O273" t="s">
        <v>2258</v>
      </c>
      <c r="P273" t="s">
        <v>2284</v>
      </c>
    </row>
    <row r="274" spans="1:16" x14ac:dyDescent="0.25">
      <c r="A274" s="50" t="s">
        <v>1600</v>
      </c>
      <c r="B274" s="10" t="s">
        <v>2199</v>
      </c>
      <c r="C274" s="11" t="s">
        <v>28</v>
      </c>
      <c r="D274" s="10" t="s">
        <v>1601</v>
      </c>
      <c r="E274" s="11" t="s">
        <v>1603</v>
      </c>
      <c r="F274" s="10">
        <v>1</v>
      </c>
      <c r="G274" s="11" t="s">
        <v>1572</v>
      </c>
      <c r="H274" s="58">
        <v>46235</v>
      </c>
      <c r="I274" s="11" t="s">
        <v>1573</v>
      </c>
      <c r="J274" s="10">
        <v>1</v>
      </c>
      <c r="K274" s="57">
        <v>46235</v>
      </c>
      <c r="L274" s="55">
        <v>1428000</v>
      </c>
      <c r="M274" t="s">
        <v>2222</v>
      </c>
      <c r="N274" t="s">
        <v>2234</v>
      </c>
      <c r="O274" t="s">
        <v>2260</v>
      </c>
      <c r="P274" t="s">
        <v>2284</v>
      </c>
    </row>
    <row r="275" spans="1:16" x14ac:dyDescent="0.25">
      <c r="A275" s="51" t="s">
        <v>1604</v>
      </c>
      <c r="B275" s="7" t="s">
        <v>2199</v>
      </c>
      <c r="C275" t="s">
        <v>28</v>
      </c>
      <c r="D275" s="7" t="s">
        <v>1605</v>
      </c>
      <c r="E275" t="s">
        <v>1607</v>
      </c>
      <c r="F275" s="7">
        <v>2</v>
      </c>
      <c r="G275" t="s">
        <v>1608</v>
      </c>
      <c r="H275" s="59">
        <v>46023</v>
      </c>
      <c r="I275" t="s">
        <v>361</v>
      </c>
      <c r="J275" s="7">
        <v>1</v>
      </c>
      <c r="K275" s="1">
        <v>46023</v>
      </c>
      <c r="L275" s="56">
        <v>360000</v>
      </c>
      <c r="M275" t="s">
        <v>2254</v>
      </c>
      <c r="N275" t="s">
        <v>2234</v>
      </c>
      <c r="O275" t="s">
        <v>2258</v>
      </c>
      <c r="P275" t="s">
        <v>2284</v>
      </c>
    </row>
    <row r="276" spans="1:16" x14ac:dyDescent="0.25">
      <c r="A276" s="50" t="s">
        <v>1604</v>
      </c>
      <c r="B276" s="10" t="s">
        <v>2199</v>
      </c>
      <c r="C276" s="11" t="s">
        <v>28</v>
      </c>
      <c r="D276" s="10" t="s">
        <v>1605</v>
      </c>
      <c r="E276" s="11" t="s">
        <v>1609</v>
      </c>
      <c r="F276" s="10">
        <v>2</v>
      </c>
      <c r="G276" s="11" t="s">
        <v>1608</v>
      </c>
      <c r="H276" s="58">
        <v>46023</v>
      </c>
      <c r="I276" s="11" t="s">
        <v>361</v>
      </c>
      <c r="J276" s="10">
        <v>1</v>
      </c>
      <c r="K276" s="57">
        <v>46023</v>
      </c>
      <c r="L276" s="55">
        <v>800000</v>
      </c>
      <c r="M276" t="s">
        <v>2254</v>
      </c>
      <c r="N276" t="s">
        <v>2234</v>
      </c>
      <c r="O276" t="s">
        <v>2258</v>
      </c>
      <c r="P276" t="s">
        <v>2284</v>
      </c>
    </row>
    <row r="277" spans="1:16" x14ac:dyDescent="0.25">
      <c r="A277" s="51" t="s">
        <v>1610</v>
      </c>
      <c r="B277" s="7" t="s">
        <v>2199</v>
      </c>
      <c r="C277" t="s">
        <v>28</v>
      </c>
      <c r="D277" s="7" t="s">
        <v>1611</v>
      </c>
      <c r="E277" t="s">
        <v>1618</v>
      </c>
      <c r="F277" s="7">
        <v>4</v>
      </c>
      <c r="G277" t="s">
        <v>1613</v>
      </c>
      <c r="H277" s="59">
        <v>46054</v>
      </c>
      <c r="I277" t="s">
        <v>1614</v>
      </c>
      <c r="J277" s="7">
        <v>1</v>
      </c>
      <c r="K277" s="1">
        <v>46054</v>
      </c>
      <c r="L277" s="56">
        <v>5000001</v>
      </c>
      <c r="M277" t="s">
        <v>2221</v>
      </c>
      <c r="N277" t="s">
        <v>2234</v>
      </c>
      <c r="O277" t="s">
        <v>2259</v>
      </c>
      <c r="P277" t="s">
        <v>2284</v>
      </c>
    </row>
    <row r="278" spans="1:16" x14ac:dyDescent="0.25">
      <c r="A278" s="50" t="s">
        <v>1610</v>
      </c>
      <c r="B278" s="10" t="s">
        <v>2199</v>
      </c>
      <c r="C278" s="11" t="s">
        <v>28</v>
      </c>
      <c r="D278" s="10" t="s">
        <v>1611</v>
      </c>
      <c r="E278" s="11" t="s">
        <v>1617</v>
      </c>
      <c r="F278" s="10">
        <v>4</v>
      </c>
      <c r="G278" s="11" t="s">
        <v>1613</v>
      </c>
      <c r="H278" s="58">
        <v>46082</v>
      </c>
      <c r="I278" s="11" t="s">
        <v>1614</v>
      </c>
      <c r="J278" s="10">
        <v>1</v>
      </c>
      <c r="K278" s="57">
        <v>46082</v>
      </c>
      <c r="L278" s="55">
        <v>5000001</v>
      </c>
      <c r="M278" t="s">
        <v>2221</v>
      </c>
      <c r="N278" t="s">
        <v>2234</v>
      </c>
      <c r="O278" t="s">
        <v>2259</v>
      </c>
      <c r="P278" t="s">
        <v>2284</v>
      </c>
    </row>
    <row r="279" spans="1:16" x14ac:dyDescent="0.25">
      <c r="A279" s="51" t="s">
        <v>1610</v>
      </c>
      <c r="B279" s="7" t="s">
        <v>2199</v>
      </c>
      <c r="C279" t="s">
        <v>28</v>
      </c>
      <c r="D279" s="7" t="s">
        <v>1611</v>
      </c>
      <c r="E279" t="s">
        <v>602</v>
      </c>
      <c r="F279" s="7">
        <v>4</v>
      </c>
      <c r="G279" t="s">
        <v>1613</v>
      </c>
      <c r="H279" s="59">
        <v>46054</v>
      </c>
      <c r="I279" t="s">
        <v>1614</v>
      </c>
      <c r="J279" s="7">
        <v>1</v>
      </c>
      <c r="K279" s="1">
        <v>46054</v>
      </c>
      <c r="L279" s="56">
        <v>1500000</v>
      </c>
      <c r="M279" t="s">
        <v>2221</v>
      </c>
      <c r="N279" t="s">
        <v>2234</v>
      </c>
      <c r="O279" t="s">
        <v>2259</v>
      </c>
      <c r="P279" t="s">
        <v>2284</v>
      </c>
    </row>
    <row r="280" spans="1:16" x14ac:dyDescent="0.25">
      <c r="A280" s="50" t="s">
        <v>1610</v>
      </c>
      <c r="B280" s="10" t="s">
        <v>2199</v>
      </c>
      <c r="C280" s="11" t="s">
        <v>28</v>
      </c>
      <c r="D280" s="10" t="s">
        <v>1611</v>
      </c>
      <c r="E280" s="11" t="s">
        <v>1619</v>
      </c>
      <c r="F280" s="10">
        <v>4</v>
      </c>
      <c r="G280" s="11" t="s">
        <v>1613</v>
      </c>
      <c r="H280" s="58">
        <v>46023</v>
      </c>
      <c r="I280" s="11" t="s">
        <v>1614</v>
      </c>
      <c r="J280" s="10">
        <v>1</v>
      </c>
      <c r="K280" s="57">
        <v>46023</v>
      </c>
      <c r="L280" s="55">
        <v>50932000</v>
      </c>
      <c r="M280" t="s">
        <v>2221</v>
      </c>
      <c r="N280" t="s">
        <v>2234</v>
      </c>
      <c r="O280" t="s">
        <v>2259</v>
      </c>
      <c r="P280" t="s">
        <v>2284</v>
      </c>
    </row>
    <row r="281" spans="1:16" x14ac:dyDescent="0.25">
      <c r="A281" s="51" t="s">
        <v>1620</v>
      </c>
      <c r="B281" s="7" t="s">
        <v>2199</v>
      </c>
      <c r="C281" t="s">
        <v>28</v>
      </c>
      <c r="D281" s="7" t="s">
        <v>1621</v>
      </c>
      <c r="E281" t="s">
        <v>1623</v>
      </c>
      <c r="F281" s="7">
        <v>1</v>
      </c>
      <c r="G281" t="s">
        <v>1608</v>
      </c>
      <c r="H281" s="59">
        <v>46023</v>
      </c>
      <c r="I281" t="s">
        <v>361</v>
      </c>
      <c r="J281" s="7">
        <v>1</v>
      </c>
      <c r="K281" s="1">
        <v>46023</v>
      </c>
      <c r="L281" s="56">
        <v>600000</v>
      </c>
      <c r="M281" t="s">
        <v>2254</v>
      </c>
      <c r="N281" t="s">
        <v>2234</v>
      </c>
      <c r="O281" t="s">
        <v>2258</v>
      </c>
      <c r="P281" t="s">
        <v>2284</v>
      </c>
    </row>
    <row r="282" spans="1:16" x14ac:dyDescent="0.25">
      <c r="A282" s="50" t="s">
        <v>1626</v>
      </c>
      <c r="B282" s="10" t="s">
        <v>2199</v>
      </c>
      <c r="C282" s="11" t="s">
        <v>28</v>
      </c>
      <c r="D282" s="10" t="s">
        <v>1627</v>
      </c>
      <c r="E282" s="11" t="s">
        <v>1629</v>
      </c>
      <c r="F282" s="10">
        <v>3</v>
      </c>
      <c r="G282" s="11" t="s">
        <v>1572</v>
      </c>
      <c r="H282" s="58">
        <v>46113</v>
      </c>
      <c r="I282" s="11" t="s">
        <v>1573</v>
      </c>
      <c r="J282" s="10">
        <v>1</v>
      </c>
      <c r="K282" s="57">
        <v>46113</v>
      </c>
      <c r="L282" s="55">
        <v>63000</v>
      </c>
      <c r="M282" t="s">
        <v>2222</v>
      </c>
      <c r="N282" t="s">
        <v>2234</v>
      </c>
      <c r="O282" t="s">
        <v>2260</v>
      </c>
      <c r="P282" t="s">
        <v>2284</v>
      </c>
    </row>
    <row r="283" spans="1:16" x14ac:dyDescent="0.25">
      <c r="A283" s="51" t="s">
        <v>1626</v>
      </c>
      <c r="B283" s="7" t="s">
        <v>2199</v>
      </c>
      <c r="C283" t="s">
        <v>28</v>
      </c>
      <c r="D283" s="7" t="s">
        <v>1627</v>
      </c>
      <c r="E283" t="s">
        <v>1630</v>
      </c>
      <c r="F283" s="7">
        <v>3</v>
      </c>
      <c r="G283" t="s">
        <v>1572</v>
      </c>
      <c r="H283" s="59">
        <v>46113</v>
      </c>
      <c r="I283" t="s">
        <v>1573</v>
      </c>
      <c r="J283" s="7">
        <v>1</v>
      </c>
      <c r="K283" s="1">
        <v>46113</v>
      </c>
      <c r="L283" s="56">
        <v>3164040</v>
      </c>
      <c r="M283" t="s">
        <v>2222</v>
      </c>
      <c r="N283" t="s">
        <v>2234</v>
      </c>
      <c r="O283" t="s">
        <v>2260</v>
      </c>
      <c r="P283" t="s">
        <v>2284</v>
      </c>
    </row>
    <row r="284" spans="1:16" x14ac:dyDescent="0.25">
      <c r="A284" s="50" t="s">
        <v>1626</v>
      </c>
      <c r="B284" s="10" t="s">
        <v>2199</v>
      </c>
      <c r="C284" s="11" t="s">
        <v>28</v>
      </c>
      <c r="D284" s="10" t="s">
        <v>1627</v>
      </c>
      <c r="E284" s="11" t="s">
        <v>1631</v>
      </c>
      <c r="F284" s="10">
        <v>3</v>
      </c>
      <c r="G284" s="11" t="s">
        <v>1572</v>
      </c>
      <c r="H284" s="58">
        <v>46113</v>
      </c>
      <c r="I284" s="11" t="s">
        <v>1573</v>
      </c>
      <c r="J284" s="10">
        <v>1</v>
      </c>
      <c r="K284" s="57">
        <v>46113</v>
      </c>
      <c r="L284" s="55">
        <v>2353780</v>
      </c>
      <c r="M284" t="s">
        <v>2222</v>
      </c>
      <c r="N284" t="s">
        <v>2234</v>
      </c>
      <c r="O284" t="s">
        <v>2260</v>
      </c>
      <c r="P284" t="s">
        <v>2284</v>
      </c>
    </row>
    <row r="285" spans="1:16" x14ac:dyDescent="0.25">
      <c r="A285" s="51" t="s">
        <v>1632</v>
      </c>
      <c r="B285" s="7" t="s">
        <v>2199</v>
      </c>
      <c r="C285" t="s">
        <v>28</v>
      </c>
      <c r="D285" s="7" t="s">
        <v>1633</v>
      </c>
      <c r="E285" t="s">
        <v>1636</v>
      </c>
      <c r="F285" s="7">
        <v>2</v>
      </c>
      <c r="G285" t="s">
        <v>934</v>
      </c>
      <c r="H285" s="59">
        <v>46204</v>
      </c>
      <c r="I285" t="s">
        <v>935</v>
      </c>
      <c r="J285" s="7">
        <v>1</v>
      </c>
      <c r="K285" s="1">
        <v>46204</v>
      </c>
      <c r="L285" s="56">
        <v>80000</v>
      </c>
      <c r="M285" t="s">
        <v>2230</v>
      </c>
      <c r="N285" t="s">
        <v>2227</v>
      </c>
      <c r="O285" t="s">
        <v>2261</v>
      </c>
      <c r="P285" t="s">
        <v>2284</v>
      </c>
    </row>
    <row r="286" spans="1:16" x14ac:dyDescent="0.25">
      <c r="A286" s="50" t="s">
        <v>1632</v>
      </c>
      <c r="B286" s="10" t="s">
        <v>2199</v>
      </c>
      <c r="C286" s="11" t="s">
        <v>28</v>
      </c>
      <c r="D286" s="10" t="s">
        <v>1633</v>
      </c>
      <c r="E286" s="11" t="s">
        <v>1635</v>
      </c>
      <c r="F286" s="10">
        <v>2</v>
      </c>
      <c r="G286" s="11" t="s">
        <v>934</v>
      </c>
      <c r="H286" s="58">
        <v>46204</v>
      </c>
      <c r="I286" s="11" t="s">
        <v>935</v>
      </c>
      <c r="J286" s="10">
        <v>1</v>
      </c>
      <c r="K286" s="57">
        <v>46204</v>
      </c>
      <c r="L286" s="55">
        <v>360000</v>
      </c>
      <c r="M286" t="s">
        <v>2230</v>
      </c>
      <c r="N286" t="s">
        <v>2227</v>
      </c>
      <c r="O286" t="s">
        <v>2261</v>
      </c>
      <c r="P286" t="s">
        <v>2284</v>
      </c>
    </row>
    <row r="287" spans="1:16" x14ac:dyDescent="0.25">
      <c r="A287" s="51" t="s">
        <v>1637</v>
      </c>
      <c r="B287" s="7" t="s">
        <v>2199</v>
      </c>
      <c r="C287" t="s">
        <v>28</v>
      </c>
      <c r="D287" s="7" t="s">
        <v>1177</v>
      </c>
      <c r="E287" t="s">
        <v>1179</v>
      </c>
      <c r="F287" s="7">
        <v>1</v>
      </c>
      <c r="G287" t="s">
        <v>1180</v>
      </c>
      <c r="H287" s="59">
        <v>46082</v>
      </c>
      <c r="I287" t="s">
        <v>1181</v>
      </c>
      <c r="J287" s="7">
        <v>1</v>
      </c>
      <c r="K287" s="1">
        <v>46082</v>
      </c>
      <c r="L287" s="56">
        <v>115003</v>
      </c>
      <c r="M287" t="s">
        <v>2230</v>
      </c>
      <c r="N287" t="s">
        <v>2227</v>
      </c>
      <c r="O287" t="s">
        <v>2261</v>
      </c>
      <c r="P287" t="s">
        <v>2284</v>
      </c>
    </row>
    <row r="288" spans="1:16" x14ac:dyDescent="0.25">
      <c r="A288" s="50" t="s">
        <v>1638</v>
      </c>
      <c r="B288" s="10" t="s">
        <v>2199</v>
      </c>
      <c r="C288" s="11" t="s">
        <v>28</v>
      </c>
      <c r="D288" s="10" t="s">
        <v>1639</v>
      </c>
      <c r="E288" s="11" t="s">
        <v>1641</v>
      </c>
      <c r="F288" s="10">
        <v>1</v>
      </c>
      <c r="G288" s="11" t="s">
        <v>1642</v>
      </c>
      <c r="H288" s="58">
        <v>46082</v>
      </c>
      <c r="I288" s="11" t="s">
        <v>1643</v>
      </c>
      <c r="J288" s="10">
        <v>1</v>
      </c>
      <c r="K288" s="57">
        <v>46082</v>
      </c>
      <c r="L288" s="55">
        <v>405000</v>
      </c>
      <c r="M288" t="s">
        <v>2253</v>
      </c>
      <c r="N288" t="s">
        <v>2234</v>
      </c>
      <c r="O288" t="s">
        <v>2258</v>
      </c>
      <c r="P288" t="s">
        <v>2284</v>
      </c>
    </row>
    <row r="289" spans="1:16" x14ac:dyDescent="0.25">
      <c r="A289" s="51" t="s">
        <v>1667</v>
      </c>
      <c r="B289" s="7" t="s">
        <v>2199</v>
      </c>
      <c r="C289" t="s">
        <v>28</v>
      </c>
      <c r="D289" s="7" t="s">
        <v>1668</v>
      </c>
      <c r="E289" t="s">
        <v>359</v>
      </c>
      <c r="F289" s="7">
        <v>3</v>
      </c>
      <c r="G289" t="s">
        <v>64</v>
      </c>
      <c r="H289" s="59">
        <v>46082</v>
      </c>
      <c r="I289" t="s">
        <v>65</v>
      </c>
      <c r="J289" s="7">
        <v>4</v>
      </c>
      <c r="K289" t="s">
        <v>1672</v>
      </c>
      <c r="L289" s="56">
        <v>367136</v>
      </c>
      <c r="M289" t="s">
        <v>2226</v>
      </c>
      <c r="N289" t="s">
        <v>2262</v>
      </c>
      <c r="O289" t="s">
        <v>2226</v>
      </c>
      <c r="P289" t="s">
        <v>2284</v>
      </c>
    </row>
    <row r="290" spans="1:16" x14ac:dyDescent="0.25">
      <c r="A290" s="50" t="s">
        <v>1667</v>
      </c>
      <c r="B290" s="10" t="s">
        <v>2199</v>
      </c>
      <c r="C290" s="11" t="s">
        <v>28</v>
      </c>
      <c r="D290" s="10" t="s">
        <v>1668</v>
      </c>
      <c r="E290" s="11" t="s">
        <v>1670</v>
      </c>
      <c r="F290" s="10">
        <v>3</v>
      </c>
      <c r="G290" s="11" t="s">
        <v>64</v>
      </c>
      <c r="H290" s="58">
        <v>46054</v>
      </c>
      <c r="I290" s="11" t="s">
        <v>65</v>
      </c>
      <c r="J290" s="10">
        <v>1</v>
      </c>
      <c r="K290" s="57">
        <v>46054</v>
      </c>
      <c r="L290" s="55">
        <v>150000</v>
      </c>
      <c r="M290" t="s">
        <v>2226</v>
      </c>
      <c r="N290" t="s">
        <v>2262</v>
      </c>
      <c r="O290" t="s">
        <v>2226</v>
      </c>
      <c r="P290" t="s">
        <v>2284</v>
      </c>
    </row>
    <row r="291" spans="1:16" x14ac:dyDescent="0.25">
      <c r="A291" s="51" t="s">
        <v>1667</v>
      </c>
      <c r="B291" s="7" t="s">
        <v>2199</v>
      </c>
      <c r="C291" t="s">
        <v>28</v>
      </c>
      <c r="D291" s="7" t="s">
        <v>1668</v>
      </c>
      <c r="E291" t="s">
        <v>1671</v>
      </c>
      <c r="F291" s="7">
        <v>3</v>
      </c>
      <c r="G291" t="s">
        <v>64</v>
      </c>
      <c r="H291" s="59">
        <v>46054</v>
      </c>
      <c r="I291" t="s">
        <v>65</v>
      </c>
      <c r="J291" s="7">
        <v>1</v>
      </c>
      <c r="K291" s="1">
        <v>46054</v>
      </c>
      <c r="L291" s="56">
        <v>25017</v>
      </c>
      <c r="M291" t="s">
        <v>2226</v>
      </c>
      <c r="N291" t="s">
        <v>2262</v>
      </c>
      <c r="O291" t="s">
        <v>2226</v>
      </c>
      <c r="P291" t="s">
        <v>2284</v>
      </c>
    </row>
    <row r="292" spans="1:16" x14ac:dyDescent="0.25">
      <c r="A292" s="50" t="s">
        <v>1675</v>
      </c>
      <c r="B292" s="10" t="s">
        <v>2199</v>
      </c>
      <c r="C292" s="11" t="s">
        <v>28</v>
      </c>
      <c r="D292" s="10" t="s">
        <v>1658</v>
      </c>
      <c r="E292" s="11" t="s">
        <v>1617</v>
      </c>
      <c r="F292" s="10">
        <v>2</v>
      </c>
      <c r="G292" s="11" t="s">
        <v>1660</v>
      </c>
      <c r="H292" s="58">
        <v>46174</v>
      </c>
      <c r="I292" s="11" t="s">
        <v>1661</v>
      </c>
      <c r="J292" s="10">
        <v>1</v>
      </c>
      <c r="K292" s="57">
        <v>46174</v>
      </c>
      <c r="L292" s="55">
        <v>1302600</v>
      </c>
      <c r="M292" t="s">
        <v>2222</v>
      </c>
      <c r="N292" t="s">
        <v>2234</v>
      </c>
      <c r="O292" t="s">
        <v>2260</v>
      </c>
      <c r="P292" t="s">
        <v>2284</v>
      </c>
    </row>
    <row r="293" spans="1:16" x14ac:dyDescent="0.25">
      <c r="A293" s="51" t="s">
        <v>1675</v>
      </c>
      <c r="B293" s="7" t="s">
        <v>2199</v>
      </c>
      <c r="C293" t="s">
        <v>28</v>
      </c>
      <c r="D293" s="7" t="s">
        <v>1658</v>
      </c>
      <c r="E293" t="s">
        <v>1678</v>
      </c>
      <c r="F293" s="7">
        <v>2</v>
      </c>
      <c r="G293" t="s">
        <v>1660</v>
      </c>
      <c r="H293" s="59">
        <v>46174</v>
      </c>
      <c r="I293" t="s">
        <v>1661</v>
      </c>
      <c r="J293" s="7">
        <v>1</v>
      </c>
      <c r="K293" s="1">
        <v>46174</v>
      </c>
      <c r="L293" s="56">
        <v>1200000</v>
      </c>
      <c r="M293" t="s">
        <v>2222</v>
      </c>
      <c r="N293" t="s">
        <v>2234</v>
      </c>
      <c r="O293" t="s">
        <v>2260</v>
      </c>
      <c r="P293" t="s">
        <v>2284</v>
      </c>
    </row>
    <row r="294" spans="1:16" x14ac:dyDescent="0.25">
      <c r="A294" s="50" t="s">
        <v>1679</v>
      </c>
      <c r="B294" s="10" t="s">
        <v>2199</v>
      </c>
      <c r="C294" s="11" t="s">
        <v>28</v>
      </c>
      <c r="D294" s="10" t="s">
        <v>1680</v>
      </c>
      <c r="E294" s="11" t="s">
        <v>1550</v>
      </c>
      <c r="F294" s="10">
        <v>3</v>
      </c>
      <c r="G294" s="11" t="s">
        <v>457</v>
      </c>
      <c r="H294" s="58">
        <v>46023</v>
      </c>
      <c r="I294" s="11" t="s">
        <v>1682</v>
      </c>
      <c r="J294" s="10">
        <v>1</v>
      </c>
      <c r="K294" s="57">
        <v>46023</v>
      </c>
      <c r="L294" s="55">
        <v>18000</v>
      </c>
      <c r="M294" t="s">
        <v>2228</v>
      </c>
      <c r="N294" t="s">
        <v>2227</v>
      </c>
      <c r="O294" t="s">
        <v>2261</v>
      </c>
      <c r="P294" t="s">
        <v>2284</v>
      </c>
    </row>
    <row r="295" spans="1:16" x14ac:dyDescent="0.25">
      <c r="A295" s="51" t="s">
        <v>1679</v>
      </c>
      <c r="B295" s="7" t="s">
        <v>2199</v>
      </c>
      <c r="C295" t="s">
        <v>28</v>
      </c>
      <c r="D295" s="7" t="s">
        <v>1680</v>
      </c>
      <c r="E295" t="s">
        <v>486</v>
      </c>
      <c r="F295" s="7">
        <v>3</v>
      </c>
      <c r="G295" t="s">
        <v>457</v>
      </c>
      <c r="H295" s="59">
        <v>46023</v>
      </c>
      <c r="I295" t="s">
        <v>1682</v>
      </c>
      <c r="J295" s="7">
        <v>1</v>
      </c>
      <c r="K295" s="1">
        <v>46023</v>
      </c>
      <c r="L295" s="56">
        <v>184014</v>
      </c>
      <c r="M295" t="s">
        <v>2228</v>
      </c>
      <c r="N295" t="s">
        <v>2227</v>
      </c>
      <c r="O295" t="s">
        <v>2261</v>
      </c>
      <c r="P295" t="s">
        <v>2284</v>
      </c>
    </row>
    <row r="296" spans="1:16" x14ac:dyDescent="0.25">
      <c r="A296" s="50" t="s">
        <v>1679</v>
      </c>
      <c r="B296" s="10" t="s">
        <v>2199</v>
      </c>
      <c r="C296" s="11" t="s">
        <v>28</v>
      </c>
      <c r="D296" s="10" t="s">
        <v>1680</v>
      </c>
      <c r="E296" s="11" t="s">
        <v>1683</v>
      </c>
      <c r="F296" s="10">
        <v>3</v>
      </c>
      <c r="G296" s="11" t="s">
        <v>457</v>
      </c>
      <c r="H296" s="58">
        <v>46023</v>
      </c>
      <c r="I296" s="11" t="s">
        <v>1682</v>
      </c>
      <c r="J296" s="10">
        <v>1</v>
      </c>
      <c r="K296" s="57">
        <v>46023</v>
      </c>
      <c r="L296" s="55">
        <v>20000</v>
      </c>
      <c r="M296" t="s">
        <v>2228</v>
      </c>
      <c r="N296" t="s">
        <v>2227</v>
      </c>
      <c r="O296" t="s">
        <v>2261</v>
      </c>
      <c r="P296" t="s">
        <v>2284</v>
      </c>
    </row>
    <row r="297" spans="1:16" x14ac:dyDescent="0.25">
      <c r="A297" s="51" t="s">
        <v>1684</v>
      </c>
      <c r="B297" s="7" t="s">
        <v>2199</v>
      </c>
      <c r="C297" t="s">
        <v>28</v>
      </c>
      <c r="D297" s="7" t="s">
        <v>1685</v>
      </c>
      <c r="E297" t="s">
        <v>639</v>
      </c>
      <c r="F297" s="7">
        <v>1</v>
      </c>
      <c r="G297" t="s">
        <v>1642</v>
      </c>
      <c r="H297" s="59">
        <v>46054</v>
      </c>
      <c r="I297" t="s">
        <v>1643</v>
      </c>
      <c r="J297" s="7">
        <v>1</v>
      </c>
      <c r="K297" s="1">
        <v>46054</v>
      </c>
      <c r="L297" s="56">
        <v>200000</v>
      </c>
      <c r="M297" t="s">
        <v>2253</v>
      </c>
      <c r="N297" t="s">
        <v>2234</v>
      </c>
      <c r="O297" t="s">
        <v>2258</v>
      </c>
      <c r="P297" t="s">
        <v>2284</v>
      </c>
    </row>
    <row r="298" spans="1:16" x14ac:dyDescent="0.25">
      <c r="A298" s="50" t="s">
        <v>1687</v>
      </c>
      <c r="B298" s="10" t="s">
        <v>2199</v>
      </c>
      <c r="C298" s="11" t="s">
        <v>28</v>
      </c>
      <c r="D298" s="10" t="s">
        <v>1688</v>
      </c>
      <c r="E298" s="11" t="s">
        <v>486</v>
      </c>
      <c r="F298" s="10">
        <v>2</v>
      </c>
      <c r="G298" s="11" t="s">
        <v>1690</v>
      </c>
      <c r="H298" s="58">
        <v>46082</v>
      </c>
      <c r="I298" s="11" t="s">
        <v>865</v>
      </c>
      <c r="J298" s="10">
        <v>1</v>
      </c>
      <c r="K298" s="57">
        <v>46082</v>
      </c>
      <c r="L298" s="55">
        <v>230009</v>
      </c>
      <c r="M298" t="s">
        <v>2233</v>
      </c>
      <c r="N298" t="s">
        <v>2256</v>
      </c>
      <c r="O298" t="s">
        <v>2266</v>
      </c>
      <c r="P298" t="s">
        <v>2284</v>
      </c>
    </row>
    <row r="299" spans="1:16" x14ac:dyDescent="0.25">
      <c r="A299" s="51" t="s">
        <v>1687</v>
      </c>
      <c r="B299" s="7" t="s">
        <v>2199</v>
      </c>
      <c r="C299" t="s">
        <v>28</v>
      </c>
      <c r="D299" s="7" t="s">
        <v>1688</v>
      </c>
      <c r="E299" t="s">
        <v>1693</v>
      </c>
      <c r="F299" s="7">
        <v>2</v>
      </c>
      <c r="G299" t="s">
        <v>1690</v>
      </c>
      <c r="H299" s="59">
        <v>46082</v>
      </c>
      <c r="I299" t="s">
        <v>865</v>
      </c>
      <c r="J299" s="7">
        <v>1</v>
      </c>
      <c r="K299" s="1">
        <v>46082</v>
      </c>
      <c r="L299" s="56">
        <v>1796000</v>
      </c>
      <c r="M299" t="s">
        <v>2233</v>
      </c>
      <c r="N299" t="s">
        <v>2256</v>
      </c>
      <c r="O299" t="s">
        <v>2266</v>
      </c>
      <c r="P299" t="s">
        <v>2284</v>
      </c>
    </row>
    <row r="300" spans="1:16" x14ac:dyDescent="0.25">
      <c r="A300" s="50" t="s">
        <v>1694</v>
      </c>
      <c r="B300" s="10" t="s">
        <v>2199</v>
      </c>
      <c r="C300" s="11" t="s">
        <v>28</v>
      </c>
      <c r="D300" s="10" t="s">
        <v>1695</v>
      </c>
      <c r="E300" s="11" t="s">
        <v>815</v>
      </c>
      <c r="F300" s="10">
        <v>1</v>
      </c>
      <c r="G300" s="11" t="s">
        <v>414</v>
      </c>
      <c r="H300" s="58">
        <v>46143</v>
      </c>
      <c r="I300" s="11" t="s">
        <v>1697</v>
      </c>
      <c r="J300" s="10">
        <v>1</v>
      </c>
      <c r="K300" s="57">
        <v>46143</v>
      </c>
      <c r="L300" s="55">
        <v>2500008</v>
      </c>
      <c r="M300" t="s">
        <v>2222</v>
      </c>
      <c r="N300" t="s">
        <v>2234</v>
      </c>
      <c r="O300" t="s">
        <v>2260</v>
      </c>
      <c r="P300" t="s">
        <v>2284</v>
      </c>
    </row>
    <row r="301" spans="1:16" x14ac:dyDescent="0.25">
      <c r="A301" s="51" t="s">
        <v>1699</v>
      </c>
      <c r="B301" s="7" t="s">
        <v>2199</v>
      </c>
      <c r="C301" t="s">
        <v>28</v>
      </c>
      <c r="D301" s="7" t="s">
        <v>1658</v>
      </c>
      <c r="E301" t="s">
        <v>486</v>
      </c>
      <c r="F301" s="7">
        <v>1</v>
      </c>
      <c r="G301" t="s">
        <v>1660</v>
      </c>
      <c r="H301" s="59">
        <v>46174</v>
      </c>
      <c r="I301" t="s">
        <v>1661</v>
      </c>
      <c r="J301" s="7">
        <v>1</v>
      </c>
      <c r="K301" s="1">
        <v>46174</v>
      </c>
      <c r="L301" s="56">
        <v>500115</v>
      </c>
      <c r="M301" t="s">
        <v>2222</v>
      </c>
      <c r="N301" t="s">
        <v>2234</v>
      </c>
      <c r="O301" t="s">
        <v>2260</v>
      </c>
      <c r="P301" t="s">
        <v>2284</v>
      </c>
    </row>
    <row r="302" spans="1:16" x14ac:dyDescent="0.25">
      <c r="A302" s="50" t="s">
        <v>1700</v>
      </c>
      <c r="B302" s="10" t="s">
        <v>2199</v>
      </c>
      <c r="C302" s="11" t="s">
        <v>28</v>
      </c>
      <c r="D302" s="10" t="s">
        <v>1701</v>
      </c>
      <c r="E302" s="11" t="s">
        <v>1703</v>
      </c>
      <c r="F302" s="10">
        <v>1</v>
      </c>
      <c r="G302" s="11" t="s">
        <v>1704</v>
      </c>
      <c r="H302" s="58">
        <v>46143</v>
      </c>
      <c r="I302" s="11" t="s">
        <v>1705</v>
      </c>
      <c r="J302" s="10">
        <v>1</v>
      </c>
      <c r="K302" s="57">
        <v>46143</v>
      </c>
      <c r="L302" s="55">
        <v>4059825</v>
      </c>
      <c r="M302" t="s">
        <v>2222</v>
      </c>
      <c r="N302" t="s">
        <v>2234</v>
      </c>
      <c r="O302" t="s">
        <v>2260</v>
      </c>
      <c r="P302" t="s">
        <v>2284</v>
      </c>
    </row>
    <row r="303" spans="1:16" x14ac:dyDescent="0.25">
      <c r="A303" s="51" t="s">
        <v>1708</v>
      </c>
      <c r="B303" s="7" t="s">
        <v>2199</v>
      </c>
      <c r="C303" t="s">
        <v>28</v>
      </c>
      <c r="D303" s="7" t="s">
        <v>1709</v>
      </c>
      <c r="E303" t="s">
        <v>1711</v>
      </c>
      <c r="F303" s="7">
        <v>1</v>
      </c>
      <c r="G303" t="s">
        <v>958</v>
      </c>
      <c r="H303" s="59">
        <v>46023</v>
      </c>
      <c r="I303" t="s">
        <v>959</v>
      </c>
      <c r="J303" s="7">
        <v>1</v>
      </c>
      <c r="K303" s="1">
        <v>46023</v>
      </c>
      <c r="L303" s="56">
        <v>550000</v>
      </c>
      <c r="M303" t="s">
        <v>2230</v>
      </c>
      <c r="N303" t="s">
        <v>2227</v>
      </c>
      <c r="O303" t="s">
        <v>2261</v>
      </c>
      <c r="P303" t="s">
        <v>2284</v>
      </c>
    </row>
    <row r="304" spans="1:16" x14ac:dyDescent="0.25">
      <c r="A304" s="50" t="s">
        <v>1712</v>
      </c>
      <c r="B304" s="10" t="s">
        <v>2199</v>
      </c>
      <c r="C304" s="11" t="s">
        <v>28</v>
      </c>
      <c r="D304" s="10" t="s">
        <v>1713</v>
      </c>
      <c r="E304" s="11" t="s">
        <v>602</v>
      </c>
      <c r="F304" s="10">
        <v>1</v>
      </c>
      <c r="G304" s="11" t="s">
        <v>1572</v>
      </c>
      <c r="H304" s="58">
        <v>46082</v>
      </c>
      <c r="I304" s="11" t="s">
        <v>1573</v>
      </c>
      <c r="J304" s="10">
        <v>1</v>
      </c>
      <c r="K304" s="57">
        <v>46082</v>
      </c>
      <c r="L304" s="55">
        <v>783090</v>
      </c>
      <c r="M304" t="s">
        <v>2222</v>
      </c>
      <c r="N304" t="s">
        <v>2234</v>
      </c>
      <c r="O304" t="s">
        <v>2260</v>
      </c>
      <c r="P304" t="s">
        <v>2284</v>
      </c>
    </row>
    <row r="305" spans="1:16" x14ac:dyDescent="0.25">
      <c r="A305" s="51" t="s">
        <v>1715</v>
      </c>
      <c r="B305" s="7" t="s">
        <v>2199</v>
      </c>
      <c r="C305" t="s">
        <v>28</v>
      </c>
      <c r="D305" s="7" t="s">
        <v>1716</v>
      </c>
      <c r="E305" t="s">
        <v>1592</v>
      </c>
      <c r="F305" s="7">
        <v>1</v>
      </c>
      <c r="G305" t="s">
        <v>958</v>
      </c>
      <c r="H305" s="59">
        <v>46023</v>
      </c>
      <c r="I305" t="s">
        <v>959</v>
      </c>
      <c r="J305" s="7">
        <v>1</v>
      </c>
      <c r="K305" s="1">
        <v>46023</v>
      </c>
      <c r="L305" s="56">
        <v>60000</v>
      </c>
      <c r="M305" t="s">
        <v>2230</v>
      </c>
      <c r="N305" t="s">
        <v>2227</v>
      </c>
      <c r="O305" t="s">
        <v>2261</v>
      </c>
      <c r="P305" t="s">
        <v>2284</v>
      </c>
    </row>
    <row r="306" spans="1:16" x14ac:dyDescent="0.25">
      <c r="A306" s="50" t="s">
        <v>1718</v>
      </c>
      <c r="B306" s="10" t="s">
        <v>2199</v>
      </c>
      <c r="C306" s="11" t="s">
        <v>28</v>
      </c>
      <c r="D306" s="10" t="s">
        <v>1719</v>
      </c>
      <c r="E306" s="11" t="s">
        <v>1721</v>
      </c>
      <c r="F306" s="10">
        <v>1</v>
      </c>
      <c r="G306" s="11" t="s">
        <v>1723</v>
      </c>
      <c r="H306" s="58">
        <v>46174</v>
      </c>
      <c r="I306" s="11" t="s">
        <v>154</v>
      </c>
      <c r="J306" s="10">
        <v>24</v>
      </c>
      <c r="K306" s="11" t="s">
        <v>1722</v>
      </c>
      <c r="L306" s="55">
        <v>0</v>
      </c>
      <c r="M306" t="s">
        <v>2221</v>
      </c>
      <c r="N306" t="s">
        <v>2234</v>
      </c>
      <c r="O306" t="s">
        <v>2259</v>
      </c>
      <c r="P306" t="s">
        <v>2284</v>
      </c>
    </row>
    <row r="307" spans="1:16" x14ac:dyDescent="0.25">
      <c r="A307" s="51" t="s">
        <v>1725</v>
      </c>
      <c r="B307" s="7" t="s">
        <v>2199</v>
      </c>
      <c r="C307" t="s">
        <v>28</v>
      </c>
      <c r="D307" s="7" t="s">
        <v>1726</v>
      </c>
      <c r="E307" t="s">
        <v>623</v>
      </c>
      <c r="F307" s="7">
        <v>1</v>
      </c>
      <c r="G307" t="s">
        <v>1211</v>
      </c>
      <c r="H307" s="59">
        <v>46143</v>
      </c>
      <c r="I307" t="s">
        <v>320</v>
      </c>
      <c r="J307" s="7">
        <v>1</v>
      </c>
      <c r="K307" s="1">
        <v>46143</v>
      </c>
      <c r="L307" s="56">
        <v>900000</v>
      </c>
      <c r="M307" t="s">
        <v>2225</v>
      </c>
      <c r="N307" t="s">
        <v>2234</v>
      </c>
      <c r="O307" t="s">
        <v>2258</v>
      </c>
      <c r="P307" t="s">
        <v>2284</v>
      </c>
    </row>
    <row r="308" spans="1:16" x14ac:dyDescent="0.25">
      <c r="A308" s="50" t="s">
        <v>1728</v>
      </c>
      <c r="B308" s="10" t="s">
        <v>2199</v>
      </c>
      <c r="C308" s="11" t="s">
        <v>28</v>
      </c>
      <c r="D308" s="10" t="s">
        <v>1729</v>
      </c>
      <c r="E308" s="11" t="s">
        <v>882</v>
      </c>
      <c r="F308" s="10">
        <v>1</v>
      </c>
      <c r="G308" s="11" t="s">
        <v>1211</v>
      </c>
      <c r="H308" s="58">
        <v>46357</v>
      </c>
      <c r="I308" s="11" t="s">
        <v>320</v>
      </c>
      <c r="J308" s="10">
        <v>1</v>
      </c>
      <c r="K308" s="57">
        <v>46357</v>
      </c>
      <c r="L308" s="55">
        <v>1500000</v>
      </c>
      <c r="M308" t="s">
        <v>2225</v>
      </c>
      <c r="N308" t="s">
        <v>2234</v>
      </c>
      <c r="O308" t="s">
        <v>2258</v>
      </c>
      <c r="P308" t="s">
        <v>2284</v>
      </c>
    </row>
    <row r="309" spans="1:16" x14ac:dyDescent="0.25">
      <c r="A309" s="51" t="s">
        <v>1731</v>
      </c>
      <c r="B309" s="7" t="s">
        <v>2199</v>
      </c>
      <c r="C309" t="s">
        <v>28</v>
      </c>
      <c r="D309" s="7" t="s">
        <v>1732</v>
      </c>
      <c r="E309" t="s">
        <v>1641</v>
      </c>
      <c r="F309" s="7">
        <v>1</v>
      </c>
      <c r="G309" t="s">
        <v>1572</v>
      </c>
      <c r="H309" s="59">
        <v>46082</v>
      </c>
      <c r="I309" t="s">
        <v>1573</v>
      </c>
      <c r="J309" s="7">
        <v>1</v>
      </c>
      <c r="K309" s="1">
        <v>46082</v>
      </c>
      <c r="L309" s="56">
        <v>726450</v>
      </c>
      <c r="M309" t="s">
        <v>2222</v>
      </c>
      <c r="N309" t="s">
        <v>2234</v>
      </c>
      <c r="O309" t="s">
        <v>2260</v>
      </c>
      <c r="P309" t="s">
        <v>2284</v>
      </c>
    </row>
    <row r="310" spans="1:16" x14ac:dyDescent="0.25">
      <c r="A310" s="50" t="s">
        <v>1734</v>
      </c>
      <c r="B310" s="10" t="s">
        <v>2199</v>
      </c>
      <c r="C310" s="11" t="s">
        <v>28</v>
      </c>
      <c r="D310" s="10" t="s">
        <v>1736</v>
      </c>
      <c r="E310" s="11" t="s">
        <v>807</v>
      </c>
      <c r="F310" s="10">
        <v>1</v>
      </c>
      <c r="G310" s="11" t="s">
        <v>624</v>
      </c>
      <c r="H310" s="58">
        <v>46143</v>
      </c>
      <c r="I310" s="11" t="s">
        <v>625</v>
      </c>
      <c r="J310" s="10">
        <v>1</v>
      </c>
      <c r="K310" s="57">
        <v>46143</v>
      </c>
      <c r="L310" s="55">
        <v>5000000</v>
      </c>
      <c r="M310" t="s">
        <v>2246</v>
      </c>
      <c r="N310" t="s">
        <v>2256</v>
      </c>
      <c r="O310" t="s">
        <v>2270</v>
      </c>
      <c r="P310" t="s">
        <v>2284</v>
      </c>
    </row>
    <row r="311" spans="1:16" x14ac:dyDescent="0.25">
      <c r="A311" s="51" t="s">
        <v>1738</v>
      </c>
      <c r="B311" s="7" t="s">
        <v>2199</v>
      </c>
      <c r="C311" t="s">
        <v>28</v>
      </c>
      <c r="D311" s="7" t="s">
        <v>1739</v>
      </c>
      <c r="E311" t="s">
        <v>602</v>
      </c>
      <c r="F311" s="7">
        <v>1</v>
      </c>
      <c r="G311" t="s">
        <v>1723</v>
      </c>
      <c r="H311" s="59">
        <v>46113</v>
      </c>
      <c r="I311" t="s">
        <v>154</v>
      </c>
      <c r="J311" s="7">
        <v>1</v>
      </c>
      <c r="K311" s="1">
        <v>46113</v>
      </c>
      <c r="L311" s="56">
        <v>500000</v>
      </c>
      <c r="M311" t="s">
        <v>2221</v>
      </c>
      <c r="N311" t="s">
        <v>2234</v>
      </c>
      <c r="O311" t="s">
        <v>2259</v>
      </c>
      <c r="P311" t="s">
        <v>2284</v>
      </c>
    </row>
    <row r="312" spans="1:16" x14ac:dyDescent="0.25">
      <c r="A312" s="50" t="s">
        <v>1741</v>
      </c>
      <c r="B312" s="10" t="s">
        <v>2199</v>
      </c>
      <c r="C312" s="11" t="s">
        <v>28</v>
      </c>
      <c r="D312" s="10" t="s">
        <v>1742</v>
      </c>
      <c r="E312" s="11" t="s">
        <v>486</v>
      </c>
      <c r="F312" s="10">
        <v>1</v>
      </c>
      <c r="G312" s="11" t="s">
        <v>1744</v>
      </c>
      <c r="H312" s="58">
        <v>46082</v>
      </c>
      <c r="I312" s="11" t="s">
        <v>1745</v>
      </c>
      <c r="J312" s="10">
        <v>1</v>
      </c>
      <c r="K312" s="57">
        <v>46082</v>
      </c>
      <c r="L312" s="55">
        <v>316013</v>
      </c>
      <c r="M312" t="s">
        <v>2247</v>
      </c>
      <c r="N312" t="s">
        <v>2234</v>
      </c>
      <c r="O312" t="s">
        <v>2273</v>
      </c>
      <c r="P312" t="s">
        <v>2284</v>
      </c>
    </row>
    <row r="313" spans="1:16" x14ac:dyDescent="0.25">
      <c r="A313" s="51" t="s">
        <v>1748</v>
      </c>
      <c r="B313" s="7" t="s">
        <v>2199</v>
      </c>
      <c r="C313" t="s">
        <v>28</v>
      </c>
      <c r="D313" s="7" t="s">
        <v>1749</v>
      </c>
      <c r="E313" t="s">
        <v>1751</v>
      </c>
      <c r="F313" s="7">
        <v>1</v>
      </c>
      <c r="G313" t="s">
        <v>1752</v>
      </c>
      <c r="H313" s="59">
        <v>46023</v>
      </c>
      <c r="I313" t="s">
        <v>1753</v>
      </c>
      <c r="J313" s="7">
        <v>1</v>
      </c>
      <c r="K313" s="1">
        <v>46023</v>
      </c>
      <c r="L313" s="56">
        <v>10000000</v>
      </c>
      <c r="M313" t="s">
        <v>2230</v>
      </c>
      <c r="N313" t="s">
        <v>2227</v>
      </c>
      <c r="O313" t="s">
        <v>2261</v>
      </c>
      <c r="P313" t="s">
        <v>2284</v>
      </c>
    </row>
    <row r="314" spans="1:16" x14ac:dyDescent="0.25">
      <c r="A314" s="50" t="s">
        <v>1756</v>
      </c>
      <c r="B314" s="10" t="s">
        <v>2199</v>
      </c>
      <c r="C314" s="11" t="s">
        <v>28</v>
      </c>
      <c r="D314" s="10" t="s">
        <v>1757</v>
      </c>
      <c r="E314" s="11" t="s">
        <v>1237</v>
      </c>
      <c r="F314" s="10">
        <v>1</v>
      </c>
      <c r="G314" s="11" t="s">
        <v>1759</v>
      </c>
      <c r="H314" s="58">
        <v>46174</v>
      </c>
      <c r="I314" s="11" t="s">
        <v>1760</v>
      </c>
      <c r="J314" s="10">
        <v>1</v>
      </c>
      <c r="K314" s="57">
        <v>46266</v>
      </c>
      <c r="L314" s="55">
        <v>15000018</v>
      </c>
      <c r="M314" t="s">
        <v>2217</v>
      </c>
      <c r="N314" t="s">
        <v>2256</v>
      </c>
      <c r="O314" t="s">
        <v>2280</v>
      </c>
      <c r="P314" t="s">
        <v>2284</v>
      </c>
    </row>
    <row r="315" spans="1:16" x14ac:dyDescent="0.25">
      <c r="A315" s="51" t="s">
        <v>1763</v>
      </c>
      <c r="B315" s="7" t="s">
        <v>2199</v>
      </c>
      <c r="C315" t="s">
        <v>28</v>
      </c>
      <c r="D315" s="7" t="s">
        <v>1764</v>
      </c>
      <c r="E315" t="s">
        <v>1766</v>
      </c>
      <c r="F315" s="7">
        <v>1</v>
      </c>
      <c r="G315" t="s">
        <v>1759</v>
      </c>
      <c r="H315" s="59">
        <v>46174</v>
      </c>
      <c r="I315" t="s">
        <v>1760</v>
      </c>
      <c r="J315" s="7">
        <v>1</v>
      </c>
      <c r="K315" s="1">
        <v>46204</v>
      </c>
      <c r="L315" s="56">
        <v>30000000</v>
      </c>
      <c r="M315" t="s">
        <v>2217</v>
      </c>
      <c r="N315" t="s">
        <v>2256</v>
      </c>
      <c r="O315" t="s">
        <v>2280</v>
      </c>
      <c r="P315" t="s">
        <v>2284</v>
      </c>
    </row>
    <row r="316" spans="1:16" x14ac:dyDescent="0.25">
      <c r="A316" s="50" t="s">
        <v>1767</v>
      </c>
      <c r="B316" s="10" t="s">
        <v>2199</v>
      </c>
      <c r="C316" s="11" t="s">
        <v>28</v>
      </c>
      <c r="D316" s="10" t="s">
        <v>1768</v>
      </c>
      <c r="E316" s="11" t="s">
        <v>1599</v>
      </c>
      <c r="F316" s="10">
        <v>2</v>
      </c>
      <c r="G316" s="11" t="s">
        <v>1642</v>
      </c>
      <c r="H316" s="58">
        <v>46082</v>
      </c>
      <c r="I316" s="11" t="s">
        <v>1643</v>
      </c>
      <c r="J316" s="10">
        <v>1</v>
      </c>
      <c r="K316" s="57">
        <v>46082</v>
      </c>
      <c r="L316" s="55">
        <v>130000</v>
      </c>
      <c r="M316" t="s">
        <v>2253</v>
      </c>
      <c r="N316" t="s">
        <v>2234</v>
      </c>
      <c r="O316" t="s">
        <v>2258</v>
      </c>
      <c r="P316" t="s">
        <v>2284</v>
      </c>
    </row>
    <row r="317" spans="1:16" x14ac:dyDescent="0.25">
      <c r="A317" s="51" t="s">
        <v>1767</v>
      </c>
      <c r="B317" s="7" t="s">
        <v>2199</v>
      </c>
      <c r="C317" t="s">
        <v>28</v>
      </c>
      <c r="D317" s="7" t="s">
        <v>1768</v>
      </c>
      <c r="E317" t="s">
        <v>631</v>
      </c>
      <c r="F317" s="7">
        <v>2</v>
      </c>
      <c r="G317" t="s">
        <v>1642</v>
      </c>
      <c r="H317" s="59">
        <v>46082</v>
      </c>
      <c r="I317" t="s">
        <v>1643</v>
      </c>
      <c r="J317" s="7">
        <v>1</v>
      </c>
      <c r="K317" s="1">
        <v>46082</v>
      </c>
      <c r="L317" s="56">
        <v>150000</v>
      </c>
      <c r="M317" t="s">
        <v>2253</v>
      </c>
      <c r="N317" t="s">
        <v>2234</v>
      </c>
      <c r="O317" t="s">
        <v>2258</v>
      </c>
      <c r="P317" t="s">
        <v>2284</v>
      </c>
    </row>
    <row r="318" spans="1:16" x14ac:dyDescent="0.25">
      <c r="A318" s="50" t="s">
        <v>1770</v>
      </c>
      <c r="B318" s="10" t="s">
        <v>2199</v>
      </c>
      <c r="C318" s="11" t="s">
        <v>28</v>
      </c>
      <c r="D318" s="10" t="s">
        <v>1771</v>
      </c>
      <c r="E318" s="11" t="s">
        <v>1237</v>
      </c>
      <c r="F318" s="10">
        <v>1</v>
      </c>
      <c r="G318" s="11" t="s">
        <v>1773</v>
      </c>
      <c r="H318" s="58">
        <v>46113</v>
      </c>
      <c r="I318" s="11" t="s">
        <v>1774</v>
      </c>
      <c r="J318" s="10">
        <v>1</v>
      </c>
      <c r="K318" s="57">
        <v>46113</v>
      </c>
      <c r="L318" s="55">
        <v>7000000</v>
      </c>
      <c r="M318" t="s">
        <v>2248</v>
      </c>
      <c r="N318" t="s">
        <v>2256</v>
      </c>
      <c r="O318" t="s">
        <v>2274</v>
      </c>
      <c r="P318" t="s">
        <v>2284</v>
      </c>
    </row>
    <row r="319" spans="1:16" x14ac:dyDescent="0.25">
      <c r="A319" s="51" t="s">
        <v>1777</v>
      </c>
      <c r="B319" s="7" t="s">
        <v>2199</v>
      </c>
      <c r="C319" t="s">
        <v>28</v>
      </c>
      <c r="D319" s="7" t="s">
        <v>1778</v>
      </c>
      <c r="E319" t="s">
        <v>602</v>
      </c>
      <c r="F319" s="7">
        <v>1</v>
      </c>
      <c r="G319" t="s">
        <v>1744</v>
      </c>
      <c r="H319" s="59">
        <v>46143</v>
      </c>
      <c r="I319" t="s">
        <v>1745</v>
      </c>
      <c r="J319" s="7">
        <v>1</v>
      </c>
      <c r="K319" s="1">
        <v>46143</v>
      </c>
      <c r="L319" s="56">
        <v>1200000</v>
      </c>
      <c r="M319" t="s">
        <v>2247</v>
      </c>
      <c r="N319" t="s">
        <v>2234</v>
      </c>
      <c r="O319" t="s">
        <v>2273</v>
      </c>
      <c r="P319" t="s">
        <v>2284</v>
      </c>
    </row>
    <row r="320" spans="1:16" x14ac:dyDescent="0.25">
      <c r="A320" s="50" t="s">
        <v>1780</v>
      </c>
      <c r="B320" s="10" t="s">
        <v>2199</v>
      </c>
      <c r="C320" s="11" t="s">
        <v>28</v>
      </c>
      <c r="D320" s="10" t="s">
        <v>1781</v>
      </c>
      <c r="E320" s="11" t="s">
        <v>359</v>
      </c>
      <c r="F320" s="10">
        <v>1</v>
      </c>
      <c r="G320" s="11" t="s">
        <v>1744</v>
      </c>
      <c r="H320" s="58">
        <v>46082</v>
      </c>
      <c r="I320" s="11" t="s">
        <v>1745</v>
      </c>
      <c r="J320" s="10">
        <v>1</v>
      </c>
      <c r="K320" s="57">
        <v>46082</v>
      </c>
      <c r="L320" s="55">
        <v>150100</v>
      </c>
      <c r="M320" t="s">
        <v>2247</v>
      </c>
      <c r="N320" t="s">
        <v>2234</v>
      </c>
      <c r="O320" t="s">
        <v>2273</v>
      </c>
      <c r="P320" t="s">
        <v>2284</v>
      </c>
    </row>
    <row r="321" spans="1:16" x14ac:dyDescent="0.25">
      <c r="A321" s="51" t="s">
        <v>1783</v>
      </c>
      <c r="B321" s="7" t="s">
        <v>2199</v>
      </c>
      <c r="C321" t="s">
        <v>28</v>
      </c>
      <c r="D321" s="7" t="s">
        <v>1784</v>
      </c>
      <c r="E321" t="s">
        <v>1786</v>
      </c>
      <c r="F321" s="7">
        <v>1</v>
      </c>
      <c r="G321" t="s">
        <v>1773</v>
      </c>
      <c r="H321" s="59">
        <v>46082</v>
      </c>
      <c r="I321" t="s">
        <v>1774</v>
      </c>
      <c r="J321" s="7">
        <v>1</v>
      </c>
      <c r="K321" s="1">
        <v>46082</v>
      </c>
      <c r="L321" s="56">
        <v>1500000</v>
      </c>
      <c r="M321" t="s">
        <v>2248</v>
      </c>
      <c r="N321" t="s">
        <v>2256</v>
      </c>
      <c r="O321" t="s">
        <v>2274</v>
      </c>
      <c r="P321" t="s">
        <v>2284</v>
      </c>
    </row>
    <row r="322" spans="1:16" x14ac:dyDescent="0.25">
      <c r="A322" s="50" t="s">
        <v>1787</v>
      </c>
      <c r="B322" s="10" t="s">
        <v>2199</v>
      </c>
      <c r="C322" s="11" t="s">
        <v>28</v>
      </c>
      <c r="D322" s="10" t="s">
        <v>1788</v>
      </c>
      <c r="E322" s="11" t="s">
        <v>359</v>
      </c>
      <c r="F322" s="10">
        <v>3</v>
      </c>
      <c r="G322" s="11" t="s">
        <v>1642</v>
      </c>
      <c r="H322" s="58">
        <v>46266</v>
      </c>
      <c r="I322" s="11" t="s">
        <v>1643</v>
      </c>
      <c r="J322" s="10">
        <v>1</v>
      </c>
      <c r="K322" s="57">
        <v>46266</v>
      </c>
      <c r="L322" s="55">
        <v>20500</v>
      </c>
      <c r="M322" t="s">
        <v>2253</v>
      </c>
      <c r="N322" t="s">
        <v>2234</v>
      </c>
      <c r="O322" t="s">
        <v>2258</v>
      </c>
      <c r="P322" t="s">
        <v>2284</v>
      </c>
    </row>
    <row r="323" spans="1:16" x14ac:dyDescent="0.25">
      <c r="A323" s="51" t="s">
        <v>1787</v>
      </c>
      <c r="B323" s="7" t="s">
        <v>2199</v>
      </c>
      <c r="C323" t="s">
        <v>28</v>
      </c>
      <c r="D323" s="7" t="s">
        <v>1788</v>
      </c>
      <c r="E323" t="s">
        <v>486</v>
      </c>
      <c r="F323" s="7">
        <v>3</v>
      </c>
      <c r="G323" t="s">
        <v>1642</v>
      </c>
      <c r="H323" s="59">
        <v>46266</v>
      </c>
      <c r="I323" t="s">
        <v>1643</v>
      </c>
      <c r="J323" s="7">
        <v>1</v>
      </c>
      <c r="K323" s="1">
        <v>46266</v>
      </c>
      <c r="L323" s="56">
        <v>84048</v>
      </c>
      <c r="M323" t="s">
        <v>2253</v>
      </c>
      <c r="N323" t="s">
        <v>2234</v>
      </c>
      <c r="O323" t="s">
        <v>2258</v>
      </c>
      <c r="P323" t="s">
        <v>2284</v>
      </c>
    </row>
    <row r="324" spans="1:16" x14ac:dyDescent="0.25">
      <c r="A324" s="50" t="s">
        <v>1787</v>
      </c>
      <c r="B324" s="10" t="s">
        <v>2199</v>
      </c>
      <c r="C324" s="11" t="s">
        <v>28</v>
      </c>
      <c r="D324" s="10" t="s">
        <v>1788</v>
      </c>
      <c r="E324" s="11" t="s">
        <v>855</v>
      </c>
      <c r="F324" s="10">
        <v>3</v>
      </c>
      <c r="G324" s="11" t="s">
        <v>1642</v>
      </c>
      <c r="H324" s="58">
        <v>46266</v>
      </c>
      <c r="I324" s="11" t="s">
        <v>1643</v>
      </c>
      <c r="J324" s="10">
        <v>1</v>
      </c>
      <c r="K324" s="57">
        <v>46266</v>
      </c>
      <c r="L324" s="55">
        <v>14000</v>
      </c>
      <c r="M324" t="s">
        <v>2253</v>
      </c>
      <c r="N324" t="s">
        <v>2234</v>
      </c>
      <c r="O324" t="s">
        <v>2258</v>
      </c>
      <c r="P324" t="s">
        <v>2284</v>
      </c>
    </row>
    <row r="325" spans="1:16" x14ac:dyDescent="0.25">
      <c r="A325" s="51" t="s">
        <v>1790</v>
      </c>
      <c r="B325" s="7" t="s">
        <v>2199</v>
      </c>
      <c r="C325" t="s">
        <v>28</v>
      </c>
      <c r="D325" s="7" t="s">
        <v>1791</v>
      </c>
      <c r="E325" t="s">
        <v>910</v>
      </c>
      <c r="F325" s="7">
        <v>1</v>
      </c>
      <c r="G325" t="s">
        <v>1773</v>
      </c>
      <c r="H325" s="59">
        <v>46054</v>
      </c>
      <c r="I325" t="s">
        <v>1774</v>
      </c>
      <c r="J325" s="7">
        <v>1</v>
      </c>
      <c r="K325" s="1">
        <v>46054</v>
      </c>
      <c r="L325" s="56">
        <v>1000000</v>
      </c>
      <c r="M325" t="s">
        <v>2248</v>
      </c>
      <c r="N325" t="s">
        <v>2256</v>
      </c>
      <c r="O325" t="s">
        <v>2274</v>
      </c>
      <c r="P325" t="s">
        <v>2284</v>
      </c>
    </row>
    <row r="326" spans="1:16" x14ac:dyDescent="0.25">
      <c r="A326" s="50" t="s">
        <v>1793</v>
      </c>
      <c r="B326" s="10" t="s">
        <v>2199</v>
      </c>
      <c r="C326" s="11" t="s">
        <v>28</v>
      </c>
      <c r="D326" s="10" t="s">
        <v>1794</v>
      </c>
      <c r="E326" s="11" t="s">
        <v>1796</v>
      </c>
      <c r="F326" s="10">
        <v>2</v>
      </c>
      <c r="G326" s="11" t="s">
        <v>1797</v>
      </c>
      <c r="H326" s="58">
        <v>46023</v>
      </c>
      <c r="I326" s="11" t="s">
        <v>1798</v>
      </c>
      <c r="J326" s="10">
        <v>1</v>
      </c>
      <c r="K326" s="57">
        <v>46023</v>
      </c>
      <c r="L326" s="55">
        <v>65000</v>
      </c>
      <c r="M326" t="s">
        <v>2230</v>
      </c>
      <c r="N326" t="s">
        <v>2227</v>
      </c>
      <c r="O326" t="s">
        <v>2261</v>
      </c>
      <c r="P326" t="s">
        <v>2284</v>
      </c>
    </row>
    <row r="327" spans="1:16" x14ac:dyDescent="0.25">
      <c r="A327" s="51" t="s">
        <v>1793</v>
      </c>
      <c r="B327" s="7" t="s">
        <v>2199</v>
      </c>
      <c r="C327" t="s">
        <v>28</v>
      </c>
      <c r="D327" s="7" t="s">
        <v>1794</v>
      </c>
      <c r="E327" t="s">
        <v>1801</v>
      </c>
      <c r="F327" s="7">
        <v>2</v>
      </c>
      <c r="G327" t="s">
        <v>1797</v>
      </c>
      <c r="H327" s="59">
        <v>46023</v>
      </c>
      <c r="I327" t="s">
        <v>1798</v>
      </c>
      <c r="J327" s="7">
        <v>1</v>
      </c>
      <c r="K327" s="1">
        <v>46023</v>
      </c>
      <c r="L327" s="56">
        <v>45000</v>
      </c>
      <c r="M327" t="s">
        <v>2230</v>
      </c>
      <c r="N327" t="s">
        <v>2227</v>
      </c>
      <c r="O327" t="s">
        <v>2261</v>
      </c>
      <c r="P327" t="s">
        <v>2284</v>
      </c>
    </row>
    <row r="328" spans="1:16" x14ac:dyDescent="0.25">
      <c r="A328" s="50" t="s">
        <v>1802</v>
      </c>
      <c r="B328" s="10" t="s">
        <v>2199</v>
      </c>
      <c r="C328" s="11" t="s">
        <v>28</v>
      </c>
      <c r="D328" s="10" t="s">
        <v>1803</v>
      </c>
      <c r="E328" s="11" t="s">
        <v>486</v>
      </c>
      <c r="F328" s="10">
        <v>1</v>
      </c>
      <c r="G328" s="11" t="s">
        <v>1805</v>
      </c>
      <c r="H328" s="58">
        <v>46054</v>
      </c>
      <c r="I328" s="11" t="s">
        <v>523</v>
      </c>
      <c r="J328" s="10">
        <v>1</v>
      </c>
      <c r="K328" s="57">
        <v>46054</v>
      </c>
      <c r="L328" s="55">
        <v>600000</v>
      </c>
      <c r="M328" t="s">
        <v>2221</v>
      </c>
      <c r="N328" t="s">
        <v>2234</v>
      </c>
      <c r="O328" t="s">
        <v>2259</v>
      </c>
      <c r="P328" t="s">
        <v>2284</v>
      </c>
    </row>
    <row r="329" spans="1:16" x14ac:dyDescent="0.25">
      <c r="A329" s="51" t="s">
        <v>1807</v>
      </c>
      <c r="B329" s="7" t="s">
        <v>2199</v>
      </c>
      <c r="C329" t="s">
        <v>28</v>
      </c>
      <c r="D329" s="7" t="s">
        <v>1808</v>
      </c>
      <c r="E329" t="s">
        <v>1810</v>
      </c>
      <c r="F329" s="7">
        <v>1</v>
      </c>
      <c r="G329" t="s">
        <v>1752</v>
      </c>
      <c r="H329" s="59">
        <v>46023</v>
      </c>
      <c r="I329" t="s">
        <v>1753</v>
      </c>
      <c r="J329" s="7">
        <v>1</v>
      </c>
      <c r="K329" s="1">
        <v>46023</v>
      </c>
      <c r="L329" s="56">
        <v>10000000</v>
      </c>
      <c r="M329" t="s">
        <v>2230</v>
      </c>
      <c r="N329" t="s">
        <v>2227</v>
      </c>
      <c r="O329" t="s">
        <v>2261</v>
      </c>
      <c r="P329" t="s">
        <v>2284</v>
      </c>
    </row>
    <row r="330" spans="1:16" x14ac:dyDescent="0.25">
      <c r="A330" s="50" t="s">
        <v>1811</v>
      </c>
      <c r="B330" s="10" t="s">
        <v>2199</v>
      </c>
      <c r="C330" s="11" t="s">
        <v>28</v>
      </c>
      <c r="D330" s="10" t="s">
        <v>1812</v>
      </c>
      <c r="E330" s="11" t="s">
        <v>1814</v>
      </c>
      <c r="F330" s="10">
        <v>1</v>
      </c>
      <c r="G330" s="11" t="s">
        <v>1797</v>
      </c>
      <c r="H330" s="58">
        <v>46023</v>
      </c>
      <c r="I330" s="11" t="s">
        <v>1798</v>
      </c>
      <c r="J330" s="10">
        <v>1</v>
      </c>
      <c r="K330" s="57">
        <v>46023</v>
      </c>
      <c r="L330" s="55">
        <v>500000</v>
      </c>
      <c r="M330" t="s">
        <v>2230</v>
      </c>
      <c r="N330" t="s">
        <v>2227</v>
      </c>
      <c r="O330" t="s">
        <v>2261</v>
      </c>
      <c r="P330" t="s">
        <v>2284</v>
      </c>
    </row>
    <row r="331" spans="1:16" x14ac:dyDescent="0.25">
      <c r="A331" s="51" t="s">
        <v>1815</v>
      </c>
      <c r="B331" s="7" t="s">
        <v>2199</v>
      </c>
      <c r="C331" t="s">
        <v>28</v>
      </c>
      <c r="D331" s="7" t="s">
        <v>1816</v>
      </c>
      <c r="E331" t="s">
        <v>1179</v>
      </c>
      <c r="F331" s="7">
        <v>1</v>
      </c>
      <c r="G331" t="s">
        <v>1642</v>
      </c>
      <c r="H331" s="59">
        <v>46113</v>
      </c>
      <c r="I331" t="s">
        <v>1643</v>
      </c>
      <c r="J331" s="7">
        <v>1</v>
      </c>
      <c r="K331" s="1">
        <v>46113</v>
      </c>
      <c r="L331" s="56">
        <v>450008</v>
      </c>
      <c r="M331" t="s">
        <v>2253</v>
      </c>
      <c r="N331" t="s">
        <v>2234</v>
      </c>
      <c r="O331" t="s">
        <v>2258</v>
      </c>
      <c r="P331" t="s">
        <v>2284</v>
      </c>
    </row>
    <row r="332" spans="1:16" x14ac:dyDescent="0.25">
      <c r="A332" s="50" t="s">
        <v>1818</v>
      </c>
      <c r="B332" s="10" t="s">
        <v>2199</v>
      </c>
      <c r="C332" s="11" t="s">
        <v>28</v>
      </c>
      <c r="D332" s="10" t="s">
        <v>1819</v>
      </c>
      <c r="E332" s="11" t="s">
        <v>1174</v>
      </c>
      <c r="F332" s="10">
        <v>1</v>
      </c>
      <c r="G332" s="11" t="s">
        <v>1723</v>
      </c>
      <c r="H332" s="58">
        <v>46174</v>
      </c>
      <c r="I332" s="11" t="s">
        <v>154</v>
      </c>
      <c r="J332" s="10">
        <v>1</v>
      </c>
      <c r="K332" s="57">
        <v>46174</v>
      </c>
      <c r="L332" s="55">
        <v>700000</v>
      </c>
      <c r="M332" t="s">
        <v>2221</v>
      </c>
      <c r="N332" t="s">
        <v>2234</v>
      </c>
      <c r="O332" t="s">
        <v>2259</v>
      </c>
      <c r="P332" t="s">
        <v>2284</v>
      </c>
    </row>
    <row r="333" spans="1:16" x14ac:dyDescent="0.25">
      <c r="A333" s="51" t="s">
        <v>1821</v>
      </c>
      <c r="B333" s="7" t="s">
        <v>2199</v>
      </c>
      <c r="C333" t="s">
        <v>28</v>
      </c>
      <c r="D333" s="7" t="s">
        <v>1822</v>
      </c>
      <c r="E333" t="s">
        <v>777</v>
      </c>
      <c r="F333" s="7">
        <v>1</v>
      </c>
      <c r="G333" t="s">
        <v>1723</v>
      </c>
      <c r="H333" s="59">
        <v>46113</v>
      </c>
      <c r="I333" t="s">
        <v>154</v>
      </c>
      <c r="J333" s="7">
        <v>1</v>
      </c>
      <c r="K333" s="1">
        <v>46113</v>
      </c>
      <c r="L333" s="56">
        <v>2000160</v>
      </c>
      <c r="M333" t="s">
        <v>2221</v>
      </c>
      <c r="N333" t="s">
        <v>2234</v>
      </c>
      <c r="O333" t="s">
        <v>2259</v>
      </c>
      <c r="P333" t="s">
        <v>2284</v>
      </c>
    </row>
    <row r="334" spans="1:16" x14ac:dyDescent="0.25">
      <c r="A334" s="50" t="s">
        <v>1824</v>
      </c>
      <c r="B334" s="10" t="s">
        <v>2199</v>
      </c>
      <c r="C334" s="11" t="s">
        <v>28</v>
      </c>
      <c r="D334" s="10" t="s">
        <v>1825</v>
      </c>
      <c r="E334" s="11" t="s">
        <v>602</v>
      </c>
      <c r="F334" s="10">
        <v>1</v>
      </c>
      <c r="G334" s="11" t="s">
        <v>1805</v>
      </c>
      <c r="H334" s="58">
        <v>46113</v>
      </c>
      <c r="I334" s="11" t="s">
        <v>523</v>
      </c>
      <c r="J334" s="10">
        <v>1</v>
      </c>
      <c r="K334" s="57">
        <v>46113</v>
      </c>
      <c r="L334" s="55">
        <v>420000</v>
      </c>
      <c r="M334" t="s">
        <v>2221</v>
      </c>
      <c r="N334" t="s">
        <v>2234</v>
      </c>
      <c r="O334" t="s">
        <v>2259</v>
      </c>
      <c r="P334" t="s">
        <v>2284</v>
      </c>
    </row>
    <row r="335" spans="1:16" x14ac:dyDescent="0.25">
      <c r="A335" s="51" t="s">
        <v>1832</v>
      </c>
      <c r="B335" s="7" t="s">
        <v>2199</v>
      </c>
      <c r="C335" t="s">
        <v>28</v>
      </c>
      <c r="D335" s="7" t="s">
        <v>1833</v>
      </c>
      <c r="E335" t="s">
        <v>815</v>
      </c>
      <c r="F335" s="7">
        <v>2</v>
      </c>
      <c r="G335" t="s">
        <v>1642</v>
      </c>
      <c r="H335" s="59">
        <v>46174</v>
      </c>
      <c r="I335" t="s">
        <v>1643</v>
      </c>
      <c r="J335" s="7">
        <v>1</v>
      </c>
      <c r="K335" s="1">
        <v>46174</v>
      </c>
      <c r="L335" s="56">
        <v>600000</v>
      </c>
      <c r="M335" t="s">
        <v>2253</v>
      </c>
      <c r="N335" t="s">
        <v>2234</v>
      </c>
      <c r="O335" t="s">
        <v>2258</v>
      </c>
      <c r="P335" t="s">
        <v>2284</v>
      </c>
    </row>
    <row r="336" spans="1:16" x14ac:dyDescent="0.25">
      <c r="A336" s="50" t="s">
        <v>1832</v>
      </c>
      <c r="B336" s="10" t="s">
        <v>2199</v>
      </c>
      <c r="C336" s="11" t="s">
        <v>28</v>
      </c>
      <c r="D336" s="10" t="s">
        <v>1833</v>
      </c>
      <c r="E336" s="11" t="s">
        <v>486</v>
      </c>
      <c r="F336" s="10">
        <v>2</v>
      </c>
      <c r="G336" s="11" t="s">
        <v>1642</v>
      </c>
      <c r="H336" s="58">
        <v>46174</v>
      </c>
      <c r="I336" s="11" t="s">
        <v>1643</v>
      </c>
      <c r="J336" s="10">
        <v>1</v>
      </c>
      <c r="K336" s="57">
        <v>46174</v>
      </c>
      <c r="L336" s="55">
        <v>400000</v>
      </c>
      <c r="M336" t="s">
        <v>2253</v>
      </c>
      <c r="N336" t="s">
        <v>2234</v>
      </c>
      <c r="O336" t="s">
        <v>2258</v>
      </c>
      <c r="P336" t="s">
        <v>2284</v>
      </c>
    </row>
    <row r="337" spans="1:16" x14ac:dyDescent="0.25">
      <c r="A337" s="51" t="s">
        <v>1835</v>
      </c>
      <c r="B337" s="7" t="s">
        <v>2199</v>
      </c>
      <c r="C337" t="s">
        <v>28</v>
      </c>
      <c r="D337" s="7" t="s">
        <v>1836</v>
      </c>
      <c r="E337" t="s">
        <v>1838</v>
      </c>
      <c r="F337" s="7">
        <v>1</v>
      </c>
      <c r="G337" t="s">
        <v>1642</v>
      </c>
      <c r="H337" s="59">
        <v>46235</v>
      </c>
      <c r="I337" t="s">
        <v>1643</v>
      </c>
      <c r="J337" s="7">
        <v>1</v>
      </c>
      <c r="K337" s="1">
        <v>46235</v>
      </c>
      <c r="L337" s="56">
        <v>440040</v>
      </c>
      <c r="M337" t="s">
        <v>2253</v>
      </c>
      <c r="N337" t="s">
        <v>2234</v>
      </c>
      <c r="O337" t="s">
        <v>2258</v>
      </c>
      <c r="P337" t="s">
        <v>2284</v>
      </c>
    </row>
    <row r="338" spans="1:16" x14ac:dyDescent="0.25">
      <c r="A338" s="50" t="s">
        <v>1839</v>
      </c>
      <c r="B338" s="10" t="s">
        <v>2199</v>
      </c>
      <c r="C338" s="11" t="s">
        <v>28</v>
      </c>
      <c r="D338" s="10" t="s">
        <v>1840</v>
      </c>
      <c r="E338" s="11" t="s">
        <v>777</v>
      </c>
      <c r="F338" s="10">
        <v>1</v>
      </c>
      <c r="G338" s="11" t="s">
        <v>1572</v>
      </c>
      <c r="H338" s="58">
        <v>46113</v>
      </c>
      <c r="I338" s="11" t="s">
        <v>1573</v>
      </c>
      <c r="J338" s="10">
        <v>1</v>
      </c>
      <c r="K338" s="57">
        <v>46113</v>
      </c>
      <c r="L338" s="55">
        <v>2578000</v>
      </c>
      <c r="M338" t="s">
        <v>2222</v>
      </c>
      <c r="N338" t="s">
        <v>2234</v>
      </c>
      <c r="O338" t="s">
        <v>2260</v>
      </c>
      <c r="P338" t="s">
        <v>2284</v>
      </c>
    </row>
    <row r="339" spans="1:16" x14ac:dyDescent="0.25">
      <c r="A339" s="51" t="s">
        <v>1842</v>
      </c>
      <c r="B339" s="7" t="s">
        <v>2199</v>
      </c>
      <c r="C339" t="s">
        <v>28</v>
      </c>
      <c r="D339" s="7" t="s">
        <v>1843</v>
      </c>
      <c r="E339" t="s">
        <v>1844</v>
      </c>
      <c r="F339" s="7">
        <v>1</v>
      </c>
      <c r="G339" t="s">
        <v>122</v>
      </c>
      <c r="H339" s="59">
        <v>46143</v>
      </c>
      <c r="I339" t="s">
        <v>544</v>
      </c>
      <c r="J339" s="7">
        <v>1</v>
      </c>
      <c r="K339" s="1">
        <v>46143</v>
      </c>
      <c r="L339" s="56">
        <v>3000000</v>
      </c>
      <c r="M339" t="s">
        <v>2235</v>
      </c>
      <c r="N339" t="s">
        <v>2256</v>
      </c>
      <c r="O339" t="s">
        <v>2268</v>
      </c>
      <c r="P339" t="s">
        <v>2284</v>
      </c>
    </row>
    <row r="340" spans="1:16" x14ac:dyDescent="0.25">
      <c r="A340" s="50" t="s">
        <v>1845</v>
      </c>
      <c r="B340" s="10" t="s">
        <v>2199</v>
      </c>
      <c r="C340" s="11" t="s">
        <v>28</v>
      </c>
      <c r="D340" s="10" t="s">
        <v>1846</v>
      </c>
      <c r="E340" s="11" t="s">
        <v>602</v>
      </c>
      <c r="F340" s="10">
        <v>1</v>
      </c>
      <c r="G340" s="11" t="s">
        <v>1572</v>
      </c>
      <c r="H340" s="58">
        <v>46266</v>
      </c>
      <c r="I340" s="11" t="s">
        <v>1573</v>
      </c>
      <c r="J340" s="10">
        <v>1</v>
      </c>
      <c r="K340" s="57">
        <v>46266</v>
      </c>
      <c r="L340" s="55">
        <v>1428000</v>
      </c>
      <c r="M340" t="s">
        <v>2222</v>
      </c>
      <c r="N340" t="s">
        <v>2234</v>
      </c>
      <c r="O340" t="s">
        <v>2260</v>
      </c>
      <c r="P340" t="s">
        <v>2284</v>
      </c>
    </row>
    <row r="341" spans="1:16" x14ac:dyDescent="0.25">
      <c r="A341" s="51" t="s">
        <v>1848</v>
      </c>
      <c r="B341" s="7" t="s">
        <v>2199</v>
      </c>
      <c r="C341" t="s">
        <v>28</v>
      </c>
      <c r="D341" s="7" t="s">
        <v>1849</v>
      </c>
      <c r="E341" t="s">
        <v>1851</v>
      </c>
      <c r="F341" s="7">
        <v>1</v>
      </c>
      <c r="G341" t="s">
        <v>414</v>
      </c>
      <c r="H341" s="59">
        <v>46082</v>
      </c>
      <c r="I341" t="s">
        <v>1852</v>
      </c>
      <c r="J341" s="7">
        <v>1</v>
      </c>
      <c r="K341" s="1">
        <v>46082</v>
      </c>
      <c r="L341" s="56">
        <v>9000000</v>
      </c>
      <c r="M341" t="s">
        <v>2222</v>
      </c>
      <c r="N341" t="s">
        <v>2234</v>
      </c>
      <c r="O341" t="s">
        <v>2260</v>
      </c>
      <c r="P341" t="s">
        <v>2284</v>
      </c>
    </row>
    <row r="342" spans="1:16" x14ac:dyDescent="0.25">
      <c r="A342" s="50" t="s">
        <v>1853</v>
      </c>
      <c r="B342" s="10" t="s">
        <v>2199</v>
      </c>
      <c r="C342" s="11" t="s">
        <v>28</v>
      </c>
      <c r="D342" s="10" t="s">
        <v>1854</v>
      </c>
      <c r="E342" s="11" t="s">
        <v>1175</v>
      </c>
      <c r="F342" s="10">
        <v>1</v>
      </c>
      <c r="G342" s="11" t="s">
        <v>1445</v>
      </c>
      <c r="H342" s="58">
        <v>46054</v>
      </c>
      <c r="I342" s="11" t="s">
        <v>1446</v>
      </c>
      <c r="J342" s="10">
        <v>1</v>
      </c>
      <c r="K342" s="57">
        <v>46054</v>
      </c>
      <c r="L342" s="55">
        <v>3000000</v>
      </c>
      <c r="M342" t="s">
        <v>2222</v>
      </c>
      <c r="N342" t="s">
        <v>2234</v>
      </c>
      <c r="O342" t="s">
        <v>2260</v>
      </c>
      <c r="P342" t="s">
        <v>2284</v>
      </c>
    </row>
    <row r="343" spans="1:16" x14ac:dyDescent="0.25">
      <c r="A343" s="51" t="s">
        <v>1856</v>
      </c>
      <c r="B343" s="7" t="s">
        <v>2199</v>
      </c>
      <c r="C343" t="s">
        <v>28</v>
      </c>
      <c r="D343" s="7" t="s">
        <v>1857</v>
      </c>
      <c r="E343" t="s">
        <v>760</v>
      </c>
      <c r="F343" s="7">
        <v>1</v>
      </c>
      <c r="G343" t="s">
        <v>761</v>
      </c>
      <c r="H343" s="59">
        <v>46174</v>
      </c>
      <c r="I343" t="s">
        <v>762</v>
      </c>
      <c r="J343" s="7">
        <v>1</v>
      </c>
      <c r="K343" s="1">
        <v>46174</v>
      </c>
      <c r="L343" s="56">
        <v>1250000</v>
      </c>
      <c r="M343" t="s">
        <v>2220</v>
      </c>
      <c r="N343" t="s">
        <v>2234</v>
      </c>
      <c r="O343" t="s">
        <v>2258</v>
      </c>
      <c r="P343" t="s">
        <v>2284</v>
      </c>
    </row>
    <row r="344" spans="1:16" x14ac:dyDescent="0.25">
      <c r="A344" s="50" t="s">
        <v>1860</v>
      </c>
      <c r="B344" s="10" t="s">
        <v>2199</v>
      </c>
      <c r="C344" s="11" t="s">
        <v>28</v>
      </c>
      <c r="D344" s="10" t="s">
        <v>1861</v>
      </c>
      <c r="E344" s="11" t="s">
        <v>1864</v>
      </c>
      <c r="F344" s="10">
        <v>3</v>
      </c>
      <c r="G344" s="11" t="s">
        <v>1797</v>
      </c>
      <c r="H344" s="58">
        <v>46023</v>
      </c>
      <c r="I344" s="11" t="s">
        <v>1798</v>
      </c>
      <c r="J344" s="10">
        <v>1</v>
      </c>
      <c r="K344" s="57">
        <v>46054</v>
      </c>
      <c r="L344" s="55">
        <v>58014</v>
      </c>
      <c r="M344" t="s">
        <v>2230</v>
      </c>
      <c r="N344" t="s">
        <v>2227</v>
      </c>
      <c r="O344" t="s">
        <v>2261</v>
      </c>
      <c r="P344" t="s">
        <v>2284</v>
      </c>
    </row>
    <row r="345" spans="1:16" x14ac:dyDescent="0.25">
      <c r="A345" s="51" t="s">
        <v>1860</v>
      </c>
      <c r="B345" s="7" t="s">
        <v>2199</v>
      </c>
      <c r="C345" t="s">
        <v>28</v>
      </c>
      <c r="D345" s="7" t="s">
        <v>1861</v>
      </c>
      <c r="E345" t="s">
        <v>1863</v>
      </c>
      <c r="F345" s="7">
        <v>3</v>
      </c>
      <c r="G345" t="s">
        <v>1797</v>
      </c>
      <c r="H345" s="59">
        <v>46023</v>
      </c>
      <c r="I345" t="s">
        <v>1798</v>
      </c>
      <c r="J345" s="7">
        <v>1</v>
      </c>
      <c r="K345" s="1">
        <v>46054</v>
      </c>
      <c r="L345" s="56">
        <v>120000</v>
      </c>
      <c r="M345" t="s">
        <v>2230</v>
      </c>
      <c r="N345" t="s">
        <v>2227</v>
      </c>
      <c r="O345" t="s">
        <v>2261</v>
      </c>
      <c r="P345" t="s">
        <v>2284</v>
      </c>
    </row>
    <row r="346" spans="1:16" x14ac:dyDescent="0.25">
      <c r="A346" s="50" t="s">
        <v>1860</v>
      </c>
      <c r="B346" s="10" t="s">
        <v>2199</v>
      </c>
      <c r="C346" s="11" t="s">
        <v>28</v>
      </c>
      <c r="D346" s="10" t="s">
        <v>1861</v>
      </c>
      <c r="E346" s="11" t="s">
        <v>486</v>
      </c>
      <c r="F346" s="10">
        <v>3</v>
      </c>
      <c r="G346" s="11" t="s">
        <v>1797</v>
      </c>
      <c r="H346" s="58">
        <v>46023</v>
      </c>
      <c r="I346" s="11" t="s">
        <v>1798</v>
      </c>
      <c r="J346" s="10">
        <v>1</v>
      </c>
      <c r="K346" s="57">
        <v>46054</v>
      </c>
      <c r="L346" s="55">
        <v>271072</v>
      </c>
      <c r="M346" t="s">
        <v>2230</v>
      </c>
      <c r="N346" t="s">
        <v>2227</v>
      </c>
      <c r="O346" t="s">
        <v>2261</v>
      </c>
      <c r="P346" t="s">
        <v>2284</v>
      </c>
    </row>
    <row r="347" spans="1:16" x14ac:dyDescent="0.25">
      <c r="A347" s="51" t="s">
        <v>1865</v>
      </c>
      <c r="B347" s="7" t="s">
        <v>2199</v>
      </c>
      <c r="C347" t="s">
        <v>28</v>
      </c>
      <c r="D347" s="7" t="s">
        <v>1866</v>
      </c>
      <c r="E347" t="s">
        <v>359</v>
      </c>
      <c r="F347" s="7">
        <v>2</v>
      </c>
      <c r="G347" t="s">
        <v>1868</v>
      </c>
      <c r="H347" s="59">
        <v>46023</v>
      </c>
      <c r="I347" t="s">
        <v>1869</v>
      </c>
      <c r="J347" s="7">
        <v>1</v>
      </c>
      <c r="K347" s="1">
        <v>46023</v>
      </c>
      <c r="L347" s="56">
        <v>385050</v>
      </c>
      <c r="M347" t="s">
        <v>2234</v>
      </c>
      <c r="N347" t="s">
        <v>2234</v>
      </c>
      <c r="O347" t="s">
        <v>2267</v>
      </c>
      <c r="P347" t="s">
        <v>2284</v>
      </c>
    </row>
    <row r="348" spans="1:16" x14ac:dyDescent="0.25">
      <c r="A348" s="50" t="s">
        <v>1865</v>
      </c>
      <c r="B348" s="10" t="s">
        <v>2199</v>
      </c>
      <c r="C348" s="11" t="s">
        <v>28</v>
      </c>
      <c r="D348" s="10" t="s">
        <v>1866</v>
      </c>
      <c r="E348" s="11" t="s">
        <v>855</v>
      </c>
      <c r="F348" s="10">
        <v>2</v>
      </c>
      <c r="G348" s="11" t="s">
        <v>1868</v>
      </c>
      <c r="H348" s="58">
        <v>46023</v>
      </c>
      <c r="I348" s="11" t="s">
        <v>1869</v>
      </c>
      <c r="J348" s="10">
        <v>1</v>
      </c>
      <c r="K348" s="57">
        <v>46023</v>
      </c>
      <c r="L348" s="55">
        <v>121800</v>
      </c>
      <c r="M348" t="s">
        <v>2234</v>
      </c>
      <c r="N348" t="s">
        <v>2234</v>
      </c>
      <c r="O348" t="s">
        <v>2267</v>
      </c>
      <c r="P348" t="s">
        <v>2284</v>
      </c>
    </row>
    <row r="349" spans="1:16" x14ac:dyDescent="0.25">
      <c r="A349" s="51" t="s">
        <v>1872</v>
      </c>
      <c r="B349" s="7" t="s">
        <v>2199</v>
      </c>
      <c r="C349" t="s">
        <v>28</v>
      </c>
      <c r="D349" s="7" t="s">
        <v>1873</v>
      </c>
      <c r="E349" t="s">
        <v>359</v>
      </c>
      <c r="F349" s="7">
        <v>3</v>
      </c>
      <c r="G349" t="s">
        <v>1875</v>
      </c>
      <c r="H349" s="59">
        <v>46082</v>
      </c>
      <c r="I349" t="s">
        <v>1876</v>
      </c>
      <c r="J349" s="7">
        <v>1</v>
      </c>
      <c r="K349" s="1">
        <v>46082</v>
      </c>
      <c r="L349" s="56">
        <v>68000</v>
      </c>
      <c r="M349" t="s">
        <v>2230</v>
      </c>
      <c r="N349" t="s">
        <v>2227</v>
      </c>
      <c r="O349" t="s">
        <v>2261</v>
      </c>
      <c r="P349" t="s">
        <v>2284</v>
      </c>
    </row>
    <row r="350" spans="1:16" x14ac:dyDescent="0.25">
      <c r="A350" s="50" t="s">
        <v>1872</v>
      </c>
      <c r="B350" s="10" t="s">
        <v>2199</v>
      </c>
      <c r="C350" s="11" t="s">
        <v>28</v>
      </c>
      <c r="D350" s="10" t="s">
        <v>1873</v>
      </c>
      <c r="E350" s="11" t="s">
        <v>1878</v>
      </c>
      <c r="F350" s="10">
        <v>3</v>
      </c>
      <c r="G350" s="11" t="s">
        <v>1875</v>
      </c>
      <c r="H350" s="58">
        <v>46082</v>
      </c>
      <c r="I350" s="11" t="s">
        <v>1876</v>
      </c>
      <c r="J350" s="10">
        <v>1</v>
      </c>
      <c r="K350" s="57">
        <v>46082</v>
      </c>
      <c r="L350" s="55">
        <v>305000</v>
      </c>
      <c r="M350" t="s">
        <v>2230</v>
      </c>
      <c r="N350" t="s">
        <v>2227</v>
      </c>
      <c r="O350" t="s">
        <v>2261</v>
      </c>
      <c r="P350" t="s">
        <v>2284</v>
      </c>
    </row>
    <row r="351" spans="1:16" x14ac:dyDescent="0.25">
      <c r="A351" s="51" t="s">
        <v>1872</v>
      </c>
      <c r="B351" s="7" t="s">
        <v>2199</v>
      </c>
      <c r="C351" t="s">
        <v>28</v>
      </c>
      <c r="D351" s="7" t="s">
        <v>1873</v>
      </c>
      <c r="E351" t="s">
        <v>486</v>
      </c>
      <c r="F351" s="7">
        <v>3</v>
      </c>
      <c r="G351" t="s">
        <v>1875</v>
      </c>
      <c r="H351" s="59">
        <v>46082</v>
      </c>
      <c r="I351" t="s">
        <v>1876</v>
      </c>
      <c r="J351" s="7">
        <v>1</v>
      </c>
      <c r="K351" s="1">
        <v>46082</v>
      </c>
      <c r="L351" s="56">
        <v>132068</v>
      </c>
      <c r="M351" t="s">
        <v>2230</v>
      </c>
      <c r="N351" t="s">
        <v>2227</v>
      </c>
      <c r="O351" t="s">
        <v>2261</v>
      </c>
      <c r="P351" t="s">
        <v>2284</v>
      </c>
    </row>
    <row r="352" spans="1:16" x14ac:dyDescent="0.25">
      <c r="A352" s="50" t="s">
        <v>1879</v>
      </c>
      <c r="B352" s="10" t="s">
        <v>2199</v>
      </c>
      <c r="C352" s="11" t="s">
        <v>28</v>
      </c>
      <c r="D352" s="10" t="s">
        <v>1880</v>
      </c>
      <c r="E352" s="11" t="s">
        <v>1375</v>
      </c>
      <c r="F352" s="10">
        <v>1</v>
      </c>
      <c r="G352" s="11" t="s">
        <v>768</v>
      </c>
      <c r="H352" s="58">
        <v>46235</v>
      </c>
      <c r="I352" s="11" t="s">
        <v>966</v>
      </c>
      <c r="J352" s="10">
        <v>1</v>
      </c>
      <c r="K352" s="57">
        <v>46235</v>
      </c>
      <c r="L352" s="55">
        <v>12000000</v>
      </c>
      <c r="M352" t="s">
        <v>2275</v>
      </c>
      <c r="N352" t="s">
        <v>2234</v>
      </c>
      <c r="O352" t="s">
        <v>2258</v>
      </c>
      <c r="P352" t="s">
        <v>2284</v>
      </c>
    </row>
    <row r="353" spans="1:16" x14ac:dyDescent="0.25">
      <c r="A353" s="51" t="s">
        <v>1883</v>
      </c>
      <c r="B353" s="7" t="s">
        <v>2199</v>
      </c>
      <c r="C353" t="s">
        <v>28</v>
      </c>
      <c r="D353" s="7" t="s">
        <v>1884</v>
      </c>
      <c r="E353" t="s">
        <v>1886</v>
      </c>
      <c r="F353" s="7">
        <v>1</v>
      </c>
      <c r="G353" t="s">
        <v>1759</v>
      </c>
      <c r="H353" s="59">
        <v>46082</v>
      </c>
      <c r="I353" t="s">
        <v>1760</v>
      </c>
      <c r="J353" s="7">
        <v>1</v>
      </c>
      <c r="K353" s="1">
        <v>46082</v>
      </c>
      <c r="L353" s="56">
        <v>3550000</v>
      </c>
      <c r="M353" t="s">
        <v>2217</v>
      </c>
      <c r="N353" t="s">
        <v>2256</v>
      </c>
      <c r="O353" t="s">
        <v>2280</v>
      </c>
      <c r="P353" t="s">
        <v>2284</v>
      </c>
    </row>
    <row r="354" spans="1:16" x14ac:dyDescent="0.25">
      <c r="A354" s="50" t="s">
        <v>1890</v>
      </c>
      <c r="B354" s="10" t="s">
        <v>2199</v>
      </c>
      <c r="C354" s="11" t="s">
        <v>28</v>
      </c>
      <c r="D354" s="10" t="s">
        <v>1891</v>
      </c>
      <c r="E354" s="11" t="s">
        <v>1527</v>
      </c>
      <c r="F354" s="10">
        <v>1</v>
      </c>
      <c r="G354" s="11" t="s">
        <v>1893</v>
      </c>
      <c r="H354" s="58">
        <v>46023</v>
      </c>
      <c r="I354" s="11" t="s">
        <v>1894</v>
      </c>
      <c r="J354" s="10">
        <v>1</v>
      </c>
      <c r="K354" s="57">
        <v>46023</v>
      </c>
      <c r="L354" s="55">
        <v>70000</v>
      </c>
      <c r="M354" t="s">
        <v>2231</v>
      </c>
      <c r="N354" t="s">
        <v>2262</v>
      </c>
      <c r="O354" t="s">
        <v>2264</v>
      </c>
      <c r="P354" t="s">
        <v>2284</v>
      </c>
    </row>
    <row r="355" spans="1:16" x14ac:dyDescent="0.25">
      <c r="A355" s="51" t="s">
        <v>1897</v>
      </c>
      <c r="B355" s="7" t="s">
        <v>2199</v>
      </c>
      <c r="C355" t="s">
        <v>28</v>
      </c>
      <c r="D355" s="7" t="s">
        <v>1898</v>
      </c>
      <c r="E355" t="s">
        <v>1550</v>
      </c>
      <c r="F355" s="7">
        <v>3</v>
      </c>
      <c r="G355" t="s">
        <v>1797</v>
      </c>
      <c r="H355" s="59">
        <v>46023</v>
      </c>
      <c r="I355" t="s">
        <v>1798</v>
      </c>
      <c r="J355" s="7">
        <v>1</v>
      </c>
      <c r="K355" s="1">
        <v>46023</v>
      </c>
      <c r="L355" s="56">
        <v>35000</v>
      </c>
      <c r="M355" t="s">
        <v>2230</v>
      </c>
      <c r="N355" t="s">
        <v>2227</v>
      </c>
      <c r="O355" t="s">
        <v>2261</v>
      </c>
      <c r="P355" t="s">
        <v>2284</v>
      </c>
    </row>
    <row r="356" spans="1:16" x14ac:dyDescent="0.25">
      <c r="A356" s="50" t="s">
        <v>1897</v>
      </c>
      <c r="B356" s="10" t="s">
        <v>2199</v>
      </c>
      <c r="C356" s="11" t="s">
        <v>28</v>
      </c>
      <c r="D356" s="10" t="s">
        <v>1898</v>
      </c>
      <c r="E356" s="11" t="s">
        <v>486</v>
      </c>
      <c r="F356" s="10">
        <v>3</v>
      </c>
      <c r="G356" s="11" t="s">
        <v>1797</v>
      </c>
      <c r="H356" s="58">
        <v>46023</v>
      </c>
      <c r="I356" s="11" t="s">
        <v>1798</v>
      </c>
      <c r="J356" s="10">
        <v>1</v>
      </c>
      <c r="K356" s="57">
        <v>46023</v>
      </c>
      <c r="L356" s="55">
        <v>120000</v>
      </c>
      <c r="M356" t="s">
        <v>2230</v>
      </c>
      <c r="N356" t="s">
        <v>2227</v>
      </c>
      <c r="O356" t="s">
        <v>2261</v>
      </c>
      <c r="P356" t="s">
        <v>2284</v>
      </c>
    </row>
    <row r="357" spans="1:16" x14ac:dyDescent="0.25">
      <c r="A357" s="51" t="s">
        <v>1897</v>
      </c>
      <c r="B357" s="7" t="s">
        <v>2199</v>
      </c>
      <c r="C357" t="s">
        <v>28</v>
      </c>
      <c r="D357" s="7" t="s">
        <v>1898</v>
      </c>
      <c r="E357" t="s">
        <v>1058</v>
      </c>
      <c r="F357" s="7">
        <v>3</v>
      </c>
      <c r="G357" t="s">
        <v>1797</v>
      </c>
      <c r="H357" s="59">
        <v>46023</v>
      </c>
      <c r="I357" t="s">
        <v>1798</v>
      </c>
      <c r="J357" s="7">
        <v>1</v>
      </c>
      <c r="K357" s="1">
        <v>46023</v>
      </c>
      <c r="L357" s="56">
        <v>180000</v>
      </c>
      <c r="M357" t="s">
        <v>2230</v>
      </c>
      <c r="N357" t="s">
        <v>2227</v>
      </c>
      <c r="O357" t="s">
        <v>2261</v>
      </c>
      <c r="P357" t="s">
        <v>2284</v>
      </c>
    </row>
    <row r="358" spans="1:16" x14ac:dyDescent="0.25">
      <c r="A358" s="50" t="s">
        <v>1901</v>
      </c>
      <c r="B358" s="10" t="s">
        <v>2199</v>
      </c>
      <c r="C358" s="11" t="s">
        <v>28</v>
      </c>
      <c r="D358" s="10" t="s">
        <v>1903</v>
      </c>
      <c r="E358" s="11" t="s">
        <v>359</v>
      </c>
      <c r="F358" s="10">
        <v>3</v>
      </c>
      <c r="G358" s="11" t="s">
        <v>761</v>
      </c>
      <c r="H358" s="58">
        <v>46023</v>
      </c>
      <c r="I358" s="11" t="s">
        <v>762</v>
      </c>
      <c r="J358" s="10">
        <v>1</v>
      </c>
      <c r="K358" s="57">
        <v>46054</v>
      </c>
      <c r="L358" s="55">
        <v>5255136</v>
      </c>
      <c r="M358" t="s">
        <v>2220</v>
      </c>
      <c r="N358" t="s">
        <v>2234</v>
      </c>
      <c r="O358" t="s">
        <v>2258</v>
      </c>
      <c r="P358" t="s">
        <v>2284</v>
      </c>
    </row>
    <row r="359" spans="1:16" x14ac:dyDescent="0.25">
      <c r="A359" s="51" t="s">
        <v>1901</v>
      </c>
      <c r="B359" s="7" t="s">
        <v>2199</v>
      </c>
      <c r="C359" t="s">
        <v>28</v>
      </c>
      <c r="D359" s="7" t="s">
        <v>1903</v>
      </c>
      <c r="E359" t="s">
        <v>1907</v>
      </c>
      <c r="F359" s="7">
        <v>3</v>
      </c>
      <c r="G359" t="s">
        <v>761</v>
      </c>
      <c r="H359" s="59">
        <v>46023</v>
      </c>
      <c r="I359" t="s">
        <v>762</v>
      </c>
      <c r="J359" s="7">
        <v>1</v>
      </c>
      <c r="K359" s="1">
        <v>46054</v>
      </c>
      <c r="L359" s="56">
        <v>1261902</v>
      </c>
      <c r="M359" t="s">
        <v>2220</v>
      </c>
      <c r="N359" t="s">
        <v>2234</v>
      </c>
      <c r="O359" t="s">
        <v>2258</v>
      </c>
      <c r="P359" t="s">
        <v>2284</v>
      </c>
    </row>
    <row r="360" spans="1:16" x14ac:dyDescent="0.25">
      <c r="A360" s="50" t="s">
        <v>1908</v>
      </c>
      <c r="B360" s="10" t="s">
        <v>2199</v>
      </c>
      <c r="C360" s="11" t="s">
        <v>28</v>
      </c>
      <c r="D360" s="10" t="s">
        <v>1909</v>
      </c>
      <c r="E360" s="11" t="s">
        <v>740</v>
      </c>
      <c r="F360" s="10">
        <v>1</v>
      </c>
      <c r="G360" s="11" t="s">
        <v>1797</v>
      </c>
      <c r="H360" s="58">
        <v>46023</v>
      </c>
      <c r="I360" s="11" t="s">
        <v>1798</v>
      </c>
      <c r="J360" s="10">
        <v>1</v>
      </c>
      <c r="K360" s="57">
        <v>46023</v>
      </c>
      <c r="L360" s="55">
        <v>170000</v>
      </c>
      <c r="M360" t="s">
        <v>2230</v>
      </c>
      <c r="N360" t="s">
        <v>2227</v>
      </c>
      <c r="O360" t="s">
        <v>2261</v>
      </c>
      <c r="P360" t="s">
        <v>2284</v>
      </c>
    </row>
    <row r="361" spans="1:16" x14ac:dyDescent="0.25">
      <c r="A361" s="51" t="s">
        <v>1911</v>
      </c>
      <c r="B361" s="7" t="s">
        <v>2199</v>
      </c>
      <c r="C361" t="s">
        <v>28</v>
      </c>
      <c r="D361" s="7" t="s">
        <v>1912</v>
      </c>
      <c r="E361" t="s">
        <v>840</v>
      </c>
      <c r="F361" s="7">
        <v>1</v>
      </c>
      <c r="G361" t="s">
        <v>1893</v>
      </c>
      <c r="H361" s="59">
        <v>46023</v>
      </c>
      <c r="I361" t="s">
        <v>1894</v>
      </c>
      <c r="J361" s="7">
        <v>1</v>
      </c>
      <c r="K361" s="1">
        <v>46023</v>
      </c>
      <c r="L361" s="56">
        <v>100000</v>
      </c>
      <c r="M361" t="s">
        <v>2231</v>
      </c>
      <c r="N361" t="s">
        <v>2262</v>
      </c>
      <c r="O361" t="s">
        <v>2264</v>
      </c>
      <c r="P361" t="s">
        <v>2284</v>
      </c>
    </row>
    <row r="362" spans="1:16" x14ac:dyDescent="0.25">
      <c r="A362" s="50" t="s">
        <v>1914</v>
      </c>
      <c r="B362" s="10" t="s">
        <v>2199</v>
      </c>
      <c r="C362" s="11" t="s">
        <v>28</v>
      </c>
      <c r="D362" s="10" t="s">
        <v>1916</v>
      </c>
      <c r="E362" s="11" t="s">
        <v>1920</v>
      </c>
      <c r="F362" s="10">
        <v>2</v>
      </c>
      <c r="G362" s="11" t="s">
        <v>1445</v>
      </c>
      <c r="H362" s="58">
        <v>46054</v>
      </c>
      <c r="I362" s="11" t="s">
        <v>1446</v>
      </c>
      <c r="J362" s="10">
        <v>1</v>
      </c>
      <c r="K362" s="57">
        <v>46082</v>
      </c>
      <c r="L362" s="55">
        <v>150000</v>
      </c>
      <c r="M362" t="s">
        <v>2222</v>
      </c>
      <c r="N362" t="s">
        <v>2234</v>
      </c>
      <c r="O362" t="s">
        <v>2260</v>
      </c>
      <c r="P362" t="s">
        <v>2284</v>
      </c>
    </row>
    <row r="363" spans="1:16" x14ac:dyDescent="0.25">
      <c r="A363" s="51" t="s">
        <v>1914</v>
      </c>
      <c r="B363" s="7" t="s">
        <v>2199</v>
      </c>
      <c r="C363" t="s">
        <v>28</v>
      </c>
      <c r="D363" s="7" t="s">
        <v>1916</v>
      </c>
      <c r="E363" t="s">
        <v>1918</v>
      </c>
      <c r="F363" s="7">
        <v>2</v>
      </c>
      <c r="G363" t="s">
        <v>1445</v>
      </c>
      <c r="H363" s="59">
        <v>46054</v>
      </c>
      <c r="I363" t="s">
        <v>1446</v>
      </c>
      <c r="J363" s="7">
        <v>1</v>
      </c>
      <c r="K363" s="1">
        <v>46082</v>
      </c>
      <c r="L363" s="56">
        <v>70000</v>
      </c>
      <c r="M363" t="s">
        <v>2222</v>
      </c>
      <c r="N363" t="s">
        <v>2234</v>
      </c>
      <c r="O363" t="s">
        <v>2260</v>
      </c>
      <c r="P363" t="s">
        <v>2284</v>
      </c>
    </row>
    <row r="364" spans="1:16" x14ac:dyDescent="0.25">
      <c r="A364" s="50" t="s">
        <v>1921</v>
      </c>
      <c r="B364" s="10" t="s">
        <v>2199</v>
      </c>
      <c r="C364" s="11" t="s">
        <v>28</v>
      </c>
      <c r="D364" s="10" t="s">
        <v>1922</v>
      </c>
      <c r="E364" s="11" t="s">
        <v>359</v>
      </c>
      <c r="F364" s="10">
        <v>2</v>
      </c>
      <c r="G364" s="11" t="s">
        <v>1924</v>
      </c>
      <c r="H364" s="58">
        <v>46023</v>
      </c>
      <c r="I364" s="11" t="s">
        <v>1869</v>
      </c>
      <c r="J364" s="10">
        <v>1</v>
      </c>
      <c r="K364" s="57">
        <v>46023</v>
      </c>
      <c r="L364" s="55">
        <v>380078</v>
      </c>
      <c r="M364" t="s">
        <v>2229</v>
      </c>
      <c r="N364" t="s">
        <v>2262</v>
      </c>
      <c r="O364" t="s">
        <v>2262</v>
      </c>
      <c r="P364" t="s">
        <v>2284</v>
      </c>
    </row>
    <row r="365" spans="1:16" x14ac:dyDescent="0.25">
      <c r="A365" s="51" t="s">
        <v>1921</v>
      </c>
      <c r="B365" s="7" t="s">
        <v>2199</v>
      </c>
      <c r="C365" t="s">
        <v>28</v>
      </c>
      <c r="D365" s="7" t="s">
        <v>1922</v>
      </c>
      <c r="E365" t="s">
        <v>855</v>
      </c>
      <c r="F365" s="7">
        <v>2</v>
      </c>
      <c r="G365" t="s">
        <v>1924</v>
      </c>
      <c r="H365" s="59">
        <v>46023</v>
      </c>
      <c r="I365" t="s">
        <v>1869</v>
      </c>
      <c r="J365" s="7">
        <v>1</v>
      </c>
      <c r="K365" s="1">
        <v>46023</v>
      </c>
      <c r="L365" s="56">
        <v>131430</v>
      </c>
      <c r="M365" t="s">
        <v>2229</v>
      </c>
      <c r="N365" t="s">
        <v>2262</v>
      </c>
      <c r="O365" t="s">
        <v>2262</v>
      </c>
      <c r="P365" t="s">
        <v>2284</v>
      </c>
    </row>
    <row r="366" spans="1:16" x14ac:dyDescent="0.25">
      <c r="A366" s="50" t="s">
        <v>1927</v>
      </c>
      <c r="B366" s="10" t="s">
        <v>2199</v>
      </c>
      <c r="C366" s="11" t="s">
        <v>28</v>
      </c>
      <c r="D366" s="10" t="s">
        <v>1928</v>
      </c>
      <c r="E366" s="11" t="s">
        <v>359</v>
      </c>
      <c r="F366" s="10">
        <v>9</v>
      </c>
      <c r="G366" s="11" t="s">
        <v>1931</v>
      </c>
      <c r="H366" s="58">
        <v>46174</v>
      </c>
      <c r="I366" s="11" t="s">
        <v>1932</v>
      </c>
      <c r="J366" s="10">
        <v>1</v>
      </c>
      <c r="K366" s="57">
        <v>46204</v>
      </c>
      <c r="L366" s="55">
        <v>738320</v>
      </c>
      <c r="M366" t="s">
        <v>2219</v>
      </c>
      <c r="N366" t="s">
        <v>2227</v>
      </c>
      <c r="O366" t="s">
        <v>2257</v>
      </c>
      <c r="P366" t="s">
        <v>2284</v>
      </c>
    </row>
    <row r="367" spans="1:16" x14ac:dyDescent="0.25">
      <c r="A367" s="51" t="s">
        <v>1927</v>
      </c>
      <c r="B367" s="7" t="s">
        <v>2199</v>
      </c>
      <c r="C367" t="s">
        <v>28</v>
      </c>
      <c r="D367" s="7" t="s">
        <v>1928</v>
      </c>
      <c r="E367" t="s">
        <v>1941</v>
      </c>
      <c r="F367" s="7">
        <v>9</v>
      </c>
      <c r="G367" t="s">
        <v>1931</v>
      </c>
      <c r="H367" s="59">
        <v>46235</v>
      </c>
      <c r="I367" t="s">
        <v>1932</v>
      </c>
      <c r="J367" s="7">
        <v>1</v>
      </c>
      <c r="K367" s="1">
        <v>46266</v>
      </c>
      <c r="L367" s="56">
        <v>1500000</v>
      </c>
      <c r="M367" t="s">
        <v>2219</v>
      </c>
      <c r="N367" t="s">
        <v>2227</v>
      </c>
      <c r="O367" t="s">
        <v>2257</v>
      </c>
      <c r="P367" t="s">
        <v>2284</v>
      </c>
    </row>
    <row r="368" spans="1:16" x14ac:dyDescent="0.25">
      <c r="A368" s="50" t="s">
        <v>1927</v>
      </c>
      <c r="B368" s="10" t="s">
        <v>2199</v>
      </c>
      <c r="C368" s="11" t="s">
        <v>28</v>
      </c>
      <c r="D368" s="10" t="s">
        <v>1928</v>
      </c>
      <c r="E368" s="11" t="s">
        <v>1938</v>
      </c>
      <c r="F368" s="10">
        <v>9</v>
      </c>
      <c r="G368" s="11" t="s">
        <v>1931</v>
      </c>
      <c r="H368" s="58">
        <v>46174</v>
      </c>
      <c r="I368" s="11" t="s">
        <v>1932</v>
      </c>
      <c r="J368" s="10">
        <v>1</v>
      </c>
      <c r="K368" s="57">
        <v>46204</v>
      </c>
      <c r="L368" s="55">
        <v>3100800</v>
      </c>
      <c r="M368" t="s">
        <v>2219</v>
      </c>
      <c r="N368" t="s">
        <v>2227</v>
      </c>
      <c r="O368" t="s">
        <v>2257</v>
      </c>
      <c r="P368" t="s">
        <v>2284</v>
      </c>
    </row>
    <row r="369" spans="1:16" x14ac:dyDescent="0.25">
      <c r="A369" s="51" t="s">
        <v>1927</v>
      </c>
      <c r="B369" s="7" t="s">
        <v>2199</v>
      </c>
      <c r="C369" t="s">
        <v>28</v>
      </c>
      <c r="D369" s="7" t="s">
        <v>1928</v>
      </c>
      <c r="E369" t="s">
        <v>1940</v>
      </c>
      <c r="F369" s="7">
        <v>9</v>
      </c>
      <c r="G369" t="s">
        <v>1931</v>
      </c>
      <c r="H369" s="59">
        <v>46174</v>
      </c>
      <c r="I369" t="s">
        <v>1932</v>
      </c>
      <c r="J369" s="7">
        <v>1</v>
      </c>
      <c r="K369" s="1">
        <v>46204</v>
      </c>
      <c r="L369" s="56">
        <v>50000</v>
      </c>
      <c r="M369" t="s">
        <v>2219</v>
      </c>
      <c r="N369" t="s">
        <v>2227</v>
      </c>
      <c r="O369" t="s">
        <v>2257</v>
      </c>
      <c r="P369" t="s">
        <v>2284</v>
      </c>
    </row>
    <row r="370" spans="1:16" x14ac:dyDescent="0.25">
      <c r="A370" s="50" t="s">
        <v>1927</v>
      </c>
      <c r="B370" s="10" t="s">
        <v>2199</v>
      </c>
      <c r="C370" s="11" t="s">
        <v>28</v>
      </c>
      <c r="D370" s="10" t="s">
        <v>1928</v>
      </c>
      <c r="E370" s="11" t="s">
        <v>1907</v>
      </c>
      <c r="F370" s="10">
        <v>9</v>
      </c>
      <c r="G370" s="11" t="s">
        <v>1931</v>
      </c>
      <c r="H370" s="58">
        <v>46174</v>
      </c>
      <c r="I370" s="11" t="s">
        <v>1932</v>
      </c>
      <c r="J370" s="10">
        <v>1</v>
      </c>
      <c r="K370" s="57">
        <v>46204</v>
      </c>
      <c r="L370" s="55">
        <v>169040</v>
      </c>
      <c r="M370" t="s">
        <v>2219</v>
      </c>
      <c r="N370" t="s">
        <v>2227</v>
      </c>
      <c r="O370" t="s">
        <v>2257</v>
      </c>
      <c r="P370" t="s">
        <v>2284</v>
      </c>
    </row>
    <row r="371" spans="1:16" x14ac:dyDescent="0.25">
      <c r="A371" s="51" t="s">
        <v>1927</v>
      </c>
      <c r="B371" s="7" t="s">
        <v>2199</v>
      </c>
      <c r="C371" t="s">
        <v>28</v>
      </c>
      <c r="D371" s="7" t="s">
        <v>1928</v>
      </c>
      <c r="E371" t="s">
        <v>1939</v>
      </c>
      <c r="F371" s="7">
        <v>9</v>
      </c>
      <c r="G371" t="s">
        <v>1931</v>
      </c>
      <c r="H371" s="59">
        <v>46174</v>
      </c>
      <c r="I371" t="s">
        <v>1932</v>
      </c>
      <c r="J371" s="7">
        <v>1</v>
      </c>
      <c r="K371" s="1">
        <v>46204</v>
      </c>
      <c r="L371" s="56">
        <v>50000</v>
      </c>
      <c r="M371" t="s">
        <v>2219</v>
      </c>
      <c r="N371" t="s">
        <v>2227</v>
      </c>
      <c r="O371" t="s">
        <v>2257</v>
      </c>
      <c r="P371" t="s">
        <v>2284</v>
      </c>
    </row>
    <row r="372" spans="1:16" x14ac:dyDescent="0.25">
      <c r="A372" s="50" t="s">
        <v>1927</v>
      </c>
      <c r="B372" s="10" t="s">
        <v>2199</v>
      </c>
      <c r="C372" s="11" t="s">
        <v>28</v>
      </c>
      <c r="D372" s="10" t="s">
        <v>1928</v>
      </c>
      <c r="E372" s="11" t="s">
        <v>1936</v>
      </c>
      <c r="F372" s="10">
        <v>9</v>
      </c>
      <c r="G372" s="11" t="s">
        <v>1931</v>
      </c>
      <c r="H372" s="58">
        <v>46235</v>
      </c>
      <c r="I372" s="11" t="s">
        <v>1932</v>
      </c>
      <c r="J372" s="10">
        <v>1</v>
      </c>
      <c r="K372" s="57">
        <v>46266</v>
      </c>
      <c r="L372" s="55">
        <v>5400000</v>
      </c>
      <c r="M372" t="s">
        <v>2219</v>
      </c>
      <c r="N372" t="s">
        <v>2227</v>
      </c>
      <c r="O372" t="s">
        <v>2257</v>
      </c>
      <c r="P372" t="s">
        <v>2284</v>
      </c>
    </row>
    <row r="373" spans="1:16" x14ac:dyDescent="0.25">
      <c r="A373" s="51" t="s">
        <v>1927</v>
      </c>
      <c r="B373" s="7" t="s">
        <v>2199</v>
      </c>
      <c r="C373" t="s">
        <v>28</v>
      </c>
      <c r="D373" s="7" t="s">
        <v>1928</v>
      </c>
      <c r="E373" t="s">
        <v>1930</v>
      </c>
      <c r="F373" s="7">
        <v>9</v>
      </c>
      <c r="G373" t="s">
        <v>1931</v>
      </c>
      <c r="H373" s="59">
        <v>46174</v>
      </c>
      <c r="I373" t="s">
        <v>1932</v>
      </c>
      <c r="J373" s="7">
        <v>1</v>
      </c>
      <c r="K373" s="1">
        <v>46204</v>
      </c>
      <c r="L373" s="56">
        <v>195000000</v>
      </c>
      <c r="M373" t="s">
        <v>2219</v>
      </c>
      <c r="N373" t="s">
        <v>2227</v>
      </c>
      <c r="O373" t="s">
        <v>2257</v>
      </c>
      <c r="P373" t="s">
        <v>2284</v>
      </c>
    </row>
    <row r="374" spans="1:16" x14ac:dyDescent="0.25">
      <c r="A374" s="50" t="s">
        <v>1927</v>
      </c>
      <c r="B374" s="10" t="s">
        <v>2199</v>
      </c>
      <c r="C374" s="11" t="s">
        <v>28</v>
      </c>
      <c r="D374" s="10" t="s">
        <v>1928</v>
      </c>
      <c r="E374" s="11" t="s">
        <v>1935</v>
      </c>
      <c r="F374" s="10">
        <v>9</v>
      </c>
      <c r="G374" s="11" t="s">
        <v>1931</v>
      </c>
      <c r="H374" s="58">
        <v>46174</v>
      </c>
      <c r="I374" s="11" t="s">
        <v>1932</v>
      </c>
      <c r="J374" s="10">
        <v>1</v>
      </c>
      <c r="K374" s="57">
        <v>46204</v>
      </c>
      <c r="L374" s="55">
        <v>1800000</v>
      </c>
      <c r="M374" t="s">
        <v>2219</v>
      </c>
      <c r="N374" t="s">
        <v>2227</v>
      </c>
      <c r="O374" t="s">
        <v>2257</v>
      </c>
      <c r="P374" t="s">
        <v>2284</v>
      </c>
    </row>
    <row r="375" spans="1:16" x14ac:dyDescent="0.25">
      <c r="A375" s="51" t="s">
        <v>1942</v>
      </c>
      <c r="B375" s="7" t="s">
        <v>2199</v>
      </c>
      <c r="C375" t="s">
        <v>28</v>
      </c>
      <c r="D375" s="7" t="s">
        <v>1943</v>
      </c>
      <c r="E375" t="s">
        <v>1945</v>
      </c>
      <c r="F375" s="7">
        <v>3</v>
      </c>
      <c r="G375" t="s">
        <v>761</v>
      </c>
      <c r="H375" s="59">
        <v>46174</v>
      </c>
      <c r="I375" t="s">
        <v>762</v>
      </c>
      <c r="J375" s="7">
        <v>1</v>
      </c>
      <c r="K375" s="1">
        <v>46204</v>
      </c>
      <c r="L375" s="56">
        <v>239016</v>
      </c>
      <c r="M375" t="s">
        <v>2220</v>
      </c>
      <c r="N375" t="s">
        <v>2234</v>
      </c>
      <c r="O375" t="s">
        <v>2258</v>
      </c>
      <c r="P375" t="s">
        <v>2284</v>
      </c>
    </row>
    <row r="376" spans="1:16" x14ac:dyDescent="0.25">
      <c r="A376" s="50" t="s">
        <v>1942</v>
      </c>
      <c r="B376" s="10" t="s">
        <v>2199</v>
      </c>
      <c r="C376" s="11" t="s">
        <v>28</v>
      </c>
      <c r="D376" s="10" t="s">
        <v>1943</v>
      </c>
      <c r="E376" s="11" t="s">
        <v>1947</v>
      </c>
      <c r="F376" s="10">
        <v>3</v>
      </c>
      <c r="G376" s="11" t="s">
        <v>761</v>
      </c>
      <c r="H376" s="58">
        <v>46174</v>
      </c>
      <c r="I376" s="11" t="s">
        <v>762</v>
      </c>
      <c r="J376" s="10">
        <v>1</v>
      </c>
      <c r="K376" s="57">
        <v>46204</v>
      </c>
      <c r="L376" s="55">
        <v>480320</v>
      </c>
      <c r="M376" t="s">
        <v>2220</v>
      </c>
      <c r="N376" t="s">
        <v>2234</v>
      </c>
      <c r="O376" t="s">
        <v>2258</v>
      </c>
      <c r="P376" t="s">
        <v>2284</v>
      </c>
    </row>
    <row r="377" spans="1:16" x14ac:dyDescent="0.25">
      <c r="A377" s="51" t="s">
        <v>1942</v>
      </c>
      <c r="B377" s="7" t="s">
        <v>2199</v>
      </c>
      <c r="C377" t="s">
        <v>28</v>
      </c>
      <c r="D377" s="7" t="s">
        <v>1943</v>
      </c>
      <c r="E377" t="s">
        <v>1946</v>
      </c>
      <c r="F377" s="7">
        <v>3</v>
      </c>
      <c r="G377" t="s">
        <v>761</v>
      </c>
      <c r="H377" s="59">
        <v>46174</v>
      </c>
      <c r="I377" t="s">
        <v>762</v>
      </c>
      <c r="J377" s="7">
        <v>1</v>
      </c>
      <c r="K377" s="1">
        <v>46204</v>
      </c>
      <c r="L377" s="56">
        <v>1074052</v>
      </c>
      <c r="M377" t="s">
        <v>2220</v>
      </c>
      <c r="N377" t="s">
        <v>2234</v>
      </c>
      <c r="O377" t="s">
        <v>2258</v>
      </c>
      <c r="P377" t="s">
        <v>2284</v>
      </c>
    </row>
    <row r="378" spans="1:16" x14ac:dyDescent="0.25">
      <c r="A378" s="50" t="s">
        <v>1948</v>
      </c>
      <c r="B378" s="10" t="s">
        <v>2199</v>
      </c>
      <c r="C378" s="11" t="s">
        <v>28</v>
      </c>
      <c r="D378" s="10" t="s">
        <v>1949</v>
      </c>
      <c r="E378" s="11" t="s">
        <v>777</v>
      </c>
      <c r="F378" s="10">
        <v>1</v>
      </c>
      <c r="G378" s="11" t="s">
        <v>414</v>
      </c>
      <c r="H378" s="58">
        <v>46082</v>
      </c>
      <c r="I378" s="11" t="s">
        <v>1852</v>
      </c>
      <c r="J378" s="10">
        <v>1</v>
      </c>
      <c r="K378" s="57">
        <v>46082</v>
      </c>
      <c r="L378" s="55">
        <v>10002100</v>
      </c>
      <c r="M378" t="s">
        <v>2222</v>
      </c>
      <c r="N378" t="s">
        <v>2234</v>
      </c>
      <c r="O378" t="s">
        <v>2260</v>
      </c>
      <c r="P378" t="s">
        <v>2284</v>
      </c>
    </row>
    <row r="379" spans="1:16" x14ac:dyDescent="0.25">
      <c r="A379" s="51" t="s">
        <v>1951</v>
      </c>
      <c r="B379" s="7" t="s">
        <v>2199</v>
      </c>
      <c r="C379" t="s">
        <v>28</v>
      </c>
      <c r="D379" s="7" t="s">
        <v>1952</v>
      </c>
      <c r="E379" t="s">
        <v>1864</v>
      </c>
      <c r="F379" s="7">
        <v>2</v>
      </c>
      <c r="G379" t="s">
        <v>761</v>
      </c>
      <c r="H379" s="59">
        <v>46082</v>
      </c>
      <c r="I379" t="s">
        <v>762</v>
      </c>
      <c r="J379" s="7">
        <v>1</v>
      </c>
      <c r="K379" s="1">
        <v>46113</v>
      </c>
      <c r="L379" s="56">
        <v>809217</v>
      </c>
      <c r="M379" t="s">
        <v>2220</v>
      </c>
      <c r="N379" t="s">
        <v>2234</v>
      </c>
      <c r="O379" t="s">
        <v>2258</v>
      </c>
      <c r="P379" t="s">
        <v>2284</v>
      </c>
    </row>
    <row r="380" spans="1:16" x14ac:dyDescent="0.25">
      <c r="A380" s="50" t="s">
        <v>1951</v>
      </c>
      <c r="B380" s="10" t="s">
        <v>2199</v>
      </c>
      <c r="C380" s="11" t="s">
        <v>28</v>
      </c>
      <c r="D380" s="10" t="s">
        <v>1952</v>
      </c>
      <c r="E380" s="11" t="s">
        <v>1938</v>
      </c>
      <c r="F380" s="10">
        <v>2</v>
      </c>
      <c r="G380" s="11" t="s">
        <v>761</v>
      </c>
      <c r="H380" s="58">
        <v>46082</v>
      </c>
      <c r="I380" s="11" t="s">
        <v>762</v>
      </c>
      <c r="J380" s="10">
        <v>1</v>
      </c>
      <c r="K380" s="57">
        <v>46113</v>
      </c>
      <c r="L380" s="55">
        <v>340060</v>
      </c>
      <c r="M380" t="s">
        <v>2220</v>
      </c>
      <c r="N380" t="s">
        <v>2234</v>
      </c>
      <c r="O380" t="s">
        <v>2258</v>
      </c>
      <c r="P380" t="s">
        <v>2284</v>
      </c>
    </row>
    <row r="381" spans="1:16" x14ac:dyDescent="0.25">
      <c r="A381" s="51" t="s">
        <v>1955</v>
      </c>
      <c r="B381" s="7" t="s">
        <v>2199</v>
      </c>
      <c r="C381" t="s">
        <v>28</v>
      </c>
      <c r="D381" s="7" t="s">
        <v>1956</v>
      </c>
      <c r="E381" t="s">
        <v>1303</v>
      </c>
      <c r="F381" s="7">
        <v>3</v>
      </c>
      <c r="G381" t="s">
        <v>414</v>
      </c>
      <c r="H381" s="59">
        <v>46082</v>
      </c>
      <c r="I381" t="s">
        <v>1852</v>
      </c>
      <c r="J381" s="7">
        <v>1</v>
      </c>
      <c r="K381" s="1">
        <v>46082</v>
      </c>
      <c r="L381" s="56">
        <v>3960000</v>
      </c>
      <c r="M381" t="s">
        <v>2222</v>
      </c>
      <c r="N381" t="s">
        <v>2234</v>
      </c>
      <c r="O381" t="s">
        <v>2260</v>
      </c>
      <c r="P381" t="s">
        <v>2284</v>
      </c>
    </row>
    <row r="382" spans="1:16" x14ac:dyDescent="0.25">
      <c r="A382" s="50" t="s">
        <v>1955</v>
      </c>
      <c r="B382" s="10" t="s">
        <v>2199</v>
      </c>
      <c r="C382" s="11" t="s">
        <v>28</v>
      </c>
      <c r="D382" s="10" t="s">
        <v>1956</v>
      </c>
      <c r="E382" s="11" t="s">
        <v>1958</v>
      </c>
      <c r="F382" s="10">
        <v>3</v>
      </c>
      <c r="G382" s="11" t="s">
        <v>414</v>
      </c>
      <c r="H382" s="58">
        <v>46082</v>
      </c>
      <c r="I382" s="11" t="s">
        <v>1852</v>
      </c>
      <c r="J382" s="10">
        <v>1</v>
      </c>
      <c r="K382" s="57">
        <v>46082</v>
      </c>
      <c r="L382" s="55">
        <v>600000</v>
      </c>
      <c r="M382" t="s">
        <v>2222</v>
      </c>
      <c r="N382" t="s">
        <v>2234</v>
      </c>
      <c r="O382" t="s">
        <v>2260</v>
      </c>
      <c r="P382" t="s">
        <v>2284</v>
      </c>
    </row>
    <row r="383" spans="1:16" x14ac:dyDescent="0.25">
      <c r="A383" s="51" t="s">
        <v>1955</v>
      </c>
      <c r="B383" s="7" t="s">
        <v>2199</v>
      </c>
      <c r="C383" t="s">
        <v>28</v>
      </c>
      <c r="D383" s="7" t="s">
        <v>1956</v>
      </c>
      <c r="E383" t="s">
        <v>1959</v>
      </c>
      <c r="F383" s="7">
        <v>3</v>
      </c>
      <c r="G383" t="s">
        <v>414</v>
      </c>
      <c r="H383" s="59">
        <v>46082</v>
      </c>
      <c r="I383" t="s">
        <v>1852</v>
      </c>
      <c r="J383" s="7">
        <v>1</v>
      </c>
      <c r="K383" s="1">
        <v>46082</v>
      </c>
      <c r="L383" s="56">
        <v>1000000</v>
      </c>
      <c r="M383" t="s">
        <v>2222</v>
      </c>
      <c r="N383" t="s">
        <v>2234</v>
      </c>
      <c r="O383" t="s">
        <v>2260</v>
      </c>
      <c r="P383" t="s">
        <v>2284</v>
      </c>
    </row>
    <row r="384" spans="1:16" x14ac:dyDescent="0.25">
      <c r="A384" s="50" t="s">
        <v>1960</v>
      </c>
      <c r="B384" s="10" t="s">
        <v>2199</v>
      </c>
      <c r="C384" s="11" t="s">
        <v>28</v>
      </c>
      <c r="D384" s="10" t="s">
        <v>1961</v>
      </c>
      <c r="E384" s="11" t="s">
        <v>962</v>
      </c>
      <c r="F384" s="10">
        <v>3</v>
      </c>
      <c r="G384" s="11" t="s">
        <v>1963</v>
      </c>
      <c r="H384" s="58">
        <v>46266</v>
      </c>
      <c r="I384" s="11" t="s">
        <v>1964</v>
      </c>
      <c r="J384" s="10">
        <v>1</v>
      </c>
      <c r="K384" s="57">
        <v>46266</v>
      </c>
      <c r="L384" s="55">
        <v>40000</v>
      </c>
      <c r="M384" t="s">
        <v>2225</v>
      </c>
      <c r="N384" t="s">
        <v>2234</v>
      </c>
      <c r="O384" t="s">
        <v>2258</v>
      </c>
      <c r="P384" t="s">
        <v>2284</v>
      </c>
    </row>
    <row r="385" spans="1:16" x14ac:dyDescent="0.25">
      <c r="A385" s="51" t="s">
        <v>1960</v>
      </c>
      <c r="B385" s="7" t="s">
        <v>2199</v>
      </c>
      <c r="C385" t="s">
        <v>28</v>
      </c>
      <c r="D385" s="7" t="s">
        <v>1961</v>
      </c>
      <c r="E385" t="s">
        <v>1966</v>
      </c>
      <c r="F385" s="7">
        <v>3</v>
      </c>
      <c r="G385" t="s">
        <v>1963</v>
      </c>
      <c r="H385" s="59">
        <v>46266</v>
      </c>
      <c r="I385" t="s">
        <v>1964</v>
      </c>
      <c r="J385" s="7">
        <v>1</v>
      </c>
      <c r="K385" s="1">
        <v>46266</v>
      </c>
      <c r="L385" s="56">
        <v>180000</v>
      </c>
      <c r="M385" t="s">
        <v>2225</v>
      </c>
      <c r="N385" t="s">
        <v>2234</v>
      </c>
      <c r="O385" t="s">
        <v>2258</v>
      </c>
      <c r="P385" t="s">
        <v>2284</v>
      </c>
    </row>
    <row r="386" spans="1:16" x14ac:dyDescent="0.25">
      <c r="A386" s="50" t="s">
        <v>1960</v>
      </c>
      <c r="B386" s="10" t="s">
        <v>2199</v>
      </c>
      <c r="C386" s="11" t="s">
        <v>28</v>
      </c>
      <c r="D386" s="10" t="s">
        <v>1961</v>
      </c>
      <c r="E386" s="11" t="s">
        <v>602</v>
      </c>
      <c r="F386" s="10">
        <v>3</v>
      </c>
      <c r="G386" s="11" t="s">
        <v>1963</v>
      </c>
      <c r="H386" s="58">
        <v>46266</v>
      </c>
      <c r="I386" s="11" t="s">
        <v>1964</v>
      </c>
      <c r="J386" s="10">
        <v>1</v>
      </c>
      <c r="K386" s="57">
        <v>46266</v>
      </c>
      <c r="L386" s="55">
        <v>700000</v>
      </c>
      <c r="M386" t="s">
        <v>2225</v>
      </c>
      <c r="N386" t="s">
        <v>2234</v>
      </c>
      <c r="O386" t="s">
        <v>2258</v>
      </c>
      <c r="P386" t="s">
        <v>2284</v>
      </c>
    </row>
    <row r="387" spans="1:16" x14ac:dyDescent="0.25">
      <c r="A387" s="51" t="s">
        <v>1976</v>
      </c>
      <c r="B387" s="7" t="s">
        <v>2199</v>
      </c>
      <c r="C387" t="s">
        <v>28</v>
      </c>
      <c r="D387" s="7" t="s">
        <v>1977</v>
      </c>
      <c r="E387" t="s">
        <v>1979</v>
      </c>
      <c r="F387" s="7">
        <v>1</v>
      </c>
      <c r="G387" t="s">
        <v>1660</v>
      </c>
      <c r="H387" s="59">
        <v>46113</v>
      </c>
      <c r="I387" t="s">
        <v>1980</v>
      </c>
      <c r="J387" s="7">
        <v>1</v>
      </c>
      <c r="K387" s="1">
        <v>46113</v>
      </c>
      <c r="L387" s="56">
        <v>15984280</v>
      </c>
      <c r="M387" t="s">
        <v>2222</v>
      </c>
      <c r="N387" t="s">
        <v>2234</v>
      </c>
      <c r="O387" t="s">
        <v>2260</v>
      </c>
      <c r="P387" t="s">
        <v>2284</v>
      </c>
    </row>
    <row r="388" spans="1:16" x14ac:dyDescent="0.25">
      <c r="A388" s="50" t="s">
        <v>1981</v>
      </c>
      <c r="B388" s="10" t="s">
        <v>2199</v>
      </c>
      <c r="C388" s="11" t="s">
        <v>28</v>
      </c>
      <c r="D388" s="10" t="s">
        <v>1982</v>
      </c>
      <c r="E388" s="11" t="s">
        <v>1984</v>
      </c>
      <c r="F388" s="10">
        <v>2</v>
      </c>
      <c r="G388" s="11" t="s">
        <v>1985</v>
      </c>
      <c r="H388" s="58">
        <v>46023</v>
      </c>
      <c r="I388" s="11" t="s">
        <v>1986</v>
      </c>
      <c r="J388" s="10">
        <v>1</v>
      </c>
      <c r="K388" s="57">
        <v>46023</v>
      </c>
      <c r="L388" s="55">
        <v>350200</v>
      </c>
      <c r="M388" t="s">
        <v>2221</v>
      </c>
      <c r="N388" t="s">
        <v>2234</v>
      </c>
      <c r="O388" t="s">
        <v>2259</v>
      </c>
      <c r="P388" t="s">
        <v>2284</v>
      </c>
    </row>
    <row r="389" spans="1:16" x14ac:dyDescent="0.25">
      <c r="A389" s="51" t="s">
        <v>1981</v>
      </c>
      <c r="B389" s="7" t="s">
        <v>2199</v>
      </c>
      <c r="C389" t="s">
        <v>28</v>
      </c>
      <c r="D389" s="7" t="s">
        <v>1982</v>
      </c>
      <c r="E389" t="s">
        <v>1989</v>
      </c>
      <c r="F389" s="7">
        <v>2</v>
      </c>
      <c r="G389" t="s">
        <v>1985</v>
      </c>
      <c r="H389" s="59">
        <v>46023</v>
      </c>
      <c r="I389" t="s">
        <v>1986</v>
      </c>
      <c r="J389" s="7">
        <v>1</v>
      </c>
      <c r="K389" s="1">
        <v>46023</v>
      </c>
      <c r="L389" s="56">
        <v>550800</v>
      </c>
      <c r="M389" t="s">
        <v>2221</v>
      </c>
      <c r="N389" t="s">
        <v>2234</v>
      </c>
      <c r="O389" t="s">
        <v>2259</v>
      </c>
      <c r="P389" t="s">
        <v>2284</v>
      </c>
    </row>
    <row r="390" spans="1:16" x14ac:dyDescent="0.25">
      <c r="A390" s="50" t="s">
        <v>1990</v>
      </c>
      <c r="B390" s="10" t="s">
        <v>2199</v>
      </c>
      <c r="C390" s="11" t="s">
        <v>28</v>
      </c>
      <c r="D390" s="10" t="s">
        <v>1991</v>
      </c>
      <c r="E390" s="11" t="s">
        <v>1303</v>
      </c>
      <c r="F390" s="10">
        <v>1</v>
      </c>
      <c r="G390" s="11" t="s">
        <v>414</v>
      </c>
      <c r="H390" s="58">
        <v>46082</v>
      </c>
      <c r="I390" s="11" t="s">
        <v>1852</v>
      </c>
      <c r="J390" s="10">
        <v>1</v>
      </c>
      <c r="K390" s="57">
        <v>46113</v>
      </c>
      <c r="L390" s="55">
        <v>3500000</v>
      </c>
      <c r="M390" t="s">
        <v>2222</v>
      </c>
      <c r="N390" t="s">
        <v>2234</v>
      </c>
      <c r="O390" t="s">
        <v>2260</v>
      </c>
      <c r="P390" t="s">
        <v>2284</v>
      </c>
    </row>
    <row r="391" spans="1:16" x14ac:dyDescent="0.25">
      <c r="A391" s="51" t="s">
        <v>1993</v>
      </c>
      <c r="B391" s="7" t="s">
        <v>2199</v>
      </c>
      <c r="C391" t="s">
        <v>28</v>
      </c>
      <c r="D391" s="7" t="s">
        <v>1994</v>
      </c>
      <c r="E391" t="s">
        <v>1959</v>
      </c>
      <c r="F391" s="7">
        <v>1</v>
      </c>
      <c r="G391" t="s">
        <v>414</v>
      </c>
      <c r="H391" s="59">
        <v>46082</v>
      </c>
      <c r="I391" t="s">
        <v>1996</v>
      </c>
      <c r="J391" s="7">
        <v>1</v>
      </c>
      <c r="K391" s="1">
        <v>46082</v>
      </c>
      <c r="L391" s="56">
        <v>15135390</v>
      </c>
      <c r="M391" t="s">
        <v>2222</v>
      </c>
      <c r="N391" t="s">
        <v>2234</v>
      </c>
      <c r="O391" t="s">
        <v>2260</v>
      </c>
      <c r="P391" t="s">
        <v>2284</v>
      </c>
    </row>
    <row r="392" spans="1:16" x14ac:dyDescent="0.25">
      <c r="A392" s="50" t="s">
        <v>1997</v>
      </c>
      <c r="B392" s="10" t="s">
        <v>2199</v>
      </c>
      <c r="C392" s="11" t="s">
        <v>28</v>
      </c>
      <c r="D392" s="10" t="s">
        <v>1998</v>
      </c>
      <c r="E392" s="11" t="s">
        <v>602</v>
      </c>
      <c r="F392" s="10">
        <v>1</v>
      </c>
      <c r="G392" s="11" t="s">
        <v>1985</v>
      </c>
      <c r="H392" s="58">
        <v>46113</v>
      </c>
      <c r="I392" s="11" t="s">
        <v>1986</v>
      </c>
      <c r="J392" s="10">
        <v>1</v>
      </c>
      <c r="K392" s="57">
        <v>46113</v>
      </c>
      <c r="L392" s="55">
        <v>1200000</v>
      </c>
      <c r="M392" t="s">
        <v>2221</v>
      </c>
      <c r="N392" t="s">
        <v>2234</v>
      </c>
      <c r="O392" t="s">
        <v>2259</v>
      </c>
      <c r="P392" t="s">
        <v>2284</v>
      </c>
    </row>
    <row r="393" spans="1:16" x14ac:dyDescent="0.25">
      <c r="A393" s="51" t="s">
        <v>2000</v>
      </c>
      <c r="B393" s="7" t="s">
        <v>2199</v>
      </c>
      <c r="C393" t="s">
        <v>28</v>
      </c>
      <c r="D393" s="7" t="s">
        <v>2001</v>
      </c>
      <c r="E393" t="s">
        <v>2003</v>
      </c>
      <c r="F393" s="7">
        <v>2</v>
      </c>
      <c r="G393" t="s">
        <v>1985</v>
      </c>
      <c r="H393" s="59">
        <v>46023</v>
      </c>
      <c r="I393" t="s">
        <v>1986</v>
      </c>
      <c r="J393" s="7">
        <v>12</v>
      </c>
      <c r="K393" t="s">
        <v>413</v>
      </c>
      <c r="L393" s="56">
        <v>10000000</v>
      </c>
      <c r="M393" t="s">
        <v>2221</v>
      </c>
      <c r="N393" t="s">
        <v>2234</v>
      </c>
      <c r="O393" t="s">
        <v>2259</v>
      </c>
      <c r="P393" t="s">
        <v>2284</v>
      </c>
    </row>
    <row r="394" spans="1:16" x14ac:dyDescent="0.25">
      <c r="A394" s="50" t="s">
        <v>2000</v>
      </c>
      <c r="B394" s="10" t="s">
        <v>2199</v>
      </c>
      <c r="C394" s="11" t="s">
        <v>28</v>
      </c>
      <c r="D394" s="10" t="s">
        <v>2001</v>
      </c>
      <c r="E394" s="11" t="s">
        <v>2004</v>
      </c>
      <c r="F394" s="10">
        <v>2</v>
      </c>
      <c r="G394" s="11" t="s">
        <v>1985</v>
      </c>
      <c r="H394" s="58">
        <v>46023</v>
      </c>
      <c r="I394" s="11" t="s">
        <v>1986</v>
      </c>
      <c r="J394" s="10">
        <v>12</v>
      </c>
      <c r="K394" s="11" t="s">
        <v>413</v>
      </c>
      <c r="L394" s="55">
        <v>10000000</v>
      </c>
      <c r="M394" t="s">
        <v>2221</v>
      </c>
      <c r="N394" t="s">
        <v>2234</v>
      </c>
      <c r="O394" t="s">
        <v>2259</v>
      </c>
      <c r="P394" t="s">
        <v>2284</v>
      </c>
    </row>
    <row r="395" spans="1:16" x14ac:dyDescent="0.25">
      <c r="A395" s="51" t="s">
        <v>2005</v>
      </c>
      <c r="B395" s="7" t="s">
        <v>2199</v>
      </c>
      <c r="C395" t="s">
        <v>28</v>
      </c>
      <c r="D395" s="7" t="s">
        <v>2006</v>
      </c>
      <c r="E395" t="s">
        <v>359</v>
      </c>
      <c r="F395" s="7">
        <v>4</v>
      </c>
      <c r="G395" t="s">
        <v>1469</v>
      </c>
      <c r="H395" s="59">
        <v>46082</v>
      </c>
      <c r="I395" t="s">
        <v>2008</v>
      </c>
      <c r="J395" s="7">
        <v>1</v>
      </c>
      <c r="K395" s="1">
        <v>46113</v>
      </c>
      <c r="L395" s="56">
        <v>158235</v>
      </c>
      <c r="M395" t="s">
        <v>2238</v>
      </c>
      <c r="N395" t="s">
        <v>2227</v>
      </c>
      <c r="O395" t="s">
        <v>2269</v>
      </c>
      <c r="P395" t="s">
        <v>2284</v>
      </c>
    </row>
    <row r="396" spans="1:16" x14ac:dyDescent="0.25">
      <c r="A396" s="50" t="s">
        <v>2005</v>
      </c>
      <c r="B396" s="10" t="s">
        <v>2199</v>
      </c>
      <c r="C396" s="11" t="s">
        <v>28</v>
      </c>
      <c r="D396" s="10" t="s">
        <v>2006</v>
      </c>
      <c r="E396" s="11" t="s">
        <v>1938</v>
      </c>
      <c r="F396" s="10">
        <v>4</v>
      </c>
      <c r="G396" s="11" t="s">
        <v>1469</v>
      </c>
      <c r="H396" s="58">
        <v>46054</v>
      </c>
      <c r="I396" s="11" t="s">
        <v>2008</v>
      </c>
      <c r="J396" s="10">
        <v>1</v>
      </c>
      <c r="K396" s="57">
        <v>46082</v>
      </c>
      <c r="L396" s="55">
        <v>729076</v>
      </c>
      <c r="M396" t="s">
        <v>2238</v>
      </c>
      <c r="N396" t="s">
        <v>2227</v>
      </c>
      <c r="O396" t="s">
        <v>2269</v>
      </c>
      <c r="P396" t="s">
        <v>2284</v>
      </c>
    </row>
    <row r="397" spans="1:16" x14ac:dyDescent="0.25">
      <c r="A397" s="51" t="s">
        <v>2005</v>
      </c>
      <c r="B397" s="7" t="s">
        <v>2199</v>
      </c>
      <c r="C397" t="s">
        <v>28</v>
      </c>
      <c r="D397" s="7" t="s">
        <v>2006</v>
      </c>
      <c r="E397" t="s">
        <v>1406</v>
      </c>
      <c r="F397" s="7">
        <v>4</v>
      </c>
      <c r="G397" t="s">
        <v>1469</v>
      </c>
      <c r="H397" s="59">
        <v>46143</v>
      </c>
      <c r="I397" t="s">
        <v>2008</v>
      </c>
      <c r="J397" s="7">
        <v>1</v>
      </c>
      <c r="K397" s="1">
        <v>46174</v>
      </c>
      <c r="L397" s="56">
        <v>4000</v>
      </c>
      <c r="M397" t="s">
        <v>2238</v>
      </c>
      <c r="N397" t="s">
        <v>2227</v>
      </c>
      <c r="O397" t="s">
        <v>2269</v>
      </c>
      <c r="P397" t="s">
        <v>2284</v>
      </c>
    </row>
    <row r="398" spans="1:16" x14ac:dyDescent="0.25">
      <c r="A398" s="50" t="s">
        <v>2005</v>
      </c>
      <c r="B398" s="10" t="s">
        <v>2199</v>
      </c>
      <c r="C398" s="11" t="s">
        <v>28</v>
      </c>
      <c r="D398" s="10" t="s">
        <v>2006</v>
      </c>
      <c r="E398" s="11" t="s">
        <v>2010</v>
      </c>
      <c r="F398" s="10">
        <v>4</v>
      </c>
      <c r="G398" s="11" t="s">
        <v>1469</v>
      </c>
      <c r="H398" s="58">
        <v>46143</v>
      </c>
      <c r="I398" s="11" t="s">
        <v>2008</v>
      </c>
      <c r="J398" s="10">
        <v>1</v>
      </c>
      <c r="K398" s="57">
        <v>46174</v>
      </c>
      <c r="L398" s="55">
        <v>20000</v>
      </c>
      <c r="M398" t="s">
        <v>2238</v>
      </c>
      <c r="N398" t="s">
        <v>2227</v>
      </c>
      <c r="O398" t="s">
        <v>2269</v>
      </c>
      <c r="P398" t="s">
        <v>2284</v>
      </c>
    </row>
    <row r="399" spans="1:16" x14ac:dyDescent="0.25">
      <c r="A399" s="51" t="s">
        <v>2011</v>
      </c>
      <c r="B399" s="7" t="s">
        <v>2199</v>
      </c>
      <c r="C399" t="s">
        <v>28</v>
      </c>
      <c r="D399" s="7" t="s">
        <v>2012</v>
      </c>
      <c r="E399" t="s">
        <v>2014</v>
      </c>
      <c r="F399" s="7">
        <v>2</v>
      </c>
      <c r="G399" t="s">
        <v>1985</v>
      </c>
      <c r="H399" s="59">
        <v>46023</v>
      </c>
      <c r="I399" t="s">
        <v>1986</v>
      </c>
      <c r="J399" s="7">
        <v>12</v>
      </c>
      <c r="K399" t="s">
        <v>413</v>
      </c>
      <c r="L399" s="56">
        <v>10000000</v>
      </c>
      <c r="M399" t="s">
        <v>2221</v>
      </c>
      <c r="N399" t="s">
        <v>2234</v>
      </c>
      <c r="O399" t="s">
        <v>2259</v>
      </c>
      <c r="P399" t="s">
        <v>2284</v>
      </c>
    </row>
    <row r="400" spans="1:16" x14ac:dyDescent="0.25">
      <c r="A400" s="50" t="s">
        <v>2011</v>
      </c>
      <c r="B400" s="10" t="s">
        <v>2199</v>
      </c>
      <c r="C400" s="11" t="s">
        <v>28</v>
      </c>
      <c r="D400" s="10" t="s">
        <v>2012</v>
      </c>
      <c r="E400" s="11" t="s">
        <v>2015</v>
      </c>
      <c r="F400" s="10">
        <v>2</v>
      </c>
      <c r="G400" s="11" t="s">
        <v>1985</v>
      </c>
      <c r="H400" s="58">
        <v>46023</v>
      </c>
      <c r="I400" s="11" t="s">
        <v>1986</v>
      </c>
      <c r="J400" s="10">
        <v>12</v>
      </c>
      <c r="K400" s="11" t="s">
        <v>413</v>
      </c>
      <c r="L400" s="55">
        <v>40008000</v>
      </c>
      <c r="M400" t="s">
        <v>2221</v>
      </c>
      <c r="N400" t="s">
        <v>2234</v>
      </c>
      <c r="O400" t="s">
        <v>2259</v>
      </c>
      <c r="P400" t="s">
        <v>2284</v>
      </c>
    </row>
    <row r="401" spans="1:16" x14ac:dyDescent="0.25">
      <c r="A401" s="51" t="s">
        <v>2016</v>
      </c>
      <c r="B401" s="7" t="s">
        <v>2199</v>
      </c>
      <c r="C401" t="s">
        <v>28</v>
      </c>
      <c r="D401" s="7" t="s">
        <v>2017</v>
      </c>
      <c r="E401" t="s">
        <v>740</v>
      </c>
      <c r="F401" s="7">
        <v>3</v>
      </c>
      <c r="G401" t="s">
        <v>1963</v>
      </c>
      <c r="H401" s="59">
        <v>46082</v>
      </c>
      <c r="I401" t="s">
        <v>1964</v>
      </c>
      <c r="J401" s="7">
        <v>1</v>
      </c>
      <c r="K401" s="1">
        <v>46082</v>
      </c>
      <c r="L401" s="56">
        <v>65010</v>
      </c>
      <c r="M401" t="s">
        <v>2225</v>
      </c>
      <c r="N401" t="s">
        <v>2234</v>
      </c>
      <c r="O401" t="s">
        <v>2258</v>
      </c>
      <c r="P401" t="s">
        <v>2284</v>
      </c>
    </row>
    <row r="402" spans="1:16" x14ac:dyDescent="0.25">
      <c r="A402" s="50" t="s">
        <v>2016</v>
      </c>
      <c r="B402" s="10" t="s">
        <v>2199</v>
      </c>
      <c r="C402" s="11" t="s">
        <v>28</v>
      </c>
      <c r="D402" s="10" t="s">
        <v>2017</v>
      </c>
      <c r="E402" s="11" t="s">
        <v>2019</v>
      </c>
      <c r="F402" s="10">
        <v>3</v>
      </c>
      <c r="G402" s="11" t="s">
        <v>1963</v>
      </c>
      <c r="H402" s="58">
        <v>46082</v>
      </c>
      <c r="I402" s="11" t="s">
        <v>1964</v>
      </c>
      <c r="J402" s="10">
        <v>1</v>
      </c>
      <c r="K402" s="57">
        <v>46082</v>
      </c>
      <c r="L402" s="55">
        <v>45012</v>
      </c>
      <c r="M402" t="s">
        <v>2225</v>
      </c>
      <c r="N402" t="s">
        <v>2234</v>
      </c>
      <c r="O402" t="s">
        <v>2258</v>
      </c>
      <c r="P402" t="s">
        <v>2284</v>
      </c>
    </row>
    <row r="403" spans="1:16" x14ac:dyDescent="0.25">
      <c r="A403" s="51" t="s">
        <v>2016</v>
      </c>
      <c r="B403" s="7" t="s">
        <v>2199</v>
      </c>
      <c r="C403" t="s">
        <v>28</v>
      </c>
      <c r="D403" s="7" t="s">
        <v>2017</v>
      </c>
      <c r="E403" t="s">
        <v>962</v>
      </c>
      <c r="F403" s="7">
        <v>3</v>
      </c>
      <c r="G403" t="s">
        <v>1963</v>
      </c>
      <c r="H403" s="59">
        <v>46082</v>
      </c>
      <c r="I403" t="s">
        <v>1964</v>
      </c>
      <c r="J403" s="7">
        <v>1</v>
      </c>
      <c r="K403" s="1">
        <v>46082</v>
      </c>
      <c r="L403" s="56">
        <v>120010</v>
      </c>
      <c r="M403" t="s">
        <v>2225</v>
      </c>
      <c r="N403" t="s">
        <v>2234</v>
      </c>
      <c r="O403" t="s">
        <v>2258</v>
      </c>
      <c r="P403" t="s">
        <v>2284</v>
      </c>
    </row>
    <row r="404" spans="1:16" x14ac:dyDescent="0.25">
      <c r="A404" s="50" t="s">
        <v>2020</v>
      </c>
      <c r="B404" s="10" t="s">
        <v>2199</v>
      </c>
      <c r="C404" s="11" t="s">
        <v>28</v>
      </c>
      <c r="D404" s="10" t="s">
        <v>2021</v>
      </c>
      <c r="E404" s="11" t="s">
        <v>2023</v>
      </c>
      <c r="F404" s="10">
        <v>1</v>
      </c>
      <c r="G404" s="11" t="s">
        <v>1985</v>
      </c>
      <c r="H404" s="58">
        <v>46023</v>
      </c>
      <c r="I404" s="11" t="s">
        <v>1986</v>
      </c>
      <c r="J404" s="10">
        <v>1</v>
      </c>
      <c r="K404" s="57">
        <v>46023</v>
      </c>
      <c r="L404" s="55">
        <v>700005</v>
      </c>
      <c r="M404" t="s">
        <v>2221</v>
      </c>
      <c r="N404" t="s">
        <v>2234</v>
      </c>
      <c r="O404" t="s">
        <v>2259</v>
      </c>
      <c r="P404" t="s">
        <v>2284</v>
      </c>
    </row>
    <row r="405" spans="1:16" x14ac:dyDescent="0.25">
      <c r="A405" s="51" t="s">
        <v>2024</v>
      </c>
      <c r="B405" s="7" t="s">
        <v>2199</v>
      </c>
      <c r="C405" t="s">
        <v>28</v>
      </c>
      <c r="D405" s="7" t="s">
        <v>2025</v>
      </c>
      <c r="E405" t="s">
        <v>2027</v>
      </c>
      <c r="F405" s="7">
        <v>1</v>
      </c>
      <c r="G405" t="s">
        <v>1985</v>
      </c>
      <c r="H405" s="59">
        <v>46023</v>
      </c>
      <c r="I405" t="s">
        <v>1986</v>
      </c>
      <c r="J405" s="7">
        <v>12</v>
      </c>
      <c r="K405" t="s">
        <v>413</v>
      </c>
      <c r="L405" s="56">
        <v>10000000</v>
      </c>
      <c r="M405" t="s">
        <v>2221</v>
      </c>
      <c r="N405" t="s">
        <v>2234</v>
      </c>
      <c r="O405" t="s">
        <v>2259</v>
      </c>
      <c r="P405" t="s">
        <v>2284</v>
      </c>
    </row>
    <row r="406" spans="1:16" x14ac:dyDescent="0.25">
      <c r="A406" s="50" t="s">
        <v>2041</v>
      </c>
      <c r="B406" s="10" t="s">
        <v>2199</v>
      </c>
      <c r="C406" s="11" t="s">
        <v>28</v>
      </c>
      <c r="D406" s="10" t="s">
        <v>2042</v>
      </c>
      <c r="E406" s="11" t="s">
        <v>2045</v>
      </c>
      <c r="F406" s="10">
        <v>6</v>
      </c>
      <c r="G406" s="11" t="s">
        <v>657</v>
      </c>
      <c r="H406" s="58">
        <v>46023</v>
      </c>
      <c r="I406" s="11" t="s">
        <v>658</v>
      </c>
      <c r="J406" s="10">
        <v>1</v>
      </c>
      <c r="K406" s="57">
        <v>46023</v>
      </c>
      <c r="L406" s="55">
        <v>280008</v>
      </c>
      <c r="M406" t="s">
        <v>2220</v>
      </c>
      <c r="N406" t="s">
        <v>2234</v>
      </c>
      <c r="O406" t="s">
        <v>2258</v>
      </c>
      <c r="P406" t="s">
        <v>2284</v>
      </c>
    </row>
    <row r="407" spans="1:16" x14ac:dyDescent="0.25">
      <c r="A407" s="51" t="s">
        <v>2041</v>
      </c>
      <c r="B407" s="7" t="s">
        <v>2199</v>
      </c>
      <c r="C407" t="s">
        <v>28</v>
      </c>
      <c r="D407" s="7" t="s">
        <v>2042</v>
      </c>
      <c r="E407" t="s">
        <v>777</v>
      </c>
      <c r="F407" s="7">
        <v>6</v>
      </c>
      <c r="G407" t="s">
        <v>657</v>
      </c>
      <c r="H407" s="59">
        <v>46023</v>
      </c>
      <c r="I407" t="s">
        <v>658</v>
      </c>
      <c r="J407" s="7">
        <v>1</v>
      </c>
      <c r="K407" s="1">
        <v>46023</v>
      </c>
      <c r="L407" s="56">
        <v>815000</v>
      </c>
      <c r="M407" t="s">
        <v>2220</v>
      </c>
      <c r="N407" t="s">
        <v>2234</v>
      </c>
      <c r="O407" t="s">
        <v>2258</v>
      </c>
      <c r="P407" t="s">
        <v>2284</v>
      </c>
    </row>
    <row r="408" spans="1:16" x14ac:dyDescent="0.25">
      <c r="A408" s="50" t="s">
        <v>2041</v>
      </c>
      <c r="B408" s="10" t="s">
        <v>2199</v>
      </c>
      <c r="C408" s="11" t="s">
        <v>28</v>
      </c>
      <c r="D408" s="10" t="s">
        <v>2042</v>
      </c>
      <c r="E408" s="11" t="s">
        <v>821</v>
      </c>
      <c r="F408" s="10">
        <v>6</v>
      </c>
      <c r="G408" s="11" t="s">
        <v>657</v>
      </c>
      <c r="H408" s="58">
        <v>46023</v>
      </c>
      <c r="I408" s="11" t="s">
        <v>658</v>
      </c>
      <c r="J408" s="10">
        <v>1</v>
      </c>
      <c r="K408" s="57">
        <v>46023</v>
      </c>
      <c r="L408" s="55">
        <v>60000</v>
      </c>
      <c r="M408" t="s">
        <v>2220</v>
      </c>
      <c r="N408" t="s">
        <v>2234</v>
      </c>
      <c r="O408" t="s">
        <v>2258</v>
      </c>
      <c r="P408" t="s">
        <v>2284</v>
      </c>
    </row>
    <row r="409" spans="1:16" x14ac:dyDescent="0.25">
      <c r="A409" s="51" t="s">
        <v>2041</v>
      </c>
      <c r="B409" s="7" t="s">
        <v>2199</v>
      </c>
      <c r="C409" t="s">
        <v>28</v>
      </c>
      <c r="D409" s="7" t="s">
        <v>2042</v>
      </c>
      <c r="E409" t="s">
        <v>2044</v>
      </c>
      <c r="F409" s="7">
        <v>6</v>
      </c>
      <c r="G409" t="s">
        <v>657</v>
      </c>
      <c r="H409" s="59">
        <v>46023</v>
      </c>
      <c r="I409" t="s">
        <v>658</v>
      </c>
      <c r="J409" s="7">
        <v>1</v>
      </c>
      <c r="K409" s="1">
        <v>46023</v>
      </c>
      <c r="L409" s="56">
        <v>833000</v>
      </c>
      <c r="M409" t="s">
        <v>2220</v>
      </c>
      <c r="N409" t="s">
        <v>2234</v>
      </c>
      <c r="O409" t="s">
        <v>2258</v>
      </c>
      <c r="P409" t="s">
        <v>2284</v>
      </c>
    </row>
    <row r="410" spans="1:16" x14ac:dyDescent="0.25">
      <c r="A410" s="50" t="s">
        <v>2041</v>
      </c>
      <c r="B410" s="10" t="s">
        <v>2199</v>
      </c>
      <c r="C410" s="11" t="s">
        <v>28</v>
      </c>
      <c r="D410" s="10" t="s">
        <v>2042</v>
      </c>
      <c r="E410" s="11" t="s">
        <v>2046</v>
      </c>
      <c r="F410" s="10">
        <v>6</v>
      </c>
      <c r="G410" s="11" t="s">
        <v>657</v>
      </c>
      <c r="H410" s="58">
        <v>46023</v>
      </c>
      <c r="I410" s="11" t="s">
        <v>658</v>
      </c>
      <c r="J410" s="10">
        <v>1</v>
      </c>
      <c r="K410" s="57">
        <v>46023</v>
      </c>
      <c r="L410" s="55">
        <v>100000</v>
      </c>
      <c r="M410" t="s">
        <v>2220</v>
      </c>
      <c r="N410" t="s">
        <v>2234</v>
      </c>
      <c r="O410" t="s">
        <v>2258</v>
      </c>
      <c r="P410" t="s">
        <v>2284</v>
      </c>
    </row>
    <row r="411" spans="1:16" x14ac:dyDescent="0.25">
      <c r="A411" s="51" t="s">
        <v>2041</v>
      </c>
      <c r="B411" s="7" t="s">
        <v>2199</v>
      </c>
      <c r="C411" t="s">
        <v>28</v>
      </c>
      <c r="D411" s="7" t="s">
        <v>2042</v>
      </c>
      <c r="E411" t="s">
        <v>760</v>
      </c>
      <c r="F411" s="7">
        <v>6</v>
      </c>
      <c r="G411" t="s">
        <v>657</v>
      </c>
      <c r="H411" s="59">
        <v>46023</v>
      </c>
      <c r="I411" t="s">
        <v>658</v>
      </c>
      <c r="J411" s="7">
        <v>1</v>
      </c>
      <c r="K411" s="1">
        <v>46023</v>
      </c>
      <c r="L411" s="56">
        <v>550002</v>
      </c>
      <c r="M411" t="s">
        <v>2220</v>
      </c>
      <c r="N411" t="s">
        <v>2234</v>
      </c>
      <c r="O411" t="s">
        <v>2258</v>
      </c>
      <c r="P411" t="s">
        <v>2284</v>
      </c>
    </row>
    <row r="412" spans="1:16" x14ac:dyDescent="0.25">
      <c r="A412" s="50" t="s">
        <v>2047</v>
      </c>
      <c r="B412" s="10" t="s">
        <v>2199</v>
      </c>
      <c r="C412" s="11" t="s">
        <v>28</v>
      </c>
      <c r="D412" s="10" t="s">
        <v>2048</v>
      </c>
      <c r="E412" s="11" t="s">
        <v>2054</v>
      </c>
      <c r="F412" s="10">
        <v>3</v>
      </c>
      <c r="G412" s="11" t="s">
        <v>2051</v>
      </c>
      <c r="H412" s="58">
        <v>46143</v>
      </c>
      <c r="I412" s="11" t="s">
        <v>2052</v>
      </c>
      <c r="J412" s="10">
        <v>1</v>
      </c>
      <c r="K412" s="57">
        <v>46174</v>
      </c>
      <c r="L412" s="55">
        <v>684735</v>
      </c>
      <c r="M412" t="s">
        <v>2222</v>
      </c>
      <c r="N412" t="s">
        <v>2234</v>
      </c>
      <c r="O412" t="s">
        <v>2260</v>
      </c>
      <c r="P412" t="s">
        <v>2284</v>
      </c>
    </row>
    <row r="413" spans="1:16" x14ac:dyDescent="0.25">
      <c r="A413" s="51" t="s">
        <v>2047</v>
      </c>
      <c r="B413" s="7" t="s">
        <v>2199</v>
      </c>
      <c r="C413" t="s">
        <v>28</v>
      </c>
      <c r="D413" s="7" t="s">
        <v>2048</v>
      </c>
      <c r="E413" t="s">
        <v>2055</v>
      </c>
      <c r="F413" s="7">
        <v>3</v>
      </c>
      <c r="G413" t="s">
        <v>2051</v>
      </c>
      <c r="H413" s="59">
        <v>46143</v>
      </c>
      <c r="I413" t="s">
        <v>2052</v>
      </c>
      <c r="J413" s="7">
        <v>1</v>
      </c>
      <c r="K413" s="1">
        <v>46174</v>
      </c>
      <c r="L413" s="56">
        <v>204100</v>
      </c>
      <c r="M413" t="s">
        <v>2222</v>
      </c>
      <c r="N413" t="s">
        <v>2234</v>
      </c>
      <c r="O413" t="s">
        <v>2260</v>
      </c>
      <c r="P413" t="s">
        <v>2284</v>
      </c>
    </row>
    <row r="414" spans="1:16" x14ac:dyDescent="0.25">
      <c r="A414" s="50" t="s">
        <v>2047</v>
      </c>
      <c r="B414" s="10" t="s">
        <v>2199</v>
      </c>
      <c r="C414" s="11" t="s">
        <v>28</v>
      </c>
      <c r="D414" s="10" t="s">
        <v>2048</v>
      </c>
      <c r="E414" s="11" t="s">
        <v>1936</v>
      </c>
      <c r="F414" s="10">
        <v>3</v>
      </c>
      <c r="G414" s="11" t="s">
        <v>2051</v>
      </c>
      <c r="H414" s="58">
        <v>46143</v>
      </c>
      <c r="I414" s="11" t="s">
        <v>2052</v>
      </c>
      <c r="J414" s="10">
        <v>1</v>
      </c>
      <c r="K414" s="57">
        <v>46174</v>
      </c>
      <c r="L414" s="55">
        <v>360000</v>
      </c>
      <c r="M414" t="s">
        <v>2222</v>
      </c>
      <c r="N414" t="s">
        <v>2234</v>
      </c>
      <c r="O414" t="s">
        <v>2260</v>
      </c>
      <c r="P414" t="s">
        <v>2284</v>
      </c>
    </row>
    <row r="415" spans="1:16" x14ac:dyDescent="0.25">
      <c r="A415" s="51" t="s">
        <v>2056</v>
      </c>
      <c r="B415" s="7" t="s">
        <v>2199</v>
      </c>
      <c r="C415" t="s">
        <v>28</v>
      </c>
      <c r="D415" s="7" t="s">
        <v>2057</v>
      </c>
      <c r="E415" t="s">
        <v>2059</v>
      </c>
      <c r="F415" s="7">
        <v>5</v>
      </c>
      <c r="G415" t="s">
        <v>1642</v>
      </c>
      <c r="H415" s="59">
        <v>46082</v>
      </c>
      <c r="I415" t="s">
        <v>1643</v>
      </c>
      <c r="J415" s="7">
        <v>1</v>
      </c>
      <c r="K415" s="1">
        <v>46113</v>
      </c>
      <c r="L415" s="56">
        <v>45000</v>
      </c>
      <c r="M415" t="s">
        <v>2253</v>
      </c>
      <c r="N415" t="s">
        <v>2234</v>
      </c>
      <c r="O415" t="s">
        <v>2258</v>
      </c>
      <c r="P415" t="s">
        <v>2284</v>
      </c>
    </row>
    <row r="416" spans="1:16" x14ac:dyDescent="0.25">
      <c r="A416" s="50" t="s">
        <v>2056</v>
      </c>
      <c r="B416" s="10" t="s">
        <v>2199</v>
      </c>
      <c r="C416" s="11" t="s">
        <v>28</v>
      </c>
      <c r="D416" s="10" t="s">
        <v>2057</v>
      </c>
      <c r="E416" s="11" t="s">
        <v>2062</v>
      </c>
      <c r="F416" s="10">
        <v>5</v>
      </c>
      <c r="G416" s="11" t="s">
        <v>1642</v>
      </c>
      <c r="H416" s="58">
        <v>46174</v>
      </c>
      <c r="I416" s="11" t="s">
        <v>1643</v>
      </c>
      <c r="J416" s="10">
        <v>1</v>
      </c>
      <c r="K416" s="57">
        <v>46204</v>
      </c>
      <c r="L416" s="55">
        <v>175014</v>
      </c>
      <c r="M416" t="s">
        <v>2253</v>
      </c>
      <c r="N416" t="s">
        <v>2234</v>
      </c>
      <c r="O416" t="s">
        <v>2258</v>
      </c>
      <c r="P416" t="s">
        <v>2284</v>
      </c>
    </row>
    <row r="417" spans="1:16" x14ac:dyDescent="0.25">
      <c r="A417" s="51" t="s">
        <v>2056</v>
      </c>
      <c r="B417" s="7" t="s">
        <v>2199</v>
      </c>
      <c r="C417" t="s">
        <v>28</v>
      </c>
      <c r="D417" s="7" t="s">
        <v>2057</v>
      </c>
      <c r="E417" t="s">
        <v>2061</v>
      </c>
      <c r="F417" s="7">
        <v>5</v>
      </c>
      <c r="G417" t="s">
        <v>1642</v>
      </c>
      <c r="H417" s="59">
        <v>46082</v>
      </c>
      <c r="I417" t="s">
        <v>1643</v>
      </c>
      <c r="J417" s="7">
        <v>1</v>
      </c>
      <c r="K417" s="1">
        <v>46113</v>
      </c>
      <c r="L417" s="56">
        <v>123000</v>
      </c>
      <c r="M417" t="s">
        <v>2253</v>
      </c>
      <c r="N417" t="s">
        <v>2234</v>
      </c>
      <c r="O417" t="s">
        <v>2258</v>
      </c>
      <c r="P417" t="s">
        <v>2284</v>
      </c>
    </row>
    <row r="418" spans="1:16" x14ac:dyDescent="0.25">
      <c r="A418" s="50" t="s">
        <v>2056</v>
      </c>
      <c r="B418" s="10" t="s">
        <v>2199</v>
      </c>
      <c r="C418" s="11" t="s">
        <v>28</v>
      </c>
      <c r="D418" s="10" t="s">
        <v>2057</v>
      </c>
      <c r="E418" s="11" t="s">
        <v>1137</v>
      </c>
      <c r="F418" s="10">
        <v>5</v>
      </c>
      <c r="G418" s="11" t="s">
        <v>1642</v>
      </c>
      <c r="H418" s="58">
        <v>46082</v>
      </c>
      <c r="I418" s="11" t="s">
        <v>1643</v>
      </c>
      <c r="J418" s="10">
        <v>1</v>
      </c>
      <c r="K418" s="57">
        <v>46113</v>
      </c>
      <c r="L418" s="55">
        <v>40000</v>
      </c>
      <c r="M418" t="s">
        <v>2253</v>
      </c>
      <c r="N418" t="s">
        <v>2234</v>
      </c>
      <c r="O418" t="s">
        <v>2258</v>
      </c>
      <c r="P418" t="s">
        <v>2284</v>
      </c>
    </row>
    <row r="419" spans="1:16" x14ac:dyDescent="0.25">
      <c r="A419" s="51" t="s">
        <v>2056</v>
      </c>
      <c r="B419" s="7" t="s">
        <v>2199</v>
      </c>
      <c r="C419" t="s">
        <v>28</v>
      </c>
      <c r="D419" s="7" t="s">
        <v>2057</v>
      </c>
      <c r="E419" t="s">
        <v>1973</v>
      </c>
      <c r="F419" s="7">
        <v>5</v>
      </c>
      <c r="G419" t="s">
        <v>1642</v>
      </c>
      <c r="H419" s="59">
        <v>46082</v>
      </c>
      <c r="I419" t="s">
        <v>1643</v>
      </c>
      <c r="J419" s="7">
        <v>1</v>
      </c>
      <c r="K419" s="1">
        <v>46113</v>
      </c>
      <c r="L419" s="56">
        <v>500024</v>
      </c>
      <c r="M419" t="s">
        <v>2253</v>
      </c>
      <c r="N419" t="s">
        <v>2234</v>
      </c>
      <c r="O419" t="s">
        <v>2258</v>
      </c>
      <c r="P419" t="s">
        <v>2284</v>
      </c>
    </row>
    <row r="420" spans="1:16" x14ac:dyDescent="0.25">
      <c r="A420" s="50" t="s">
        <v>2067</v>
      </c>
      <c r="B420" s="10" t="s">
        <v>2199</v>
      </c>
      <c r="C420" s="11" t="s">
        <v>28</v>
      </c>
      <c r="D420" s="10" t="s">
        <v>2068</v>
      </c>
      <c r="E420" s="11" t="s">
        <v>486</v>
      </c>
      <c r="F420" s="10">
        <v>1</v>
      </c>
      <c r="G420" s="11" t="s">
        <v>590</v>
      </c>
      <c r="H420" s="58">
        <v>46082</v>
      </c>
      <c r="I420" s="11" t="s">
        <v>591</v>
      </c>
      <c r="J420" s="10">
        <v>1</v>
      </c>
      <c r="K420" s="57">
        <v>46082</v>
      </c>
      <c r="L420" s="55">
        <v>490280</v>
      </c>
      <c r="M420" t="s">
        <v>2222</v>
      </c>
      <c r="N420" t="s">
        <v>2234</v>
      </c>
      <c r="O420" t="s">
        <v>2260</v>
      </c>
      <c r="P420" t="s">
        <v>2284</v>
      </c>
    </row>
    <row r="421" spans="1:16" x14ac:dyDescent="0.25">
      <c r="A421" s="51" t="s">
        <v>2070</v>
      </c>
      <c r="B421" s="7" t="s">
        <v>2199</v>
      </c>
      <c r="C421" t="s">
        <v>28</v>
      </c>
      <c r="D421" s="7" t="s">
        <v>2071</v>
      </c>
      <c r="E421" t="s">
        <v>2073</v>
      </c>
      <c r="F421" s="7">
        <v>1</v>
      </c>
      <c r="G421" t="s">
        <v>1642</v>
      </c>
      <c r="H421" s="59">
        <v>46113</v>
      </c>
      <c r="I421" t="s">
        <v>1643</v>
      </c>
      <c r="J421" s="7">
        <v>1</v>
      </c>
      <c r="K421" s="1">
        <v>46143</v>
      </c>
      <c r="L421" s="56">
        <v>70000</v>
      </c>
      <c r="M421" t="s">
        <v>2253</v>
      </c>
      <c r="N421" t="s">
        <v>2234</v>
      </c>
      <c r="O421" t="s">
        <v>2258</v>
      </c>
      <c r="P421" t="s">
        <v>2284</v>
      </c>
    </row>
    <row r="422" spans="1:16" x14ac:dyDescent="0.25">
      <c r="A422" s="50" t="s">
        <v>2074</v>
      </c>
      <c r="B422" s="10" t="s">
        <v>2199</v>
      </c>
      <c r="C422" s="11" t="s">
        <v>28</v>
      </c>
      <c r="D422" s="10" t="s">
        <v>788</v>
      </c>
      <c r="E422" s="11" t="s">
        <v>359</v>
      </c>
      <c r="F422" s="10">
        <v>2</v>
      </c>
      <c r="G422" s="11" t="s">
        <v>2076</v>
      </c>
      <c r="H422" s="58">
        <v>46082</v>
      </c>
      <c r="I422" s="11" t="s">
        <v>2077</v>
      </c>
      <c r="J422" s="10">
        <v>1</v>
      </c>
      <c r="K422" s="57">
        <v>46082</v>
      </c>
      <c r="L422" s="55">
        <v>2280150</v>
      </c>
      <c r="M422" t="s">
        <v>2232</v>
      </c>
      <c r="N422" t="s">
        <v>2234</v>
      </c>
      <c r="O422" t="s">
        <v>2265</v>
      </c>
      <c r="P422" t="s">
        <v>2284</v>
      </c>
    </row>
    <row r="423" spans="1:16" x14ac:dyDescent="0.25">
      <c r="A423" s="51" t="s">
        <v>2074</v>
      </c>
      <c r="B423" s="7" t="s">
        <v>2199</v>
      </c>
      <c r="C423" t="s">
        <v>28</v>
      </c>
      <c r="D423" s="7" t="s">
        <v>788</v>
      </c>
      <c r="E423" t="s">
        <v>855</v>
      </c>
      <c r="F423" s="7">
        <v>2</v>
      </c>
      <c r="G423" t="s">
        <v>2076</v>
      </c>
      <c r="H423" s="59">
        <v>46082</v>
      </c>
      <c r="I423" t="s">
        <v>2077</v>
      </c>
      <c r="J423" s="7">
        <v>1</v>
      </c>
      <c r="K423" s="1">
        <v>46082</v>
      </c>
      <c r="L423" s="56">
        <v>193760</v>
      </c>
      <c r="M423" t="s">
        <v>2232</v>
      </c>
      <c r="N423" t="s">
        <v>2234</v>
      </c>
      <c r="O423" t="s">
        <v>2265</v>
      </c>
      <c r="P423" t="s">
        <v>2284</v>
      </c>
    </row>
    <row r="424" spans="1:16" x14ac:dyDescent="0.25">
      <c r="A424" s="50" t="s">
        <v>2083</v>
      </c>
      <c r="B424" s="10" t="s">
        <v>2199</v>
      </c>
      <c r="C424" s="11" t="s">
        <v>28</v>
      </c>
      <c r="D424" s="10" t="s">
        <v>1916</v>
      </c>
      <c r="E424" s="11" t="s">
        <v>2085</v>
      </c>
      <c r="F424" s="10">
        <v>1</v>
      </c>
      <c r="G424" s="11" t="s">
        <v>1445</v>
      </c>
      <c r="H424" s="58">
        <v>46054</v>
      </c>
      <c r="I424" s="11" t="s">
        <v>1446</v>
      </c>
      <c r="J424" s="10">
        <v>1</v>
      </c>
      <c r="K424" s="57">
        <v>46082</v>
      </c>
      <c r="L424" s="55">
        <v>200000</v>
      </c>
      <c r="M424" t="s">
        <v>2222</v>
      </c>
      <c r="N424" t="s">
        <v>2234</v>
      </c>
      <c r="O424" t="s">
        <v>2260</v>
      </c>
      <c r="P424" t="s">
        <v>2284</v>
      </c>
    </row>
    <row r="425" spans="1:16" x14ac:dyDescent="0.25">
      <c r="A425" s="51" t="s">
        <v>2089</v>
      </c>
      <c r="B425" s="7" t="s">
        <v>2199</v>
      </c>
      <c r="C425" t="s">
        <v>28</v>
      </c>
      <c r="D425" s="7" t="s">
        <v>2090</v>
      </c>
      <c r="E425" t="s">
        <v>2096</v>
      </c>
      <c r="F425" s="7">
        <v>6</v>
      </c>
      <c r="G425" t="s">
        <v>761</v>
      </c>
      <c r="H425" s="59">
        <v>46113</v>
      </c>
      <c r="I425" t="s">
        <v>762</v>
      </c>
      <c r="J425" s="7">
        <v>1</v>
      </c>
      <c r="K425" s="1">
        <v>46143</v>
      </c>
      <c r="L425" s="56">
        <v>30000</v>
      </c>
      <c r="M425" t="s">
        <v>2220</v>
      </c>
      <c r="N425" t="s">
        <v>2234</v>
      </c>
      <c r="O425" t="s">
        <v>2258</v>
      </c>
      <c r="P425" t="s">
        <v>2284</v>
      </c>
    </row>
    <row r="426" spans="1:16" x14ac:dyDescent="0.25">
      <c r="A426" s="50" t="s">
        <v>2089</v>
      </c>
      <c r="B426" s="10" t="s">
        <v>2199</v>
      </c>
      <c r="C426" s="11" t="s">
        <v>28</v>
      </c>
      <c r="D426" s="10" t="s">
        <v>2090</v>
      </c>
      <c r="E426" s="11" t="s">
        <v>2092</v>
      </c>
      <c r="F426" s="10">
        <v>6</v>
      </c>
      <c r="G426" s="11" t="s">
        <v>761</v>
      </c>
      <c r="H426" s="58">
        <v>46113</v>
      </c>
      <c r="I426" s="11" t="s">
        <v>762</v>
      </c>
      <c r="J426" s="10">
        <v>1</v>
      </c>
      <c r="K426" s="57">
        <v>46143</v>
      </c>
      <c r="L426" s="55">
        <v>343480</v>
      </c>
      <c r="M426" t="s">
        <v>2220</v>
      </c>
      <c r="N426" t="s">
        <v>2234</v>
      </c>
      <c r="O426" t="s">
        <v>2258</v>
      </c>
      <c r="P426" t="s">
        <v>2284</v>
      </c>
    </row>
    <row r="427" spans="1:16" x14ac:dyDescent="0.25">
      <c r="A427" s="51" t="s">
        <v>2089</v>
      </c>
      <c r="B427" s="7" t="s">
        <v>2199</v>
      </c>
      <c r="C427" t="s">
        <v>28</v>
      </c>
      <c r="D427" s="7" t="s">
        <v>2090</v>
      </c>
      <c r="E427" t="s">
        <v>1864</v>
      </c>
      <c r="F427" s="7">
        <v>6</v>
      </c>
      <c r="G427" t="s">
        <v>761</v>
      </c>
      <c r="H427" s="59">
        <v>46113</v>
      </c>
      <c r="I427" t="s">
        <v>762</v>
      </c>
      <c r="J427" s="7">
        <v>1</v>
      </c>
      <c r="K427" s="1">
        <v>46143</v>
      </c>
      <c r="L427" s="56">
        <v>230040</v>
      </c>
      <c r="M427" t="s">
        <v>2220</v>
      </c>
      <c r="N427" t="s">
        <v>2234</v>
      </c>
      <c r="O427" t="s">
        <v>2258</v>
      </c>
      <c r="P427" t="s">
        <v>2284</v>
      </c>
    </row>
    <row r="428" spans="1:16" x14ac:dyDescent="0.25">
      <c r="A428" s="50" t="s">
        <v>2089</v>
      </c>
      <c r="B428" s="10" t="s">
        <v>2199</v>
      </c>
      <c r="C428" s="11" t="s">
        <v>28</v>
      </c>
      <c r="D428" s="10" t="s">
        <v>2090</v>
      </c>
      <c r="E428" s="11" t="s">
        <v>1938</v>
      </c>
      <c r="F428" s="10">
        <v>6</v>
      </c>
      <c r="G428" s="11" t="s">
        <v>761</v>
      </c>
      <c r="H428" s="58">
        <v>46113</v>
      </c>
      <c r="I428" s="11" t="s">
        <v>762</v>
      </c>
      <c r="J428" s="10">
        <v>1</v>
      </c>
      <c r="K428" s="57">
        <v>46143</v>
      </c>
      <c r="L428" s="55">
        <v>220110</v>
      </c>
      <c r="M428" t="s">
        <v>2220</v>
      </c>
      <c r="N428" t="s">
        <v>2234</v>
      </c>
      <c r="O428" t="s">
        <v>2258</v>
      </c>
      <c r="P428" t="s">
        <v>2284</v>
      </c>
    </row>
    <row r="429" spans="1:16" x14ac:dyDescent="0.25">
      <c r="A429" s="51" t="s">
        <v>2089</v>
      </c>
      <c r="B429" s="7" t="s">
        <v>2199</v>
      </c>
      <c r="C429" t="s">
        <v>28</v>
      </c>
      <c r="D429" s="7" t="s">
        <v>2090</v>
      </c>
      <c r="E429" t="s">
        <v>2093</v>
      </c>
      <c r="F429" s="7">
        <v>6</v>
      </c>
      <c r="G429" t="s">
        <v>761</v>
      </c>
      <c r="H429" s="59">
        <v>46113</v>
      </c>
      <c r="I429" t="s">
        <v>762</v>
      </c>
      <c r="J429" s="7">
        <v>1</v>
      </c>
      <c r="K429" s="1">
        <v>46143</v>
      </c>
      <c r="L429" s="56">
        <v>100000</v>
      </c>
      <c r="M429" t="s">
        <v>2220</v>
      </c>
      <c r="N429" t="s">
        <v>2234</v>
      </c>
      <c r="O429" t="s">
        <v>2258</v>
      </c>
      <c r="P429" t="s">
        <v>2284</v>
      </c>
    </row>
    <row r="430" spans="1:16" x14ac:dyDescent="0.25">
      <c r="A430" s="50" t="s">
        <v>2089</v>
      </c>
      <c r="B430" s="10" t="s">
        <v>2199</v>
      </c>
      <c r="C430" s="11" t="s">
        <v>28</v>
      </c>
      <c r="D430" s="10" t="s">
        <v>2090</v>
      </c>
      <c r="E430" s="11" t="s">
        <v>2095</v>
      </c>
      <c r="F430" s="10">
        <v>6</v>
      </c>
      <c r="G430" s="11" t="s">
        <v>761</v>
      </c>
      <c r="H430" s="58">
        <v>46113</v>
      </c>
      <c r="I430" s="11" t="s">
        <v>762</v>
      </c>
      <c r="J430" s="10">
        <v>1</v>
      </c>
      <c r="K430" s="57">
        <v>46143</v>
      </c>
      <c r="L430" s="55">
        <v>2364300</v>
      </c>
      <c r="M430" t="s">
        <v>2220</v>
      </c>
      <c r="N430" t="s">
        <v>2234</v>
      </c>
      <c r="O430" t="s">
        <v>2258</v>
      </c>
      <c r="P430" t="s">
        <v>2284</v>
      </c>
    </row>
    <row r="431" spans="1:16" x14ac:dyDescent="0.25">
      <c r="A431" s="51" t="s">
        <v>2097</v>
      </c>
      <c r="B431" s="7" t="s">
        <v>2199</v>
      </c>
      <c r="C431" t="s">
        <v>28</v>
      </c>
      <c r="D431" s="7" t="s">
        <v>2098</v>
      </c>
      <c r="E431" t="s">
        <v>2101</v>
      </c>
      <c r="F431" s="7">
        <v>3</v>
      </c>
      <c r="G431" t="s">
        <v>590</v>
      </c>
      <c r="H431" s="59">
        <v>46113</v>
      </c>
      <c r="I431" t="s">
        <v>591</v>
      </c>
      <c r="J431" s="7">
        <v>1</v>
      </c>
      <c r="K431" s="1">
        <v>46143</v>
      </c>
      <c r="L431" s="56">
        <v>1559097</v>
      </c>
      <c r="M431" t="s">
        <v>2222</v>
      </c>
      <c r="N431" t="s">
        <v>2234</v>
      </c>
      <c r="O431" t="s">
        <v>2260</v>
      </c>
      <c r="P431" t="s">
        <v>2284</v>
      </c>
    </row>
    <row r="432" spans="1:16" x14ac:dyDescent="0.25">
      <c r="A432" s="50" t="s">
        <v>2097</v>
      </c>
      <c r="B432" s="10" t="s">
        <v>2199</v>
      </c>
      <c r="C432" s="11" t="s">
        <v>28</v>
      </c>
      <c r="D432" s="10" t="s">
        <v>2098</v>
      </c>
      <c r="E432" s="11" t="s">
        <v>1940</v>
      </c>
      <c r="F432" s="10">
        <v>3</v>
      </c>
      <c r="G432" s="11" t="s">
        <v>590</v>
      </c>
      <c r="H432" s="58">
        <v>46113</v>
      </c>
      <c r="I432" s="11" t="s">
        <v>591</v>
      </c>
      <c r="J432" s="10">
        <v>1</v>
      </c>
      <c r="K432" s="57">
        <v>46143</v>
      </c>
      <c r="L432" s="55">
        <v>150000</v>
      </c>
      <c r="M432" t="s">
        <v>2222</v>
      </c>
      <c r="N432" t="s">
        <v>2234</v>
      </c>
      <c r="O432" t="s">
        <v>2260</v>
      </c>
      <c r="P432" t="s">
        <v>2284</v>
      </c>
    </row>
    <row r="433" spans="1:16" x14ac:dyDescent="0.25">
      <c r="A433" s="51" t="s">
        <v>2097</v>
      </c>
      <c r="B433" s="7" t="s">
        <v>2199</v>
      </c>
      <c r="C433" t="s">
        <v>28</v>
      </c>
      <c r="D433" s="7" t="s">
        <v>2098</v>
      </c>
      <c r="E433" t="s">
        <v>2055</v>
      </c>
      <c r="F433" s="7">
        <v>3</v>
      </c>
      <c r="G433" t="s">
        <v>590</v>
      </c>
      <c r="H433" s="59">
        <v>46082</v>
      </c>
      <c r="I433" t="s">
        <v>591</v>
      </c>
      <c r="J433" s="7">
        <v>1</v>
      </c>
      <c r="K433" s="1">
        <v>46113</v>
      </c>
      <c r="L433" s="56">
        <v>464009</v>
      </c>
      <c r="M433" t="s">
        <v>2222</v>
      </c>
      <c r="N433" t="s">
        <v>2234</v>
      </c>
      <c r="O433" t="s">
        <v>2260</v>
      </c>
      <c r="P433" t="s">
        <v>2284</v>
      </c>
    </row>
    <row r="434" spans="1:16" x14ac:dyDescent="0.25">
      <c r="A434" s="50" t="s">
        <v>2107</v>
      </c>
      <c r="B434" s="10" t="s">
        <v>2199</v>
      </c>
      <c r="C434" s="11" t="s">
        <v>28</v>
      </c>
      <c r="D434" s="10" t="s">
        <v>2108</v>
      </c>
      <c r="E434" s="11" t="s">
        <v>486</v>
      </c>
      <c r="F434" s="10">
        <v>3</v>
      </c>
      <c r="G434" s="11" t="s">
        <v>761</v>
      </c>
      <c r="H434" s="58">
        <v>46054</v>
      </c>
      <c r="I434" s="11" t="s">
        <v>762</v>
      </c>
      <c r="J434" s="10">
        <v>1</v>
      </c>
      <c r="K434" s="57">
        <v>46054</v>
      </c>
      <c r="L434" s="55">
        <v>1975000</v>
      </c>
      <c r="M434" t="s">
        <v>2220</v>
      </c>
      <c r="N434" t="s">
        <v>2234</v>
      </c>
      <c r="O434" t="s">
        <v>2258</v>
      </c>
      <c r="P434" t="s">
        <v>2284</v>
      </c>
    </row>
    <row r="435" spans="1:16" x14ac:dyDescent="0.25">
      <c r="A435" s="51" t="s">
        <v>2107</v>
      </c>
      <c r="B435" s="7" t="s">
        <v>2199</v>
      </c>
      <c r="C435" t="s">
        <v>28</v>
      </c>
      <c r="D435" s="7" t="s">
        <v>2108</v>
      </c>
      <c r="E435" t="s">
        <v>1683</v>
      </c>
      <c r="F435" s="7">
        <v>3</v>
      </c>
      <c r="G435" t="s">
        <v>761</v>
      </c>
      <c r="H435" s="59">
        <v>46054</v>
      </c>
      <c r="I435" t="s">
        <v>762</v>
      </c>
      <c r="J435" s="7">
        <v>1</v>
      </c>
      <c r="K435" s="1">
        <v>46054</v>
      </c>
      <c r="L435" s="56">
        <v>50000</v>
      </c>
      <c r="M435" t="s">
        <v>2220</v>
      </c>
      <c r="N435" t="s">
        <v>2234</v>
      </c>
      <c r="O435" t="s">
        <v>2258</v>
      </c>
      <c r="P435" t="s">
        <v>2284</v>
      </c>
    </row>
    <row r="436" spans="1:16" x14ac:dyDescent="0.25">
      <c r="A436" s="50" t="s">
        <v>2107</v>
      </c>
      <c r="B436" s="10" t="s">
        <v>2199</v>
      </c>
      <c r="C436" s="11" t="s">
        <v>28</v>
      </c>
      <c r="D436" s="10" t="s">
        <v>2108</v>
      </c>
      <c r="E436" s="11" t="s">
        <v>953</v>
      </c>
      <c r="F436" s="10">
        <v>3</v>
      </c>
      <c r="G436" s="11" t="s">
        <v>761</v>
      </c>
      <c r="H436" s="58">
        <v>46054</v>
      </c>
      <c r="I436" s="11" t="s">
        <v>762</v>
      </c>
      <c r="J436" s="10">
        <v>1</v>
      </c>
      <c r="K436" s="57">
        <v>46054</v>
      </c>
      <c r="L436" s="55">
        <v>500004</v>
      </c>
      <c r="M436" t="s">
        <v>2220</v>
      </c>
      <c r="N436" t="s">
        <v>2234</v>
      </c>
      <c r="O436" t="s">
        <v>2258</v>
      </c>
      <c r="P436" t="s">
        <v>2284</v>
      </c>
    </row>
    <row r="437" spans="1:16" x14ac:dyDescent="0.25">
      <c r="A437" s="51" t="s">
        <v>2115</v>
      </c>
      <c r="B437" s="7" t="s">
        <v>2199</v>
      </c>
      <c r="C437" t="s">
        <v>28</v>
      </c>
      <c r="D437" s="7" t="s">
        <v>2116</v>
      </c>
      <c r="E437" t="s">
        <v>359</v>
      </c>
      <c r="F437" s="7">
        <v>4</v>
      </c>
      <c r="G437" t="s">
        <v>761</v>
      </c>
      <c r="H437" s="59">
        <v>46266</v>
      </c>
      <c r="I437" t="s">
        <v>762</v>
      </c>
      <c r="J437" s="7">
        <v>1</v>
      </c>
      <c r="K437" s="1">
        <v>46266</v>
      </c>
      <c r="L437" s="56">
        <v>679980</v>
      </c>
      <c r="M437" t="s">
        <v>2220</v>
      </c>
      <c r="N437" t="s">
        <v>2234</v>
      </c>
      <c r="O437" t="s">
        <v>2258</v>
      </c>
      <c r="P437" t="s">
        <v>2284</v>
      </c>
    </row>
    <row r="438" spans="1:16" x14ac:dyDescent="0.25">
      <c r="A438" s="50" t="s">
        <v>2115</v>
      </c>
      <c r="B438" s="10" t="s">
        <v>2199</v>
      </c>
      <c r="C438" s="11" t="s">
        <v>28</v>
      </c>
      <c r="D438" s="10" t="s">
        <v>2116</v>
      </c>
      <c r="E438" s="11" t="s">
        <v>2118</v>
      </c>
      <c r="F438" s="10">
        <v>4</v>
      </c>
      <c r="G438" s="11" t="s">
        <v>761</v>
      </c>
      <c r="H438" s="58">
        <v>46266</v>
      </c>
      <c r="I438" s="11" t="s">
        <v>762</v>
      </c>
      <c r="J438" s="10">
        <v>1</v>
      </c>
      <c r="K438" s="57">
        <v>46266</v>
      </c>
      <c r="L438" s="55">
        <v>1000000</v>
      </c>
      <c r="M438" t="s">
        <v>2220</v>
      </c>
      <c r="N438" t="s">
        <v>2234</v>
      </c>
      <c r="O438" t="s">
        <v>2258</v>
      </c>
      <c r="P438" t="s">
        <v>2284</v>
      </c>
    </row>
    <row r="439" spans="1:16" x14ac:dyDescent="0.25">
      <c r="A439" s="51" t="s">
        <v>2115</v>
      </c>
      <c r="B439" s="7" t="s">
        <v>2199</v>
      </c>
      <c r="C439" t="s">
        <v>28</v>
      </c>
      <c r="D439" s="7" t="s">
        <v>2116</v>
      </c>
      <c r="E439" t="s">
        <v>2120</v>
      </c>
      <c r="F439" s="7">
        <v>4</v>
      </c>
      <c r="G439" t="s">
        <v>761</v>
      </c>
      <c r="H439" s="59">
        <v>46266</v>
      </c>
      <c r="I439" t="s">
        <v>762</v>
      </c>
      <c r="J439" s="7">
        <v>1</v>
      </c>
      <c r="K439" s="1">
        <v>46266</v>
      </c>
      <c r="L439" s="56">
        <v>186000</v>
      </c>
      <c r="M439" t="s">
        <v>2220</v>
      </c>
      <c r="N439" t="s">
        <v>2234</v>
      </c>
      <c r="O439" t="s">
        <v>2258</v>
      </c>
      <c r="P439" t="s">
        <v>2284</v>
      </c>
    </row>
    <row r="440" spans="1:16" x14ac:dyDescent="0.25">
      <c r="A440" s="50" t="s">
        <v>2115</v>
      </c>
      <c r="B440" s="10" t="s">
        <v>2199</v>
      </c>
      <c r="C440" s="11" t="s">
        <v>28</v>
      </c>
      <c r="D440" s="10" t="s">
        <v>2116</v>
      </c>
      <c r="E440" s="11" t="s">
        <v>2119</v>
      </c>
      <c r="F440" s="10">
        <v>4</v>
      </c>
      <c r="G440" s="11" t="s">
        <v>761</v>
      </c>
      <c r="H440" s="58">
        <v>46266</v>
      </c>
      <c r="I440" s="11" t="s">
        <v>762</v>
      </c>
      <c r="J440" s="10">
        <v>1</v>
      </c>
      <c r="K440" s="57">
        <v>46266</v>
      </c>
      <c r="L440" s="55">
        <v>360000</v>
      </c>
      <c r="M440" t="s">
        <v>2220</v>
      </c>
      <c r="N440" t="s">
        <v>2234</v>
      </c>
      <c r="O440" t="s">
        <v>2258</v>
      </c>
      <c r="P440" t="s">
        <v>2284</v>
      </c>
    </row>
    <row r="441" spans="1:16" x14ac:dyDescent="0.25">
      <c r="A441" s="51" t="s">
        <v>2121</v>
      </c>
      <c r="B441" s="7" t="s">
        <v>2199</v>
      </c>
      <c r="C441" t="s">
        <v>28</v>
      </c>
      <c r="D441" s="7" t="s">
        <v>2122</v>
      </c>
      <c r="E441" t="s">
        <v>2059</v>
      </c>
      <c r="F441" s="7">
        <v>23</v>
      </c>
      <c r="G441" t="s">
        <v>2124</v>
      </c>
      <c r="H441" s="59">
        <v>46082</v>
      </c>
      <c r="I441" t="s">
        <v>1217</v>
      </c>
      <c r="J441" s="7">
        <v>1</v>
      </c>
      <c r="K441" s="1">
        <v>46113</v>
      </c>
      <c r="L441" s="56">
        <v>35000</v>
      </c>
      <c r="M441" t="s">
        <v>2218</v>
      </c>
      <c r="N441" t="s">
        <v>2234</v>
      </c>
      <c r="O441" t="s">
        <v>2218</v>
      </c>
      <c r="P441" t="s">
        <v>2284</v>
      </c>
    </row>
    <row r="442" spans="1:16" x14ac:dyDescent="0.25">
      <c r="A442" s="50" t="s">
        <v>2121</v>
      </c>
      <c r="B442" s="10" t="s">
        <v>2199</v>
      </c>
      <c r="C442" s="11" t="s">
        <v>28</v>
      </c>
      <c r="D442" s="10" t="s">
        <v>2122</v>
      </c>
      <c r="E442" s="11" t="s">
        <v>359</v>
      </c>
      <c r="F442" s="10">
        <v>23</v>
      </c>
      <c r="G442" s="11" t="s">
        <v>2124</v>
      </c>
      <c r="H442" s="58">
        <v>46082</v>
      </c>
      <c r="I442" s="11" t="s">
        <v>1217</v>
      </c>
      <c r="J442" s="10">
        <v>1</v>
      </c>
      <c r="K442" s="57">
        <v>46113</v>
      </c>
      <c r="L442" s="55">
        <v>490000</v>
      </c>
      <c r="M442" t="s">
        <v>2218</v>
      </c>
      <c r="N442" t="s">
        <v>2234</v>
      </c>
      <c r="O442" t="s">
        <v>2218</v>
      </c>
      <c r="P442" t="s">
        <v>2284</v>
      </c>
    </row>
    <row r="443" spans="1:16" x14ac:dyDescent="0.25">
      <c r="A443" s="51" t="s">
        <v>2121</v>
      </c>
      <c r="B443" s="7" t="s">
        <v>2199</v>
      </c>
      <c r="C443" t="s">
        <v>28</v>
      </c>
      <c r="D443" s="7" t="s">
        <v>2122</v>
      </c>
      <c r="E443" t="s">
        <v>1864</v>
      </c>
      <c r="F443" s="7">
        <v>23</v>
      </c>
      <c r="G443" t="s">
        <v>2124</v>
      </c>
      <c r="H443" s="59">
        <v>46082</v>
      </c>
      <c r="I443" t="s">
        <v>1217</v>
      </c>
      <c r="J443" s="7">
        <v>1</v>
      </c>
      <c r="K443" s="1">
        <v>46113</v>
      </c>
      <c r="L443" s="56">
        <v>308000</v>
      </c>
      <c r="M443" t="s">
        <v>2218</v>
      </c>
      <c r="N443" t="s">
        <v>2234</v>
      </c>
      <c r="O443" t="s">
        <v>2218</v>
      </c>
      <c r="P443" t="s">
        <v>2284</v>
      </c>
    </row>
    <row r="444" spans="1:16" x14ac:dyDescent="0.25">
      <c r="A444" s="50" t="s">
        <v>2121</v>
      </c>
      <c r="B444" s="10" t="s">
        <v>2199</v>
      </c>
      <c r="C444" s="11" t="s">
        <v>28</v>
      </c>
      <c r="D444" s="10" t="s">
        <v>2122</v>
      </c>
      <c r="E444" s="11" t="s">
        <v>1938</v>
      </c>
      <c r="F444" s="10">
        <v>23</v>
      </c>
      <c r="G444" s="11" t="s">
        <v>2124</v>
      </c>
      <c r="H444" s="58">
        <v>46082</v>
      </c>
      <c r="I444" s="11" t="s">
        <v>1217</v>
      </c>
      <c r="J444" s="10">
        <v>1</v>
      </c>
      <c r="K444" s="57">
        <v>46113</v>
      </c>
      <c r="L444" s="55">
        <v>145040</v>
      </c>
      <c r="M444" t="s">
        <v>2218</v>
      </c>
      <c r="N444" t="s">
        <v>2234</v>
      </c>
      <c r="O444" t="s">
        <v>2218</v>
      </c>
      <c r="P444" t="s">
        <v>2284</v>
      </c>
    </row>
    <row r="445" spans="1:16" x14ac:dyDescent="0.25">
      <c r="A445" s="51" t="s">
        <v>2121</v>
      </c>
      <c r="B445" s="7" t="s">
        <v>2199</v>
      </c>
      <c r="C445" t="s">
        <v>28</v>
      </c>
      <c r="D445" s="7" t="s">
        <v>2122</v>
      </c>
      <c r="E445" t="s">
        <v>1251</v>
      </c>
      <c r="F445" s="7">
        <v>23</v>
      </c>
      <c r="G445" t="s">
        <v>2124</v>
      </c>
      <c r="H445" s="59">
        <v>46082</v>
      </c>
      <c r="I445" t="s">
        <v>1217</v>
      </c>
      <c r="J445" s="7">
        <v>1</v>
      </c>
      <c r="K445" s="1">
        <v>46113</v>
      </c>
      <c r="L445" s="56">
        <v>35000</v>
      </c>
      <c r="M445" t="s">
        <v>2218</v>
      </c>
      <c r="N445" t="s">
        <v>2234</v>
      </c>
      <c r="O445" t="s">
        <v>2218</v>
      </c>
      <c r="P445" t="s">
        <v>2284</v>
      </c>
    </row>
    <row r="446" spans="1:16" x14ac:dyDescent="0.25">
      <c r="A446" s="50" t="s">
        <v>2121</v>
      </c>
      <c r="B446" s="10" t="s">
        <v>2199</v>
      </c>
      <c r="C446" s="11" t="s">
        <v>28</v>
      </c>
      <c r="D446" s="10" t="s">
        <v>2122</v>
      </c>
      <c r="E446" s="11" t="s">
        <v>2134</v>
      </c>
      <c r="F446" s="10">
        <v>23</v>
      </c>
      <c r="G446" s="11" t="s">
        <v>2124</v>
      </c>
      <c r="H446" s="58">
        <v>46143</v>
      </c>
      <c r="I446" s="11" t="s">
        <v>1217</v>
      </c>
      <c r="J446" s="10">
        <v>1</v>
      </c>
      <c r="K446" s="57">
        <v>46174</v>
      </c>
      <c r="L446" s="55">
        <v>1000000</v>
      </c>
      <c r="M446" t="s">
        <v>2218</v>
      </c>
      <c r="N446" t="s">
        <v>2234</v>
      </c>
      <c r="O446" t="s">
        <v>2218</v>
      </c>
      <c r="P446" t="s">
        <v>2284</v>
      </c>
    </row>
    <row r="447" spans="1:16" x14ac:dyDescent="0.25">
      <c r="A447" s="51" t="s">
        <v>2121</v>
      </c>
      <c r="B447" s="7" t="s">
        <v>2199</v>
      </c>
      <c r="C447" t="s">
        <v>28</v>
      </c>
      <c r="D447" s="7" t="s">
        <v>2122</v>
      </c>
      <c r="E447" t="s">
        <v>2138</v>
      </c>
      <c r="F447" s="7">
        <v>23</v>
      </c>
      <c r="G447" t="s">
        <v>2124</v>
      </c>
      <c r="H447" s="59">
        <v>46082</v>
      </c>
      <c r="I447" t="s">
        <v>1217</v>
      </c>
      <c r="J447" s="7">
        <v>1</v>
      </c>
      <c r="K447" s="1">
        <v>46113</v>
      </c>
      <c r="L447" s="56">
        <v>40000</v>
      </c>
      <c r="M447" t="s">
        <v>2218</v>
      </c>
      <c r="N447" t="s">
        <v>2234</v>
      </c>
      <c r="O447" t="s">
        <v>2218</v>
      </c>
      <c r="P447" t="s">
        <v>2284</v>
      </c>
    </row>
    <row r="448" spans="1:16" x14ac:dyDescent="0.25">
      <c r="A448" s="50" t="s">
        <v>2121</v>
      </c>
      <c r="B448" s="10" t="s">
        <v>2199</v>
      </c>
      <c r="C448" s="11" t="s">
        <v>28</v>
      </c>
      <c r="D448" s="10" t="s">
        <v>2122</v>
      </c>
      <c r="E448" s="11" t="s">
        <v>2135</v>
      </c>
      <c r="F448" s="10">
        <v>23</v>
      </c>
      <c r="G448" s="11" t="s">
        <v>2124</v>
      </c>
      <c r="H448" s="58">
        <v>46082</v>
      </c>
      <c r="I448" s="11" t="s">
        <v>1217</v>
      </c>
      <c r="J448" s="10">
        <v>1</v>
      </c>
      <c r="K448" s="57">
        <v>46113</v>
      </c>
      <c r="L448" s="55">
        <v>2000000</v>
      </c>
      <c r="M448" t="s">
        <v>2218</v>
      </c>
      <c r="N448" t="s">
        <v>2234</v>
      </c>
      <c r="O448" t="s">
        <v>2218</v>
      </c>
      <c r="P448" t="s">
        <v>2284</v>
      </c>
    </row>
    <row r="449" spans="1:16" x14ac:dyDescent="0.25">
      <c r="A449" s="51" t="s">
        <v>2121</v>
      </c>
      <c r="B449" s="7" t="s">
        <v>2199</v>
      </c>
      <c r="C449" t="s">
        <v>28</v>
      </c>
      <c r="D449" s="7" t="s">
        <v>2122</v>
      </c>
      <c r="E449" t="s">
        <v>2132</v>
      </c>
      <c r="F449" s="7">
        <v>23</v>
      </c>
      <c r="G449" t="s">
        <v>2124</v>
      </c>
      <c r="H449" s="59">
        <v>46143</v>
      </c>
      <c r="I449" t="s">
        <v>1217</v>
      </c>
      <c r="J449" s="7">
        <v>4</v>
      </c>
      <c r="K449" t="s">
        <v>2133</v>
      </c>
      <c r="L449" s="56">
        <v>600000</v>
      </c>
      <c r="M449" t="s">
        <v>2218</v>
      </c>
      <c r="N449" t="s">
        <v>2234</v>
      </c>
      <c r="O449" t="s">
        <v>2218</v>
      </c>
      <c r="P449" t="s">
        <v>2284</v>
      </c>
    </row>
    <row r="450" spans="1:16" x14ac:dyDescent="0.25">
      <c r="A450" s="50" t="s">
        <v>2121</v>
      </c>
      <c r="B450" s="10" t="s">
        <v>2199</v>
      </c>
      <c r="C450" s="11" t="s">
        <v>28</v>
      </c>
      <c r="D450" s="10" t="s">
        <v>2122</v>
      </c>
      <c r="E450" s="11" t="s">
        <v>2139</v>
      </c>
      <c r="F450" s="10">
        <v>23</v>
      </c>
      <c r="G450" s="11" t="s">
        <v>2124</v>
      </c>
      <c r="H450" s="58">
        <v>46082</v>
      </c>
      <c r="I450" s="11" t="s">
        <v>1217</v>
      </c>
      <c r="J450" s="10">
        <v>1</v>
      </c>
      <c r="K450" s="57">
        <v>46113</v>
      </c>
      <c r="L450" s="55">
        <v>156000</v>
      </c>
      <c r="M450" t="s">
        <v>2218</v>
      </c>
      <c r="N450" t="s">
        <v>2234</v>
      </c>
      <c r="O450" t="s">
        <v>2218</v>
      </c>
      <c r="P450" t="s">
        <v>2284</v>
      </c>
    </row>
    <row r="451" spans="1:16" x14ac:dyDescent="0.25">
      <c r="A451" s="51" t="s">
        <v>2121</v>
      </c>
      <c r="B451" s="7" t="s">
        <v>2199</v>
      </c>
      <c r="C451" t="s">
        <v>28</v>
      </c>
      <c r="D451" s="7" t="s">
        <v>2122</v>
      </c>
      <c r="E451" t="s">
        <v>2127</v>
      </c>
      <c r="F451" s="7">
        <v>23</v>
      </c>
      <c r="G451" t="s">
        <v>2124</v>
      </c>
      <c r="H451" s="59">
        <v>46082</v>
      </c>
      <c r="I451" t="s">
        <v>1217</v>
      </c>
      <c r="J451" s="7">
        <v>1</v>
      </c>
      <c r="K451" s="1">
        <v>46113</v>
      </c>
      <c r="L451" s="56">
        <v>1010080</v>
      </c>
      <c r="M451" t="s">
        <v>2218</v>
      </c>
      <c r="N451" t="s">
        <v>2234</v>
      </c>
      <c r="O451" t="s">
        <v>2218</v>
      </c>
      <c r="P451" t="s">
        <v>2284</v>
      </c>
    </row>
    <row r="452" spans="1:16" x14ac:dyDescent="0.25">
      <c r="A452" s="50" t="s">
        <v>2121</v>
      </c>
      <c r="B452" s="10" t="s">
        <v>2199</v>
      </c>
      <c r="C452" s="11" t="s">
        <v>28</v>
      </c>
      <c r="D452" s="10" t="s">
        <v>2122</v>
      </c>
      <c r="E452" s="11" t="s">
        <v>2128</v>
      </c>
      <c r="F452" s="10">
        <v>23</v>
      </c>
      <c r="G452" s="11" t="s">
        <v>2124</v>
      </c>
      <c r="H452" s="58">
        <v>46082</v>
      </c>
      <c r="I452" s="11" t="s">
        <v>1217</v>
      </c>
      <c r="J452" s="10">
        <v>1</v>
      </c>
      <c r="K452" s="57">
        <v>46113</v>
      </c>
      <c r="L452" s="55">
        <v>40000</v>
      </c>
      <c r="M452" t="s">
        <v>2218</v>
      </c>
      <c r="N452" t="s">
        <v>2234</v>
      </c>
      <c r="O452" t="s">
        <v>2218</v>
      </c>
      <c r="P452" t="s">
        <v>2284</v>
      </c>
    </row>
    <row r="453" spans="1:16" x14ac:dyDescent="0.25">
      <c r="A453" s="51" t="s">
        <v>2121</v>
      </c>
      <c r="B453" s="7" t="s">
        <v>2199</v>
      </c>
      <c r="C453" t="s">
        <v>28</v>
      </c>
      <c r="D453" s="7" t="s">
        <v>2122</v>
      </c>
      <c r="E453" t="s">
        <v>512</v>
      </c>
      <c r="F453" s="7">
        <v>23</v>
      </c>
      <c r="G453" t="s">
        <v>2124</v>
      </c>
      <c r="H453" s="59">
        <v>46113</v>
      </c>
      <c r="I453" t="s">
        <v>1217</v>
      </c>
      <c r="J453" s="7">
        <v>3</v>
      </c>
      <c r="K453" t="s">
        <v>2129</v>
      </c>
      <c r="L453" s="56">
        <v>5000000</v>
      </c>
      <c r="M453" t="s">
        <v>2218</v>
      </c>
      <c r="N453" t="s">
        <v>2234</v>
      </c>
      <c r="O453" t="s">
        <v>2218</v>
      </c>
      <c r="P453" t="s">
        <v>2284</v>
      </c>
    </row>
    <row r="454" spans="1:16" x14ac:dyDescent="0.25">
      <c r="A454" s="50" t="s">
        <v>2121</v>
      </c>
      <c r="B454" s="10" t="s">
        <v>2199</v>
      </c>
      <c r="C454" s="11" t="s">
        <v>28</v>
      </c>
      <c r="D454" s="10" t="s">
        <v>2122</v>
      </c>
      <c r="E454" s="11" t="s">
        <v>2095</v>
      </c>
      <c r="F454" s="10">
        <v>23</v>
      </c>
      <c r="G454" s="11" t="s">
        <v>2124</v>
      </c>
      <c r="H454" s="58">
        <v>46082</v>
      </c>
      <c r="I454" s="11" t="s">
        <v>1217</v>
      </c>
      <c r="J454" s="10">
        <v>1</v>
      </c>
      <c r="K454" s="57">
        <v>46113</v>
      </c>
      <c r="L454" s="55">
        <v>715050</v>
      </c>
      <c r="M454" t="s">
        <v>2218</v>
      </c>
      <c r="N454" t="s">
        <v>2234</v>
      </c>
      <c r="O454" t="s">
        <v>2218</v>
      </c>
      <c r="P454" t="s">
        <v>2284</v>
      </c>
    </row>
    <row r="455" spans="1:16" x14ac:dyDescent="0.25">
      <c r="A455" s="51" t="s">
        <v>2121</v>
      </c>
      <c r="B455" s="7" t="s">
        <v>2199</v>
      </c>
      <c r="C455" t="s">
        <v>28</v>
      </c>
      <c r="D455" s="7" t="s">
        <v>2122</v>
      </c>
      <c r="E455" t="s">
        <v>1617</v>
      </c>
      <c r="F455" s="7">
        <v>23</v>
      </c>
      <c r="G455" t="s">
        <v>2124</v>
      </c>
      <c r="H455" s="59">
        <v>46143</v>
      </c>
      <c r="I455" t="s">
        <v>1217</v>
      </c>
      <c r="J455" s="7">
        <v>1</v>
      </c>
      <c r="K455" s="1">
        <v>46174</v>
      </c>
      <c r="L455" s="56">
        <v>1000000</v>
      </c>
      <c r="M455" t="s">
        <v>2218</v>
      </c>
      <c r="N455" t="s">
        <v>2234</v>
      </c>
      <c r="O455" t="s">
        <v>2218</v>
      </c>
      <c r="P455" t="s">
        <v>2284</v>
      </c>
    </row>
    <row r="456" spans="1:16" x14ac:dyDescent="0.25">
      <c r="A456" s="50" t="s">
        <v>2121</v>
      </c>
      <c r="B456" s="10" t="s">
        <v>2199</v>
      </c>
      <c r="C456" s="11" t="s">
        <v>28</v>
      </c>
      <c r="D456" s="10" t="s">
        <v>2122</v>
      </c>
      <c r="E456" s="11" t="s">
        <v>912</v>
      </c>
      <c r="F456" s="10">
        <v>23</v>
      </c>
      <c r="G456" s="11" t="s">
        <v>2124</v>
      </c>
      <c r="H456" s="58">
        <v>46082</v>
      </c>
      <c r="I456" s="11" t="s">
        <v>1217</v>
      </c>
      <c r="J456" s="10">
        <v>1</v>
      </c>
      <c r="K456" s="57">
        <v>46113</v>
      </c>
      <c r="L456" s="55">
        <v>385000</v>
      </c>
      <c r="M456" t="s">
        <v>2218</v>
      </c>
      <c r="N456" t="s">
        <v>2234</v>
      </c>
      <c r="O456" t="s">
        <v>2218</v>
      </c>
      <c r="P456" t="s">
        <v>2284</v>
      </c>
    </row>
    <row r="457" spans="1:16" x14ac:dyDescent="0.25">
      <c r="A457" s="51" t="s">
        <v>2121</v>
      </c>
      <c r="B457" s="7" t="s">
        <v>2199</v>
      </c>
      <c r="C457" t="s">
        <v>28</v>
      </c>
      <c r="D457" s="7" t="s">
        <v>2122</v>
      </c>
      <c r="E457" t="s">
        <v>288</v>
      </c>
      <c r="F457" s="7">
        <v>23</v>
      </c>
      <c r="G457" t="s">
        <v>2124</v>
      </c>
      <c r="H457" s="59">
        <v>46113</v>
      </c>
      <c r="I457" t="s">
        <v>1217</v>
      </c>
      <c r="J457" s="7">
        <v>1</v>
      </c>
      <c r="K457" s="1">
        <v>46143</v>
      </c>
      <c r="L457" s="56">
        <v>6000000</v>
      </c>
      <c r="M457" t="s">
        <v>2218</v>
      </c>
      <c r="N457" t="s">
        <v>2234</v>
      </c>
      <c r="O457" t="s">
        <v>2218</v>
      </c>
      <c r="P457" t="s">
        <v>2284</v>
      </c>
    </row>
    <row r="458" spans="1:16" x14ac:dyDescent="0.25">
      <c r="A458" s="50" t="s">
        <v>2121</v>
      </c>
      <c r="B458" s="10" t="s">
        <v>2199</v>
      </c>
      <c r="C458" s="11" t="s">
        <v>28</v>
      </c>
      <c r="D458" s="10" t="s">
        <v>2122</v>
      </c>
      <c r="E458" s="11" t="s">
        <v>2130</v>
      </c>
      <c r="F458" s="10">
        <v>23</v>
      </c>
      <c r="G458" s="11" t="s">
        <v>2124</v>
      </c>
      <c r="H458" s="58">
        <v>46143</v>
      </c>
      <c r="I458" s="11" t="s">
        <v>1217</v>
      </c>
      <c r="J458" s="10">
        <v>1</v>
      </c>
      <c r="K458" s="57">
        <v>46174</v>
      </c>
      <c r="L458" s="55">
        <v>2500000</v>
      </c>
      <c r="M458" t="s">
        <v>2218</v>
      </c>
      <c r="N458" t="s">
        <v>2234</v>
      </c>
      <c r="O458" t="s">
        <v>2218</v>
      </c>
      <c r="P458" t="s">
        <v>2284</v>
      </c>
    </row>
    <row r="459" spans="1:16" x14ac:dyDescent="0.25">
      <c r="A459" s="51" t="s">
        <v>2121</v>
      </c>
      <c r="B459" s="7" t="s">
        <v>2199</v>
      </c>
      <c r="C459" t="s">
        <v>28</v>
      </c>
      <c r="D459" s="7" t="s">
        <v>2122</v>
      </c>
      <c r="E459" t="s">
        <v>1939</v>
      </c>
      <c r="F459" s="7">
        <v>23</v>
      </c>
      <c r="G459" t="s">
        <v>2124</v>
      </c>
      <c r="H459" s="59">
        <v>46082</v>
      </c>
      <c r="I459" t="s">
        <v>1217</v>
      </c>
      <c r="J459" s="7">
        <v>1</v>
      </c>
      <c r="K459" s="1">
        <v>46113</v>
      </c>
      <c r="L459" s="56">
        <v>70000</v>
      </c>
      <c r="M459" t="s">
        <v>2218</v>
      </c>
      <c r="N459" t="s">
        <v>2234</v>
      </c>
      <c r="O459" t="s">
        <v>2218</v>
      </c>
      <c r="P459" t="s">
        <v>2284</v>
      </c>
    </row>
    <row r="460" spans="1:16" x14ac:dyDescent="0.25">
      <c r="A460" s="50" t="s">
        <v>2121</v>
      </c>
      <c r="B460" s="10" t="s">
        <v>2199</v>
      </c>
      <c r="C460" s="11" t="s">
        <v>28</v>
      </c>
      <c r="D460" s="10" t="s">
        <v>2122</v>
      </c>
      <c r="E460" s="11" t="s">
        <v>1936</v>
      </c>
      <c r="F460" s="10">
        <v>23</v>
      </c>
      <c r="G460" s="11" t="s">
        <v>2124</v>
      </c>
      <c r="H460" s="58">
        <v>46143</v>
      </c>
      <c r="I460" s="11" t="s">
        <v>1217</v>
      </c>
      <c r="J460" s="10">
        <v>1</v>
      </c>
      <c r="K460" s="57">
        <v>46174</v>
      </c>
      <c r="L460" s="55">
        <v>500000</v>
      </c>
      <c r="M460" t="s">
        <v>2218</v>
      </c>
      <c r="N460" t="s">
        <v>2234</v>
      </c>
      <c r="O460" t="s">
        <v>2218</v>
      </c>
      <c r="P460" t="s">
        <v>2284</v>
      </c>
    </row>
    <row r="461" spans="1:16" x14ac:dyDescent="0.25">
      <c r="A461" s="51" t="s">
        <v>2121</v>
      </c>
      <c r="B461" s="7" t="s">
        <v>2199</v>
      </c>
      <c r="C461" t="s">
        <v>28</v>
      </c>
      <c r="D461" s="7" t="s">
        <v>2122</v>
      </c>
      <c r="E461" t="s">
        <v>2136</v>
      </c>
      <c r="F461" s="7">
        <v>23</v>
      </c>
      <c r="G461" t="s">
        <v>2124</v>
      </c>
      <c r="H461" s="59">
        <v>46143</v>
      </c>
      <c r="I461" t="s">
        <v>1217</v>
      </c>
      <c r="J461" s="7">
        <v>1</v>
      </c>
      <c r="K461" s="1">
        <v>46174</v>
      </c>
      <c r="L461" s="56">
        <v>4000000</v>
      </c>
      <c r="M461" t="s">
        <v>2218</v>
      </c>
      <c r="N461" t="s">
        <v>2234</v>
      </c>
      <c r="O461" t="s">
        <v>2218</v>
      </c>
      <c r="P461" t="s">
        <v>2284</v>
      </c>
    </row>
    <row r="462" spans="1:16" x14ac:dyDescent="0.25">
      <c r="A462" s="50" t="s">
        <v>2121</v>
      </c>
      <c r="B462" s="10" t="s">
        <v>2199</v>
      </c>
      <c r="C462" s="11" t="s">
        <v>28</v>
      </c>
      <c r="D462" s="10" t="s">
        <v>2122</v>
      </c>
      <c r="E462" s="11" t="s">
        <v>1930</v>
      </c>
      <c r="F462" s="10">
        <v>23</v>
      </c>
      <c r="G462" s="11" t="s">
        <v>2124</v>
      </c>
      <c r="H462" s="58">
        <v>46113</v>
      </c>
      <c r="I462" s="11" t="s">
        <v>1217</v>
      </c>
      <c r="J462" s="10">
        <v>1</v>
      </c>
      <c r="K462" s="57">
        <v>46143</v>
      </c>
      <c r="L462" s="55">
        <v>1000000</v>
      </c>
      <c r="M462" t="s">
        <v>2218</v>
      </c>
      <c r="N462" t="s">
        <v>2234</v>
      </c>
      <c r="O462" t="s">
        <v>2218</v>
      </c>
      <c r="P462" t="s">
        <v>2284</v>
      </c>
    </row>
    <row r="463" spans="1:16" x14ac:dyDescent="0.25">
      <c r="A463" s="51" t="s">
        <v>2121</v>
      </c>
      <c r="B463" s="7" t="s">
        <v>2199</v>
      </c>
      <c r="C463" t="s">
        <v>28</v>
      </c>
      <c r="D463" s="7" t="s">
        <v>2122</v>
      </c>
      <c r="E463" t="s">
        <v>2137</v>
      </c>
      <c r="F463" s="7">
        <v>23</v>
      </c>
      <c r="G463" t="s">
        <v>2124</v>
      </c>
      <c r="H463" s="59">
        <v>46113</v>
      </c>
      <c r="I463" t="s">
        <v>1217</v>
      </c>
      <c r="J463" s="7">
        <v>1</v>
      </c>
      <c r="K463" s="1">
        <v>46143</v>
      </c>
      <c r="L463" s="56">
        <v>2000000</v>
      </c>
      <c r="M463" t="s">
        <v>2218</v>
      </c>
      <c r="N463" t="s">
        <v>2234</v>
      </c>
      <c r="O463" t="s">
        <v>2218</v>
      </c>
      <c r="P463" t="s">
        <v>2284</v>
      </c>
    </row>
    <row r="464" spans="1:16" x14ac:dyDescent="0.25">
      <c r="A464" s="50" t="s">
        <v>2144</v>
      </c>
      <c r="B464" s="10" t="s">
        <v>2199</v>
      </c>
      <c r="C464" s="11" t="s">
        <v>28</v>
      </c>
      <c r="D464" s="10" t="s">
        <v>2145</v>
      </c>
      <c r="E464" s="11" t="s">
        <v>359</v>
      </c>
      <c r="F464" s="10">
        <v>4</v>
      </c>
      <c r="G464" s="11" t="s">
        <v>64</v>
      </c>
      <c r="H464" s="58">
        <v>46113</v>
      </c>
      <c r="I464" s="11" t="s">
        <v>65</v>
      </c>
      <c r="J464" s="10">
        <v>1</v>
      </c>
      <c r="K464" s="57">
        <v>46113</v>
      </c>
      <c r="L464" s="55">
        <v>364000</v>
      </c>
      <c r="M464" t="s">
        <v>2226</v>
      </c>
      <c r="N464" t="s">
        <v>2262</v>
      </c>
      <c r="O464" t="s">
        <v>2226</v>
      </c>
      <c r="P464" t="s">
        <v>2284</v>
      </c>
    </row>
    <row r="465" spans="1:16" x14ac:dyDescent="0.25">
      <c r="A465" s="51" t="s">
        <v>2144</v>
      </c>
      <c r="B465" s="7" t="s">
        <v>2199</v>
      </c>
      <c r="C465" t="s">
        <v>28</v>
      </c>
      <c r="D465" s="7" t="s">
        <v>2145</v>
      </c>
      <c r="E465" t="s">
        <v>2147</v>
      </c>
      <c r="F465" s="7">
        <v>4</v>
      </c>
      <c r="G465" t="s">
        <v>64</v>
      </c>
      <c r="H465" s="59">
        <v>46113</v>
      </c>
      <c r="I465" t="s">
        <v>65</v>
      </c>
      <c r="J465" s="7">
        <v>1</v>
      </c>
      <c r="K465" s="1">
        <v>46113</v>
      </c>
      <c r="L465" s="56">
        <v>166036</v>
      </c>
      <c r="M465" t="s">
        <v>2226</v>
      </c>
      <c r="N465" t="s">
        <v>2262</v>
      </c>
      <c r="O465" t="s">
        <v>2226</v>
      </c>
      <c r="P465" t="s">
        <v>2284</v>
      </c>
    </row>
    <row r="466" spans="1:16" x14ac:dyDescent="0.25">
      <c r="A466" s="50" t="s">
        <v>2144</v>
      </c>
      <c r="B466" s="10" t="s">
        <v>2199</v>
      </c>
      <c r="C466" s="11" t="s">
        <v>28</v>
      </c>
      <c r="D466" s="10" t="s">
        <v>2145</v>
      </c>
      <c r="E466" s="11" t="s">
        <v>855</v>
      </c>
      <c r="F466" s="10">
        <v>4</v>
      </c>
      <c r="G466" s="11" t="s">
        <v>64</v>
      </c>
      <c r="H466" s="58">
        <v>46113</v>
      </c>
      <c r="I466" s="11" t="s">
        <v>65</v>
      </c>
      <c r="J466" s="10">
        <v>1</v>
      </c>
      <c r="K466" s="57">
        <v>46113</v>
      </c>
      <c r="L466" s="55">
        <v>73472</v>
      </c>
      <c r="M466" t="s">
        <v>2226</v>
      </c>
      <c r="N466" t="s">
        <v>2262</v>
      </c>
      <c r="O466" t="s">
        <v>2226</v>
      </c>
      <c r="P466" t="s">
        <v>2284</v>
      </c>
    </row>
    <row r="467" spans="1:16" x14ac:dyDescent="0.25">
      <c r="A467" s="51" t="s">
        <v>2144</v>
      </c>
      <c r="B467" s="7" t="s">
        <v>2199</v>
      </c>
      <c r="C467" t="s">
        <v>28</v>
      </c>
      <c r="D467" s="7" t="s">
        <v>2145</v>
      </c>
      <c r="E467" t="s">
        <v>2148</v>
      </c>
      <c r="F467" s="7">
        <v>4</v>
      </c>
      <c r="G467" t="s">
        <v>64</v>
      </c>
      <c r="H467" s="59">
        <v>46113</v>
      </c>
      <c r="I467" t="s">
        <v>65</v>
      </c>
      <c r="J467" s="7">
        <v>1</v>
      </c>
      <c r="K467" s="1">
        <v>46113</v>
      </c>
      <c r="L467" s="56">
        <v>1350000</v>
      </c>
      <c r="M467" t="s">
        <v>2226</v>
      </c>
      <c r="N467" t="s">
        <v>2262</v>
      </c>
      <c r="O467" t="s">
        <v>2226</v>
      </c>
      <c r="P467" t="s">
        <v>2284</v>
      </c>
    </row>
    <row r="468" spans="1:16" x14ac:dyDescent="0.25">
      <c r="A468" s="50" t="s">
        <v>2149</v>
      </c>
      <c r="B468" s="10" t="s">
        <v>2199</v>
      </c>
      <c r="C468" s="11" t="s">
        <v>28</v>
      </c>
      <c r="D468" s="10" t="s">
        <v>2150</v>
      </c>
      <c r="E468" s="11" t="s">
        <v>359</v>
      </c>
      <c r="F468" s="10">
        <v>5</v>
      </c>
      <c r="G468" s="11" t="s">
        <v>2152</v>
      </c>
      <c r="H468" s="58">
        <v>46054</v>
      </c>
      <c r="I468" s="11" t="s">
        <v>2153</v>
      </c>
      <c r="J468" s="10">
        <v>1</v>
      </c>
      <c r="K468" s="57">
        <v>46054</v>
      </c>
      <c r="L468" s="55">
        <v>647705</v>
      </c>
      <c r="M468" t="s">
        <v>2251</v>
      </c>
      <c r="N468" t="s">
        <v>2227</v>
      </c>
      <c r="O468" t="s">
        <v>2269</v>
      </c>
      <c r="P468" t="s">
        <v>2284</v>
      </c>
    </row>
    <row r="469" spans="1:16" x14ac:dyDescent="0.25">
      <c r="A469" s="51" t="s">
        <v>2149</v>
      </c>
      <c r="B469" s="7" t="s">
        <v>2199</v>
      </c>
      <c r="C469" t="s">
        <v>28</v>
      </c>
      <c r="D469" s="7" t="s">
        <v>2150</v>
      </c>
      <c r="E469" t="s">
        <v>2155</v>
      </c>
      <c r="F469" s="7">
        <v>5</v>
      </c>
      <c r="G469" t="s">
        <v>2152</v>
      </c>
      <c r="H469" s="59">
        <v>46054</v>
      </c>
      <c r="I469" t="s">
        <v>2153</v>
      </c>
      <c r="J469" s="7">
        <v>1</v>
      </c>
      <c r="K469" s="1">
        <v>46054</v>
      </c>
      <c r="L469" s="56">
        <v>4498002</v>
      </c>
      <c r="M469" t="s">
        <v>2251</v>
      </c>
      <c r="N469" t="s">
        <v>2227</v>
      </c>
      <c r="O469" t="s">
        <v>2269</v>
      </c>
      <c r="P469" t="s">
        <v>2284</v>
      </c>
    </row>
    <row r="470" spans="1:16" x14ac:dyDescent="0.25">
      <c r="A470" s="50" t="s">
        <v>2149</v>
      </c>
      <c r="B470" s="10" t="s">
        <v>2199</v>
      </c>
      <c r="C470" s="11" t="s">
        <v>28</v>
      </c>
      <c r="D470" s="10" t="s">
        <v>2150</v>
      </c>
      <c r="E470" s="11" t="s">
        <v>786</v>
      </c>
      <c r="F470" s="10">
        <v>5</v>
      </c>
      <c r="G470" s="11" t="s">
        <v>2152</v>
      </c>
      <c r="H470" s="58">
        <v>46054</v>
      </c>
      <c r="I470" s="11" t="s">
        <v>2153</v>
      </c>
      <c r="J470" s="10">
        <v>1</v>
      </c>
      <c r="K470" s="57">
        <v>46054</v>
      </c>
      <c r="L470" s="55">
        <v>438750</v>
      </c>
      <c r="M470" t="s">
        <v>2251</v>
      </c>
      <c r="N470" t="s">
        <v>2227</v>
      </c>
      <c r="O470" t="s">
        <v>2269</v>
      </c>
      <c r="P470" t="s">
        <v>2284</v>
      </c>
    </row>
    <row r="471" spans="1:16" x14ac:dyDescent="0.25">
      <c r="A471" s="51" t="s">
        <v>2149</v>
      </c>
      <c r="B471" s="7" t="s">
        <v>2199</v>
      </c>
      <c r="C471" t="s">
        <v>28</v>
      </c>
      <c r="D471" s="7" t="s">
        <v>2150</v>
      </c>
      <c r="E471" t="s">
        <v>486</v>
      </c>
      <c r="F471" s="7">
        <v>5</v>
      </c>
      <c r="G471" t="s">
        <v>2152</v>
      </c>
      <c r="H471" s="59">
        <v>46054</v>
      </c>
      <c r="I471" t="s">
        <v>2153</v>
      </c>
      <c r="J471" s="7">
        <v>1</v>
      </c>
      <c r="K471" s="1">
        <v>46054</v>
      </c>
      <c r="L471" s="56">
        <v>845559</v>
      </c>
      <c r="M471" t="s">
        <v>2251</v>
      </c>
      <c r="N471" t="s">
        <v>2227</v>
      </c>
      <c r="O471" t="s">
        <v>2269</v>
      </c>
      <c r="P471" t="s">
        <v>2284</v>
      </c>
    </row>
    <row r="472" spans="1:16" x14ac:dyDescent="0.25">
      <c r="A472" s="50" t="s">
        <v>2149</v>
      </c>
      <c r="B472" s="10" t="s">
        <v>2199</v>
      </c>
      <c r="C472" s="11" t="s">
        <v>28</v>
      </c>
      <c r="D472" s="10" t="s">
        <v>2150</v>
      </c>
      <c r="E472" s="11" t="s">
        <v>855</v>
      </c>
      <c r="F472" s="10">
        <v>5</v>
      </c>
      <c r="G472" s="11" t="s">
        <v>2152</v>
      </c>
      <c r="H472" s="58">
        <v>46054</v>
      </c>
      <c r="I472" s="11" t="s">
        <v>2153</v>
      </c>
      <c r="J472" s="10">
        <v>1</v>
      </c>
      <c r="K472" s="57">
        <v>46054</v>
      </c>
      <c r="L472" s="55">
        <v>157680</v>
      </c>
      <c r="M472" t="s">
        <v>2251</v>
      </c>
      <c r="N472" t="s">
        <v>2227</v>
      </c>
      <c r="O472" t="s">
        <v>2269</v>
      </c>
      <c r="P472" t="s">
        <v>2284</v>
      </c>
    </row>
    <row r="473" spans="1:16" x14ac:dyDescent="0.25">
      <c r="A473" s="51" t="s">
        <v>2156</v>
      </c>
      <c r="B473" s="7" t="s">
        <v>2199</v>
      </c>
      <c r="C473" t="s">
        <v>28</v>
      </c>
      <c r="D473" s="7" t="s">
        <v>2157</v>
      </c>
      <c r="E473" t="s">
        <v>786</v>
      </c>
      <c r="F473" s="7">
        <v>2</v>
      </c>
      <c r="G473" t="s">
        <v>395</v>
      </c>
      <c r="H473" s="59">
        <v>46023</v>
      </c>
      <c r="I473" t="s">
        <v>1217</v>
      </c>
      <c r="J473" s="7">
        <v>1</v>
      </c>
      <c r="K473" s="1">
        <v>46023</v>
      </c>
      <c r="L473" s="56">
        <v>791208</v>
      </c>
      <c r="M473" t="s">
        <v>2223</v>
      </c>
      <c r="N473" t="s">
        <v>2234</v>
      </c>
      <c r="O473" t="s">
        <v>2258</v>
      </c>
      <c r="P473" t="s">
        <v>2284</v>
      </c>
    </row>
    <row r="474" spans="1:16" x14ac:dyDescent="0.25">
      <c r="A474" s="50" t="s">
        <v>2156</v>
      </c>
      <c r="B474" s="10" t="s">
        <v>2199</v>
      </c>
      <c r="C474" s="11" t="s">
        <v>28</v>
      </c>
      <c r="D474" s="10" t="s">
        <v>2157</v>
      </c>
      <c r="E474" s="11" t="s">
        <v>1989</v>
      </c>
      <c r="F474" s="10">
        <v>2</v>
      </c>
      <c r="G474" s="11" t="s">
        <v>395</v>
      </c>
      <c r="H474" s="58">
        <v>46023</v>
      </c>
      <c r="I474" s="11" t="s">
        <v>1217</v>
      </c>
      <c r="J474" s="10">
        <v>1</v>
      </c>
      <c r="K474" s="57">
        <v>46023</v>
      </c>
      <c r="L474" s="55">
        <v>30000</v>
      </c>
      <c r="M474" t="s">
        <v>2223</v>
      </c>
      <c r="N474" t="s">
        <v>2234</v>
      </c>
      <c r="O474" t="s">
        <v>2258</v>
      </c>
      <c r="P474" t="s">
        <v>2284</v>
      </c>
    </row>
    <row r="475" spans="1:16" x14ac:dyDescent="0.25">
      <c r="A475" s="51" t="s">
        <v>2166</v>
      </c>
      <c r="B475" s="7" t="s">
        <v>2199</v>
      </c>
      <c r="C475" t="s">
        <v>28</v>
      </c>
      <c r="D475" s="7" t="s">
        <v>2167</v>
      </c>
      <c r="E475" t="s">
        <v>1550</v>
      </c>
      <c r="F475" s="7">
        <v>3</v>
      </c>
      <c r="G475" t="s">
        <v>64</v>
      </c>
      <c r="H475" s="59">
        <v>46054</v>
      </c>
      <c r="I475" t="s">
        <v>65</v>
      </c>
      <c r="J475" s="7">
        <v>1</v>
      </c>
      <c r="K475" s="1">
        <v>46054</v>
      </c>
      <c r="L475" s="56">
        <v>40000</v>
      </c>
      <c r="M475" t="s">
        <v>2226</v>
      </c>
      <c r="N475" t="s">
        <v>2262</v>
      </c>
      <c r="O475" t="s">
        <v>2226</v>
      </c>
      <c r="P475" t="s">
        <v>2284</v>
      </c>
    </row>
    <row r="476" spans="1:16" x14ac:dyDescent="0.25">
      <c r="A476" s="50" t="s">
        <v>2166</v>
      </c>
      <c r="B476" s="10" t="s">
        <v>2199</v>
      </c>
      <c r="C476" s="11" t="s">
        <v>28</v>
      </c>
      <c r="D476" s="10" t="s">
        <v>2167</v>
      </c>
      <c r="E476" s="11" t="s">
        <v>486</v>
      </c>
      <c r="F476" s="10">
        <v>3</v>
      </c>
      <c r="G476" s="11" t="s">
        <v>64</v>
      </c>
      <c r="H476" s="58">
        <v>46054</v>
      </c>
      <c r="I476" s="11" t="s">
        <v>65</v>
      </c>
      <c r="J476" s="10">
        <v>1</v>
      </c>
      <c r="K476" s="57">
        <v>46054</v>
      </c>
      <c r="L476" s="55">
        <v>275496</v>
      </c>
      <c r="M476" t="s">
        <v>2226</v>
      </c>
      <c r="N476" t="s">
        <v>2262</v>
      </c>
      <c r="O476" t="s">
        <v>2226</v>
      </c>
      <c r="P476" t="s">
        <v>2284</v>
      </c>
    </row>
    <row r="477" spans="1:16" x14ac:dyDescent="0.25">
      <c r="A477" s="51" t="s">
        <v>2166</v>
      </c>
      <c r="B477" s="7" t="s">
        <v>2199</v>
      </c>
      <c r="C477" t="s">
        <v>28</v>
      </c>
      <c r="D477" s="7" t="s">
        <v>2167</v>
      </c>
      <c r="E477" t="s">
        <v>832</v>
      </c>
      <c r="F477" s="7">
        <v>3</v>
      </c>
      <c r="G477" t="s">
        <v>64</v>
      </c>
      <c r="H477" s="59">
        <v>46054</v>
      </c>
      <c r="I477" t="s">
        <v>65</v>
      </c>
      <c r="J477" s="7">
        <v>1</v>
      </c>
      <c r="K477" s="1">
        <v>46054</v>
      </c>
      <c r="L477" s="56">
        <v>80000</v>
      </c>
      <c r="M477" t="s">
        <v>2226</v>
      </c>
      <c r="N477" t="s">
        <v>2262</v>
      </c>
      <c r="O477" t="s">
        <v>2226</v>
      </c>
      <c r="P477" t="s">
        <v>2284</v>
      </c>
    </row>
    <row r="478" spans="1:16" x14ac:dyDescent="0.25">
      <c r="A478" s="50" t="s">
        <v>2169</v>
      </c>
      <c r="B478" s="10" t="s">
        <v>2199</v>
      </c>
      <c r="C478" s="11" t="s">
        <v>28</v>
      </c>
      <c r="D478" s="10" t="s">
        <v>2170</v>
      </c>
      <c r="E478" s="11" t="s">
        <v>359</v>
      </c>
      <c r="F478" s="10">
        <v>3</v>
      </c>
      <c r="G478" s="11" t="s">
        <v>2171</v>
      </c>
      <c r="H478" s="58">
        <v>46054</v>
      </c>
      <c r="I478" s="11" t="s">
        <v>2172</v>
      </c>
      <c r="J478" s="10">
        <v>1</v>
      </c>
      <c r="K478" s="57">
        <v>46054</v>
      </c>
      <c r="L478" s="55">
        <v>781840</v>
      </c>
      <c r="M478" t="s">
        <v>2252</v>
      </c>
      <c r="N478" t="s">
        <v>2227</v>
      </c>
      <c r="O478" t="s">
        <v>2269</v>
      </c>
      <c r="P478" t="s">
        <v>2284</v>
      </c>
    </row>
    <row r="479" spans="1:16" x14ac:dyDescent="0.25">
      <c r="A479" s="51" t="s">
        <v>2169</v>
      </c>
      <c r="B479" s="7" t="s">
        <v>2199</v>
      </c>
      <c r="C479" t="s">
        <v>28</v>
      </c>
      <c r="D479" s="7" t="s">
        <v>2170</v>
      </c>
      <c r="E479" t="s">
        <v>786</v>
      </c>
      <c r="F479" s="7">
        <v>3</v>
      </c>
      <c r="G479" t="s">
        <v>2171</v>
      </c>
      <c r="H479" s="59">
        <v>46054</v>
      </c>
      <c r="I479" t="s">
        <v>2172</v>
      </c>
      <c r="J479" s="7">
        <v>1</v>
      </c>
      <c r="K479" s="1">
        <v>46054</v>
      </c>
      <c r="L479" s="56">
        <v>579758</v>
      </c>
      <c r="M479" t="s">
        <v>2252</v>
      </c>
      <c r="N479" t="s">
        <v>2227</v>
      </c>
      <c r="O479" t="s">
        <v>2269</v>
      </c>
      <c r="P479" t="s">
        <v>2284</v>
      </c>
    </row>
    <row r="480" spans="1:16" x14ac:dyDescent="0.25">
      <c r="A480" s="50" t="s">
        <v>2169</v>
      </c>
      <c r="B480" s="10" t="s">
        <v>2199</v>
      </c>
      <c r="C480" s="11" t="s">
        <v>28</v>
      </c>
      <c r="D480" s="10" t="s">
        <v>2170</v>
      </c>
      <c r="E480" s="11" t="s">
        <v>855</v>
      </c>
      <c r="F480" s="10">
        <v>3</v>
      </c>
      <c r="G480" s="11" t="s">
        <v>2171</v>
      </c>
      <c r="H480" s="58">
        <v>46054</v>
      </c>
      <c r="I480" s="11" t="s">
        <v>2172</v>
      </c>
      <c r="J480" s="10">
        <v>1</v>
      </c>
      <c r="K480" s="57">
        <v>46054</v>
      </c>
      <c r="L480" s="55">
        <v>165750</v>
      </c>
      <c r="M480" t="s">
        <v>2252</v>
      </c>
      <c r="N480" t="s">
        <v>2227</v>
      </c>
      <c r="O480" t="s">
        <v>2269</v>
      </c>
      <c r="P480" t="s">
        <v>2284</v>
      </c>
    </row>
    <row r="481" spans="1:16" x14ac:dyDescent="0.25">
      <c r="A481" s="51" t="s">
        <v>2174</v>
      </c>
      <c r="B481" s="7" t="s">
        <v>2199</v>
      </c>
      <c r="C481" t="s">
        <v>28</v>
      </c>
      <c r="D481" s="7" t="s">
        <v>2175</v>
      </c>
      <c r="E481" t="s">
        <v>2106</v>
      </c>
      <c r="F481" s="7">
        <v>2</v>
      </c>
      <c r="G481" t="s">
        <v>1893</v>
      </c>
      <c r="H481" s="59">
        <v>46023</v>
      </c>
      <c r="I481" t="s">
        <v>2177</v>
      </c>
      <c r="J481" s="7">
        <v>1</v>
      </c>
      <c r="K481" s="1">
        <v>46023</v>
      </c>
      <c r="L481" s="56">
        <v>250000</v>
      </c>
      <c r="M481" t="s">
        <v>2231</v>
      </c>
      <c r="N481" t="s">
        <v>2262</v>
      </c>
      <c r="O481" t="s">
        <v>2264</v>
      </c>
      <c r="P481" t="s">
        <v>2284</v>
      </c>
    </row>
    <row r="482" spans="1:16" x14ac:dyDescent="0.25">
      <c r="A482" s="50" t="s">
        <v>2174</v>
      </c>
      <c r="B482" s="10" t="s">
        <v>2199</v>
      </c>
      <c r="C482" s="11" t="s">
        <v>28</v>
      </c>
      <c r="D482" s="10" t="s">
        <v>2175</v>
      </c>
      <c r="E482" s="11" t="s">
        <v>486</v>
      </c>
      <c r="F482" s="10">
        <v>2</v>
      </c>
      <c r="G482" s="11" t="s">
        <v>1893</v>
      </c>
      <c r="H482" s="58">
        <v>46023</v>
      </c>
      <c r="I482" s="11" t="s">
        <v>2177</v>
      </c>
      <c r="J482" s="10">
        <v>1</v>
      </c>
      <c r="K482" s="57">
        <v>46023</v>
      </c>
      <c r="L482" s="55">
        <v>239000</v>
      </c>
      <c r="M482" t="s">
        <v>2231</v>
      </c>
      <c r="N482" t="s">
        <v>2262</v>
      </c>
      <c r="O482" t="s">
        <v>2264</v>
      </c>
      <c r="P482" t="s">
        <v>2284</v>
      </c>
    </row>
    <row r="483" spans="1:16" x14ac:dyDescent="0.25">
      <c r="A483" s="51" t="s">
        <v>2178</v>
      </c>
      <c r="B483" s="7" t="s">
        <v>2199</v>
      </c>
      <c r="C483" t="s">
        <v>28</v>
      </c>
      <c r="D483" s="7" t="s">
        <v>2179</v>
      </c>
      <c r="E483" t="s">
        <v>760</v>
      </c>
      <c r="F483" s="7">
        <v>1</v>
      </c>
      <c r="G483" t="s">
        <v>950</v>
      </c>
      <c r="H483" s="59">
        <v>46113</v>
      </c>
      <c r="I483" t="s">
        <v>951</v>
      </c>
      <c r="J483" s="7">
        <v>1</v>
      </c>
      <c r="K483" s="1">
        <v>46113</v>
      </c>
      <c r="L483" s="56">
        <v>57500000</v>
      </c>
      <c r="M483" t="s">
        <v>2236</v>
      </c>
      <c r="N483" t="s">
        <v>2234</v>
      </c>
      <c r="O483" t="s">
        <v>2259</v>
      </c>
      <c r="P483" t="s">
        <v>2284</v>
      </c>
    </row>
    <row r="484" spans="1:16" x14ac:dyDescent="0.25">
      <c r="A484" s="50" t="s">
        <v>2183</v>
      </c>
      <c r="B484" s="10" t="s">
        <v>2199</v>
      </c>
      <c r="C484" s="11" t="s">
        <v>28</v>
      </c>
      <c r="D484" s="10" t="s">
        <v>2184</v>
      </c>
      <c r="E484" s="11" t="s">
        <v>2188</v>
      </c>
      <c r="F484" s="10">
        <v>11</v>
      </c>
      <c r="G484" s="11" t="s">
        <v>761</v>
      </c>
      <c r="H484" s="58">
        <v>46143</v>
      </c>
      <c r="I484" s="11" t="s">
        <v>762</v>
      </c>
      <c r="J484" s="10">
        <v>1</v>
      </c>
      <c r="K484" s="57">
        <v>46143</v>
      </c>
      <c r="L484" s="55">
        <v>960000</v>
      </c>
      <c r="M484" t="s">
        <v>2220</v>
      </c>
      <c r="N484" t="s">
        <v>2234</v>
      </c>
      <c r="O484" t="s">
        <v>2258</v>
      </c>
      <c r="P484" t="s">
        <v>2284</v>
      </c>
    </row>
    <row r="485" spans="1:16" x14ac:dyDescent="0.25">
      <c r="A485" s="51" t="s">
        <v>2183</v>
      </c>
      <c r="B485" s="7" t="s">
        <v>2199</v>
      </c>
      <c r="C485" t="s">
        <v>28</v>
      </c>
      <c r="D485" s="7" t="s">
        <v>2184</v>
      </c>
      <c r="E485" t="s">
        <v>2191</v>
      </c>
      <c r="F485" s="7">
        <v>11</v>
      </c>
      <c r="G485" t="s">
        <v>761</v>
      </c>
      <c r="H485" s="59">
        <v>46143</v>
      </c>
      <c r="I485" t="s">
        <v>762</v>
      </c>
      <c r="J485" s="7">
        <v>1</v>
      </c>
      <c r="K485" s="1">
        <v>46143</v>
      </c>
      <c r="L485" s="56">
        <v>500004</v>
      </c>
      <c r="M485" t="s">
        <v>2220</v>
      </c>
      <c r="N485" t="s">
        <v>2234</v>
      </c>
      <c r="O485" t="s">
        <v>2258</v>
      </c>
      <c r="P485" t="s">
        <v>2284</v>
      </c>
    </row>
    <row r="486" spans="1:16" x14ac:dyDescent="0.25">
      <c r="A486" s="50" t="s">
        <v>2183</v>
      </c>
      <c r="B486" s="10" t="s">
        <v>2199</v>
      </c>
      <c r="C486" s="11" t="s">
        <v>28</v>
      </c>
      <c r="D486" s="10" t="s">
        <v>2184</v>
      </c>
      <c r="E486" s="11" t="s">
        <v>2187</v>
      </c>
      <c r="F486" s="10">
        <v>11</v>
      </c>
      <c r="G486" s="11" t="s">
        <v>761</v>
      </c>
      <c r="H486" s="58">
        <v>46143</v>
      </c>
      <c r="I486" s="11" t="s">
        <v>762</v>
      </c>
      <c r="J486" s="10">
        <v>1</v>
      </c>
      <c r="K486" s="57">
        <v>46143</v>
      </c>
      <c r="L486" s="55">
        <v>1201970</v>
      </c>
      <c r="M486" t="s">
        <v>2220</v>
      </c>
      <c r="N486" t="s">
        <v>2234</v>
      </c>
      <c r="O486" t="s">
        <v>2258</v>
      </c>
      <c r="P486" t="s">
        <v>2284</v>
      </c>
    </row>
    <row r="487" spans="1:16" x14ac:dyDescent="0.25">
      <c r="A487" s="51" t="s">
        <v>2183</v>
      </c>
      <c r="B487" s="7" t="s">
        <v>2199</v>
      </c>
      <c r="C487" t="s">
        <v>28</v>
      </c>
      <c r="D487" s="7" t="s">
        <v>2184</v>
      </c>
      <c r="E487" t="s">
        <v>855</v>
      </c>
      <c r="F487" s="7">
        <v>11</v>
      </c>
      <c r="G487" t="s">
        <v>761</v>
      </c>
      <c r="H487" s="59">
        <v>46143</v>
      </c>
      <c r="I487" t="s">
        <v>762</v>
      </c>
      <c r="J487" s="7">
        <v>1</v>
      </c>
      <c r="K487" s="1">
        <v>46143</v>
      </c>
      <c r="L487" s="56">
        <v>2563440</v>
      </c>
      <c r="M487" t="s">
        <v>2220</v>
      </c>
      <c r="N487" t="s">
        <v>2234</v>
      </c>
      <c r="O487" t="s">
        <v>2258</v>
      </c>
      <c r="P487" t="s">
        <v>2284</v>
      </c>
    </row>
    <row r="488" spans="1:16" x14ac:dyDescent="0.25">
      <c r="A488" s="50" t="s">
        <v>2183</v>
      </c>
      <c r="B488" s="10" t="s">
        <v>2199</v>
      </c>
      <c r="C488" s="11" t="s">
        <v>28</v>
      </c>
      <c r="D488" s="10" t="s">
        <v>2184</v>
      </c>
      <c r="E488" s="11" t="s">
        <v>2190</v>
      </c>
      <c r="F488" s="10">
        <v>11</v>
      </c>
      <c r="G488" s="11" t="s">
        <v>761</v>
      </c>
      <c r="H488" s="58">
        <v>46143</v>
      </c>
      <c r="I488" s="11" t="s">
        <v>762</v>
      </c>
      <c r="J488" s="10">
        <v>1</v>
      </c>
      <c r="K488" s="57">
        <v>46143</v>
      </c>
      <c r="L488" s="55">
        <v>549000</v>
      </c>
      <c r="M488" t="s">
        <v>2220</v>
      </c>
      <c r="N488" t="s">
        <v>2234</v>
      </c>
      <c r="O488" t="s">
        <v>2258</v>
      </c>
      <c r="P488" t="s">
        <v>2284</v>
      </c>
    </row>
    <row r="489" spans="1:16" x14ac:dyDescent="0.25">
      <c r="A489" s="51" t="s">
        <v>2183</v>
      </c>
      <c r="B489" s="7" t="s">
        <v>2199</v>
      </c>
      <c r="C489" t="s">
        <v>28</v>
      </c>
      <c r="D489" s="7" t="s">
        <v>2184</v>
      </c>
      <c r="E489" t="s">
        <v>2194</v>
      </c>
      <c r="F489" s="7">
        <v>11</v>
      </c>
      <c r="G489" t="s">
        <v>761</v>
      </c>
      <c r="H489" s="59">
        <v>46143</v>
      </c>
      <c r="I489" t="s">
        <v>762</v>
      </c>
      <c r="J489" s="7">
        <v>1</v>
      </c>
      <c r="K489" s="1">
        <v>46143</v>
      </c>
      <c r="L489" s="56">
        <v>55008</v>
      </c>
      <c r="M489" t="s">
        <v>2220</v>
      </c>
      <c r="N489" t="s">
        <v>2234</v>
      </c>
      <c r="O489" t="s">
        <v>2258</v>
      </c>
      <c r="P489" t="s">
        <v>2284</v>
      </c>
    </row>
    <row r="490" spans="1:16" x14ac:dyDescent="0.25">
      <c r="A490" s="50" t="s">
        <v>2183</v>
      </c>
      <c r="B490" s="10" t="s">
        <v>2199</v>
      </c>
      <c r="C490" s="11" t="s">
        <v>28</v>
      </c>
      <c r="D490" s="10" t="s">
        <v>2184</v>
      </c>
      <c r="E490" s="11" t="s">
        <v>2193</v>
      </c>
      <c r="F490" s="10">
        <v>11</v>
      </c>
      <c r="G490" s="11" t="s">
        <v>761</v>
      </c>
      <c r="H490" s="58">
        <v>46143</v>
      </c>
      <c r="I490" s="11" t="s">
        <v>762</v>
      </c>
      <c r="J490" s="10">
        <v>1</v>
      </c>
      <c r="K490" s="57">
        <v>46143</v>
      </c>
      <c r="L490" s="55">
        <v>120000</v>
      </c>
      <c r="M490" t="s">
        <v>2220</v>
      </c>
      <c r="N490" t="s">
        <v>2234</v>
      </c>
      <c r="O490" t="s">
        <v>2258</v>
      </c>
      <c r="P490" t="s">
        <v>2284</v>
      </c>
    </row>
    <row r="491" spans="1:16" x14ac:dyDescent="0.25">
      <c r="A491" s="51" t="s">
        <v>2183</v>
      </c>
      <c r="B491" s="7" t="s">
        <v>2199</v>
      </c>
      <c r="C491" t="s">
        <v>28</v>
      </c>
      <c r="D491" s="7" t="s">
        <v>2184</v>
      </c>
      <c r="E491" t="s">
        <v>2192</v>
      </c>
      <c r="F491" s="7">
        <v>11</v>
      </c>
      <c r="G491" t="s">
        <v>761</v>
      </c>
      <c r="H491" s="59">
        <v>46143</v>
      </c>
      <c r="I491" t="s">
        <v>762</v>
      </c>
      <c r="J491" s="7">
        <v>1</v>
      </c>
      <c r="K491" s="1">
        <v>46143</v>
      </c>
      <c r="L491" s="56">
        <v>290017</v>
      </c>
      <c r="M491" t="s">
        <v>2220</v>
      </c>
      <c r="N491" t="s">
        <v>2234</v>
      </c>
      <c r="O491" t="s">
        <v>2258</v>
      </c>
      <c r="P491" t="s">
        <v>2284</v>
      </c>
    </row>
    <row r="492" spans="1:16" x14ac:dyDescent="0.25">
      <c r="A492" s="50" t="s">
        <v>2183</v>
      </c>
      <c r="B492" s="10" t="s">
        <v>2199</v>
      </c>
      <c r="C492" s="11" t="s">
        <v>28</v>
      </c>
      <c r="D492" s="10" t="s">
        <v>2184</v>
      </c>
      <c r="E492" s="11" t="s">
        <v>2189</v>
      </c>
      <c r="F492" s="10">
        <v>11</v>
      </c>
      <c r="G492" s="11" t="s">
        <v>761</v>
      </c>
      <c r="H492" s="58">
        <v>46143</v>
      </c>
      <c r="I492" s="11" t="s">
        <v>762</v>
      </c>
      <c r="J492" s="10">
        <v>1</v>
      </c>
      <c r="K492" s="57">
        <v>46143</v>
      </c>
      <c r="L492" s="55">
        <v>948047</v>
      </c>
      <c r="M492" t="s">
        <v>2220</v>
      </c>
      <c r="N492" t="s">
        <v>2234</v>
      </c>
      <c r="O492" t="s">
        <v>2258</v>
      </c>
      <c r="P492" t="s">
        <v>2284</v>
      </c>
    </row>
    <row r="493" spans="1:16" x14ac:dyDescent="0.25">
      <c r="A493" s="51" t="s">
        <v>2183</v>
      </c>
      <c r="B493" s="7" t="s">
        <v>2199</v>
      </c>
      <c r="C493" t="s">
        <v>28</v>
      </c>
      <c r="D493" s="7" t="s">
        <v>2184</v>
      </c>
      <c r="E493" t="s">
        <v>2186</v>
      </c>
      <c r="F493" s="7">
        <v>11</v>
      </c>
      <c r="G493" t="s">
        <v>761</v>
      </c>
      <c r="H493" s="59">
        <v>46143</v>
      </c>
      <c r="I493" t="s">
        <v>762</v>
      </c>
      <c r="J493" s="7">
        <v>1</v>
      </c>
      <c r="K493" s="1">
        <v>46143</v>
      </c>
      <c r="L493" s="56">
        <v>4093285</v>
      </c>
      <c r="M493" t="s">
        <v>2220</v>
      </c>
      <c r="N493" t="s">
        <v>2234</v>
      </c>
      <c r="O493" t="s">
        <v>2258</v>
      </c>
      <c r="P493" t="s">
        <v>2284</v>
      </c>
    </row>
    <row r="494" spans="1:16" x14ac:dyDescent="0.25">
      <c r="A494" s="50" t="s">
        <v>2183</v>
      </c>
      <c r="B494" s="10" t="s">
        <v>2199</v>
      </c>
      <c r="C494" s="11" t="s">
        <v>28</v>
      </c>
      <c r="D494" s="10" t="s">
        <v>2184</v>
      </c>
      <c r="E494" s="11" t="s">
        <v>2195</v>
      </c>
      <c r="F494" s="10">
        <v>11</v>
      </c>
      <c r="G494" s="11" t="s">
        <v>761</v>
      </c>
      <c r="H494" s="58">
        <v>46143</v>
      </c>
      <c r="I494" s="11" t="s">
        <v>762</v>
      </c>
      <c r="J494" s="10">
        <v>1</v>
      </c>
      <c r="K494" s="57">
        <v>46143</v>
      </c>
      <c r="L494" s="55">
        <v>30000</v>
      </c>
      <c r="M494" t="s">
        <v>2220</v>
      </c>
      <c r="N494" t="s">
        <v>2234</v>
      </c>
      <c r="O494" t="s">
        <v>2258</v>
      </c>
      <c r="P494" t="s">
        <v>2284</v>
      </c>
    </row>
    <row r="495" spans="1:16" x14ac:dyDescent="0.25">
      <c r="A495" s="51" t="s">
        <v>251</v>
      </c>
      <c r="B495" s="7" t="s">
        <v>2196</v>
      </c>
      <c r="C495" t="s">
        <v>28</v>
      </c>
      <c r="D495" s="7" t="s">
        <v>253</v>
      </c>
      <c r="E495" t="s">
        <v>263</v>
      </c>
      <c r="F495" s="7">
        <v>14</v>
      </c>
      <c r="G495" t="s">
        <v>257</v>
      </c>
      <c r="H495" s="59">
        <v>45717</v>
      </c>
      <c r="I495" t="s">
        <v>258</v>
      </c>
      <c r="J495" s="7">
        <v>2</v>
      </c>
      <c r="K495" t="s">
        <v>264</v>
      </c>
      <c r="L495" s="56">
        <v>7000000</v>
      </c>
      <c r="M495" t="s">
        <v>2243</v>
      </c>
      <c r="N495" t="s">
        <v>2256</v>
      </c>
      <c r="O495" t="s">
        <v>2272</v>
      </c>
      <c r="P495" t="s">
        <v>2284</v>
      </c>
    </row>
    <row r="496" spans="1:16" x14ac:dyDescent="0.25">
      <c r="A496" s="50" t="s">
        <v>251</v>
      </c>
      <c r="B496" s="10" t="s">
        <v>2196</v>
      </c>
      <c r="C496" s="11" t="s">
        <v>28</v>
      </c>
      <c r="D496" s="10" t="s">
        <v>253</v>
      </c>
      <c r="E496" s="11" t="s">
        <v>261</v>
      </c>
      <c r="F496" s="10">
        <v>14</v>
      </c>
      <c r="G496" s="11" t="s">
        <v>257</v>
      </c>
      <c r="H496" s="58">
        <v>45717</v>
      </c>
      <c r="I496" s="11" t="s">
        <v>258</v>
      </c>
      <c r="J496" s="10">
        <v>4</v>
      </c>
      <c r="K496" s="11" t="s">
        <v>262</v>
      </c>
      <c r="L496" s="55">
        <v>71900000</v>
      </c>
      <c r="M496" t="s">
        <v>2243</v>
      </c>
      <c r="N496" t="s">
        <v>2256</v>
      </c>
      <c r="O496" t="s">
        <v>2272</v>
      </c>
      <c r="P496" t="s">
        <v>2284</v>
      </c>
    </row>
    <row r="497" spans="1:16" x14ac:dyDescent="0.25">
      <c r="A497" s="51" t="s">
        <v>251</v>
      </c>
      <c r="B497" s="7" t="s">
        <v>2196</v>
      </c>
      <c r="C497" t="s">
        <v>28</v>
      </c>
      <c r="D497" s="7" t="s">
        <v>253</v>
      </c>
      <c r="E497" t="s">
        <v>267</v>
      </c>
      <c r="F497" s="7">
        <v>14</v>
      </c>
      <c r="G497" t="s">
        <v>257</v>
      </c>
      <c r="H497" s="59">
        <v>45717</v>
      </c>
      <c r="I497" t="s">
        <v>258</v>
      </c>
      <c r="J497" s="7">
        <v>4</v>
      </c>
      <c r="K497" t="s">
        <v>268</v>
      </c>
      <c r="L497" s="56">
        <v>24820000</v>
      </c>
      <c r="M497" t="s">
        <v>2243</v>
      </c>
      <c r="N497" t="s">
        <v>2256</v>
      </c>
      <c r="O497" t="s">
        <v>2272</v>
      </c>
      <c r="P497" t="s">
        <v>2284</v>
      </c>
    </row>
    <row r="498" spans="1:16" x14ac:dyDescent="0.25">
      <c r="A498" s="50" t="s">
        <v>251</v>
      </c>
      <c r="B498" s="10" t="s">
        <v>2196</v>
      </c>
      <c r="C498" s="11" t="s">
        <v>28</v>
      </c>
      <c r="D498" s="10" t="s">
        <v>253</v>
      </c>
      <c r="E498" s="11" t="s">
        <v>255</v>
      </c>
      <c r="F498" s="10">
        <v>14</v>
      </c>
      <c r="G498" s="11" t="s">
        <v>257</v>
      </c>
      <c r="H498" s="58">
        <v>45717</v>
      </c>
      <c r="I498" s="11" t="s">
        <v>258</v>
      </c>
      <c r="J498" s="10">
        <v>7</v>
      </c>
      <c r="K498" s="11" t="s">
        <v>256</v>
      </c>
      <c r="L498" s="55">
        <v>20800000</v>
      </c>
      <c r="M498" t="s">
        <v>2243</v>
      </c>
      <c r="N498" t="s">
        <v>2256</v>
      </c>
      <c r="O498" t="s">
        <v>2272</v>
      </c>
      <c r="P498" t="s">
        <v>2284</v>
      </c>
    </row>
    <row r="499" spans="1:16" x14ac:dyDescent="0.25">
      <c r="A499" s="51" t="s">
        <v>251</v>
      </c>
      <c r="B499" s="7" t="s">
        <v>2196</v>
      </c>
      <c r="C499" t="s">
        <v>28</v>
      </c>
      <c r="D499" s="7" t="s">
        <v>253</v>
      </c>
      <c r="E499" t="s">
        <v>265</v>
      </c>
      <c r="F499" s="7">
        <v>14</v>
      </c>
      <c r="G499" t="s">
        <v>257</v>
      </c>
      <c r="H499" s="59">
        <v>45717</v>
      </c>
      <c r="I499" t="s">
        <v>258</v>
      </c>
      <c r="J499" s="7">
        <v>2</v>
      </c>
      <c r="K499" t="s">
        <v>266</v>
      </c>
      <c r="L499" s="56">
        <v>45150000</v>
      </c>
      <c r="M499" t="s">
        <v>2243</v>
      </c>
      <c r="N499" t="s">
        <v>2256</v>
      </c>
      <c r="O499" t="s">
        <v>2272</v>
      </c>
      <c r="P499" t="s">
        <v>2284</v>
      </c>
    </row>
    <row r="500" spans="1:16" x14ac:dyDescent="0.25">
      <c r="A500" s="50" t="s">
        <v>251</v>
      </c>
      <c r="B500" s="10" t="s">
        <v>2196</v>
      </c>
      <c r="C500" s="11" t="s">
        <v>28</v>
      </c>
      <c r="D500" s="10" t="s">
        <v>253</v>
      </c>
      <c r="E500" s="11" t="s">
        <v>269</v>
      </c>
      <c r="F500" s="10">
        <v>14</v>
      </c>
      <c r="G500" s="11" t="s">
        <v>257</v>
      </c>
      <c r="H500" s="58">
        <v>45717</v>
      </c>
      <c r="I500" s="11" t="s">
        <v>258</v>
      </c>
      <c r="J500" s="10">
        <v>6</v>
      </c>
      <c r="K500" s="11" t="s">
        <v>270</v>
      </c>
      <c r="L500" s="55">
        <v>23200001</v>
      </c>
      <c r="M500" t="s">
        <v>2243</v>
      </c>
      <c r="N500" t="s">
        <v>2256</v>
      </c>
      <c r="O500" t="s">
        <v>2272</v>
      </c>
      <c r="P500" t="s">
        <v>2284</v>
      </c>
    </row>
    <row r="501" spans="1:16" x14ac:dyDescent="0.25">
      <c r="A501" s="51" t="s">
        <v>251</v>
      </c>
      <c r="B501" s="7" t="s">
        <v>2196</v>
      </c>
      <c r="C501" t="s">
        <v>28</v>
      </c>
      <c r="D501" s="7" t="s">
        <v>253</v>
      </c>
      <c r="E501" t="s">
        <v>271</v>
      </c>
      <c r="F501" s="7">
        <v>14</v>
      </c>
      <c r="G501" t="s">
        <v>257</v>
      </c>
      <c r="H501" s="59">
        <v>45717</v>
      </c>
      <c r="I501" t="s">
        <v>258</v>
      </c>
      <c r="J501" s="7">
        <v>4</v>
      </c>
      <c r="K501" t="s">
        <v>256</v>
      </c>
      <c r="L501" s="56">
        <v>81500000</v>
      </c>
      <c r="M501" t="s">
        <v>2243</v>
      </c>
      <c r="N501" t="s">
        <v>2256</v>
      </c>
      <c r="O501" t="s">
        <v>2272</v>
      </c>
      <c r="P501" t="s">
        <v>2284</v>
      </c>
    </row>
    <row r="502" spans="1:16" x14ac:dyDescent="0.25">
      <c r="A502" s="50" t="s">
        <v>251</v>
      </c>
      <c r="B502" s="10" t="s">
        <v>2196</v>
      </c>
      <c r="C502" s="11" t="s">
        <v>28</v>
      </c>
      <c r="D502" s="10" t="s">
        <v>253</v>
      </c>
      <c r="E502" s="11" t="s">
        <v>275</v>
      </c>
      <c r="F502" s="10">
        <v>14</v>
      </c>
      <c r="G502" s="11" t="s">
        <v>257</v>
      </c>
      <c r="H502" s="58">
        <v>45717</v>
      </c>
      <c r="I502" s="11" t="s">
        <v>258</v>
      </c>
      <c r="J502" s="10">
        <v>8</v>
      </c>
      <c r="K502" s="11" t="s">
        <v>276</v>
      </c>
      <c r="L502" s="55">
        <v>45800000</v>
      </c>
      <c r="M502" t="s">
        <v>2243</v>
      </c>
      <c r="N502" t="s">
        <v>2256</v>
      </c>
      <c r="O502" t="s">
        <v>2272</v>
      </c>
      <c r="P502" t="s">
        <v>2284</v>
      </c>
    </row>
    <row r="503" spans="1:16" x14ac:dyDescent="0.25">
      <c r="A503" s="51" t="s">
        <v>251</v>
      </c>
      <c r="B503" s="7" t="s">
        <v>2196</v>
      </c>
      <c r="C503" t="s">
        <v>28</v>
      </c>
      <c r="D503" s="7" t="s">
        <v>253</v>
      </c>
      <c r="E503" t="s">
        <v>272</v>
      </c>
      <c r="F503" s="7">
        <v>14</v>
      </c>
      <c r="G503" t="s">
        <v>257</v>
      </c>
      <c r="H503" s="59">
        <v>45717</v>
      </c>
      <c r="I503" t="s">
        <v>258</v>
      </c>
      <c r="J503" s="7">
        <v>8</v>
      </c>
      <c r="K503" t="s">
        <v>273</v>
      </c>
      <c r="L503" s="56">
        <v>13950000</v>
      </c>
      <c r="M503" t="s">
        <v>2243</v>
      </c>
      <c r="N503" t="s">
        <v>2256</v>
      </c>
      <c r="O503" t="s">
        <v>2272</v>
      </c>
      <c r="P503" t="s">
        <v>2284</v>
      </c>
    </row>
    <row r="504" spans="1:16" x14ac:dyDescent="0.25">
      <c r="A504" s="50" t="s">
        <v>251</v>
      </c>
      <c r="B504" s="10" t="s">
        <v>2196</v>
      </c>
      <c r="C504" s="11" t="s">
        <v>28</v>
      </c>
      <c r="D504" s="10" t="s">
        <v>253</v>
      </c>
      <c r="E504" s="11" t="s">
        <v>281</v>
      </c>
      <c r="F504" s="10">
        <v>14</v>
      </c>
      <c r="G504" s="11" t="s">
        <v>257</v>
      </c>
      <c r="H504" s="58">
        <v>45809</v>
      </c>
      <c r="I504" s="11" t="s">
        <v>258</v>
      </c>
      <c r="J504" s="10">
        <v>2</v>
      </c>
      <c r="K504" s="11" t="s">
        <v>282</v>
      </c>
      <c r="L504" s="55">
        <v>225000</v>
      </c>
      <c r="M504" t="s">
        <v>2243</v>
      </c>
      <c r="N504" t="s">
        <v>2256</v>
      </c>
      <c r="O504" t="s">
        <v>2272</v>
      </c>
      <c r="P504" t="s">
        <v>2284</v>
      </c>
    </row>
    <row r="505" spans="1:16" x14ac:dyDescent="0.25">
      <c r="A505" s="51" t="s">
        <v>251</v>
      </c>
      <c r="B505" s="7" t="s">
        <v>2196</v>
      </c>
      <c r="C505" t="s">
        <v>28</v>
      </c>
      <c r="D505" s="7" t="s">
        <v>253</v>
      </c>
      <c r="E505" t="s">
        <v>277</v>
      </c>
      <c r="F505" s="7">
        <v>14</v>
      </c>
      <c r="G505" t="s">
        <v>257</v>
      </c>
      <c r="H505" s="59">
        <v>45717</v>
      </c>
      <c r="I505" t="s">
        <v>258</v>
      </c>
      <c r="J505" s="7">
        <v>24</v>
      </c>
      <c r="K505" t="s">
        <v>278</v>
      </c>
      <c r="L505" s="56">
        <v>21279996</v>
      </c>
      <c r="M505" t="s">
        <v>2243</v>
      </c>
      <c r="N505" t="s">
        <v>2256</v>
      </c>
      <c r="O505" t="s">
        <v>2272</v>
      </c>
      <c r="P505" t="s">
        <v>2284</v>
      </c>
    </row>
    <row r="506" spans="1:16" x14ac:dyDescent="0.25">
      <c r="A506" s="50" t="s">
        <v>568</v>
      </c>
      <c r="B506" s="10" t="s">
        <v>2199</v>
      </c>
      <c r="C506" s="11" t="s">
        <v>567</v>
      </c>
      <c r="D506" s="10" t="s">
        <v>570</v>
      </c>
      <c r="E506" s="11" t="s">
        <v>583</v>
      </c>
      <c r="F506" s="10">
        <v>8</v>
      </c>
      <c r="G506" s="11" t="s">
        <v>573</v>
      </c>
      <c r="H506" s="58">
        <v>46327</v>
      </c>
      <c r="I506" s="11" t="s">
        <v>574</v>
      </c>
      <c r="J506" s="10">
        <v>1</v>
      </c>
      <c r="K506" s="57">
        <v>46357</v>
      </c>
      <c r="L506" s="55">
        <v>18000000</v>
      </c>
      <c r="M506" t="s">
        <v>2227</v>
      </c>
      <c r="N506" t="s">
        <v>2227</v>
      </c>
      <c r="O506" t="s">
        <v>2263</v>
      </c>
      <c r="P506" t="s">
        <v>2284</v>
      </c>
    </row>
    <row r="507" spans="1:16" x14ac:dyDescent="0.25">
      <c r="A507" s="51" t="s">
        <v>568</v>
      </c>
      <c r="B507" s="7" t="s">
        <v>2199</v>
      </c>
      <c r="C507" t="s">
        <v>567</v>
      </c>
      <c r="D507" s="7" t="s">
        <v>570</v>
      </c>
      <c r="E507" t="s">
        <v>577</v>
      </c>
      <c r="F507" s="7">
        <v>8</v>
      </c>
      <c r="G507" t="s">
        <v>573</v>
      </c>
      <c r="H507" s="59">
        <v>46174</v>
      </c>
      <c r="I507" t="s">
        <v>574</v>
      </c>
      <c r="J507" s="7">
        <v>1</v>
      </c>
      <c r="K507" s="1">
        <v>46174</v>
      </c>
      <c r="L507" s="56">
        <v>1000000</v>
      </c>
      <c r="M507" t="s">
        <v>2227</v>
      </c>
      <c r="N507" t="s">
        <v>2227</v>
      </c>
      <c r="O507" t="s">
        <v>2263</v>
      </c>
      <c r="P507" t="s">
        <v>2284</v>
      </c>
    </row>
    <row r="508" spans="1:16" x14ac:dyDescent="0.25">
      <c r="A508" s="50" t="s">
        <v>568</v>
      </c>
      <c r="B508" s="10" t="s">
        <v>2199</v>
      </c>
      <c r="C508" s="11" t="s">
        <v>567</v>
      </c>
      <c r="D508" s="10" t="s">
        <v>570</v>
      </c>
      <c r="E508" s="11" t="s">
        <v>578</v>
      </c>
      <c r="F508" s="10">
        <v>8</v>
      </c>
      <c r="G508" s="11" t="s">
        <v>573</v>
      </c>
      <c r="H508" s="58">
        <v>46174</v>
      </c>
      <c r="I508" s="11" t="s">
        <v>574</v>
      </c>
      <c r="J508" s="10">
        <v>1</v>
      </c>
      <c r="K508" s="57">
        <v>46174</v>
      </c>
      <c r="L508" s="55">
        <v>2000000</v>
      </c>
      <c r="M508" t="s">
        <v>2227</v>
      </c>
      <c r="N508" t="s">
        <v>2227</v>
      </c>
      <c r="O508" t="s">
        <v>2263</v>
      </c>
      <c r="P508" t="s">
        <v>2284</v>
      </c>
    </row>
    <row r="509" spans="1:16" x14ac:dyDescent="0.25">
      <c r="A509" s="51" t="s">
        <v>568</v>
      </c>
      <c r="B509" s="7" t="s">
        <v>2199</v>
      </c>
      <c r="C509" t="s">
        <v>567</v>
      </c>
      <c r="D509" s="7" t="s">
        <v>570</v>
      </c>
      <c r="E509" t="s">
        <v>580</v>
      </c>
      <c r="F509" s="7">
        <v>8</v>
      </c>
      <c r="G509" t="s">
        <v>573</v>
      </c>
      <c r="H509" s="59">
        <v>46296</v>
      </c>
      <c r="I509" t="s">
        <v>574</v>
      </c>
      <c r="J509" s="7">
        <v>1</v>
      </c>
      <c r="K509" s="1">
        <v>46296</v>
      </c>
      <c r="L509" s="56">
        <v>35000000</v>
      </c>
      <c r="M509" t="s">
        <v>2227</v>
      </c>
      <c r="N509" t="s">
        <v>2227</v>
      </c>
      <c r="O509" t="s">
        <v>2263</v>
      </c>
      <c r="P509" t="s">
        <v>2284</v>
      </c>
    </row>
    <row r="510" spans="1:16" x14ac:dyDescent="0.25">
      <c r="A510" s="50" t="s">
        <v>568</v>
      </c>
      <c r="B510" s="10" t="s">
        <v>2199</v>
      </c>
      <c r="C510" s="11" t="s">
        <v>567</v>
      </c>
      <c r="D510" s="10" t="s">
        <v>570</v>
      </c>
      <c r="E510" s="11" t="s">
        <v>579</v>
      </c>
      <c r="F510" s="10">
        <v>8</v>
      </c>
      <c r="G510" s="11" t="s">
        <v>573</v>
      </c>
      <c r="H510" s="58">
        <v>46266</v>
      </c>
      <c r="I510" s="11" t="s">
        <v>574</v>
      </c>
      <c r="J510" s="10">
        <v>1</v>
      </c>
      <c r="K510" s="57">
        <v>46266</v>
      </c>
      <c r="L510" s="55">
        <v>25000000</v>
      </c>
      <c r="M510" t="s">
        <v>2227</v>
      </c>
      <c r="N510" t="s">
        <v>2227</v>
      </c>
      <c r="O510" t="s">
        <v>2263</v>
      </c>
      <c r="P510" t="s">
        <v>2284</v>
      </c>
    </row>
    <row r="511" spans="1:16" x14ac:dyDescent="0.25">
      <c r="A511" s="51" t="s">
        <v>568</v>
      </c>
      <c r="B511" s="7" t="s">
        <v>2199</v>
      </c>
      <c r="C511" t="s">
        <v>567</v>
      </c>
      <c r="D511" s="7" t="s">
        <v>570</v>
      </c>
      <c r="E511" t="s">
        <v>582</v>
      </c>
      <c r="F511" s="7">
        <v>8</v>
      </c>
      <c r="G511" t="s">
        <v>573</v>
      </c>
      <c r="H511" s="59">
        <v>46327</v>
      </c>
      <c r="I511" t="s">
        <v>574</v>
      </c>
      <c r="J511" s="7">
        <v>1</v>
      </c>
      <c r="K511" s="1">
        <v>46357</v>
      </c>
      <c r="L511" s="56">
        <v>20000000</v>
      </c>
      <c r="M511" t="s">
        <v>2227</v>
      </c>
      <c r="N511" t="s">
        <v>2227</v>
      </c>
      <c r="O511" t="s">
        <v>2263</v>
      </c>
      <c r="P511" t="s">
        <v>2284</v>
      </c>
    </row>
    <row r="512" spans="1:16" x14ac:dyDescent="0.25">
      <c r="A512" s="50" t="s">
        <v>568</v>
      </c>
      <c r="B512" s="10" t="s">
        <v>2199</v>
      </c>
      <c r="C512" s="11" t="s">
        <v>567</v>
      </c>
      <c r="D512" s="10" t="s">
        <v>570</v>
      </c>
      <c r="E512" s="11" t="s">
        <v>581</v>
      </c>
      <c r="F512" s="10">
        <v>8</v>
      </c>
      <c r="G512" s="11" t="s">
        <v>573</v>
      </c>
      <c r="H512" s="58">
        <v>46327</v>
      </c>
      <c r="I512" s="11" t="s">
        <v>574</v>
      </c>
      <c r="J512" s="10">
        <v>1</v>
      </c>
      <c r="K512" s="57">
        <v>46327</v>
      </c>
      <c r="L512" s="55">
        <v>15000000</v>
      </c>
      <c r="M512" t="s">
        <v>2227</v>
      </c>
      <c r="N512" t="s">
        <v>2227</v>
      </c>
      <c r="O512" t="s">
        <v>2263</v>
      </c>
      <c r="P512" t="s">
        <v>2284</v>
      </c>
    </row>
    <row r="513" spans="1:16" x14ac:dyDescent="0.25">
      <c r="A513" s="51" t="s">
        <v>568</v>
      </c>
      <c r="B513" s="7" t="s">
        <v>2199</v>
      </c>
      <c r="C513" t="s">
        <v>567</v>
      </c>
      <c r="D513" s="7" t="s">
        <v>570</v>
      </c>
      <c r="E513" t="s">
        <v>572</v>
      </c>
      <c r="F513" s="7">
        <v>8</v>
      </c>
      <c r="G513" t="s">
        <v>573</v>
      </c>
      <c r="H513" s="59">
        <v>46113</v>
      </c>
      <c r="I513" t="s">
        <v>574</v>
      </c>
      <c r="J513" s="7">
        <v>1</v>
      </c>
      <c r="K513" s="1">
        <v>46113</v>
      </c>
      <c r="L513" s="56">
        <v>40000000</v>
      </c>
      <c r="M513" t="s">
        <v>2227</v>
      </c>
      <c r="N513" t="s">
        <v>2227</v>
      </c>
      <c r="O513" t="s">
        <v>2263</v>
      </c>
      <c r="P513" t="s">
        <v>2284</v>
      </c>
    </row>
    <row r="514" spans="1:16" x14ac:dyDescent="0.25">
      <c r="A514" s="50" t="s">
        <v>1369</v>
      </c>
      <c r="B514" s="10" t="s">
        <v>2199</v>
      </c>
      <c r="C514" s="11" t="s">
        <v>1238</v>
      </c>
      <c r="D514" s="10" t="s">
        <v>1370</v>
      </c>
      <c r="E514" s="11" t="s">
        <v>1175</v>
      </c>
      <c r="F514" s="10">
        <v>2</v>
      </c>
      <c r="G514" s="11" t="s">
        <v>1299</v>
      </c>
      <c r="H514" s="58">
        <v>46113</v>
      </c>
      <c r="I514" s="11" t="s">
        <v>1300</v>
      </c>
      <c r="J514" s="10">
        <v>1</v>
      </c>
      <c r="K514" s="57">
        <v>46113</v>
      </c>
      <c r="L514" s="55">
        <v>704255000</v>
      </c>
      <c r="M514" t="s">
        <v>2245</v>
      </c>
      <c r="N514" t="s">
        <v>2256</v>
      </c>
      <c r="O514" t="s">
        <v>2272</v>
      </c>
      <c r="P514" t="s">
        <v>2284</v>
      </c>
    </row>
    <row r="515" spans="1:16" x14ac:dyDescent="0.25">
      <c r="A515" s="51" t="s">
        <v>1369</v>
      </c>
      <c r="B515" s="7" t="s">
        <v>2199</v>
      </c>
      <c r="C515" t="s">
        <v>1238</v>
      </c>
      <c r="D515" s="7" t="s">
        <v>1370</v>
      </c>
      <c r="E515" t="s">
        <v>1303</v>
      </c>
      <c r="F515" s="7">
        <v>2</v>
      </c>
      <c r="G515" t="s">
        <v>1299</v>
      </c>
      <c r="H515" s="59">
        <v>46113</v>
      </c>
      <c r="I515" t="s">
        <v>1300</v>
      </c>
      <c r="J515" s="7">
        <v>1</v>
      </c>
      <c r="K515" s="1">
        <v>46113</v>
      </c>
      <c r="L515" s="56">
        <v>874576000</v>
      </c>
      <c r="M515" t="s">
        <v>2245</v>
      </c>
      <c r="N515" t="s">
        <v>2256</v>
      </c>
      <c r="O515" t="s">
        <v>2272</v>
      </c>
      <c r="P515" t="s">
        <v>2284</v>
      </c>
    </row>
    <row r="516" spans="1:16" x14ac:dyDescent="0.25">
      <c r="A516" s="50" t="s">
        <v>1385</v>
      </c>
      <c r="B516" s="10" t="s">
        <v>2199</v>
      </c>
      <c r="C516" s="11" t="s">
        <v>1238</v>
      </c>
      <c r="D516" s="10" t="s">
        <v>1386</v>
      </c>
      <c r="E516" s="11" t="s">
        <v>1175</v>
      </c>
      <c r="F516" s="10">
        <v>2</v>
      </c>
      <c r="G516" s="11" t="s">
        <v>1299</v>
      </c>
      <c r="H516" s="58">
        <v>46113</v>
      </c>
      <c r="I516" s="11" t="s">
        <v>1300</v>
      </c>
      <c r="J516" s="10">
        <v>1</v>
      </c>
      <c r="K516" s="57">
        <v>46113</v>
      </c>
      <c r="L516" s="55">
        <v>64156000</v>
      </c>
      <c r="M516" t="s">
        <v>2245</v>
      </c>
      <c r="N516" t="s">
        <v>2256</v>
      </c>
      <c r="O516" t="s">
        <v>2272</v>
      </c>
      <c r="P516" t="s">
        <v>2284</v>
      </c>
    </row>
    <row r="517" spans="1:16" x14ac:dyDescent="0.25">
      <c r="A517" s="51" t="s">
        <v>1385</v>
      </c>
      <c r="B517" s="7" t="s">
        <v>2199</v>
      </c>
      <c r="C517" t="s">
        <v>1238</v>
      </c>
      <c r="D517" s="7" t="s">
        <v>1386</v>
      </c>
      <c r="E517" t="s">
        <v>1303</v>
      </c>
      <c r="F517" s="7">
        <v>2</v>
      </c>
      <c r="G517" t="s">
        <v>1299</v>
      </c>
      <c r="H517" s="59">
        <v>46113</v>
      </c>
      <c r="I517" t="s">
        <v>1300</v>
      </c>
      <c r="J517" s="7">
        <v>1</v>
      </c>
      <c r="K517" s="1">
        <v>46113</v>
      </c>
      <c r="L517" s="56">
        <v>1904912000</v>
      </c>
      <c r="M517" t="s">
        <v>2245</v>
      </c>
      <c r="N517" t="s">
        <v>2256</v>
      </c>
      <c r="O517" t="s">
        <v>2272</v>
      </c>
      <c r="P517" t="s">
        <v>2284</v>
      </c>
    </row>
    <row r="518" spans="1:16" x14ac:dyDescent="0.25">
      <c r="A518" s="50" t="s">
        <v>1387</v>
      </c>
      <c r="B518" s="10" t="s">
        <v>2199</v>
      </c>
      <c r="C518" s="11" t="s">
        <v>1238</v>
      </c>
      <c r="D518" s="10" t="s">
        <v>1388</v>
      </c>
      <c r="E518" s="11" t="s">
        <v>1175</v>
      </c>
      <c r="F518" s="10">
        <v>2</v>
      </c>
      <c r="G518" s="11" t="s">
        <v>1299</v>
      </c>
      <c r="H518" s="58">
        <v>46113</v>
      </c>
      <c r="I518" s="11" t="s">
        <v>1300</v>
      </c>
      <c r="J518" s="10">
        <v>1</v>
      </c>
      <c r="K518" s="57">
        <v>46113</v>
      </c>
      <c r="L518" s="55">
        <v>12678000</v>
      </c>
      <c r="M518" t="s">
        <v>2245</v>
      </c>
      <c r="N518" t="s">
        <v>2256</v>
      </c>
      <c r="O518" t="s">
        <v>2272</v>
      </c>
      <c r="P518" t="s">
        <v>2284</v>
      </c>
    </row>
    <row r="519" spans="1:16" x14ac:dyDescent="0.25">
      <c r="A519" s="51" t="s">
        <v>1387</v>
      </c>
      <c r="B519" s="7" t="s">
        <v>2199</v>
      </c>
      <c r="C519" t="s">
        <v>1238</v>
      </c>
      <c r="D519" s="7" t="s">
        <v>1388</v>
      </c>
      <c r="E519" t="s">
        <v>1303</v>
      </c>
      <c r="F519" s="7">
        <v>2</v>
      </c>
      <c r="G519" t="s">
        <v>1299</v>
      </c>
      <c r="H519" s="59">
        <v>46113</v>
      </c>
      <c r="I519" t="s">
        <v>1300</v>
      </c>
      <c r="J519" s="7">
        <v>1</v>
      </c>
      <c r="K519" s="1">
        <v>46113</v>
      </c>
      <c r="L519" s="56">
        <v>5954000</v>
      </c>
      <c r="M519" t="s">
        <v>2245</v>
      </c>
      <c r="N519" t="s">
        <v>2256</v>
      </c>
      <c r="O519" t="s">
        <v>2272</v>
      </c>
      <c r="P519" t="s">
        <v>2284</v>
      </c>
    </row>
    <row r="520" spans="1:16" x14ac:dyDescent="0.25">
      <c r="A520" s="50" t="s">
        <v>1393</v>
      </c>
      <c r="B520" s="10" t="s">
        <v>2199</v>
      </c>
      <c r="C520" s="11" t="s">
        <v>1238</v>
      </c>
      <c r="D520" s="10" t="s">
        <v>1394</v>
      </c>
      <c r="E520" s="11" t="s">
        <v>1175</v>
      </c>
      <c r="F520" s="10">
        <v>2</v>
      </c>
      <c r="G520" s="11" t="s">
        <v>1299</v>
      </c>
      <c r="H520" s="58">
        <v>46113</v>
      </c>
      <c r="I520" s="11" t="s">
        <v>1300</v>
      </c>
      <c r="J520" s="10">
        <v>1</v>
      </c>
      <c r="K520" s="57">
        <v>46113</v>
      </c>
      <c r="L520" s="55">
        <v>30000000</v>
      </c>
      <c r="M520" t="s">
        <v>2245</v>
      </c>
      <c r="N520" t="s">
        <v>2256</v>
      </c>
      <c r="O520" t="s">
        <v>2272</v>
      </c>
      <c r="P520" t="s">
        <v>2284</v>
      </c>
    </row>
    <row r="521" spans="1:16" x14ac:dyDescent="0.25">
      <c r="A521" s="51" t="s">
        <v>1393</v>
      </c>
      <c r="B521" s="7" t="s">
        <v>2199</v>
      </c>
      <c r="C521" t="s">
        <v>1238</v>
      </c>
      <c r="D521" s="7" t="s">
        <v>1394</v>
      </c>
      <c r="E521" t="s">
        <v>1303</v>
      </c>
      <c r="F521" s="7">
        <v>2</v>
      </c>
      <c r="G521" t="s">
        <v>1299</v>
      </c>
      <c r="H521" s="59">
        <v>46113</v>
      </c>
      <c r="I521" t="s">
        <v>1300</v>
      </c>
      <c r="J521" s="7">
        <v>1</v>
      </c>
      <c r="K521" s="1">
        <v>46113</v>
      </c>
      <c r="L521" s="56">
        <v>250000000</v>
      </c>
      <c r="M521" t="s">
        <v>2245</v>
      </c>
      <c r="N521" t="s">
        <v>2256</v>
      </c>
      <c r="O521" t="s">
        <v>2272</v>
      </c>
      <c r="P521" t="s">
        <v>2284</v>
      </c>
    </row>
    <row r="522" spans="1:16" x14ac:dyDescent="0.25">
      <c r="A522" s="50" t="s">
        <v>1398</v>
      </c>
      <c r="B522" s="10" t="s">
        <v>2199</v>
      </c>
      <c r="C522" s="11" t="s">
        <v>1238</v>
      </c>
      <c r="D522" s="10" t="s">
        <v>1399</v>
      </c>
      <c r="E522" s="11" t="s">
        <v>1175</v>
      </c>
      <c r="F522" s="10">
        <v>2</v>
      </c>
      <c r="G522" s="11" t="s">
        <v>1299</v>
      </c>
      <c r="H522" s="58">
        <v>46143</v>
      </c>
      <c r="I522" s="11" t="s">
        <v>1300</v>
      </c>
      <c r="J522" s="10">
        <v>1</v>
      </c>
      <c r="K522" s="57">
        <v>46143</v>
      </c>
      <c r="L522" s="55">
        <v>6000000</v>
      </c>
      <c r="M522" t="s">
        <v>2245</v>
      </c>
      <c r="N522" t="s">
        <v>2256</v>
      </c>
      <c r="O522" t="s">
        <v>2272</v>
      </c>
      <c r="P522" t="s">
        <v>2284</v>
      </c>
    </row>
    <row r="523" spans="1:16" x14ac:dyDescent="0.25">
      <c r="A523" s="51" t="s">
        <v>1398</v>
      </c>
      <c r="B523" s="7" t="s">
        <v>2199</v>
      </c>
      <c r="C523" t="s">
        <v>1238</v>
      </c>
      <c r="D523" s="7" t="s">
        <v>1399</v>
      </c>
      <c r="E523" t="s">
        <v>1303</v>
      </c>
      <c r="F523" s="7">
        <v>2</v>
      </c>
      <c r="G523" t="s">
        <v>1299</v>
      </c>
      <c r="H523" s="59">
        <v>46143</v>
      </c>
      <c r="I523" t="s">
        <v>1300</v>
      </c>
      <c r="J523" s="7">
        <v>1</v>
      </c>
      <c r="K523" s="1">
        <v>46143</v>
      </c>
      <c r="L523" s="56">
        <v>55000000</v>
      </c>
      <c r="M523" t="s">
        <v>2245</v>
      </c>
      <c r="N523" t="s">
        <v>2256</v>
      </c>
      <c r="O523" t="s">
        <v>2272</v>
      </c>
      <c r="P523" t="s">
        <v>2284</v>
      </c>
    </row>
    <row r="524" spans="1:16" x14ac:dyDescent="0.25">
      <c r="A524" s="50" t="s">
        <v>1464</v>
      </c>
      <c r="B524" s="10" t="s">
        <v>2199</v>
      </c>
      <c r="C524" s="11" t="s">
        <v>1238</v>
      </c>
      <c r="D524" s="10" t="s">
        <v>1465</v>
      </c>
      <c r="E524" s="11" t="s">
        <v>1293</v>
      </c>
      <c r="F524" s="10">
        <v>1</v>
      </c>
      <c r="G524" s="11" t="s">
        <v>1075</v>
      </c>
      <c r="H524" s="58">
        <v>46023</v>
      </c>
      <c r="I524" s="11" t="s">
        <v>1076</v>
      </c>
      <c r="J524" s="10">
        <v>1</v>
      </c>
      <c r="K524" s="57">
        <v>46023</v>
      </c>
      <c r="L524" s="55">
        <v>1000000</v>
      </c>
      <c r="M524" t="s">
        <v>2224</v>
      </c>
      <c r="N524" t="s">
        <v>2227</v>
      </c>
      <c r="O524" t="s">
        <v>2261</v>
      </c>
      <c r="P524" t="s">
        <v>2284</v>
      </c>
    </row>
    <row r="525" spans="1:16" x14ac:dyDescent="0.25">
      <c r="A525" s="51" t="s">
        <v>1485</v>
      </c>
      <c r="B525" s="7" t="s">
        <v>2199</v>
      </c>
      <c r="C525" t="s">
        <v>1238</v>
      </c>
      <c r="D525" s="7" t="s">
        <v>1486</v>
      </c>
      <c r="E525" t="s">
        <v>1488</v>
      </c>
      <c r="F525" s="7">
        <v>1</v>
      </c>
      <c r="G525" t="s">
        <v>1211</v>
      </c>
      <c r="H525" s="59">
        <v>46054</v>
      </c>
      <c r="I525" t="s">
        <v>320</v>
      </c>
      <c r="J525" s="7">
        <v>1</v>
      </c>
      <c r="K525" s="1">
        <v>46054</v>
      </c>
      <c r="L525" s="56">
        <v>250000</v>
      </c>
      <c r="M525" t="s">
        <v>2225</v>
      </c>
      <c r="N525" t="s">
        <v>2234</v>
      </c>
      <c r="O525" t="s">
        <v>2258</v>
      </c>
      <c r="P525" t="s">
        <v>2284</v>
      </c>
    </row>
    <row r="526" spans="1:16" x14ac:dyDescent="0.25">
      <c r="A526" s="50" t="s">
        <v>1624</v>
      </c>
      <c r="B526" s="10" t="s">
        <v>2199</v>
      </c>
      <c r="C526" s="11" t="s">
        <v>1238</v>
      </c>
      <c r="D526" s="10" t="s">
        <v>1621</v>
      </c>
      <c r="E526" s="11" t="s">
        <v>1625</v>
      </c>
      <c r="F526" s="10">
        <v>1</v>
      </c>
      <c r="G526" s="11" t="s">
        <v>1608</v>
      </c>
      <c r="H526" s="58">
        <v>46023</v>
      </c>
      <c r="I526" s="11" t="s">
        <v>361</v>
      </c>
      <c r="J526" s="10">
        <v>1</v>
      </c>
      <c r="K526" s="57">
        <v>46023</v>
      </c>
      <c r="L526" s="55">
        <v>780000</v>
      </c>
      <c r="M526" t="s">
        <v>2254</v>
      </c>
      <c r="N526" t="s">
        <v>2234</v>
      </c>
      <c r="O526" t="s">
        <v>2258</v>
      </c>
      <c r="P526" t="s">
        <v>2284</v>
      </c>
    </row>
    <row r="527" spans="1:16" x14ac:dyDescent="0.25">
      <c r="A527" s="51" t="s">
        <v>1673</v>
      </c>
      <c r="B527" s="7" t="s">
        <v>2199</v>
      </c>
      <c r="C527" t="s">
        <v>1238</v>
      </c>
      <c r="D527" s="7" t="s">
        <v>1674</v>
      </c>
      <c r="E527" t="s">
        <v>1175</v>
      </c>
      <c r="F527" s="7">
        <v>2</v>
      </c>
      <c r="G527" t="s">
        <v>1299</v>
      </c>
      <c r="H527" s="59">
        <v>46113</v>
      </c>
      <c r="I527" t="s">
        <v>1300</v>
      </c>
      <c r="J527" s="7">
        <v>1</v>
      </c>
      <c r="K527" s="1">
        <v>46113</v>
      </c>
      <c r="L527" s="56">
        <v>5731000</v>
      </c>
      <c r="M527" t="s">
        <v>2245</v>
      </c>
      <c r="N527" t="s">
        <v>2256</v>
      </c>
      <c r="O527" t="s">
        <v>2272</v>
      </c>
      <c r="P527" t="s">
        <v>2284</v>
      </c>
    </row>
    <row r="528" spans="1:16" x14ac:dyDescent="0.25">
      <c r="A528" s="50" t="s">
        <v>1673</v>
      </c>
      <c r="B528" s="10" t="s">
        <v>2199</v>
      </c>
      <c r="C528" s="11" t="s">
        <v>1238</v>
      </c>
      <c r="D528" s="10" t="s">
        <v>1674</v>
      </c>
      <c r="E528" s="11" t="s">
        <v>1303</v>
      </c>
      <c r="F528" s="10">
        <v>2</v>
      </c>
      <c r="G528" s="11" t="s">
        <v>1299</v>
      </c>
      <c r="H528" s="58">
        <v>46113</v>
      </c>
      <c r="I528" s="11" t="s">
        <v>1300</v>
      </c>
      <c r="J528" s="10">
        <v>1</v>
      </c>
      <c r="K528" s="57">
        <v>46113</v>
      </c>
      <c r="L528" s="55">
        <v>1042000</v>
      </c>
      <c r="M528" t="s">
        <v>2245</v>
      </c>
      <c r="N528" t="s">
        <v>2256</v>
      </c>
      <c r="O528" t="s">
        <v>2272</v>
      </c>
      <c r="P528" t="s">
        <v>2284</v>
      </c>
    </row>
    <row r="529" spans="1:16" x14ac:dyDescent="0.25">
      <c r="A529" s="51" t="s">
        <v>2037</v>
      </c>
      <c r="B529" s="7" t="s">
        <v>2199</v>
      </c>
      <c r="C529" t="s">
        <v>1238</v>
      </c>
      <c r="D529" s="7" t="s">
        <v>1658</v>
      </c>
      <c r="E529" t="s">
        <v>2040</v>
      </c>
      <c r="F529" s="7">
        <v>2</v>
      </c>
      <c r="G529" t="s">
        <v>2039</v>
      </c>
      <c r="H529" s="59">
        <v>46174</v>
      </c>
      <c r="I529" t="s">
        <v>1661</v>
      </c>
      <c r="J529" s="7">
        <v>1</v>
      </c>
      <c r="K529" s="1">
        <v>46174</v>
      </c>
      <c r="L529" s="56">
        <v>1000000</v>
      </c>
      <c r="M529" t="s">
        <v>2222</v>
      </c>
      <c r="N529" t="s">
        <v>2234</v>
      </c>
      <c r="O529" t="s">
        <v>2260</v>
      </c>
      <c r="P529" t="s">
        <v>2284</v>
      </c>
    </row>
    <row r="530" spans="1:16" x14ac:dyDescent="0.25">
      <c r="A530" s="50" t="s">
        <v>2037</v>
      </c>
      <c r="B530" s="10" t="s">
        <v>2199</v>
      </c>
      <c r="C530" s="11" t="s">
        <v>1238</v>
      </c>
      <c r="D530" s="10" t="s">
        <v>1658</v>
      </c>
      <c r="E530" s="11" t="s">
        <v>2038</v>
      </c>
      <c r="F530" s="10">
        <v>2</v>
      </c>
      <c r="G530" s="11" t="s">
        <v>2039</v>
      </c>
      <c r="H530" s="58">
        <v>46174</v>
      </c>
      <c r="I530" s="11" t="s">
        <v>1661</v>
      </c>
      <c r="J530" s="10">
        <v>1</v>
      </c>
      <c r="K530" s="57">
        <v>46174</v>
      </c>
      <c r="L530" s="55">
        <v>18000000</v>
      </c>
      <c r="M530" t="s">
        <v>2222</v>
      </c>
      <c r="N530" t="s">
        <v>2234</v>
      </c>
      <c r="O530" t="s">
        <v>2260</v>
      </c>
      <c r="P530" t="s">
        <v>2284</v>
      </c>
    </row>
    <row r="531" spans="1:16" x14ac:dyDescent="0.25">
      <c r="A531" s="51" t="s">
        <v>2063</v>
      </c>
      <c r="B531" s="7" t="s">
        <v>2199</v>
      </c>
      <c r="C531" t="s">
        <v>1238</v>
      </c>
      <c r="D531" s="7" t="s">
        <v>2064</v>
      </c>
      <c r="E531" t="s">
        <v>2066</v>
      </c>
      <c r="F531" s="7">
        <v>1</v>
      </c>
      <c r="G531" t="s">
        <v>768</v>
      </c>
      <c r="H531" s="59">
        <v>46023</v>
      </c>
      <c r="I531" t="s">
        <v>966</v>
      </c>
      <c r="J531" s="7">
        <v>1</v>
      </c>
      <c r="K531" s="1">
        <v>46023</v>
      </c>
      <c r="L531" s="56">
        <v>300000</v>
      </c>
      <c r="M531" t="s">
        <v>2275</v>
      </c>
      <c r="N531" t="s">
        <v>2234</v>
      </c>
      <c r="O531" t="s">
        <v>2258</v>
      </c>
      <c r="P531" t="s">
        <v>2284</v>
      </c>
    </row>
    <row r="532" spans="1:16" x14ac:dyDescent="0.25">
      <c r="A532" s="50" t="s">
        <v>2102</v>
      </c>
      <c r="B532" s="10" t="s">
        <v>2199</v>
      </c>
      <c r="C532" s="11" t="s">
        <v>1238</v>
      </c>
      <c r="D532" s="10" t="s">
        <v>2103</v>
      </c>
      <c r="E532" s="11" t="s">
        <v>2106</v>
      </c>
      <c r="F532" s="10">
        <v>2</v>
      </c>
      <c r="G532" s="11" t="s">
        <v>1759</v>
      </c>
      <c r="H532" s="58">
        <v>46082</v>
      </c>
      <c r="I532" s="11" t="s">
        <v>1760</v>
      </c>
      <c r="J532" s="10">
        <v>1</v>
      </c>
      <c r="K532" s="57">
        <v>46082</v>
      </c>
      <c r="L532" s="55">
        <v>1000000</v>
      </c>
      <c r="M532" t="s">
        <v>2217</v>
      </c>
      <c r="N532" t="s">
        <v>2256</v>
      </c>
      <c r="O532" t="s">
        <v>2280</v>
      </c>
      <c r="P532" t="s">
        <v>2284</v>
      </c>
    </row>
    <row r="533" spans="1:16" x14ac:dyDescent="0.25">
      <c r="A533" s="51" t="s">
        <v>2102</v>
      </c>
      <c r="B533" s="7" t="s">
        <v>2199</v>
      </c>
      <c r="C533" t="s">
        <v>1238</v>
      </c>
      <c r="D533" s="7" t="s">
        <v>2103</v>
      </c>
      <c r="E533" t="s">
        <v>2105</v>
      </c>
      <c r="F533" s="7">
        <v>2</v>
      </c>
      <c r="G533" t="s">
        <v>1759</v>
      </c>
      <c r="H533" s="59">
        <v>46082</v>
      </c>
      <c r="I533" t="s">
        <v>1760</v>
      </c>
      <c r="J533" s="7">
        <v>1</v>
      </c>
      <c r="K533" s="1">
        <v>46082</v>
      </c>
      <c r="L533" s="56">
        <v>15000000</v>
      </c>
      <c r="M533" t="s">
        <v>2217</v>
      </c>
      <c r="N533" t="s">
        <v>2256</v>
      </c>
      <c r="O533" t="s">
        <v>2280</v>
      </c>
      <c r="P533" t="s">
        <v>2284</v>
      </c>
    </row>
    <row r="534" spans="1:16" x14ac:dyDescent="0.25">
      <c r="A534" s="50" t="s">
        <v>2140</v>
      </c>
      <c r="B534" s="10" t="s">
        <v>2199</v>
      </c>
      <c r="C534" s="11" t="s">
        <v>1238</v>
      </c>
      <c r="D534" s="10" t="s">
        <v>2141</v>
      </c>
      <c r="E534" s="11" t="s">
        <v>2143</v>
      </c>
      <c r="F534" s="10">
        <v>1</v>
      </c>
      <c r="G534" s="11" t="s">
        <v>768</v>
      </c>
      <c r="H534" s="58">
        <v>46023</v>
      </c>
      <c r="I534" s="11" t="s">
        <v>966</v>
      </c>
      <c r="J534" s="10">
        <v>1</v>
      </c>
      <c r="K534" s="57">
        <v>46054</v>
      </c>
      <c r="L534" s="55">
        <v>250000</v>
      </c>
      <c r="M534" t="s">
        <v>2275</v>
      </c>
      <c r="N534" t="s">
        <v>2234</v>
      </c>
      <c r="O534" t="s">
        <v>2258</v>
      </c>
      <c r="P534" t="s">
        <v>2284</v>
      </c>
    </row>
    <row r="535" spans="1:16" x14ac:dyDescent="0.25">
      <c r="A535" s="51" t="s">
        <v>1239</v>
      </c>
      <c r="B535" s="7" t="s">
        <v>2199</v>
      </c>
      <c r="C535" t="s">
        <v>1238</v>
      </c>
      <c r="D535" s="7" t="s">
        <v>1241</v>
      </c>
      <c r="E535" t="s">
        <v>1243</v>
      </c>
      <c r="F535" s="7">
        <v>1</v>
      </c>
      <c r="G535" t="s">
        <v>122</v>
      </c>
      <c r="H535" s="59">
        <v>46113</v>
      </c>
      <c r="I535" t="s">
        <v>544</v>
      </c>
      <c r="J535" s="7">
        <v>1</v>
      </c>
      <c r="K535" s="1">
        <v>46113</v>
      </c>
      <c r="L535" s="56">
        <v>108183000</v>
      </c>
      <c r="M535" t="s">
        <v>2235</v>
      </c>
      <c r="N535" t="s">
        <v>2256</v>
      </c>
      <c r="O535" t="s">
        <v>2268</v>
      </c>
      <c r="P535" t="s">
        <v>2284</v>
      </c>
    </row>
    <row r="536" spans="1:16" x14ac:dyDescent="0.25">
      <c r="A536" s="50" t="s">
        <v>1289</v>
      </c>
      <c r="B536" s="10" t="s">
        <v>2199</v>
      </c>
      <c r="C536" s="11" t="s">
        <v>1238</v>
      </c>
      <c r="D536" s="10" t="s">
        <v>1291</v>
      </c>
      <c r="E536" s="11" t="s">
        <v>1293</v>
      </c>
      <c r="F536" s="10">
        <v>1</v>
      </c>
      <c r="G536" s="11" t="s">
        <v>768</v>
      </c>
      <c r="H536" s="58">
        <v>46023</v>
      </c>
      <c r="I536" s="11" t="s">
        <v>386</v>
      </c>
      <c r="J536" s="10">
        <v>1</v>
      </c>
      <c r="K536" s="57">
        <v>46023</v>
      </c>
      <c r="L536" s="55">
        <v>4000005</v>
      </c>
      <c r="M536" t="s">
        <v>2275</v>
      </c>
      <c r="N536" t="s">
        <v>2234</v>
      </c>
      <c r="O536" t="s">
        <v>2258</v>
      </c>
      <c r="P536" t="s">
        <v>2284</v>
      </c>
    </row>
    <row r="537" spans="1:16" x14ac:dyDescent="0.25">
      <c r="A537" s="51" t="s">
        <v>1295</v>
      </c>
      <c r="B537" s="7" t="s">
        <v>2199</v>
      </c>
      <c r="C537" t="s">
        <v>1238</v>
      </c>
      <c r="D537" s="7" t="s">
        <v>1297</v>
      </c>
      <c r="E537" t="s">
        <v>1175</v>
      </c>
      <c r="F537" s="7">
        <v>2</v>
      </c>
      <c r="G537" t="s">
        <v>1299</v>
      </c>
      <c r="H537" s="59">
        <v>46113</v>
      </c>
      <c r="I537" t="s">
        <v>1300</v>
      </c>
      <c r="J537" s="7">
        <v>1</v>
      </c>
      <c r="K537" s="1">
        <v>46113</v>
      </c>
      <c r="L537" s="56">
        <v>75964000</v>
      </c>
      <c r="M537" t="s">
        <v>2245</v>
      </c>
      <c r="N537" t="s">
        <v>2256</v>
      </c>
      <c r="O537" t="s">
        <v>2272</v>
      </c>
      <c r="P537" t="s">
        <v>2284</v>
      </c>
    </row>
    <row r="538" spans="1:16" x14ac:dyDescent="0.25">
      <c r="A538" s="50" t="s">
        <v>1295</v>
      </c>
      <c r="B538" s="10" t="s">
        <v>2199</v>
      </c>
      <c r="C538" s="11" t="s">
        <v>1238</v>
      </c>
      <c r="D538" s="10" t="s">
        <v>1297</v>
      </c>
      <c r="E538" s="11" t="s">
        <v>1303</v>
      </c>
      <c r="F538" s="10">
        <v>2</v>
      </c>
      <c r="G538" s="11" t="s">
        <v>1299</v>
      </c>
      <c r="H538" s="58">
        <v>46113</v>
      </c>
      <c r="I538" s="11" t="s">
        <v>1300</v>
      </c>
      <c r="J538" s="10">
        <v>1</v>
      </c>
      <c r="K538" s="57">
        <v>46113</v>
      </c>
      <c r="L538" s="55">
        <v>66699000</v>
      </c>
      <c r="M538" t="s">
        <v>2245</v>
      </c>
      <c r="N538" t="s">
        <v>2256</v>
      </c>
      <c r="O538" t="s">
        <v>2272</v>
      </c>
      <c r="P538" t="s">
        <v>2284</v>
      </c>
    </row>
    <row r="539" spans="1:16" x14ac:dyDescent="0.25">
      <c r="A539" s="51" t="s">
        <v>1349</v>
      </c>
      <c r="B539" s="7" t="s">
        <v>2199</v>
      </c>
      <c r="C539" t="s">
        <v>1238</v>
      </c>
      <c r="D539" s="7" t="s">
        <v>1350</v>
      </c>
      <c r="E539" t="s">
        <v>1175</v>
      </c>
      <c r="F539" s="7">
        <v>2</v>
      </c>
      <c r="G539" t="s">
        <v>1299</v>
      </c>
      <c r="H539" s="59">
        <v>46113</v>
      </c>
      <c r="I539" t="s">
        <v>1300</v>
      </c>
      <c r="J539" s="7">
        <v>1</v>
      </c>
      <c r="K539" s="1">
        <v>46113</v>
      </c>
      <c r="L539" s="56">
        <v>10000000</v>
      </c>
      <c r="M539" t="s">
        <v>2245</v>
      </c>
      <c r="N539" t="s">
        <v>2256</v>
      </c>
      <c r="O539" t="s">
        <v>2272</v>
      </c>
      <c r="P539" t="s">
        <v>2284</v>
      </c>
    </row>
    <row r="540" spans="1:16" x14ac:dyDescent="0.25">
      <c r="A540" s="50" t="s">
        <v>1349</v>
      </c>
      <c r="B540" s="10" t="s">
        <v>2199</v>
      </c>
      <c r="C540" s="11" t="s">
        <v>1238</v>
      </c>
      <c r="D540" s="10" t="s">
        <v>1350</v>
      </c>
      <c r="E540" s="11" t="s">
        <v>1303</v>
      </c>
      <c r="F540" s="10">
        <v>2</v>
      </c>
      <c r="G540" s="11" t="s">
        <v>1299</v>
      </c>
      <c r="H540" s="58">
        <v>46113</v>
      </c>
      <c r="I540" s="11" t="s">
        <v>1300</v>
      </c>
      <c r="J540" s="10">
        <v>1</v>
      </c>
      <c r="K540" s="57">
        <v>46113</v>
      </c>
      <c r="L540" s="55">
        <v>200000000</v>
      </c>
      <c r="M540" t="s">
        <v>2245</v>
      </c>
      <c r="N540" t="s">
        <v>2256</v>
      </c>
      <c r="O540" t="s">
        <v>2272</v>
      </c>
      <c r="P540" t="s">
        <v>2284</v>
      </c>
    </row>
    <row r="541" spans="1:16" x14ac:dyDescent="0.25">
      <c r="A541" s="51" t="s">
        <v>1352</v>
      </c>
      <c r="B541" s="7" t="s">
        <v>2199</v>
      </c>
      <c r="C541" t="s">
        <v>1238</v>
      </c>
      <c r="D541" s="7" t="s">
        <v>1353</v>
      </c>
      <c r="E541" t="s">
        <v>1175</v>
      </c>
      <c r="F541" s="7">
        <v>2</v>
      </c>
      <c r="G541" t="s">
        <v>1299</v>
      </c>
      <c r="H541" s="59">
        <v>46204</v>
      </c>
      <c r="I541" t="s">
        <v>1300</v>
      </c>
      <c r="J541" s="7">
        <v>1</v>
      </c>
      <c r="K541" s="1">
        <v>46204</v>
      </c>
      <c r="L541" s="56">
        <v>86892000</v>
      </c>
      <c r="M541" t="s">
        <v>2245</v>
      </c>
      <c r="N541" t="s">
        <v>2256</v>
      </c>
      <c r="O541" t="s">
        <v>2272</v>
      </c>
      <c r="P541" t="s">
        <v>2284</v>
      </c>
    </row>
    <row r="542" spans="1:16" x14ac:dyDescent="0.25">
      <c r="A542" s="50" t="s">
        <v>1352</v>
      </c>
      <c r="B542" s="10" t="s">
        <v>2199</v>
      </c>
      <c r="C542" s="11" t="s">
        <v>1238</v>
      </c>
      <c r="D542" s="10" t="s">
        <v>1353</v>
      </c>
      <c r="E542" s="11" t="s">
        <v>1303</v>
      </c>
      <c r="F542" s="10">
        <v>2</v>
      </c>
      <c r="G542" s="11" t="s">
        <v>1299</v>
      </c>
      <c r="H542" s="58">
        <v>46204</v>
      </c>
      <c r="I542" s="11" t="s">
        <v>1300</v>
      </c>
      <c r="J542" s="10">
        <v>1</v>
      </c>
      <c r="K542" s="57">
        <v>46204</v>
      </c>
      <c r="L542" s="55">
        <v>42183000</v>
      </c>
      <c r="M542" t="s">
        <v>2245</v>
      </c>
      <c r="N542" t="s">
        <v>2256</v>
      </c>
      <c r="O542" t="s">
        <v>2272</v>
      </c>
      <c r="P542" t="s">
        <v>2284</v>
      </c>
    </row>
    <row r="543" spans="1:16" x14ac:dyDescent="0.25">
      <c r="A543" s="51" t="s">
        <v>1339</v>
      </c>
      <c r="B543" s="7" t="s">
        <v>2199</v>
      </c>
      <c r="C543" t="s">
        <v>1304</v>
      </c>
      <c r="D543" s="7" t="s">
        <v>1340</v>
      </c>
      <c r="E543" t="s">
        <v>807</v>
      </c>
      <c r="F543" s="7">
        <v>1</v>
      </c>
      <c r="G543" t="s">
        <v>1342</v>
      </c>
      <c r="H543" s="59">
        <v>46174</v>
      </c>
      <c r="I543" t="s">
        <v>1343</v>
      </c>
      <c r="J543" s="7">
        <v>1</v>
      </c>
      <c r="K543" s="1">
        <v>46174</v>
      </c>
      <c r="L543" s="56">
        <v>525000</v>
      </c>
      <c r="M543" t="s">
        <v>2237</v>
      </c>
      <c r="N543" t="s">
        <v>2256</v>
      </c>
      <c r="O543" t="s">
        <v>2266</v>
      </c>
      <c r="P543" t="s">
        <v>2284</v>
      </c>
    </row>
    <row r="544" spans="1:16" x14ac:dyDescent="0.25">
      <c r="A544" s="50" t="s">
        <v>1371</v>
      </c>
      <c r="B544" s="10" t="s">
        <v>2199</v>
      </c>
      <c r="C544" s="11" t="s">
        <v>1304</v>
      </c>
      <c r="D544" s="10" t="s">
        <v>1373</v>
      </c>
      <c r="E544" s="11" t="s">
        <v>1375</v>
      </c>
      <c r="F544" s="10">
        <v>1</v>
      </c>
      <c r="G544" s="11" t="s">
        <v>1200</v>
      </c>
      <c r="H544" s="58">
        <v>46113</v>
      </c>
      <c r="I544" s="11" t="s">
        <v>514</v>
      </c>
      <c r="J544" s="10">
        <v>1</v>
      </c>
      <c r="K544" s="57">
        <v>46174</v>
      </c>
      <c r="L544" s="55">
        <v>1058222000</v>
      </c>
      <c r="M544" t="s">
        <v>2237</v>
      </c>
      <c r="N544" t="s">
        <v>2256</v>
      </c>
      <c r="O544" t="s">
        <v>2266</v>
      </c>
      <c r="P544" t="s">
        <v>2284</v>
      </c>
    </row>
    <row r="545" spans="1:16" x14ac:dyDescent="0.25">
      <c r="A545" s="51" t="s">
        <v>1376</v>
      </c>
      <c r="B545" s="7" t="s">
        <v>2199</v>
      </c>
      <c r="C545" t="s">
        <v>1304</v>
      </c>
      <c r="D545" s="7" t="s">
        <v>1377</v>
      </c>
      <c r="E545" t="s">
        <v>1375</v>
      </c>
      <c r="F545" s="7">
        <v>1</v>
      </c>
      <c r="G545" t="s">
        <v>1200</v>
      </c>
      <c r="H545" s="59">
        <v>46113</v>
      </c>
      <c r="I545" t="s">
        <v>514</v>
      </c>
      <c r="J545" s="7">
        <v>1</v>
      </c>
      <c r="K545" s="1">
        <v>46174</v>
      </c>
      <c r="L545" s="56">
        <v>916961000</v>
      </c>
      <c r="M545" t="s">
        <v>2237</v>
      </c>
      <c r="N545" t="s">
        <v>2256</v>
      </c>
      <c r="O545" t="s">
        <v>2266</v>
      </c>
      <c r="P545" t="s">
        <v>2284</v>
      </c>
    </row>
    <row r="546" spans="1:16" x14ac:dyDescent="0.25">
      <c r="A546" s="50" t="s">
        <v>1379</v>
      </c>
      <c r="B546" s="10" t="s">
        <v>2199</v>
      </c>
      <c r="C546" s="11" t="s">
        <v>1304</v>
      </c>
      <c r="D546" s="10" t="s">
        <v>1380</v>
      </c>
      <c r="E546" s="11" t="s">
        <v>1375</v>
      </c>
      <c r="F546" s="10">
        <v>1</v>
      </c>
      <c r="G546" s="11" t="s">
        <v>1200</v>
      </c>
      <c r="H546" s="58">
        <v>46113</v>
      </c>
      <c r="I546" s="11" t="s">
        <v>514</v>
      </c>
      <c r="J546" s="10">
        <v>1</v>
      </c>
      <c r="K546" s="57">
        <v>46113</v>
      </c>
      <c r="L546" s="55">
        <v>888441000</v>
      </c>
      <c r="M546" t="s">
        <v>2237</v>
      </c>
      <c r="N546" t="s">
        <v>2256</v>
      </c>
      <c r="O546" t="s">
        <v>2266</v>
      </c>
      <c r="P546" t="s">
        <v>2284</v>
      </c>
    </row>
    <row r="547" spans="1:16" x14ac:dyDescent="0.25">
      <c r="A547" s="51" t="s">
        <v>1389</v>
      </c>
      <c r="B547" s="7" t="s">
        <v>2199</v>
      </c>
      <c r="C547" t="s">
        <v>1304</v>
      </c>
      <c r="D547" s="7" t="s">
        <v>1390</v>
      </c>
      <c r="E547" t="s">
        <v>807</v>
      </c>
      <c r="F547" s="7">
        <v>1</v>
      </c>
      <c r="G547" t="s">
        <v>1342</v>
      </c>
      <c r="H547" s="59">
        <v>46174</v>
      </c>
      <c r="I547" t="s">
        <v>1392</v>
      </c>
      <c r="J547" s="7">
        <v>1</v>
      </c>
      <c r="K547" s="1">
        <v>46174</v>
      </c>
      <c r="L547" s="56">
        <v>630000</v>
      </c>
      <c r="M547" t="s">
        <v>2237</v>
      </c>
      <c r="N547" t="s">
        <v>2256</v>
      </c>
      <c r="O547" t="s">
        <v>2266</v>
      </c>
      <c r="P547" t="s">
        <v>2284</v>
      </c>
    </row>
    <row r="548" spans="1:16" x14ac:dyDescent="0.25">
      <c r="A548" s="50" t="s">
        <v>1887</v>
      </c>
      <c r="B548" s="10" t="s">
        <v>2199</v>
      </c>
      <c r="C548" s="11" t="s">
        <v>1304</v>
      </c>
      <c r="D548" s="10" t="s">
        <v>1888</v>
      </c>
      <c r="E548" s="11" t="s">
        <v>1199</v>
      </c>
      <c r="F548" s="10">
        <v>4</v>
      </c>
      <c r="G548" s="11" t="s">
        <v>1200</v>
      </c>
      <c r="H548" s="58">
        <v>46082</v>
      </c>
      <c r="I548" s="11" t="s">
        <v>514</v>
      </c>
      <c r="J548" s="10">
        <v>1</v>
      </c>
      <c r="K548" s="57">
        <v>46082</v>
      </c>
      <c r="L548" s="55">
        <v>493463899</v>
      </c>
      <c r="M548" t="s">
        <v>2237</v>
      </c>
      <c r="N548" t="s">
        <v>2256</v>
      </c>
      <c r="O548" t="s">
        <v>2266</v>
      </c>
      <c r="P548" t="s">
        <v>2284</v>
      </c>
    </row>
    <row r="549" spans="1:16" x14ac:dyDescent="0.25">
      <c r="A549" s="51" t="s">
        <v>1887</v>
      </c>
      <c r="B549" s="7" t="s">
        <v>2199</v>
      </c>
      <c r="C549" t="s">
        <v>1304</v>
      </c>
      <c r="D549" s="7" t="s">
        <v>1888</v>
      </c>
      <c r="E549" t="s">
        <v>1199</v>
      </c>
      <c r="F549" s="7">
        <v>4</v>
      </c>
      <c r="G549" t="s">
        <v>1200</v>
      </c>
      <c r="H549" s="59">
        <v>46113</v>
      </c>
      <c r="I549" t="s">
        <v>514</v>
      </c>
      <c r="J549" s="7">
        <v>1</v>
      </c>
      <c r="K549" s="1">
        <v>46113</v>
      </c>
      <c r="L549" s="56">
        <v>424384098</v>
      </c>
      <c r="M549" t="s">
        <v>2237</v>
      </c>
      <c r="N549" t="s">
        <v>2256</v>
      </c>
      <c r="O549" t="s">
        <v>2266</v>
      </c>
      <c r="P549" t="s">
        <v>2284</v>
      </c>
    </row>
    <row r="550" spans="1:16" x14ac:dyDescent="0.25">
      <c r="A550" s="50" t="s">
        <v>1887</v>
      </c>
      <c r="B550" s="10" t="s">
        <v>2199</v>
      </c>
      <c r="C550" s="11" t="s">
        <v>1304</v>
      </c>
      <c r="D550" s="10" t="s">
        <v>1888</v>
      </c>
      <c r="E550" s="11" t="s">
        <v>1199</v>
      </c>
      <c r="F550" s="10">
        <v>4</v>
      </c>
      <c r="G550" s="11" t="s">
        <v>1200</v>
      </c>
      <c r="H550" s="58">
        <v>46357</v>
      </c>
      <c r="I550" s="11" t="s">
        <v>514</v>
      </c>
      <c r="J550" s="10">
        <v>1</v>
      </c>
      <c r="K550" s="57">
        <v>46357</v>
      </c>
      <c r="L550" s="55">
        <v>1157231542</v>
      </c>
      <c r="M550" t="s">
        <v>2237</v>
      </c>
      <c r="N550" t="s">
        <v>2256</v>
      </c>
      <c r="O550" t="s">
        <v>2266</v>
      </c>
      <c r="P550" t="s">
        <v>2284</v>
      </c>
    </row>
    <row r="551" spans="1:16" x14ac:dyDescent="0.25">
      <c r="A551" s="51" t="s">
        <v>1305</v>
      </c>
      <c r="B551" s="7" t="s">
        <v>2199</v>
      </c>
      <c r="C551" t="s">
        <v>1304</v>
      </c>
      <c r="D551" s="7" t="s">
        <v>1306</v>
      </c>
      <c r="E551" t="s">
        <v>807</v>
      </c>
      <c r="F551" s="7">
        <v>1</v>
      </c>
      <c r="G551" t="s">
        <v>624</v>
      </c>
      <c r="H551" s="59">
        <v>46266</v>
      </c>
      <c r="I551" t="s">
        <v>625</v>
      </c>
      <c r="J551" s="7">
        <v>1</v>
      </c>
      <c r="K551" s="1">
        <v>46327</v>
      </c>
      <c r="L551" s="56">
        <v>1680000000</v>
      </c>
      <c r="M551" t="s">
        <v>2246</v>
      </c>
      <c r="N551" t="s">
        <v>2256</v>
      </c>
      <c r="O551" t="s">
        <v>2270</v>
      </c>
      <c r="P551" t="s">
        <v>2284</v>
      </c>
    </row>
    <row r="552" spans="1:16" x14ac:dyDescent="0.25">
      <c r="A552" s="50" t="s">
        <v>1308</v>
      </c>
      <c r="B552" s="10" t="s">
        <v>2199</v>
      </c>
      <c r="C552" s="11" t="s">
        <v>1304</v>
      </c>
      <c r="D552" s="10" t="s">
        <v>1309</v>
      </c>
      <c r="E552" s="11" t="s">
        <v>807</v>
      </c>
      <c r="F552" s="10">
        <v>1</v>
      </c>
      <c r="G552" s="11" t="s">
        <v>624</v>
      </c>
      <c r="H552" s="58">
        <v>46327</v>
      </c>
      <c r="I552" s="11" t="s">
        <v>625</v>
      </c>
      <c r="J552" s="10">
        <v>1</v>
      </c>
      <c r="K552" s="57">
        <v>46327</v>
      </c>
      <c r="L552" s="55">
        <v>80000000</v>
      </c>
      <c r="M552" t="s">
        <v>2246</v>
      </c>
      <c r="N552" t="s">
        <v>2256</v>
      </c>
      <c r="O552" t="s">
        <v>2270</v>
      </c>
      <c r="P552" t="s">
        <v>2284</v>
      </c>
    </row>
    <row r="553" spans="1:16" x14ac:dyDescent="0.25">
      <c r="A553" s="51" t="s">
        <v>1311</v>
      </c>
      <c r="B553" s="7" t="s">
        <v>2199</v>
      </c>
      <c r="C553" t="s">
        <v>1304</v>
      </c>
      <c r="D553" s="7" t="s">
        <v>1313</v>
      </c>
      <c r="E553" t="s">
        <v>807</v>
      </c>
      <c r="F553" s="7">
        <v>1</v>
      </c>
      <c r="G553" t="s">
        <v>1315</v>
      </c>
      <c r="H553" s="59">
        <v>46266</v>
      </c>
      <c r="I553" t="s">
        <v>1316</v>
      </c>
      <c r="J553" s="7">
        <v>1</v>
      </c>
      <c r="K553" s="1">
        <v>46327</v>
      </c>
      <c r="L553" s="56">
        <v>250000000</v>
      </c>
      <c r="M553" t="s">
        <v>2246</v>
      </c>
      <c r="N553" t="s">
        <v>2256</v>
      </c>
      <c r="O553" t="s">
        <v>2270</v>
      </c>
      <c r="P553" t="s">
        <v>2284</v>
      </c>
    </row>
    <row r="554" spans="1:16" x14ac:dyDescent="0.25">
      <c r="A554" s="50" t="s">
        <v>1319</v>
      </c>
      <c r="B554" s="10" t="s">
        <v>2199</v>
      </c>
      <c r="C554" s="11" t="s">
        <v>1304</v>
      </c>
      <c r="D554" s="10" t="s">
        <v>1320</v>
      </c>
      <c r="E554" s="11" t="s">
        <v>807</v>
      </c>
      <c r="F554" s="10">
        <v>1</v>
      </c>
      <c r="G554" s="11" t="s">
        <v>624</v>
      </c>
      <c r="H554" s="58">
        <v>46235</v>
      </c>
      <c r="I554" s="11" t="s">
        <v>625</v>
      </c>
      <c r="J554" s="10">
        <v>1</v>
      </c>
      <c r="K554" s="57">
        <v>46266</v>
      </c>
      <c r="L554" s="55">
        <v>55000000</v>
      </c>
      <c r="M554" t="s">
        <v>2246</v>
      </c>
      <c r="N554" t="s">
        <v>2256</v>
      </c>
      <c r="O554" t="s">
        <v>2270</v>
      </c>
      <c r="P554" t="s">
        <v>2284</v>
      </c>
    </row>
    <row r="555" spans="1:16" x14ac:dyDescent="0.25">
      <c r="A555" s="51" t="s">
        <v>1322</v>
      </c>
      <c r="B555" s="7" t="s">
        <v>2199</v>
      </c>
      <c r="C555" t="s">
        <v>1304</v>
      </c>
      <c r="D555" s="7" t="s">
        <v>1323</v>
      </c>
      <c r="E555" t="s">
        <v>807</v>
      </c>
      <c r="F555" s="7">
        <v>1</v>
      </c>
      <c r="G555" t="s">
        <v>1325</v>
      </c>
      <c r="H555" s="59">
        <v>46296</v>
      </c>
      <c r="I555" t="s">
        <v>1326</v>
      </c>
      <c r="J555" s="7">
        <v>1</v>
      </c>
      <c r="K555" s="1">
        <v>46296</v>
      </c>
      <c r="L555" s="56">
        <v>80000000</v>
      </c>
      <c r="M555" t="s">
        <v>2240</v>
      </c>
      <c r="N555" t="s">
        <v>2256</v>
      </c>
      <c r="O555" t="s">
        <v>2270</v>
      </c>
      <c r="P555" t="s">
        <v>2284</v>
      </c>
    </row>
    <row r="556" spans="1:16" x14ac:dyDescent="0.25">
      <c r="A556" s="50" t="s">
        <v>1328</v>
      </c>
      <c r="B556" s="10" t="s">
        <v>2199</v>
      </c>
      <c r="C556" s="11" t="s">
        <v>1304</v>
      </c>
      <c r="D556" s="10" t="s">
        <v>1329</v>
      </c>
      <c r="E556" s="11" t="s">
        <v>807</v>
      </c>
      <c r="F556" s="10">
        <v>1</v>
      </c>
      <c r="G556" s="11" t="s">
        <v>1325</v>
      </c>
      <c r="H556" s="58">
        <v>46296</v>
      </c>
      <c r="I556" s="11" t="s">
        <v>1326</v>
      </c>
      <c r="J556" s="10">
        <v>1</v>
      </c>
      <c r="K556" s="57">
        <v>46296</v>
      </c>
      <c r="L556" s="55">
        <v>80000000</v>
      </c>
      <c r="M556" t="s">
        <v>2240</v>
      </c>
      <c r="N556" t="s">
        <v>2256</v>
      </c>
      <c r="O556" t="s">
        <v>2270</v>
      </c>
      <c r="P556" t="s">
        <v>2284</v>
      </c>
    </row>
    <row r="557" spans="1:16" x14ac:dyDescent="0.25">
      <c r="A557" s="51" t="s">
        <v>1331</v>
      </c>
      <c r="B557" s="7" t="s">
        <v>2199</v>
      </c>
      <c r="C557" t="s">
        <v>1304</v>
      </c>
      <c r="D557" s="7" t="s">
        <v>1332</v>
      </c>
      <c r="E557" t="s">
        <v>807</v>
      </c>
      <c r="F557" s="7">
        <v>1</v>
      </c>
      <c r="G557" t="s">
        <v>624</v>
      </c>
      <c r="H557" s="59">
        <v>46296</v>
      </c>
      <c r="I557" t="s">
        <v>625</v>
      </c>
      <c r="J557" s="7">
        <v>1</v>
      </c>
      <c r="K557" s="1">
        <v>46296</v>
      </c>
      <c r="L557" s="56">
        <v>90000000</v>
      </c>
      <c r="M557" t="s">
        <v>2246</v>
      </c>
      <c r="N557" t="s">
        <v>2256</v>
      </c>
      <c r="O557" t="s">
        <v>2270</v>
      </c>
      <c r="P557" t="s">
        <v>2284</v>
      </c>
    </row>
    <row r="558" spans="1:16" x14ac:dyDescent="0.25">
      <c r="A558" s="50" t="s">
        <v>1334</v>
      </c>
      <c r="B558" s="10" t="s">
        <v>2199</v>
      </c>
      <c r="C558" s="11" t="s">
        <v>1304</v>
      </c>
      <c r="D558" s="10" t="s">
        <v>1335</v>
      </c>
      <c r="E558" s="11" t="s">
        <v>807</v>
      </c>
      <c r="F558" s="10">
        <v>1</v>
      </c>
      <c r="G558" s="11" t="s">
        <v>1337</v>
      </c>
      <c r="H558" s="58">
        <v>46357</v>
      </c>
      <c r="I558" s="11" t="s">
        <v>1107</v>
      </c>
      <c r="J558" s="10">
        <v>1</v>
      </c>
      <c r="K558" s="57">
        <v>46357</v>
      </c>
      <c r="L558" s="55">
        <v>9814756</v>
      </c>
      <c r="M558" t="s">
        <v>2237</v>
      </c>
      <c r="N558" t="s">
        <v>2256</v>
      </c>
      <c r="O558" t="s">
        <v>2266</v>
      </c>
      <c r="P558" t="s">
        <v>2284</v>
      </c>
    </row>
    <row r="559" spans="1:16" x14ac:dyDescent="0.25">
      <c r="A559" s="51" t="s">
        <v>1575</v>
      </c>
      <c r="B559" s="7" t="s">
        <v>2199</v>
      </c>
      <c r="C559" t="s">
        <v>374</v>
      </c>
      <c r="D559" s="7" t="s">
        <v>1576</v>
      </c>
      <c r="E559" t="s">
        <v>1580</v>
      </c>
      <c r="F559" s="7">
        <v>7</v>
      </c>
      <c r="G559" t="s">
        <v>761</v>
      </c>
      <c r="H559" s="59">
        <v>46054</v>
      </c>
      <c r="I559" t="s">
        <v>762</v>
      </c>
      <c r="J559" s="7">
        <v>1</v>
      </c>
      <c r="K559" s="1">
        <v>46054</v>
      </c>
      <c r="L559" s="56">
        <v>2760000</v>
      </c>
      <c r="M559" t="s">
        <v>2220</v>
      </c>
      <c r="N559" t="s">
        <v>2234</v>
      </c>
      <c r="O559" t="s">
        <v>2258</v>
      </c>
      <c r="P559" t="s">
        <v>2284</v>
      </c>
    </row>
    <row r="560" spans="1:16" x14ac:dyDescent="0.25">
      <c r="A560" s="50" t="s">
        <v>1575</v>
      </c>
      <c r="B560" s="10" t="s">
        <v>2199</v>
      </c>
      <c r="C560" s="11" t="s">
        <v>374</v>
      </c>
      <c r="D560" s="10" t="s">
        <v>1576</v>
      </c>
      <c r="E560" s="11" t="s">
        <v>1579</v>
      </c>
      <c r="F560" s="10">
        <v>7</v>
      </c>
      <c r="G560" s="11" t="s">
        <v>761</v>
      </c>
      <c r="H560" s="58">
        <v>46054</v>
      </c>
      <c r="I560" s="11" t="s">
        <v>762</v>
      </c>
      <c r="J560" s="10">
        <v>1</v>
      </c>
      <c r="K560" s="57">
        <v>46054</v>
      </c>
      <c r="L560" s="55">
        <v>450000</v>
      </c>
      <c r="M560" t="s">
        <v>2220</v>
      </c>
      <c r="N560" t="s">
        <v>2234</v>
      </c>
      <c r="O560" t="s">
        <v>2258</v>
      </c>
      <c r="P560" t="s">
        <v>2284</v>
      </c>
    </row>
    <row r="561" spans="1:16" x14ac:dyDescent="0.25">
      <c r="A561" s="51" t="s">
        <v>1575</v>
      </c>
      <c r="B561" s="7" t="s">
        <v>2199</v>
      </c>
      <c r="C561" t="s">
        <v>374</v>
      </c>
      <c r="D561" s="7" t="s">
        <v>1576</v>
      </c>
      <c r="E561" t="s">
        <v>1582</v>
      </c>
      <c r="F561" s="7">
        <v>7</v>
      </c>
      <c r="G561" t="s">
        <v>761</v>
      </c>
      <c r="H561" s="59">
        <v>46054</v>
      </c>
      <c r="I561" t="s">
        <v>762</v>
      </c>
      <c r="J561" s="7">
        <v>1</v>
      </c>
      <c r="K561" s="1">
        <v>46054</v>
      </c>
      <c r="L561" s="56">
        <v>800000</v>
      </c>
      <c r="M561" t="s">
        <v>2220</v>
      </c>
      <c r="N561" t="s">
        <v>2234</v>
      </c>
      <c r="O561" t="s">
        <v>2258</v>
      </c>
      <c r="P561" t="s">
        <v>2284</v>
      </c>
    </row>
    <row r="562" spans="1:16" x14ac:dyDescent="0.25">
      <c r="A562" s="50" t="s">
        <v>1575</v>
      </c>
      <c r="B562" s="10" t="s">
        <v>2199</v>
      </c>
      <c r="C562" s="11" t="s">
        <v>374</v>
      </c>
      <c r="D562" s="10" t="s">
        <v>1576</v>
      </c>
      <c r="E562" s="11" t="s">
        <v>1583</v>
      </c>
      <c r="F562" s="10">
        <v>7</v>
      </c>
      <c r="G562" s="11" t="s">
        <v>761</v>
      </c>
      <c r="H562" s="58">
        <v>46054</v>
      </c>
      <c r="I562" s="11" t="s">
        <v>762</v>
      </c>
      <c r="J562" s="10">
        <v>1</v>
      </c>
      <c r="K562" s="57">
        <v>46054</v>
      </c>
      <c r="L562" s="55">
        <v>240000</v>
      </c>
      <c r="M562" t="s">
        <v>2220</v>
      </c>
      <c r="N562" t="s">
        <v>2234</v>
      </c>
      <c r="O562" t="s">
        <v>2258</v>
      </c>
      <c r="P562" t="s">
        <v>2284</v>
      </c>
    </row>
    <row r="563" spans="1:16" x14ac:dyDescent="0.25">
      <c r="A563" s="51" t="s">
        <v>1575</v>
      </c>
      <c r="B563" s="7" t="s">
        <v>2199</v>
      </c>
      <c r="C563" t="s">
        <v>374</v>
      </c>
      <c r="D563" s="7" t="s">
        <v>1576</v>
      </c>
      <c r="E563" t="s">
        <v>1578</v>
      </c>
      <c r="F563" s="7">
        <v>7</v>
      </c>
      <c r="G563" t="s">
        <v>761</v>
      </c>
      <c r="H563" s="59">
        <v>46054</v>
      </c>
      <c r="I563" t="s">
        <v>762</v>
      </c>
      <c r="J563" s="7">
        <v>1</v>
      </c>
      <c r="K563" s="1">
        <v>46143</v>
      </c>
      <c r="L563" s="56">
        <v>120000</v>
      </c>
      <c r="M563" t="s">
        <v>2220</v>
      </c>
      <c r="N563" t="s">
        <v>2234</v>
      </c>
      <c r="O563" t="s">
        <v>2258</v>
      </c>
      <c r="P563" t="s">
        <v>2284</v>
      </c>
    </row>
    <row r="564" spans="1:16" x14ac:dyDescent="0.25">
      <c r="A564" s="50" t="s">
        <v>1575</v>
      </c>
      <c r="B564" s="10" t="s">
        <v>2199</v>
      </c>
      <c r="C564" s="11" t="s">
        <v>374</v>
      </c>
      <c r="D564" s="10" t="s">
        <v>1576</v>
      </c>
      <c r="E564" s="11" t="s">
        <v>1584</v>
      </c>
      <c r="F564" s="10">
        <v>7</v>
      </c>
      <c r="G564" s="11" t="s">
        <v>761</v>
      </c>
      <c r="H564" s="58">
        <v>46054</v>
      </c>
      <c r="I564" s="11" t="s">
        <v>762</v>
      </c>
      <c r="J564" s="10">
        <v>1</v>
      </c>
      <c r="K564" s="57">
        <v>46054</v>
      </c>
      <c r="L564" s="55">
        <v>30000</v>
      </c>
      <c r="M564" t="s">
        <v>2220</v>
      </c>
      <c r="N564" t="s">
        <v>2234</v>
      </c>
      <c r="O564" t="s">
        <v>2258</v>
      </c>
      <c r="P564" t="s">
        <v>2284</v>
      </c>
    </row>
    <row r="565" spans="1:16" x14ac:dyDescent="0.25">
      <c r="A565" s="51" t="s">
        <v>1575</v>
      </c>
      <c r="B565" s="7" t="s">
        <v>2199</v>
      </c>
      <c r="C565" t="s">
        <v>374</v>
      </c>
      <c r="D565" s="7" t="s">
        <v>1576</v>
      </c>
      <c r="E565" t="s">
        <v>1581</v>
      </c>
      <c r="F565" s="7">
        <v>7</v>
      </c>
      <c r="G565" t="s">
        <v>761</v>
      </c>
      <c r="H565" s="59">
        <v>46054</v>
      </c>
      <c r="I565" t="s">
        <v>762</v>
      </c>
      <c r="J565" s="7">
        <v>1</v>
      </c>
      <c r="K565" s="1">
        <v>46054</v>
      </c>
      <c r="L565" s="56">
        <v>2310000</v>
      </c>
      <c r="M565" t="s">
        <v>2220</v>
      </c>
      <c r="N565" t="s">
        <v>2234</v>
      </c>
      <c r="O565" t="s">
        <v>2258</v>
      </c>
      <c r="P565" t="s">
        <v>2284</v>
      </c>
    </row>
    <row r="566" spans="1:16" x14ac:dyDescent="0.25">
      <c r="A566" s="50" t="s">
        <v>1595</v>
      </c>
      <c r="B566" s="10" t="s">
        <v>2199</v>
      </c>
      <c r="C566" s="11" t="s">
        <v>374</v>
      </c>
      <c r="D566" s="10" t="s">
        <v>1597</v>
      </c>
      <c r="E566" s="11" t="s">
        <v>1599</v>
      </c>
      <c r="F566" s="10">
        <v>1</v>
      </c>
      <c r="G566" s="11" t="s">
        <v>761</v>
      </c>
      <c r="H566" s="58">
        <v>46054</v>
      </c>
      <c r="I566" s="11" t="s">
        <v>762</v>
      </c>
      <c r="J566" s="10">
        <v>1</v>
      </c>
      <c r="K566" s="57">
        <v>46054</v>
      </c>
      <c r="L566" s="55">
        <v>360000</v>
      </c>
      <c r="M566" t="s">
        <v>2220</v>
      </c>
      <c r="N566" t="s">
        <v>2234</v>
      </c>
      <c r="O566" t="s">
        <v>2258</v>
      </c>
      <c r="P566" t="s">
        <v>2284</v>
      </c>
    </row>
    <row r="567" spans="1:16" x14ac:dyDescent="0.25">
      <c r="A567" s="51" t="s">
        <v>1645</v>
      </c>
      <c r="B567" s="7" t="s">
        <v>2199</v>
      </c>
      <c r="C567" t="s">
        <v>374</v>
      </c>
      <c r="D567" s="7" t="s">
        <v>1646</v>
      </c>
      <c r="E567" t="s">
        <v>1648</v>
      </c>
      <c r="F567" s="7">
        <v>1</v>
      </c>
      <c r="G567" t="s">
        <v>1649</v>
      </c>
      <c r="H567" s="59">
        <v>46235</v>
      </c>
      <c r="I567" t="s">
        <v>762</v>
      </c>
      <c r="J567" s="7">
        <v>1</v>
      </c>
      <c r="K567" s="1">
        <v>46235</v>
      </c>
      <c r="L567" s="56">
        <v>4160004</v>
      </c>
      <c r="M567" t="s">
        <v>2220</v>
      </c>
      <c r="N567" t="s">
        <v>2234</v>
      </c>
      <c r="O567" t="s">
        <v>2258</v>
      </c>
      <c r="P567" t="s">
        <v>2284</v>
      </c>
    </row>
    <row r="568" spans="1:16" x14ac:dyDescent="0.25">
      <c r="A568" s="50" t="s">
        <v>1650</v>
      </c>
      <c r="B568" s="10" t="s">
        <v>2199</v>
      </c>
      <c r="C568" s="11" t="s">
        <v>374</v>
      </c>
      <c r="D568" s="10" t="s">
        <v>1651</v>
      </c>
      <c r="E568" s="11" t="s">
        <v>1653</v>
      </c>
      <c r="F568" s="10">
        <v>1</v>
      </c>
      <c r="G568" s="11" t="s">
        <v>761</v>
      </c>
      <c r="H568" s="58">
        <v>46143</v>
      </c>
      <c r="I568" s="11" t="s">
        <v>762</v>
      </c>
      <c r="J568" s="10">
        <v>1</v>
      </c>
      <c r="K568" s="57">
        <v>46143</v>
      </c>
      <c r="L568" s="55">
        <v>200004</v>
      </c>
      <c r="M568" t="s">
        <v>2220</v>
      </c>
      <c r="N568" t="s">
        <v>2234</v>
      </c>
      <c r="O568" t="s">
        <v>2258</v>
      </c>
      <c r="P568" t="s">
        <v>2284</v>
      </c>
    </row>
    <row r="569" spans="1:16" x14ac:dyDescent="0.25">
      <c r="A569" s="51" t="s">
        <v>1654</v>
      </c>
      <c r="B569" s="7" t="s">
        <v>2199</v>
      </c>
      <c r="C569" t="s">
        <v>374</v>
      </c>
      <c r="D569" s="7" t="s">
        <v>1655</v>
      </c>
      <c r="E569" t="s">
        <v>1592</v>
      </c>
      <c r="F569" s="7">
        <v>3</v>
      </c>
      <c r="G569" t="s">
        <v>761</v>
      </c>
      <c r="H569" s="59">
        <v>46143</v>
      </c>
      <c r="I569" t="s">
        <v>762</v>
      </c>
      <c r="J569" s="7">
        <v>1</v>
      </c>
      <c r="K569" s="1">
        <v>46143</v>
      </c>
      <c r="L569" s="56">
        <v>150000</v>
      </c>
      <c r="M569" t="s">
        <v>2220</v>
      </c>
      <c r="N569" t="s">
        <v>2234</v>
      </c>
      <c r="O569" t="s">
        <v>2258</v>
      </c>
      <c r="P569" t="s">
        <v>2284</v>
      </c>
    </row>
    <row r="570" spans="1:16" x14ac:dyDescent="0.25">
      <c r="A570" s="50" t="s">
        <v>1654</v>
      </c>
      <c r="B570" s="10" t="s">
        <v>2199</v>
      </c>
      <c r="C570" s="11" t="s">
        <v>374</v>
      </c>
      <c r="D570" s="10" t="s">
        <v>1655</v>
      </c>
      <c r="E570" s="11" t="s">
        <v>1656</v>
      </c>
      <c r="F570" s="10">
        <v>3</v>
      </c>
      <c r="G570" s="11" t="s">
        <v>761</v>
      </c>
      <c r="H570" s="58">
        <v>46143</v>
      </c>
      <c r="I570" s="11" t="s">
        <v>762</v>
      </c>
      <c r="J570" s="10">
        <v>1</v>
      </c>
      <c r="K570" s="57">
        <v>46143</v>
      </c>
      <c r="L570" s="55">
        <v>60000</v>
      </c>
      <c r="M570" t="s">
        <v>2220</v>
      </c>
      <c r="N570" t="s">
        <v>2234</v>
      </c>
      <c r="O570" t="s">
        <v>2258</v>
      </c>
      <c r="P570" t="s">
        <v>2284</v>
      </c>
    </row>
    <row r="571" spans="1:16" x14ac:dyDescent="0.25">
      <c r="A571" s="51" t="s">
        <v>1654</v>
      </c>
      <c r="B571" s="7" t="s">
        <v>2199</v>
      </c>
      <c r="C571" t="s">
        <v>374</v>
      </c>
      <c r="D571" s="7" t="s">
        <v>1655</v>
      </c>
      <c r="E571" t="s">
        <v>1593</v>
      </c>
      <c r="F571" s="7">
        <v>3</v>
      </c>
      <c r="G571" t="s">
        <v>761</v>
      </c>
      <c r="H571" s="59">
        <v>46143</v>
      </c>
      <c r="I571" t="s">
        <v>762</v>
      </c>
      <c r="J571" s="7">
        <v>1</v>
      </c>
      <c r="K571" s="1">
        <v>46143</v>
      </c>
      <c r="L571" s="56">
        <v>70000</v>
      </c>
      <c r="M571" t="s">
        <v>2220</v>
      </c>
      <c r="N571" t="s">
        <v>2234</v>
      </c>
      <c r="O571" t="s">
        <v>2258</v>
      </c>
      <c r="P571" t="s">
        <v>2284</v>
      </c>
    </row>
    <row r="572" spans="1:16" x14ac:dyDescent="0.25">
      <c r="A572" s="50" t="s">
        <v>1657</v>
      </c>
      <c r="B572" s="10" t="s">
        <v>2199</v>
      </c>
      <c r="C572" s="11" t="s">
        <v>374</v>
      </c>
      <c r="D572" s="10" t="s">
        <v>1658</v>
      </c>
      <c r="E572" s="11" t="s">
        <v>359</v>
      </c>
      <c r="F572" s="10">
        <v>6</v>
      </c>
      <c r="G572" s="11" t="s">
        <v>1660</v>
      </c>
      <c r="H572" s="58">
        <v>46235</v>
      </c>
      <c r="I572" s="11" t="s">
        <v>1661</v>
      </c>
      <c r="J572" s="10">
        <v>1</v>
      </c>
      <c r="K572" s="57">
        <v>46266</v>
      </c>
      <c r="L572" s="55">
        <v>6370016</v>
      </c>
      <c r="M572" t="s">
        <v>2222</v>
      </c>
      <c r="N572" t="s">
        <v>2234</v>
      </c>
      <c r="O572" t="s">
        <v>2260</v>
      </c>
      <c r="P572" t="s">
        <v>2284</v>
      </c>
    </row>
    <row r="573" spans="1:16" x14ac:dyDescent="0.25">
      <c r="A573" s="51" t="s">
        <v>1657</v>
      </c>
      <c r="B573" s="7" t="s">
        <v>2199</v>
      </c>
      <c r="C573" t="s">
        <v>374</v>
      </c>
      <c r="D573" s="7" t="s">
        <v>1658</v>
      </c>
      <c r="E573" t="s">
        <v>1664</v>
      </c>
      <c r="F573" s="7">
        <v>6</v>
      </c>
      <c r="G573" t="s">
        <v>1660</v>
      </c>
      <c r="H573" s="59">
        <v>46235</v>
      </c>
      <c r="I573" t="s">
        <v>1661</v>
      </c>
      <c r="J573" s="7">
        <v>1</v>
      </c>
      <c r="K573" s="1">
        <v>46266</v>
      </c>
      <c r="L573" s="56">
        <v>1200000</v>
      </c>
      <c r="M573" t="s">
        <v>2222</v>
      </c>
      <c r="N573" t="s">
        <v>2234</v>
      </c>
      <c r="O573" t="s">
        <v>2260</v>
      </c>
      <c r="P573" t="s">
        <v>2284</v>
      </c>
    </row>
    <row r="574" spans="1:16" x14ac:dyDescent="0.25">
      <c r="A574" s="50" t="s">
        <v>1657</v>
      </c>
      <c r="B574" s="10" t="s">
        <v>2199</v>
      </c>
      <c r="C574" s="11" t="s">
        <v>374</v>
      </c>
      <c r="D574" s="10" t="s">
        <v>1658</v>
      </c>
      <c r="E574" s="11" t="s">
        <v>1666</v>
      </c>
      <c r="F574" s="10">
        <v>6</v>
      </c>
      <c r="G574" s="11" t="s">
        <v>1660</v>
      </c>
      <c r="H574" s="58">
        <v>46235</v>
      </c>
      <c r="I574" s="11" t="s">
        <v>1661</v>
      </c>
      <c r="J574" s="10">
        <v>1</v>
      </c>
      <c r="K574" s="57">
        <v>46266</v>
      </c>
      <c r="L574" s="55">
        <v>2500000</v>
      </c>
      <c r="M574" t="s">
        <v>2222</v>
      </c>
      <c r="N574" t="s">
        <v>2234</v>
      </c>
      <c r="O574" t="s">
        <v>2260</v>
      </c>
      <c r="P574" t="s">
        <v>2284</v>
      </c>
    </row>
    <row r="575" spans="1:16" x14ac:dyDescent="0.25">
      <c r="A575" s="51" t="s">
        <v>1657</v>
      </c>
      <c r="B575" s="7" t="s">
        <v>2199</v>
      </c>
      <c r="C575" t="s">
        <v>374</v>
      </c>
      <c r="D575" s="7" t="s">
        <v>1658</v>
      </c>
      <c r="E575" t="s">
        <v>855</v>
      </c>
      <c r="F575" s="7">
        <v>6</v>
      </c>
      <c r="G575" t="s">
        <v>1660</v>
      </c>
      <c r="H575" s="59">
        <v>46235</v>
      </c>
      <c r="I575" t="s">
        <v>1661</v>
      </c>
      <c r="J575" s="7">
        <v>1</v>
      </c>
      <c r="K575" s="1">
        <v>46266</v>
      </c>
      <c r="L575" s="56">
        <v>40002</v>
      </c>
      <c r="M575" t="s">
        <v>2222</v>
      </c>
      <c r="N575" t="s">
        <v>2234</v>
      </c>
      <c r="O575" t="s">
        <v>2260</v>
      </c>
      <c r="P575" t="s">
        <v>2284</v>
      </c>
    </row>
    <row r="576" spans="1:16" x14ac:dyDescent="0.25">
      <c r="A576" s="50" t="s">
        <v>1657</v>
      </c>
      <c r="B576" s="10" t="s">
        <v>2199</v>
      </c>
      <c r="C576" s="11" t="s">
        <v>374</v>
      </c>
      <c r="D576" s="10" t="s">
        <v>1658</v>
      </c>
      <c r="E576" s="11" t="s">
        <v>1665</v>
      </c>
      <c r="F576" s="10">
        <v>6</v>
      </c>
      <c r="G576" s="11" t="s">
        <v>1660</v>
      </c>
      <c r="H576" s="58">
        <v>46235</v>
      </c>
      <c r="I576" s="11" t="s">
        <v>1661</v>
      </c>
      <c r="J576" s="10">
        <v>1</v>
      </c>
      <c r="K576" s="57">
        <v>46266</v>
      </c>
      <c r="L576" s="55">
        <v>4000000</v>
      </c>
      <c r="M576" t="s">
        <v>2222</v>
      </c>
      <c r="N576" t="s">
        <v>2234</v>
      </c>
      <c r="O576" t="s">
        <v>2260</v>
      </c>
      <c r="P576" t="s">
        <v>2284</v>
      </c>
    </row>
    <row r="577" spans="1:16" x14ac:dyDescent="0.25">
      <c r="A577" s="51" t="s">
        <v>1657</v>
      </c>
      <c r="B577" s="7" t="s">
        <v>2199</v>
      </c>
      <c r="C577" t="s">
        <v>374</v>
      </c>
      <c r="D577" s="7" t="s">
        <v>1658</v>
      </c>
      <c r="E577" t="s">
        <v>602</v>
      </c>
      <c r="F577" s="7">
        <v>6</v>
      </c>
      <c r="G577" t="s">
        <v>1660</v>
      </c>
      <c r="H577" s="59">
        <v>46235</v>
      </c>
      <c r="I577" t="s">
        <v>1661</v>
      </c>
      <c r="J577" s="7">
        <v>1</v>
      </c>
      <c r="K577" s="1">
        <v>46235</v>
      </c>
      <c r="L577" s="56">
        <v>4600000</v>
      </c>
      <c r="M577" t="s">
        <v>2222</v>
      </c>
      <c r="N577" t="s">
        <v>2234</v>
      </c>
      <c r="O577" t="s">
        <v>2260</v>
      </c>
      <c r="P577" t="s">
        <v>2284</v>
      </c>
    </row>
    <row r="578" spans="1:16" x14ac:dyDescent="0.25">
      <c r="A578" s="50" t="s">
        <v>1967</v>
      </c>
      <c r="B578" s="10" t="s">
        <v>2199</v>
      </c>
      <c r="C578" s="11" t="s">
        <v>374</v>
      </c>
      <c r="D578" s="10" t="s">
        <v>1969</v>
      </c>
      <c r="E578" s="11" t="s">
        <v>359</v>
      </c>
      <c r="F578" s="10">
        <v>5</v>
      </c>
      <c r="G578" s="11" t="s">
        <v>768</v>
      </c>
      <c r="H578" s="58">
        <v>46023</v>
      </c>
      <c r="I578" s="11" t="s">
        <v>1972</v>
      </c>
      <c r="J578" s="10">
        <v>1</v>
      </c>
      <c r="K578" s="57">
        <v>46054</v>
      </c>
      <c r="L578" s="55">
        <v>43320</v>
      </c>
      <c r="M578" t="s">
        <v>2275</v>
      </c>
      <c r="N578" t="s">
        <v>2234</v>
      </c>
      <c r="O578" t="s">
        <v>2258</v>
      </c>
      <c r="P578" t="s">
        <v>2284</v>
      </c>
    </row>
    <row r="579" spans="1:16" x14ac:dyDescent="0.25">
      <c r="A579" s="51" t="s">
        <v>1967</v>
      </c>
      <c r="B579" s="7" t="s">
        <v>2199</v>
      </c>
      <c r="C579" t="s">
        <v>374</v>
      </c>
      <c r="D579" s="7" t="s">
        <v>1969</v>
      </c>
      <c r="E579" t="s">
        <v>1971</v>
      </c>
      <c r="F579" s="7">
        <v>5</v>
      </c>
      <c r="G579" t="s">
        <v>768</v>
      </c>
      <c r="H579" s="59">
        <v>46023</v>
      </c>
      <c r="I579" t="s">
        <v>1972</v>
      </c>
      <c r="J579" s="7">
        <v>1</v>
      </c>
      <c r="K579" s="1">
        <v>46054</v>
      </c>
      <c r="L579" s="56">
        <v>112387</v>
      </c>
      <c r="M579" t="s">
        <v>2275</v>
      </c>
      <c r="N579" t="s">
        <v>2234</v>
      </c>
      <c r="O579" t="s">
        <v>2258</v>
      </c>
      <c r="P579" t="s">
        <v>2284</v>
      </c>
    </row>
    <row r="580" spans="1:16" x14ac:dyDescent="0.25">
      <c r="A580" s="50" t="s">
        <v>1967</v>
      </c>
      <c r="B580" s="10" t="s">
        <v>2199</v>
      </c>
      <c r="C580" s="11" t="s">
        <v>374</v>
      </c>
      <c r="D580" s="10" t="s">
        <v>1969</v>
      </c>
      <c r="E580" s="11" t="s">
        <v>1974</v>
      </c>
      <c r="F580" s="10">
        <v>5</v>
      </c>
      <c r="G580" s="11" t="s">
        <v>768</v>
      </c>
      <c r="H580" s="58">
        <v>46023</v>
      </c>
      <c r="I580" s="11" t="s">
        <v>1972</v>
      </c>
      <c r="J580" s="10">
        <v>1</v>
      </c>
      <c r="K580" s="57">
        <v>46054</v>
      </c>
      <c r="L580" s="55">
        <v>25000</v>
      </c>
      <c r="M580" t="s">
        <v>2275</v>
      </c>
      <c r="N580" t="s">
        <v>2234</v>
      </c>
      <c r="O580" t="s">
        <v>2258</v>
      </c>
      <c r="P580" t="s">
        <v>2284</v>
      </c>
    </row>
    <row r="581" spans="1:16" x14ac:dyDescent="0.25">
      <c r="A581" s="51" t="s">
        <v>1967</v>
      </c>
      <c r="B581" s="7" t="s">
        <v>2199</v>
      </c>
      <c r="C581" t="s">
        <v>374</v>
      </c>
      <c r="D581" s="7" t="s">
        <v>1969</v>
      </c>
      <c r="E581" t="s">
        <v>1975</v>
      </c>
      <c r="F581" s="7">
        <v>5</v>
      </c>
      <c r="G581" t="s">
        <v>768</v>
      </c>
      <c r="H581" s="59">
        <v>46023</v>
      </c>
      <c r="I581" t="s">
        <v>1972</v>
      </c>
      <c r="J581" s="7">
        <v>1</v>
      </c>
      <c r="K581" s="1">
        <v>46054</v>
      </c>
      <c r="L581" s="56">
        <v>1700</v>
      </c>
      <c r="M581" t="s">
        <v>2275</v>
      </c>
      <c r="N581" t="s">
        <v>2234</v>
      </c>
      <c r="O581" t="s">
        <v>2258</v>
      </c>
      <c r="P581" t="s">
        <v>2284</v>
      </c>
    </row>
    <row r="582" spans="1:16" x14ac:dyDescent="0.25">
      <c r="A582" s="50" t="s">
        <v>1967</v>
      </c>
      <c r="B582" s="10" t="s">
        <v>2199</v>
      </c>
      <c r="C582" s="11" t="s">
        <v>374</v>
      </c>
      <c r="D582" s="10" t="s">
        <v>1969</v>
      </c>
      <c r="E582" s="11" t="s">
        <v>1973</v>
      </c>
      <c r="F582" s="10">
        <v>5</v>
      </c>
      <c r="G582" s="11" t="s">
        <v>768</v>
      </c>
      <c r="H582" s="58">
        <v>46023</v>
      </c>
      <c r="I582" s="11" t="s">
        <v>1972</v>
      </c>
      <c r="J582" s="10">
        <v>1</v>
      </c>
      <c r="K582" s="57">
        <v>46054</v>
      </c>
      <c r="L582" s="55">
        <v>25002</v>
      </c>
      <c r="M582" t="s">
        <v>2275</v>
      </c>
      <c r="N582" t="s">
        <v>2234</v>
      </c>
      <c r="O582" t="s">
        <v>2258</v>
      </c>
      <c r="P582" t="s">
        <v>2284</v>
      </c>
    </row>
    <row r="583" spans="1:16" x14ac:dyDescent="0.25">
      <c r="A583" s="51" t="s">
        <v>2028</v>
      </c>
      <c r="B583" s="7" t="s">
        <v>2199</v>
      </c>
      <c r="C583" t="s">
        <v>374</v>
      </c>
      <c r="D583" s="7" t="s">
        <v>2029</v>
      </c>
      <c r="E583" t="s">
        <v>831</v>
      </c>
      <c r="F583" s="7">
        <v>8</v>
      </c>
      <c r="G583" t="s">
        <v>2032</v>
      </c>
      <c r="H583" s="59">
        <v>46082</v>
      </c>
      <c r="I583" t="s">
        <v>2033</v>
      </c>
      <c r="J583" s="7">
        <v>1</v>
      </c>
      <c r="K583" s="1">
        <v>46082</v>
      </c>
      <c r="L583" s="56">
        <v>930000</v>
      </c>
      <c r="M583" t="s">
        <v>2221</v>
      </c>
      <c r="N583" t="s">
        <v>2234</v>
      </c>
      <c r="O583" t="s">
        <v>2259</v>
      </c>
      <c r="P583" t="s">
        <v>2284</v>
      </c>
    </row>
    <row r="584" spans="1:16" x14ac:dyDescent="0.25">
      <c r="A584" s="50" t="s">
        <v>2028</v>
      </c>
      <c r="B584" s="10" t="s">
        <v>2199</v>
      </c>
      <c r="C584" s="11" t="s">
        <v>374</v>
      </c>
      <c r="D584" s="10" t="s">
        <v>2029</v>
      </c>
      <c r="E584" s="11" t="s">
        <v>370</v>
      </c>
      <c r="F584" s="10">
        <v>8</v>
      </c>
      <c r="G584" s="11" t="s">
        <v>2032</v>
      </c>
      <c r="H584" s="58">
        <v>46082</v>
      </c>
      <c r="I584" s="11" t="s">
        <v>2033</v>
      </c>
      <c r="J584" s="10">
        <v>1</v>
      </c>
      <c r="K584" s="57">
        <v>46082</v>
      </c>
      <c r="L584" s="55">
        <v>250000</v>
      </c>
      <c r="M584" t="s">
        <v>2221</v>
      </c>
      <c r="N584" t="s">
        <v>2234</v>
      </c>
      <c r="O584" t="s">
        <v>2259</v>
      </c>
      <c r="P584" t="s">
        <v>2284</v>
      </c>
    </row>
    <row r="585" spans="1:16" x14ac:dyDescent="0.25">
      <c r="A585" s="51" t="s">
        <v>2028</v>
      </c>
      <c r="B585" s="7" t="s">
        <v>2199</v>
      </c>
      <c r="C585" t="s">
        <v>374</v>
      </c>
      <c r="D585" s="7" t="s">
        <v>2029</v>
      </c>
      <c r="E585" t="s">
        <v>1174</v>
      </c>
      <c r="F585" s="7">
        <v>8</v>
      </c>
      <c r="G585" t="s">
        <v>2032</v>
      </c>
      <c r="H585" s="59">
        <v>46082</v>
      </c>
      <c r="I585" t="s">
        <v>2033</v>
      </c>
      <c r="J585" s="7">
        <v>1</v>
      </c>
      <c r="K585" s="1">
        <v>46082</v>
      </c>
      <c r="L585" s="56">
        <v>1195000</v>
      </c>
      <c r="M585" t="s">
        <v>2221</v>
      </c>
      <c r="N585" t="s">
        <v>2234</v>
      </c>
      <c r="O585" t="s">
        <v>2259</v>
      </c>
      <c r="P585" t="s">
        <v>2284</v>
      </c>
    </row>
    <row r="586" spans="1:16" x14ac:dyDescent="0.25">
      <c r="A586" s="50" t="s">
        <v>2028</v>
      </c>
      <c r="B586" s="10" t="s">
        <v>2199</v>
      </c>
      <c r="C586" s="11" t="s">
        <v>374</v>
      </c>
      <c r="D586" s="10" t="s">
        <v>2029</v>
      </c>
      <c r="E586" s="11" t="s">
        <v>2031</v>
      </c>
      <c r="F586" s="10">
        <v>8</v>
      </c>
      <c r="G586" s="11" t="s">
        <v>2032</v>
      </c>
      <c r="H586" s="58">
        <v>46082</v>
      </c>
      <c r="I586" s="11" t="s">
        <v>2033</v>
      </c>
      <c r="J586" s="10">
        <v>1</v>
      </c>
      <c r="K586" s="57">
        <v>46082</v>
      </c>
      <c r="L586" s="55">
        <v>600000</v>
      </c>
      <c r="M586" t="s">
        <v>2221</v>
      </c>
      <c r="N586" t="s">
        <v>2234</v>
      </c>
      <c r="O586" t="s">
        <v>2259</v>
      </c>
      <c r="P586" t="s">
        <v>2284</v>
      </c>
    </row>
    <row r="587" spans="1:16" x14ac:dyDescent="0.25">
      <c r="A587" s="51" t="s">
        <v>2028</v>
      </c>
      <c r="B587" s="7" t="s">
        <v>2199</v>
      </c>
      <c r="C587" t="s">
        <v>374</v>
      </c>
      <c r="D587" s="7" t="s">
        <v>2029</v>
      </c>
      <c r="E587" t="s">
        <v>1279</v>
      </c>
      <c r="F587" s="7">
        <v>8</v>
      </c>
      <c r="G587" t="s">
        <v>2032</v>
      </c>
      <c r="H587" s="59">
        <v>46082</v>
      </c>
      <c r="I587" t="s">
        <v>2033</v>
      </c>
      <c r="J587" s="7">
        <v>1</v>
      </c>
      <c r="K587" s="1">
        <v>46082</v>
      </c>
      <c r="L587" s="56">
        <v>1850000</v>
      </c>
      <c r="M587" t="s">
        <v>2221</v>
      </c>
      <c r="N587" t="s">
        <v>2234</v>
      </c>
      <c r="O587" t="s">
        <v>2259</v>
      </c>
      <c r="P587" t="s">
        <v>2284</v>
      </c>
    </row>
    <row r="588" spans="1:16" x14ac:dyDescent="0.25">
      <c r="A588" s="50" t="s">
        <v>2028</v>
      </c>
      <c r="B588" s="10" t="s">
        <v>2199</v>
      </c>
      <c r="C588" s="11" t="s">
        <v>374</v>
      </c>
      <c r="D588" s="10" t="s">
        <v>2029</v>
      </c>
      <c r="E588" s="11" t="s">
        <v>486</v>
      </c>
      <c r="F588" s="10">
        <v>8</v>
      </c>
      <c r="G588" s="11" t="s">
        <v>2032</v>
      </c>
      <c r="H588" s="58">
        <v>46082</v>
      </c>
      <c r="I588" s="11" t="s">
        <v>2033</v>
      </c>
      <c r="J588" s="10">
        <v>1</v>
      </c>
      <c r="K588" s="57">
        <v>46082</v>
      </c>
      <c r="L588" s="55">
        <v>1164000</v>
      </c>
      <c r="M588" t="s">
        <v>2221</v>
      </c>
      <c r="N588" t="s">
        <v>2234</v>
      </c>
      <c r="O588" t="s">
        <v>2259</v>
      </c>
      <c r="P588" t="s">
        <v>2284</v>
      </c>
    </row>
    <row r="589" spans="1:16" x14ac:dyDescent="0.25">
      <c r="A589" s="51" t="s">
        <v>2028</v>
      </c>
      <c r="B589" s="7" t="s">
        <v>2199</v>
      </c>
      <c r="C589" t="s">
        <v>374</v>
      </c>
      <c r="D589" s="7" t="s">
        <v>2029</v>
      </c>
      <c r="E589" t="s">
        <v>1678</v>
      </c>
      <c r="F589" s="7">
        <v>8</v>
      </c>
      <c r="G589" t="s">
        <v>2032</v>
      </c>
      <c r="H589" s="59">
        <v>46082</v>
      </c>
      <c r="I589" t="s">
        <v>2033</v>
      </c>
      <c r="J589" s="7">
        <v>1</v>
      </c>
      <c r="K589" s="1">
        <v>46082</v>
      </c>
      <c r="L589" s="56">
        <v>395540</v>
      </c>
      <c r="M589" t="s">
        <v>2221</v>
      </c>
      <c r="N589" t="s">
        <v>2234</v>
      </c>
      <c r="O589" t="s">
        <v>2259</v>
      </c>
      <c r="P589" t="s">
        <v>2284</v>
      </c>
    </row>
    <row r="590" spans="1:16" x14ac:dyDescent="0.25">
      <c r="A590" s="50" t="s">
        <v>2028</v>
      </c>
      <c r="B590" s="10" t="s">
        <v>2199</v>
      </c>
      <c r="C590" s="11" t="s">
        <v>374</v>
      </c>
      <c r="D590" s="10" t="s">
        <v>2029</v>
      </c>
      <c r="E590" s="11" t="s">
        <v>2036</v>
      </c>
      <c r="F590" s="10">
        <v>8</v>
      </c>
      <c r="G590" s="11" t="s">
        <v>2032</v>
      </c>
      <c r="H590" s="58">
        <v>46082</v>
      </c>
      <c r="I590" s="11" t="s">
        <v>2033</v>
      </c>
      <c r="J590" s="10">
        <v>1</v>
      </c>
      <c r="K590" s="57">
        <v>46082</v>
      </c>
      <c r="L590" s="55">
        <v>1200000</v>
      </c>
      <c r="M590" t="s">
        <v>2221</v>
      </c>
      <c r="N590" t="s">
        <v>2234</v>
      </c>
      <c r="O590" t="s">
        <v>2259</v>
      </c>
      <c r="P590" t="s">
        <v>2284</v>
      </c>
    </row>
    <row r="591" spans="1:16" x14ac:dyDescent="0.25">
      <c r="A591" s="51" t="s">
        <v>2080</v>
      </c>
      <c r="B591" s="7" t="s">
        <v>2199</v>
      </c>
      <c r="C591" t="s">
        <v>374</v>
      </c>
      <c r="D591" s="7" t="s">
        <v>2081</v>
      </c>
      <c r="E591" t="s">
        <v>786</v>
      </c>
      <c r="F591" s="7">
        <v>1</v>
      </c>
      <c r="G591" t="s">
        <v>768</v>
      </c>
      <c r="H591" s="59">
        <v>46082</v>
      </c>
      <c r="I591" t="s">
        <v>386</v>
      </c>
      <c r="J591" s="7">
        <v>1</v>
      </c>
      <c r="K591" s="1">
        <v>46082</v>
      </c>
      <c r="L591" s="56">
        <v>350280</v>
      </c>
      <c r="M591" t="s">
        <v>2275</v>
      </c>
      <c r="N591" t="s">
        <v>2234</v>
      </c>
      <c r="O591" t="s">
        <v>2258</v>
      </c>
      <c r="P591" t="s">
        <v>2284</v>
      </c>
    </row>
    <row r="592" spans="1:16" x14ac:dyDescent="0.25">
      <c r="A592" s="50" t="s">
        <v>2086</v>
      </c>
      <c r="B592" s="10" t="s">
        <v>2199</v>
      </c>
      <c r="C592" s="11" t="s">
        <v>374</v>
      </c>
      <c r="D592" s="10" t="s">
        <v>2087</v>
      </c>
      <c r="E592" s="11" t="s">
        <v>786</v>
      </c>
      <c r="F592" s="10">
        <v>1</v>
      </c>
      <c r="G592" s="11" t="s">
        <v>768</v>
      </c>
      <c r="H592" s="58">
        <v>46054</v>
      </c>
      <c r="I592" s="11" t="s">
        <v>386</v>
      </c>
      <c r="J592" s="10">
        <v>1</v>
      </c>
      <c r="K592" s="57">
        <v>46082</v>
      </c>
      <c r="L592" s="55">
        <v>506160</v>
      </c>
      <c r="M592" t="s">
        <v>2275</v>
      </c>
      <c r="N592" t="s">
        <v>2234</v>
      </c>
      <c r="O592" t="s">
        <v>2258</v>
      </c>
      <c r="P592" t="s">
        <v>2284</v>
      </c>
    </row>
    <row r="593" spans="1:16" x14ac:dyDescent="0.25">
      <c r="A593" s="51" t="s">
        <v>2110</v>
      </c>
      <c r="B593" s="7" t="s">
        <v>2199</v>
      </c>
      <c r="C593" t="s">
        <v>374</v>
      </c>
      <c r="D593" s="7" t="s">
        <v>2111</v>
      </c>
      <c r="E593" t="s">
        <v>359</v>
      </c>
      <c r="F593" s="7">
        <v>5</v>
      </c>
      <c r="G593" t="s">
        <v>768</v>
      </c>
      <c r="H593" s="59">
        <v>46023</v>
      </c>
      <c r="I593" t="s">
        <v>386</v>
      </c>
      <c r="J593" s="7">
        <v>1</v>
      </c>
      <c r="K593" s="1">
        <v>46023</v>
      </c>
      <c r="L593" s="56">
        <v>442000</v>
      </c>
      <c r="M593" t="s">
        <v>2275</v>
      </c>
      <c r="N593" t="s">
        <v>2234</v>
      </c>
      <c r="O593" t="s">
        <v>2258</v>
      </c>
      <c r="P593" t="s">
        <v>2284</v>
      </c>
    </row>
    <row r="594" spans="1:16" x14ac:dyDescent="0.25">
      <c r="A594" s="50" t="s">
        <v>2110</v>
      </c>
      <c r="B594" s="10" t="s">
        <v>2199</v>
      </c>
      <c r="C594" s="11" t="s">
        <v>374</v>
      </c>
      <c r="D594" s="10" t="s">
        <v>2111</v>
      </c>
      <c r="E594" s="11" t="s">
        <v>486</v>
      </c>
      <c r="F594" s="10">
        <v>5</v>
      </c>
      <c r="G594" s="11" t="s">
        <v>768</v>
      </c>
      <c r="H594" s="58">
        <v>46023</v>
      </c>
      <c r="I594" s="11" t="s">
        <v>386</v>
      </c>
      <c r="J594" s="10">
        <v>1</v>
      </c>
      <c r="K594" s="57">
        <v>46023</v>
      </c>
      <c r="L594" s="55">
        <v>501330</v>
      </c>
      <c r="M594" t="s">
        <v>2275</v>
      </c>
      <c r="N594" t="s">
        <v>2234</v>
      </c>
      <c r="O594" t="s">
        <v>2258</v>
      </c>
      <c r="P594" t="s">
        <v>2284</v>
      </c>
    </row>
    <row r="595" spans="1:16" x14ac:dyDescent="0.25">
      <c r="A595" s="51" t="s">
        <v>2110</v>
      </c>
      <c r="B595" s="7" t="s">
        <v>2199</v>
      </c>
      <c r="C595" t="s">
        <v>374</v>
      </c>
      <c r="D595" s="7" t="s">
        <v>2111</v>
      </c>
      <c r="E595" t="s">
        <v>855</v>
      </c>
      <c r="F595" s="7">
        <v>5</v>
      </c>
      <c r="G595" t="s">
        <v>768</v>
      </c>
      <c r="H595" s="59">
        <v>46023</v>
      </c>
      <c r="I595" t="s">
        <v>386</v>
      </c>
      <c r="J595" s="7">
        <v>1</v>
      </c>
      <c r="K595" s="1">
        <v>46023</v>
      </c>
      <c r="L595" s="56">
        <v>49700</v>
      </c>
      <c r="M595" t="s">
        <v>2275</v>
      </c>
      <c r="N595" t="s">
        <v>2234</v>
      </c>
      <c r="O595" t="s">
        <v>2258</v>
      </c>
      <c r="P595" t="s">
        <v>2284</v>
      </c>
    </row>
    <row r="596" spans="1:16" x14ac:dyDescent="0.25">
      <c r="A596" s="50" t="s">
        <v>2110</v>
      </c>
      <c r="B596" s="10" t="s">
        <v>2199</v>
      </c>
      <c r="C596" s="11" t="s">
        <v>374</v>
      </c>
      <c r="D596" s="10" t="s">
        <v>2111</v>
      </c>
      <c r="E596" s="11" t="s">
        <v>2114</v>
      </c>
      <c r="F596" s="10">
        <v>5</v>
      </c>
      <c r="G596" s="11" t="s">
        <v>768</v>
      </c>
      <c r="H596" s="58">
        <v>46023</v>
      </c>
      <c r="I596" s="11" t="s">
        <v>386</v>
      </c>
      <c r="J596" s="10">
        <v>1</v>
      </c>
      <c r="K596" s="57">
        <v>46023</v>
      </c>
      <c r="L596" s="55">
        <v>70000</v>
      </c>
      <c r="M596" t="s">
        <v>2275</v>
      </c>
      <c r="N596" t="s">
        <v>2234</v>
      </c>
      <c r="O596" t="s">
        <v>2258</v>
      </c>
      <c r="P596" t="s">
        <v>2284</v>
      </c>
    </row>
    <row r="597" spans="1:16" x14ac:dyDescent="0.25">
      <c r="A597" s="51" t="s">
        <v>2110</v>
      </c>
      <c r="B597" s="7" t="s">
        <v>2199</v>
      </c>
      <c r="C597" t="s">
        <v>374</v>
      </c>
      <c r="D597" s="7" t="s">
        <v>2111</v>
      </c>
      <c r="E597" t="s">
        <v>2113</v>
      </c>
      <c r="F597" s="7">
        <v>5</v>
      </c>
      <c r="G597" t="s">
        <v>768</v>
      </c>
      <c r="H597" s="59">
        <v>46023</v>
      </c>
      <c r="I597" t="s">
        <v>386</v>
      </c>
      <c r="J597" s="7">
        <v>1</v>
      </c>
      <c r="K597" s="1">
        <v>46023</v>
      </c>
      <c r="L597" s="56">
        <v>240000</v>
      </c>
      <c r="M597" t="s">
        <v>2275</v>
      </c>
      <c r="N597" t="s">
        <v>2234</v>
      </c>
      <c r="O597" t="s">
        <v>2258</v>
      </c>
      <c r="P597" t="s">
        <v>2284</v>
      </c>
    </row>
    <row r="598" spans="1:16" x14ac:dyDescent="0.25">
      <c r="A598" s="50" t="s">
        <v>2159</v>
      </c>
      <c r="B598" s="10" t="s">
        <v>2199</v>
      </c>
      <c r="C598" s="11" t="s">
        <v>374</v>
      </c>
      <c r="D598" s="10" t="s">
        <v>2160</v>
      </c>
      <c r="E598" s="11" t="s">
        <v>2165</v>
      </c>
      <c r="F598" s="10">
        <v>7</v>
      </c>
      <c r="G598" s="11" t="s">
        <v>761</v>
      </c>
      <c r="H598" s="58">
        <v>46054</v>
      </c>
      <c r="I598" s="11" t="s">
        <v>762</v>
      </c>
      <c r="J598" s="10">
        <v>1</v>
      </c>
      <c r="K598" s="57">
        <v>46174</v>
      </c>
      <c r="L598" s="55">
        <v>500000</v>
      </c>
      <c r="M598" t="s">
        <v>2220</v>
      </c>
      <c r="N598" t="s">
        <v>2234</v>
      </c>
      <c r="O598" t="s">
        <v>2258</v>
      </c>
      <c r="P598" t="s">
        <v>2284</v>
      </c>
    </row>
    <row r="599" spans="1:16" x14ac:dyDescent="0.25">
      <c r="A599" s="51" t="s">
        <v>2159</v>
      </c>
      <c r="B599" s="7" t="s">
        <v>2199</v>
      </c>
      <c r="C599" t="s">
        <v>374</v>
      </c>
      <c r="D599" s="7" t="s">
        <v>2160</v>
      </c>
      <c r="E599" t="s">
        <v>2164</v>
      </c>
      <c r="F599" s="7">
        <v>7</v>
      </c>
      <c r="G599" t="s">
        <v>761</v>
      </c>
      <c r="H599" s="59">
        <v>46054</v>
      </c>
      <c r="I599" t="s">
        <v>762</v>
      </c>
      <c r="J599" s="7">
        <v>1</v>
      </c>
      <c r="K599" s="1">
        <v>46174</v>
      </c>
      <c r="L599" s="56">
        <v>470007</v>
      </c>
      <c r="M599" t="s">
        <v>2220</v>
      </c>
      <c r="N599" t="s">
        <v>2234</v>
      </c>
      <c r="O599" t="s">
        <v>2258</v>
      </c>
      <c r="P599" t="s">
        <v>2284</v>
      </c>
    </row>
    <row r="600" spans="1:16" x14ac:dyDescent="0.25">
      <c r="A600" s="50" t="s">
        <v>2159</v>
      </c>
      <c r="B600" s="10" t="s">
        <v>2199</v>
      </c>
      <c r="C600" s="11" t="s">
        <v>374</v>
      </c>
      <c r="D600" s="10" t="s">
        <v>2160</v>
      </c>
      <c r="E600" s="11" t="s">
        <v>2163</v>
      </c>
      <c r="F600" s="10">
        <v>7</v>
      </c>
      <c r="G600" s="11" t="s">
        <v>761</v>
      </c>
      <c r="H600" s="58">
        <v>46174</v>
      </c>
      <c r="I600" s="11" t="s">
        <v>762</v>
      </c>
      <c r="J600" s="10">
        <v>1</v>
      </c>
      <c r="K600" s="57">
        <v>46174</v>
      </c>
      <c r="L600" s="55">
        <v>2060002</v>
      </c>
      <c r="M600" t="s">
        <v>2220</v>
      </c>
      <c r="N600" t="s">
        <v>2234</v>
      </c>
      <c r="O600" t="s">
        <v>2258</v>
      </c>
      <c r="P600" t="s">
        <v>2284</v>
      </c>
    </row>
    <row r="601" spans="1:16" x14ac:dyDescent="0.25">
      <c r="A601" s="51" t="s">
        <v>2159</v>
      </c>
      <c r="B601" s="7" t="s">
        <v>2199</v>
      </c>
      <c r="C601" t="s">
        <v>374</v>
      </c>
      <c r="D601" s="7" t="s">
        <v>2160</v>
      </c>
      <c r="E601" t="s">
        <v>1578</v>
      </c>
      <c r="F601" s="7">
        <v>7</v>
      </c>
      <c r="G601" t="s">
        <v>761</v>
      </c>
      <c r="H601" s="59">
        <v>46174</v>
      </c>
      <c r="I601" t="s">
        <v>762</v>
      </c>
      <c r="J601" s="7">
        <v>1</v>
      </c>
      <c r="K601" s="1">
        <v>46174</v>
      </c>
      <c r="L601" s="56">
        <v>120000</v>
      </c>
      <c r="M601" t="s">
        <v>2220</v>
      </c>
      <c r="N601" t="s">
        <v>2234</v>
      </c>
      <c r="O601" t="s">
        <v>2258</v>
      </c>
      <c r="P601" t="s">
        <v>2284</v>
      </c>
    </row>
    <row r="602" spans="1:16" x14ac:dyDescent="0.25">
      <c r="A602" s="50" t="s">
        <v>2159</v>
      </c>
      <c r="B602" s="10" t="s">
        <v>2199</v>
      </c>
      <c r="C602" s="11" t="s">
        <v>374</v>
      </c>
      <c r="D602" s="10" t="s">
        <v>2160</v>
      </c>
      <c r="E602" s="11" t="s">
        <v>820</v>
      </c>
      <c r="F602" s="10">
        <v>7</v>
      </c>
      <c r="G602" s="11" t="s">
        <v>761</v>
      </c>
      <c r="H602" s="58">
        <v>46174</v>
      </c>
      <c r="I602" s="11" t="s">
        <v>762</v>
      </c>
      <c r="J602" s="10">
        <v>1</v>
      </c>
      <c r="K602" s="57">
        <v>46174</v>
      </c>
      <c r="L602" s="55">
        <v>700000</v>
      </c>
      <c r="M602" t="s">
        <v>2220</v>
      </c>
      <c r="N602" t="s">
        <v>2234</v>
      </c>
      <c r="O602" t="s">
        <v>2258</v>
      </c>
      <c r="P602" t="s">
        <v>2284</v>
      </c>
    </row>
    <row r="603" spans="1:16" x14ac:dyDescent="0.25">
      <c r="A603" s="51" t="s">
        <v>2159</v>
      </c>
      <c r="B603" s="7" t="s">
        <v>2199</v>
      </c>
      <c r="C603" t="s">
        <v>374</v>
      </c>
      <c r="D603" s="7" t="s">
        <v>2160</v>
      </c>
      <c r="E603" t="s">
        <v>2161</v>
      </c>
      <c r="F603" s="7">
        <v>7</v>
      </c>
      <c r="G603" t="s">
        <v>761</v>
      </c>
      <c r="H603" s="59">
        <v>46054</v>
      </c>
      <c r="I603" t="s">
        <v>762</v>
      </c>
      <c r="J603" s="7">
        <v>1</v>
      </c>
      <c r="K603" s="1">
        <v>46054</v>
      </c>
      <c r="L603" s="56">
        <v>2700016</v>
      </c>
      <c r="M603" t="s">
        <v>2220</v>
      </c>
      <c r="N603" t="s">
        <v>2234</v>
      </c>
      <c r="O603" t="s">
        <v>2258</v>
      </c>
      <c r="P603" t="s">
        <v>2284</v>
      </c>
    </row>
    <row r="604" spans="1:16" x14ac:dyDescent="0.25">
      <c r="A604" s="50" t="s">
        <v>2159</v>
      </c>
      <c r="B604" s="10" t="s">
        <v>2199</v>
      </c>
      <c r="C604" s="11" t="s">
        <v>374</v>
      </c>
      <c r="D604" s="10" t="s">
        <v>2160</v>
      </c>
      <c r="E604" s="11" t="s">
        <v>2162</v>
      </c>
      <c r="F604" s="10">
        <v>7</v>
      </c>
      <c r="G604" s="11" t="s">
        <v>761</v>
      </c>
      <c r="H604" s="58">
        <v>46054</v>
      </c>
      <c r="I604" s="11" t="s">
        <v>762</v>
      </c>
      <c r="J604" s="10">
        <v>1</v>
      </c>
      <c r="K604" s="57">
        <v>46054</v>
      </c>
      <c r="L604" s="55">
        <v>1260000</v>
      </c>
      <c r="M604" t="s">
        <v>2220</v>
      </c>
      <c r="N604" t="s">
        <v>2234</v>
      </c>
      <c r="O604" t="s">
        <v>2258</v>
      </c>
      <c r="P604" t="s">
        <v>2284</v>
      </c>
    </row>
    <row r="605" spans="1:16" x14ac:dyDescent="0.25">
      <c r="A605" s="51" t="s">
        <v>2181</v>
      </c>
      <c r="B605" s="7" t="s">
        <v>2199</v>
      </c>
      <c r="C605" t="s">
        <v>374</v>
      </c>
      <c r="D605" s="7" t="s">
        <v>2182</v>
      </c>
      <c r="E605" t="s">
        <v>1653</v>
      </c>
      <c r="F605" s="7">
        <v>1</v>
      </c>
      <c r="G605" t="s">
        <v>761</v>
      </c>
      <c r="H605" s="59">
        <v>46143</v>
      </c>
      <c r="I605" t="s">
        <v>762</v>
      </c>
      <c r="J605" s="7">
        <v>1</v>
      </c>
      <c r="K605" s="1">
        <v>46143</v>
      </c>
      <c r="L605" s="56">
        <v>280008</v>
      </c>
      <c r="M605" t="s">
        <v>2220</v>
      </c>
      <c r="N605" t="s">
        <v>2234</v>
      </c>
      <c r="O605" t="s">
        <v>2258</v>
      </c>
      <c r="P605" t="s">
        <v>2284</v>
      </c>
    </row>
    <row r="606" spans="1:16" x14ac:dyDescent="0.25">
      <c r="A606" s="50" t="s">
        <v>375</v>
      </c>
      <c r="B606" s="10" t="s">
        <v>2196</v>
      </c>
      <c r="C606" s="11" t="s">
        <v>374</v>
      </c>
      <c r="D606" s="10" t="s">
        <v>376</v>
      </c>
      <c r="E606" s="11" t="s">
        <v>326</v>
      </c>
      <c r="F606" s="10">
        <v>1</v>
      </c>
      <c r="G606" s="11" t="s">
        <v>378</v>
      </c>
      <c r="H606" s="58">
        <v>45839</v>
      </c>
      <c r="I606" s="11" t="s">
        <v>361</v>
      </c>
      <c r="J606" s="10">
        <v>12</v>
      </c>
      <c r="K606" s="11" t="s">
        <v>318</v>
      </c>
      <c r="L606" s="55">
        <v>17416663</v>
      </c>
      <c r="M606" t="s">
        <v>2254</v>
      </c>
      <c r="N606" t="s">
        <v>2234</v>
      </c>
      <c r="O606" t="s">
        <v>2258</v>
      </c>
      <c r="P606" t="s">
        <v>2284</v>
      </c>
    </row>
    <row r="607" spans="1:16" x14ac:dyDescent="0.25">
      <c r="A607" s="51" t="s">
        <v>468</v>
      </c>
      <c r="B607" s="7" t="s">
        <v>2196</v>
      </c>
      <c r="C607" t="s">
        <v>374</v>
      </c>
      <c r="D607" s="7" t="s">
        <v>470</v>
      </c>
      <c r="E607" t="s">
        <v>472</v>
      </c>
      <c r="F607" s="7">
        <v>1</v>
      </c>
      <c r="G607" t="s">
        <v>473</v>
      </c>
      <c r="H607" s="59">
        <v>45870</v>
      </c>
      <c r="I607" t="s">
        <v>474</v>
      </c>
      <c r="J607" s="7">
        <v>12</v>
      </c>
      <c r="K607" t="s">
        <v>413</v>
      </c>
      <c r="L607" s="56">
        <v>394362600</v>
      </c>
      <c r="M607" t="s">
        <v>2222</v>
      </c>
      <c r="N607" t="s">
        <v>2234</v>
      </c>
      <c r="O607" t="s">
        <v>2260</v>
      </c>
      <c r="P607" t="s">
        <v>2284</v>
      </c>
    </row>
    <row r="608" spans="1:16" x14ac:dyDescent="0.25">
      <c r="A608" s="50" t="s">
        <v>545</v>
      </c>
      <c r="B608" s="10" t="s">
        <v>2196</v>
      </c>
      <c r="C608" s="11" t="s">
        <v>374</v>
      </c>
      <c r="D608" s="10" t="s">
        <v>546</v>
      </c>
      <c r="E608" s="11" t="s">
        <v>496</v>
      </c>
      <c r="F608" s="10">
        <v>1</v>
      </c>
      <c r="G608" s="11" t="s">
        <v>414</v>
      </c>
      <c r="H608" s="58">
        <v>45870</v>
      </c>
      <c r="I608" s="11" t="s">
        <v>415</v>
      </c>
      <c r="J608" s="10">
        <v>12</v>
      </c>
      <c r="K608" s="11" t="s">
        <v>318</v>
      </c>
      <c r="L608" s="55">
        <v>30800000</v>
      </c>
      <c r="M608" t="s">
        <v>2222</v>
      </c>
      <c r="N608" t="s">
        <v>2234</v>
      </c>
      <c r="O608" t="s">
        <v>2260</v>
      </c>
      <c r="P608" t="s">
        <v>2284</v>
      </c>
    </row>
    <row r="609" spans="1:16" x14ac:dyDescent="0.25">
      <c r="A609" s="51" t="s">
        <v>584</v>
      </c>
      <c r="B609" s="7" t="s">
        <v>2199</v>
      </c>
      <c r="C609" t="s">
        <v>374</v>
      </c>
      <c r="D609" s="7" t="s">
        <v>586</v>
      </c>
      <c r="E609" t="s">
        <v>588</v>
      </c>
      <c r="F609" s="7">
        <v>1</v>
      </c>
      <c r="G609" t="s">
        <v>590</v>
      </c>
      <c r="H609" s="59">
        <v>46054</v>
      </c>
      <c r="I609" t="s">
        <v>591</v>
      </c>
      <c r="J609" s="7">
        <v>10</v>
      </c>
      <c r="K609" t="s">
        <v>589</v>
      </c>
      <c r="L609" s="56">
        <v>56320000</v>
      </c>
      <c r="M609" t="s">
        <v>2222</v>
      </c>
      <c r="N609" t="s">
        <v>2234</v>
      </c>
      <c r="O609" t="s">
        <v>2260</v>
      </c>
      <c r="P609" t="s">
        <v>2284</v>
      </c>
    </row>
    <row r="610" spans="1:16" x14ac:dyDescent="0.25">
      <c r="A610" s="50" t="s">
        <v>605</v>
      </c>
      <c r="B610" s="10" t="s">
        <v>2199</v>
      </c>
      <c r="C610" s="11" t="s">
        <v>374</v>
      </c>
      <c r="D610" s="10" t="s">
        <v>607</v>
      </c>
      <c r="E610" s="11" t="s">
        <v>613</v>
      </c>
      <c r="F610" s="10">
        <v>2</v>
      </c>
      <c r="G610" s="11" t="s">
        <v>609</v>
      </c>
      <c r="H610" s="58">
        <v>46143</v>
      </c>
      <c r="I610" s="11" t="s">
        <v>610</v>
      </c>
      <c r="J610" s="10">
        <v>1</v>
      </c>
      <c r="K610" s="57">
        <v>46143</v>
      </c>
      <c r="L610" s="55">
        <v>30000000</v>
      </c>
      <c r="M610" t="s">
        <v>2221</v>
      </c>
      <c r="N610" t="s">
        <v>2234</v>
      </c>
      <c r="O610" t="s">
        <v>2259</v>
      </c>
      <c r="P610" t="s">
        <v>2284</v>
      </c>
    </row>
    <row r="611" spans="1:16" x14ac:dyDescent="0.25">
      <c r="A611" s="51" t="s">
        <v>605</v>
      </c>
      <c r="B611" s="7" t="s">
        <v>2199</v>
      </c>
      <c r="C611" t="s">
        <v>374</v>
      </c>
      <c r="D611" s="7" t="s">
        <v>607</v>
      </c>
      <c r="E611" t="s">
        <v>288</v>
      </c>
      <c r="F611" s="7">
        <v>2</v>
      </c>
      <c r="G611" t="s">
        <v>609</v>
      </c>
      <c r="H611" s="59">
        <v>46113</v>
      </c>
      <c r="I611" t="s">
        <v>610</v>
      </c>
      <c r="J611" s="7">
        <v>1</v>
      </c>
      <c r="K611" s="1">
        <v>46113</v>
      </c>
      <c r="L611" s="56">
        <v>30000000</v>
      </c>
      <c r="M611" t="s">
        <v>2221</v>
      </c>
      <c r="N611" t="s">
        <v>2234</v>
      </c>
      <c r="O611" t="s">
        <v>2259</v>
      </c>
      <c r="P611" t="s">
        <v>2284</v>
      </c>
    </row>
    <row r="612" spans="1:16" x14ac:dyDescent="0.25">
      <c r="A612" s="50" t="s">
        <v>614</v>
      </c>
      <c r="B612" s="10" t="s">
        <v>2199</v>
      </c>
      <c r="C612" s="11" t="s">
        <v>374</v>
      </c>
      <c r="D612" s="10" t="s">
        <v>616</v>
      </c>
      <c r="E612" s="11" t="s">
        <v>618</v>
      </c>
      <c r="F612" s="10">
        <v>1</v>
      </c>
      <c r="G612" s="11" t="s">
        <v>590</v>
      </c>
      <c r="H612" s="58">
        <v>46082</v>
      </c>
      <c r="I612" s="11" t="s">
        <v>591</v>
      </c>
      <c r="J612" s="10">
        <v>1</v>
      </c>
      <c r="K612" s="57">
        <v>46082</v>
      </c>
      <c r="L612" s="55">
        <v>410000</v>
      </c>
      <c r="M612" t="s">
        <v>2222</v>
      </c>
      <c r="N612" t="s">
        <v>2234</v>
      </c>
      <c r="O612" t="s">
        <v>2260</v>
      </c>
      <c r="P612" t="s">
        <v>2284</v>
      </c>
    </row>
    <row r="613" spans="1:16" x14ac:dyDescent="0.25">
      <c r="A613" s="51" t="s">
        <v>683</v>
      </c>
      <c r="B613" s="7" t="s">
        <v>2199</v>
      </c>
      <c r="C613" t="s">
        <v>374</v>
      </c>
      <c r="D613" s="7" t="s">
        <v>684</v>
      </c>
      <c r="E613" t="s">
        <v>370</v>
      </c>
      <c r="F613" s="7">
        <v>1</v>
      </c>
      <c r="G613" t="s">
        <v>657</v>
      </c>
      <c r="H613" s="59">
        <v>46235</v>
      </c>
      <c r="I613" t="s">
        <v>658</v>
      </c>
      <c r="J613" s="7">
        <v>1</v>
      </c>
      <c r="K613" s="1">
        <v>46235</v>
      </c>
      <c r="L613" s="56">
        <v>225000</v>
      </c>
      <c r="M613" t="s">
        <v>2220</v>
      </c>
      <c r="N613" t="s">
        <v>2234</v>
      </c>
      <c r="O613" t="s">
        <v>2258</v>
      </c>
      <c r="P613" t="s">
        <v>2284</v>
      </c>
    </row>
    <row r="614" spans="1:16" x14ac:dyDescent="0.25">
      <c r="A614" s="50" t="s">
        <v>693</v>
      </c>
      <c r="B614" s="10" t="s">
        <v>2199</v>
      </c>
      <c r="C614" s="11" t="s">
        <v>374</v>
      </c>
      <c r="D614" s="10" t="s">
        <v>694</v>
      </c>
      <c r="E614" s="11" t="s">
        <v>486</v>
      </c>
      <c r="F614" s="10">
        <v>1</v>
      </c>
      <c r="G614" s="11" t="s">
        <v>657</v>
      </c>
      <c r="H614" s="58">
        <v>46054</v>
      </c>
      <c r="I614" s="11" t="s">
        <v>658</v>
      </c>
      <c r="J614" s="10">
        <v>1</v>
      </c>
      <c r="K614" s="57">
        <v>46054</v>
      </c>
      <c r="L614" s="55">
        <v>260000</v>
      </c>
      <c r="M614" t="s">
        <v>2220</v>
      </c>
      <c r="N614" t="s">
        <v>2234</v>
      </c>
      <c r="O614" t="s">
        <v>2258</v>
      </c>
      <c r="P614" t="s">
        <v>2284</v>
      </c>
    </row>
    <row r="615" spans="1:16" x14ac:dyDescent="0.25">
      <c r="A615" s="51" t="s">
        <v>699</v>
      </c>
      <c r="B615" s="7" t="s">
        <v>2199</v>
      </c>
      <c r="C615" t="s">
        <v>374</v>
      </c>
      <c r="D615" s="7" t="s">
        <v>700</v>
      </c>
      <c r="E615" t="s">
        <v>370</v>
      </c>
      <c r="F615" s="7">
        <v>2</v>
      </c>
      <c r="G615" t="s">
        <v>657</v>
      </c>
      <c r="H615" s="59">
        <v>46174</v>
      </c>
      <c r="I615" t="s">
        <v>658</v>
      </c>
      <c r="J615" s="7">
        <v>1</v>
      </c>
      <c r="K615" s="1">
        <v>46174</v>
      </c>
      <c r="L615" s="56">
        <v>450000</v>
      </c>
      <c r="M615" t="s">
        <v>2220</v>
      </c>
      <c r="N615" t="s">
        <v>2234</v>
      </c>
      <c r="O615" t="s">
        <v>2258</v>
      </c>
      <c r="P615" t="s">
        <v>2284</v>
      </c>
    </row>
    <row r="616" spans="1:16" x14ac:dyDescent="0.25">
      <c r="A616" s="50" t="s">
        <v>699</v>
      </c>
      <c r="B616" s="10" t="s">
        <v>2199</v>
      </c>
      <c r="C616" s="11" t="s">
        <v>374</v>
      </c>
      <c r="D616" s="10" t="s">
        <v>700</v>
      </c>
      <c r="E616" s="11" t="s">
        <v>370</v>
      </c>
      <c r="F616" s="10">
        <v>2</v>
      </c>
      <c r="G616" s="11" t="s">
        <v>657</v>
      </c>
      <c r="H616" s="58">
        <v>46357</v>
      </c>
      <c r="I616" s="11" t="s">
        <v>658</v>
      </c>
      <c r="J616" s="10">
        <v>1</v>
      </c>
      <c r="K616" s="57">
        <v>46357</v>
      </c>
      <c r="L616" s="55">
        <v>450000</v>
      </c>
      <c r="M616" t="s">
        <v>2220</v>
      </c>
      <c r="N616" t="s">
        <v>2234</v>
      </c>
      <c r="O616" t="s">
        <v>2258</v>
      </c>
      <c r="P616" t="s">
        <v>2284</v>
      </c>
    </row>
    <row r="617" spans="1:16" x14ac:dyDescent="0.25">
      <c r="A617" s="51" t="s">
        <v>702</v>
      </c>
      <c r="B617" s="7" t="s">
        <v>2199</v>
      </c>
      <c r="C617" t="s">
        <v>374</v>
      </c>
      <c r="D617" s="7" t="s">
        <v>703</v>
      </c>
      <c r="E617" t="s">
        <v>705</v>
      </c>
      <c r="F617" s="7">
        <v>1</v>
      </c>
      <c r="G617" t="s">
        <v>657</v>
      </c>
      <c r="H617" s="59">
        <v>46266</v>
      </c>
      <c r="I617" t="s">
        <v>658</v>
      </c>
      <c r="J617" s="7">
        <v>1</v>
      </c>
      <c r="K617" s="1">
        <v>46266</v>
      </c>
      <c r="L617" s="56">
        <v>625000</v>
      </c>
      <c r="M617" t="s">
        <v>2220</v>
      </c>
      <c r="N617" t="s">
        <v>2234</v>
      </c>
      <c r="O617" t="s">
        <v>2258</v>
      </c>
      <c r="P617" t="s">
        <v>2284</v>
      </c>
    </row>
    <row r="618" spans="1:16" x14ac:dyDescent="0.25">
      <c r="A618" s="50" t="s">
        <v>709</v>
      </c>
      <c r="B618" s="10" t="s">
        <v>2199</v>
      </c>
      <c r="C618" s="11" t="s">
        <v>374</v>
      </c>
      <c r="D618" s="10" t="s">
        <v>710</v>
      </c>
      <c r="E618" s="11" t="s">
        <v>712</v>
      </c>
      <c r="F618" s="10">
        <v>1</v>
      </c>
      <c r="G618" s="11" t="s">
        <v>590</v>
      </c>
      <c r="H618" s="58">
        <v>46082</v>
      </c>
      <c r="I618" s="11" t="s">
        <v>591</v>
      </c>
      <c r="J618" s="10">
        <v>1</v>
      </c>
      <c r="K618" s="57">
        <v>46082</v>
      </c>
      <c r="L618" s="55">
        <v>150000</v>
      </c>
      <c r="M618" t="s">
        <v>2222</v>
      </c>
      <c r="N618" t="s">
        <v>2234</v>
      </c>
      <c r="O618" t="s">
        <v>2260</v>
      </c>
      <c r="P618" t="s">
        <v>2284</v>
      </c>
    </row>
    <row r="619" spans="1:16" x14ac:dyDescent="0.25">
      <c r="A619" s="51" t="s">
        <v>737</v>
      </c>
      <c r="B619" s="7" t="s">
        <v>2199</v>
      </c>
      <c r="C619" t="s">
        <v>374</v>
      </c>
      <c r="D619" s="7" t="s">
        <v>738</v>
      </c>
      <c r="E619" t="s">
        <v>740</v>
      </c>
      <c r="F619" s="7">
        <v>2</v>
      </c>
      <c r="G619" t="s">
        <v>657</v>
      </c>
      <c r="H619" s="59">
        <v>46023</v>
      </c>
      <c r="I619" t="s">
        <v>658</v>
      </c>
      <c r="J619" s="7">
        <v>1</v>
      </c>
      <c r="K619" s="1">
        <v>46023</v>
      </c>
      <c r="L619" s="56">
        <v>2272800</v>
      </c>
      <c r="M619" t="s">
        <v>2220</v>
      </c>
      <c r="N619" t="s">
        <v>2234</v>
      </c>
      <c r="O619" t="s">
        <v>2258</v>
      </c>
      <c r="P619" t="s">
        <v>2284</v>
      </c>
    </row>
    <row r="620" spans="1:16" x14ac:dyDescent="0.25">
      <c r="A620" s="50" t="s">
        <v>737</v>
      </c>
      <c r="B620" s="10" t="s">
        <v>2199</v>
      </c>
      <c r="C620" s="11" t="s">
        <v>374</v>
      </c>
      <c r="D620" s="10" t="s">
        <v>738</v>
      </c>
      <c r="E620" s="11" t="s">
        <v>195</v>
      </c>
      <c r="F620" s="10">
        <v>2</v>
      </c>
      <c r="G620" s="11" t="s">
        <v>657</v>
      </c>
      <c r="H620" s="58">
        <v>46023</v>
      </c>
      <c r="I620" s="11" t="s">
        <v>658</v>
      </c>
      <c r="J620" s="10">
        <v>1</v>
      </c>
      <c r="K620" s="57">
        <v>46023</v>
      </c>
      <c r="L620" s="55">
        <v>500080</v>
      </c>
      <c r="M620" t="s">
        <v>2220</v>
      </c>
      <c r="N620" t="s">
        <v>2234</v>
      </c>
      <c r="O620" t="s">
        <v>2258</v>
      </c>
      <c r="P620" t="s">
        <v>2284</v>
      </c>
    </row>
    <row r="621" spans="1:16" x14ac:dyDescent="0.25">
      <c r="A621" s="51" t="s">
        <v>741</v>
      </c>
      <c r="B621" s="7" t="s">
        <v>2199</v>
      </c>
      <c r="C621" t="s">
        <v>374</v>
      </c>
      <c r="D621" s="7" t="s">
        <v>742</v>
      </c>
      <c r="E621" t="s">
        <v>486</v>
      </c>
      <c r="F621" s="7">
        <v>1</v>
      </c>
      <c r="G621" t="s">
        <v>657</v>
      </c>
      <c r="H621" s="59">
        <v>46082</v>
      </c>
      <c r="I621" t="s">
        <v>658</v>
      </c>
      <c r="J621" s="7">
        <v>1</v>
      </c>
      <c r="K621" s="1">
        <v>46082</v>
      </c>
      <c r="L621" s="56">
        <v>1468231</v>
      </c>
      <c r="M621" t="s">
        <v>2220</v>
      </c>
      <c r="N621" t="s">
        <v>2234</v>
      </c>
      <c r="O621" t="s">
        <v>2258</v>
      </c>
      <c r="P621" t="s">
        <v>2284</v>
      </c>
    </row>
    <row r="622" spans="1:16" x14ac:dyDescent="0.25">
      <c r="A622" s="50" t="s">
        <v>749</v>
      </c>
      <c r="B622" s="10" t="s">
        <v>2199</v>
      </c>
      <c r="C622" s="11" t="s">
        <v>374</v>
      </c>
      <c r="D622" s="10" t="s">
        <v>750</v>
      </c>
      <c r="E622" s="11" t="s">
        <v>752</v>
      </c>
      <c r="F622" s="10">
        <v>1</v>
      </c>
      <c r="G622" s="11" t="s">
        <v>657</v>
      </c>
      <c r="H622" s="58">
        <v>46113</v>
      </c>
      <c r="I622" s="11" t="s">
        <v>658</v>
      </c>
      <c r="J622" s="10">
        <v>1</v>
      </c>
      <c r="K622" s="57">
        <v>46113</v>
      </c>
      <c r="L622" s="55">
        <v>350000</v>
      </c>
      <c r="M622" t="s">
        <v>2220</v>
      </c>
      <c r="N622" t="s">
        <v>2234</v>
      </c>
      <c r="O622" t="s">
        <v>2258</v>
      </c>
      <c r="P622" t="s">
        <v>2284</v>
      </c>
    </row>
    <row r="623" spans="1:16" x14ac:dyDescent="0.25">
      <c r="A623" s="51" t="s">
        <v>753</v>
      </c>
      <c r="B623" s="7" t="s">
        <v>2199</v>
      </c>
      <c r="C623" t="s">
        <v>374</v>
      </c>
      <c r="D623" s="7" t="s">
        <v>754</v>
      </c>
      <c r="E623" t="s">
        <v>359</v>
      </c>
      <c r="F623" s="7">
        <v>1</v>
      </c>
      <c r="G623" t="s">
        <v>657</v>
      </c>
      <c r="H623" s="59">
        <v>46082</v>
      </c>
      <c r="I623" t="s">
        <v>658</v>
      </c>
      <c r="J623" s="7">
        <v>1</v>
      </c>
      <c r="K623" s="1">
        <v>46082</v>
      </c>
      <c r="L623" s="56">
        <v>1287890</v>
      </c>
      <c r="M623" t="s">
        <v>2220</v>
      </c>
      <c r="N623" t="s">
        <v>2234</v>
      </c>
      <c r="O623" t="s">
        <v>2258</v>
      </c>
      <c r="P623" t="s">
        <v>2284</v>
      </c>
    </row>
    <row r="624" spans="1:16" x14ac:dyDescent="0.25">
      <c r="A624" s="50" t="s">
        <v>765</v>
      </c>
      <c r="B624" s="10" t="s">
        <v>2199</v>
      </c>
      <c r="C624" s="11" t="s">
        <v>374</v>
      </c>
      <c r="D624" s="10" t="s">
        <v>766</v>
      </c>
      <c r="E624" s="11" t="s">
        <v>359</v>
      </c>
      <c r="F624" s="10">
        <v>4</v>
      </c>
      <c r="G624" s="11" t="s">
        <v>768</v>
      </c>
      <c r="H624" s="58">
        <v>46082</v>
      </c>
      <c r="I624" s="11" t="s">
        <v>386</v>
      </c>
      <c r="J624" s="10">
        <v>1</v>
      </c>
      <c r="K624" s="57">
        <v>46082</v>
      </c>
      <c r="L624" s="55">
        <v>180435</v>
      </c>
      <c r="M624" t="s">
        <v>2275</v>
      </c>
      <c r="N624" t="s">
        <v>2234</v>
      </c>
      <c r="O624" t="s">
        <v>2258</v>
      </c>
      <c r="P624" t="s">
        <v>2284</v>
      </c>
    </row>
    <row r="625" spans="1:16" x14ac:dyDescent="0.25">
      <c r="A625" s="51" t="s">
        <v>765</v>
      </c>
      <c r="B625" s="7" t="s">
        <v>2199</v>
      </c>
      <c r="C625" t="s">
        <v>374</v>
      </c>
      <c r="D625" s="7" t="s">
        <v>766</v>
      </c>
      <c r="E625" t="s">
        <v>771</v>
      </c>
      <c r="F625" s="7">
        <v>4</v>
      </c>
      <c r="G625" t="s">
        <v>768</v>
      </c>
      <c r="H625" s="59">
        <v>46082</v>
      </c>
      <c r="I625" t="s">
        <v>386</v>
      </c>
      <c r="J625" s="7">
        <v>1</v>
      </c>
      <c r="K625" s="1">
        <v>46082</v>
      </c>
      <c r="L625" s="56">
        <v>27000</v>
      </c>
      <c r="M625" t="s">
        <v>2275</v>
      </c>
      <c r="N625" t="s">
        <v>2234</v>
      </c>
      <c r="O625" t="s">
        <v>2258</v>
      </c>
      <c r="P625" t="s">
        <v>2284</v>
      </c>
    </row>
    <row r="626" spans="1:16" x14ac:dyDescent="0.25">
      <c r="A626" s="50" t="s">
        <v>765</v>
      </c>
      <c r="B626" s="10" t="s">
        <v>2199</v>
      </c>
      <c r="C626" s="11" t="s">
        <v>374</v>
      </c>
      <c r="D626" s="10" t="s">
        <v>766</v>
      </c>
      <c r="E626" s="11" t="s">
        <v>195</v>
      </c>
      <c r="F626" s="10">
        <v>4</v>
      </c>
      <c r="G626" s="11" t="s">
        <v>768</v>
      </c>
      <c r="H626" s="58">
        <v>46082</v>
      </c>
      <c r="I626" s="11" t="s">
        <v>386</v>
      </c>
      <c r="J626" s="10">
        <v>1</v>
      </c>
      <c r="K626" s="57">
        <v>46082</v>
      </c>
      <c r="L626" s="55">
        <v>24399</v>
      </c>
      <c r="M626" t="s">
        <v>2275</v>
      </c>
      <c r="N626" t="s">
        <v>2234</v>
      </c>
      <c r="O626" t="s">
        <v>2258</v>
      </c>
      <c r="P626" t="s">
        <v>2284</v>
      </c>
    </row>
    <row r="627" spans="1:16" x14ac:dyDescent="0.25">
      <c r="A627" s="51" t="s">
        <v>765</v>
      </c>
      <c r="B627" s="7" t="s">
        <v>2199</v>
      </c>
      <c r="C627" t="s">
        <v>374</v>
      </c>
      <c r="D627" s="7" t="s">
        <v>766</v>
      </c>
      <c r="E627" t="s">
        <v>772</v>
      </c>
      <c r="F627" s="7">
        <v>4</v>
      </c>
      <c r="G627" t="s">
        <v>768</v>
      </c>
      <c r="H627" s="59">
        <v>46082</v>
      </c>
      <c r="I627" t="s">
        <v>386</v>
      </c>
      <c r="J627" s="7">
        <v>1</v>
      </c>
      <c r="K627" s="1">
        <v>46082</v>
      </c>
      <c r="L627" s="56">
        <v>52000</v>
      </c>
      <c r="M627" t="s">
        <v>2275</v>
      </c>
      <c r="N627" t="s">
        <v>2234</v>
      </c>
      <c r="O627" t="s">
        <v>2258</v>
      </c>
      <c r="P627" t="s">
        <v>2284</v>
      </c>
    </row>
    <row r="628" spans="1:16" x14ac:dyDescent="0.25">
      <c r="A628" s="50" t="s">
        <v>782</v>
      </c>
      <c r="B628" s="10" t="s">
        <v>2199</v>
      </c>
      <c r="C628" s="11" t="s">
        <v>374</v>
      </c>
      <c r="D628" s="10" t="s">
        <v>784</v>
      </c>
      <c r="E628" s="11" t="s">
        <v>359</v>
      </c>
      <c r="F628" s="10">
        <v>2</v>
      </c>
      <c r="G628" s="11" t="s">
        <v>768</v>
      </c>
      <c r="H628" s="58">
        <v>46023</v>
      </c>
      <c r="I628" s="11" t="s">
        <v>386</v>
      </c>
      <c r="J628" s="10">
        <v>1</v>
      </c>
      <c r="K628" s="57">
        <v>46023</v>
      </c>
      <c r="L628" s="55">
        <v>118594</v>
      </c>
      <c r="M628" t="s">
        <v>2275</v>
      </c>
      <c r="N628" t="s">
        <v>2234</v>
      </c>
      <c r="O628" t="s">
        <v>2258</v>
      </c>
      <c r="P628" t="s">
        <v>2284</v>
      </c>
    </row>
    <row r="629" spans="1:16" x14ac:dyDescent="0.25">
      <c r="A629" s="51" t="s">
        <v>782</v>
      </c>
      <c r="B629" s="7" t="s">
        <v>2199</v>
      </c>
      <c r="C629" t="s">
        <v>374</v>
      </c>
      <c r="D629" s="7" t="s">
        <v>784</v>
      </c>
      <c r="E629" t="s">
        <v>786</v>
      </c>
      <c r="F629" s="7">
        <v>2</v>
      </c>
      <c r="G629" t="s">
        <v>768</v>
      </c>
      <c r="H629" s="59">
        <v>46023</v>
      </c>
      <c r="I629" t="s">
        <v>386</v>
      </c>
      <c r="J629" s="7">
        <v>1</v>
      </c>
      <c r="K629" s="1">
        <v>46023</v>
      </c>
      <c r="L629" s="56">
        <v>147830</v>
      </c>
      <c r="M629" t="s">
        <v>2275</v>
      </c>
      <c r="N629" t="s">
        <v>2234</v>
      </c>
      <c r="O629" t="s">
        <v>2258</v>
      </c>
      <c r="P629" t="s">
        <v>2284</v>
      </c>
    </row>
    <row r="630" spans="1:16" x14ac:dyDescent="0.25">
      <c r="A630" s="50" t="s">
        <v>794</v>
      </c>
      <c r="B630" s="10" t="s">
        <v>2199</v>
      </c>
      <c r="C630" s="11" t="s">
        <v>374</v>
      </c>
      <c r="D630" s="10" t="s">
        <v>795</v>
      </c>
      <c r="E630" s="11" t="s">
        <v>740</v>
      </c>
      <c r="F630" s="10">
        <v>3</v>
      </c>
      <c r="G630" s="11" t="s">
        <v>768</v>
      </c>
      <c r="H630" s="58">
        <v>46023</v>
      </c>
      <c r="I630" s="11" t="s">
        <v>386</v>
      </c>
      <c r="J630" s="10">
        <v>1</v>
      </c>
      <c r="K630" s="57">
        <v>46023</v>
      </c>
      <c r="L630" s="55">
        <v>25200</v>
      </c>
      <c r="M630" t="s">
        <v>2275</v>
      </c>
      <c r="N630" t="s">
        <v>2234</v>
      </c>
      <c r="O630" t="s">
        <v>2258</v>
      </c>
      <c r="P630" t="s">
        <v>2284</v>
      </c>
    </row>
    <row r="631" spans="1:16" x14ac:dyDescent="0.25">
      <c r="A631" s="51" t="s">
        <v>794</v>
      </c>
      <c r="B631" s="7" t="s">
        <v>2199</v>
      </c>
      <c r="C631" t="s">
        <v>374</v>
      </c>
      <c r="D631" s="7" t="s">
        <v>795</v>
      </c>
      <c r="E631" t="s">
        <v>798</v>
      </c>
      <c r="F631" s="7">
        <v>3</v>
      </c>
      <c r="G631" t="s">
        <v>768</v>
      </c>
      <c r="H631" s="59">
        <v>46023</v>
      </c>
      <c r="I631" t="s">
        <v>386</v>
      </c>
      <c r="J631" s="7">
        <v>1</v>
      </c>
      <c r="K631" s="1">
        <v>46023</v>
      </c>
      <c r="L631" s="56">
        <v>13600</v>
      </c>
      <c r="M631" t="s">
        <v>2275</v>
      </c>
      <c r="N631" t="s">
        <v>2234</v>
      </c>
      <c r="O631" t="s">
        <v>2258</v>
      </c>
      <c r="P631" t="s">
        <v>2284</v>
      </c>
    </row>
    <row r="632" spans="1:16" x14ac:dyDescent="0.25">
      <c r="A632" s="50" t="s">
        <v>794</v>
      </c>
      <c r="B632" s="10" t="s">
        <v>2199</v>
      </c>
      <c r="C632" s="11" t="s">
        <v>374</v>
      </c>
      <c r="D632" s="10" t="s">
        <v>795</v>
      </c>
      <c r="E632" s="11" t="s">
        <v>797</v>
      </c>
      <c r="F632" s="10">
        <v>3</v>
      </c>
      <c r="G632" s="11" t="s">
        <v>768</v>
      </c>
      <c r="H632" s="58">
        <v>46023</v>
      </c>
      <c r="I632" s="11" t="s">
        <v>386</v>
      </c>
      <c r="J632" s="10">
        <v>1</v>
      </c>
      <c r="K632" s="57">
        <v>46023</v>
      </c>
      <c r="L632" s="55">
        <v>464280</v>
      </c>
      <c r="M632" t="s">
        <v>2275</v>
      </c>
      <c r="N632" t="s">
        <v>2234</v>
      </c>
      <c r="O632" t="s">
        <v>2258</v>
      </c>
      <c r="P632" t="s">
        <v>2284</v>
      </c>
    </row>
    <row r="633" spans="1:16" x14ac:dyDescent="0.25">
      <c r="A633" s="51" t="s">
        <v>799</v>
      </c>
      <c r="B633" s="7" t="s">
        <v>2199</v>
      </c>
      <c r="C633" t="s">
        <v>374</v>
      </c>
      <c r="D633" s="7" t="s">
        <v>801</v>
      </c>
      <c r="E633" t="s">
        <v>359</v>
      </c>
      <c r="F633" s="7">
        <v>2</v>
      </c>
      <c r="G633" t="s">
        <v>768</v>
      </c>
      <c r="H633" s="59">
        <v>46054</v>
      </c>
      <c r="I633" t="s">
        <v>386</v>
      </c>
      <c r="J633" s="7">
        <v>1</v>
      </c>
      <c r="K633" s="1">
        <v>46054</v>
      </c>
      <c r="L633" s="56">
        <v>13052</v>
      </c>
      <c r="M633" t="s">
        <v>2275</v>
      </c>
      <c r="N633" t="s">
        <v>2234</v>
      </c>
      <c r="O633" t="s">
        <v>2258</v>
      </c>
      <c r="P633" t="s">
        <v>2284</v>
      </c>
    </row>
    <row r="634" spans="1:16" x14ac:dyDescent="0.25">
      <c r="A634" s="50" t="s">
        <v>799</v>
      </c>
      <c r="B634" s="10" t="s">
        <v>2199</v>
      </c>
      <c r="C634" s="11" t="s">
        <v>374</v>
      </c>
      <c r="D634" s="10" t="s">
        <v>801</v>
      </c>
      <c r="E634" s="11" t="s">
        <v>786</v>
      </c>
      <c r="F634" s="10">
        <v>2</v>
      </c>
      <c r="G634" s="11" t="s">
        <v>768</v>
      </c>
      <c r="H634" s="58">
        <v>46054</v>
      </c>
      <c r="I634" s="11" t="s">
        <v>386</v>
      </c>
      <c r="J634" s="10">
        <v>1</v>
      </c>
      <c r="K634" s="57">
        <v>46054</v>
      </c>
      <c r="L634" s="55">
        <v>72618</v>
      </c>
      <c r="M634" t="s">
        <v>2275</v>
      </c>
      <c r="N634" t="s">
        <v>2234</v>
      </c>
      <c r="O634" t="s">
        <v>2258</v>
      </c>
      <c r="P634" t="s">
        <v>2284</v>
      </c>
    </row>
    <row r="635" spans="1:16" x14ac:dyDescent="0.25">
      <c r="A635" s="51" t="s">
        <v>822</v>
      </c>
      <c r="B635" s="7" t="s">
        <v>2199</v>
      </c>
      <c r="C635" t="s">
        <v>374</v>
      </c>
      <c r="D635" s="7" t="s">
        <v>823</v>
      </c>
      <c r="E635" t="s">
        <v>359</v>
      </c>
      <c r="F635" s="7">
        <v>3</v>
      </c>
      <c r="G635" t="s">
        <v>768</v>
      </c>
      <c r="H635" s="59">
        <v>46023</v>
      </c>
      <c r="I635" t="s">
        <v>386</v>
      </c>
      <c r="J635" s="7">
        <v>1</v>
      </c>
      <c r="K635" s="1">
        <v>46023</v>
      </c>
      <c r="L635" s="56">
        <v>144000</v>
      </c>
      <c r="M635" t="s">
        <v>2275</v>
      </c>
      <c r="N635" t="s">
        <v>2234</v>
      </c>
      <c r="O635" t="s">
        <v>2258</v>
      </c>
      <c r="P635" t="s">
        <v>2284</v>
      </c>
    </row>
    <row r="636" spans="1:16" x14ac:dyDescent="0.25">
      <c r="A636" s="50" t="s">
        <v>822</v>
      </c>
      <c r="B636" s="10" t="s">
        <v>2199</v>
      </c>
      <c r="C636" s="11" t="s">
        <v>374</v>
      </c>
      <c r="D636" s="10" t="s">
        <v>823</v>
      </c>
      <c r="E636" s="11" t="s">
        <v>826</v>
      </c>
      <c r="F636" s="10">
        <v>3</v>
      </c>
      <c r="G636" s="11" t="s">
        <v>768</v>
      </c>
      <c r="H636" s="58">
        <v>46023</v>
      </c>
      <c r="I636" s="11" t="s">
        <v>386</v>
      </c>
      <c r="J636" s="10">
        <v>1</v>
      </c>
      <c r="K636" s="57">
        <v>46023</v>
      </c>
      <c r="L636" s="55">
        <v>116012</v>
      </c>
      <c r="M636" t="s">
        <v>2275</v>
      </c>
      <c r="N636" t="s">
        <v>2234</v>
      </c>
      <c r="O636" t="s">
        <v>2258</v>
      </c>
      <c r="P636" t="s">
        <v>2284</v>
      </c>
    </row>
    <row r="637" spans="1:16" x14ac:dyDescent="0.25">
      <c r="A637" s="51" t="s">
        <v>822</v>
      </c>
      <c r="B637" s="7" t="s">
        <v>2199</v>
      </c>
      <c r="C637" t="s">
        <v>374</v>
      </c>
      <c r="D637" s="7" t="s">
        <v>823</v>
      </c>
      <c r="E637" t="s">
        <v>825</v>
      </c>
      <c r="F637" s="7">
        <v>3</v>
      </c>
      <c r="G637" t="s">
        <v>768</v>
      </c>
      <c r="H637" s="59">
        <v>46023</v>
      </c>
      <c r="I637" t="s">
        <v>386</v>
      </c>
      <c r="J637" s="7">
        <v>1</v>
      </c>
      <c r="K637" s="1">
        <v>46023</v>
      </c>
      <c r="L637" s="56">
        <v>190000</v>
      </c>
      <c r="M637" t="s">
        <v>2275</v>
      </c>
      <c r="N637" t="s">
        <v>2234</v>
      </c>
      <c r="O637" t="s">
        <v>2258</v>
      </c>
      <c r="P637" t="s">
        <v>2284</v>
      </c>
    </row>
    <row r="638" spans="1:16" x14ac:dyDescent="0.25">
      <c r="A638" s="50" t="s">
        <v>841</v>
      </c>
      <c r="B638" s="10" t="s">
        <v>2199</v>
      </c>
      <c r="C638" s="11" t="s">
        <v>374</v>
      </c>
      <c r="D638" s="10" t="s">
        <v>843</v>
      </c>
      <c r="E638" s="11" t="s">
        <v>846</v>
      </c>
      <c r="F638" s="10">
        <v>2</v>
      </c>
      <c r="G638" s="11" t="s">
        <v>768</v>
      </c>
      <c r="H638" s="58">
        <v>46023</v>
      </c>
      <c r="I638" s="11" t="s">
        <v>386</v>
      </c>
      <c r="J638" s="10">
        <v>1</v>
      </c>
      <c r="K638" s="57">
        <v>46023</v>
      </c>
      <c r="L638" s="55">
        <v>45000</v>
      </c>
      <c r="M638" t="s">
        <v>2275</v>
      </c>
      <c r="N638" t="s">
        <v>2234</v>
      </c>
      <c r="O638" t="s">
        <v>2258</v>
      </c>
      <c r="P638" t="s">
        <v>2284</v>
      </c>
    </row>
    <row r="639" spans="1:16" x14ac:dyDescent="0.25">
      <c r="A639" s="51" t="s">
        <v>841</v>
      </c>
      <c r="B639" s="7" t="s">
        <v>2199</v>
      </c>
      <c r="C639" t="s">
        <v>374</v>
      </c>
      <c r="D639" s="7" t="s">
        <v>843</v>
      </c>
      <c r="E639" t="s">
        <v>845</v>
      </c>
      <c r="F639" s="7">
        <v>2</v>
      </c>
      <c r="G639" t="s">
        <v>768</v>
      </c>
      <c r="H639" s="59">
        <v>46023</v>
      </c>
      <c r="I639" t="s">
        <v>386</v>
      </c>
      <c r="J639" s="7">
        <v>1</v>
      </c>
      <c r="K639" s="1">
        <v>46023</v>
      </c>
      <c r="L639" s="56">
        <v>105000</v>
      </c>
      <c r="M639" t="s">
        <v>2275</v>
      </c>
      <c r="N639" t="s">
        <v>2234</v>
      </c>
      <c r="O639" t="s">
        <v>2258</v>
      </c>
      <c r="P639" t="s">
        <v>2284</v>
      </c>
    </row>
    <row r="640" spans="1:16" x14ac:dyDescent="0.25">
      <c r="A640" s="50" t="s">
        <v>847</v>
      </c>
      <c r="B640" s="10" t="s">
        <v>2199</v>
      </c>
      <c r="C640" s="11" t="s">
        <v>374</v>
      </c>
      <c r="D640" s="10" t="s">
        <v>848</v>
      </c>
      <c r="E640" s="11" t="s">
        <v>359</v>
      </c>
      <c r="F640" s="10">
        <v>2</v>
      </c>
      <c r="G640" s="11" t="s">
        <v>768</v>
      </c>
      <c r="H640" s="58">
        <v>46204</v>
      </c>
      <c r="I640" s="11" t="s">
        <v>386</v>
      </c>
      <c r="J640" s="10">
        <v>1</v>
      </c>
      <c r="K640" s="57">
        <v>46204</v>
      </c>
      <c r="L640" s="55">
        <v>37792</v>
      </c>
      <c r="M640" t="s">
        <v>2275</v>
      </c>
      <c r="N640" t="s">
        <v>2234</v>
      </c>
      <c r="O640" t="s">
        <v>2258</v>
      </c>
      <c r="P640" t="s">
        <v>2284</v>
      </c>
    </row>
    <row r="641" spans="1:16" x14ac:dyDescent="0.25">
      <c r="A641" s="51" t="s">
        <v>847</v>
      </c>
      <c r="B641" s="7" t="s">
        <v>2199</v>
      </c>
      <c r="C641" t="s">
        <v>374</v>
      </c>
      <c r="D641" s="7" t="s">
        <v>848</v>
      </c>
      <c r="E641" t="s">
        <v>850</v>
      </c>
      <c r="F641" s="7">
        <v>2</v>
      </c>
      <c r="G641" t="s">
        <v>768</v>
      </c>
      <c r="H641" s="59">
        <v>46204</v>
      </c>
      <c r="I641" t="s">
        <v>386</v>
      </c>
      <c r="J641" s="7">
        <v>1</v>
      </c>
      <c r="K641" s="1">
        <v>46204</v>
      </c>
      <c r="L641" s="56">
        <v>35001</v>
      </c>
      <c r="M641" t="s">
        <v>2275</v>
      </c>
      <c r="N641" t="s">
        <v>2234</v>
      </c>
      <c r="O641" t="s">
        <v>2258</v>
      </c>
      <c r="P641" t="s">
        <v>2284</v>
      </c>
    </row>
    <row r="642" spans="1:16" x14ac:dyDescent="0.25">
      <c r="A642" s="50" t="s">
        <v>851</v>
      </c>
      <c r="B642" s="10" t="s">
        <v>2199</v>
      </c>
      <c r="C642" s="11" t="s">
        <v>374</v>
      </c>
      <c r="D642" s="10" t="s">
        <v>852</v>
      </c>
      <c r="E642" s="11" t="s">
        <v>854</v>
      </c>
      <c r="F642" s="10">
        <v>3</v>
      </c>
      <c r="G642" s="11" t="s">
        <v>768</v>
      </c>
      <c r="H642" s="58">
        <v>46235</v>
      </c>
      <c r="I642" s="11" t="s">
        <v>386</v>
      </c>
      <c r="J642" s="10">
        <v>1</v>
      </c>
      <c r="K642" s="57">
        <v>46235</v>
      </c>
      <c r="L642" s="55">
        <v>74022</v>
      </c>
      <c r="M642" t="s">
        <v>2275</v>
      </c>
      <c r="N642" t="s">
        <v>2234</v>
      </c>
      <c r="O642" t="s">
        <v>2258</v>
      </c>
      <c r="P642" t="s">
        <v>2284</v>
      </c>
    </row>
    <row r="643" spans="1:16" x14ac:dyDescent="0.25">
      <c r="A643" s="51" t="s">
        <v>851</v>
      </c>
      <c r="B643" s="7" t="s">
        <v>2199</v>
      </c>
      <c r="C643" t="s">
        <v>374</v>
      </c>
      <c r="D643" s="7" t="s">
        <v>852</v>
      </c>
      <c r="E643" t="s">
        <v>855</v>
      </c>
      <c r="F643" s="7">
        <v>3</v>
      </c>
      <c r="G643" t="s">
        <v>768</v>
      </c>
      <c r="H643" s="59">
        <v>46235</v>
      </c>
      <c r="I643" t="s">
        <v>386</v>
      </c>
      <c r="J643" s="7">
        <v>1</v>
      </c>
      <c r="K643" s="1">
        <v>46235</v>
      </c>
      <c r="L643" s="56">
        <v>15000</v>
      </c>
      <c r="M643" t="s">
        <v>2275</v>
      </c>
      <c r="N643" t="s">
        <v>2234</v>
      </c>
      <c r="O643" t="s">
        <v>2258</v>
      </c>
      <c r="P643" t="s">
        <v>2284</v>
      </c>
    </row>
    <row r="644" spans="1:16" x14ac:dyDescent="0.25">
      <c r="A644" s="50" t="s">
        <v>851</v>
      </c>
      <c r="B644" s="10" t="s">
        <v>2199</v>
      </c>
      <c r="C644" s="11" t="s">
        <v>374</v>
      </c>
      <c r="D644" s="10" t="s">
        <v>852</v>
      </c>
      <c r="E644" s="11" t="s">
        <v>602</v>
      </c>
      <c r="F644" s="10">
        <v>3</v>
      </c>
      <c r="G644" s="11" t="s">
        <v>768</v>
      </c>
      <c r="H644" s="58">
        <v>46235</v>
      </c>
      <c r="I644" s="11" t="s">
        <v>386</v>
      </c>
      <c r="J644" s="10">
        <v>1</v>
      </c>
      <c r="K644" s="57">
        <v>46235</v>
      </c>
      <c r="L644" s="55">
        <v>500000</v>
      </c>
      <c r="M644" t="s">
        <v>2275</v>
      </c>
      <c r="N644" t="s">
        <v>2234</v>
      </c>
      <c r="O644" t="s">
        <v>2258</v>
      </c>
      <c r="P644" t="s">
        <v>2284</v>
      </c>
    </row>
    <row r="645" spans="1:16" x14ac:dyDescent="0.25">
      <c r="A645" s="51" t="s">
        <v>856</v>
      </c>
      <c r="B645" s="7" t="s">
        <v>2199</v>
      </c>
      <c r="C645" t="s">
        <v>374</v>
      </c>
      <c r="D645" s="7" t="s">
        <v>857</v>
      </c>
      <c r="E645" t="s">
        <v>859</v>
      </c>
      <c r="F645" s="7">
        <v>1</v>
      </c>
      <c r="G645" t="s">
        <v>768</v>
      </c>
      <c r="H645" s="59">
        <v>46082</v>
      </c>
      <c r="I645" t="s">
        <v>386</v>
      </c>
      <c r="J645" s="7">
        <v>1</v>
      </c>
      <c r="K645" s="1">
        <v>46082</v>
      </c>
      <c r="L645" s="56">
        <v>300000</v>
      </c>
      <c r="M645" t="s">
        <v>2275</v>
      </c>
      <c r="N645" t="s">
        <v>2234</v>
      </c>
      <c r="O645" t="s">
        <v>2258</v>
      </c>
      <c r="P645" t="s">
        <v>2284</v>
      </c>
    </row>
    <row r="646" spans="1:16" x14ac:dyDescent="0.25">
      <c r="A646" s="50" t="s">
        <v>915</v>
      </c>
      <c r="B646" s="10" t="s">
        <v>2199</v>
      </c>
      <c r="C646" s="11" t="s">
        <v>374</v>
      </c>
      <c r="D646" s="10" t="s">
        <v>916</v>
      </c>
      <c r="E646" s="11" t="s">
        <v>359</v>
      </c>
      <c r="F646" s="10">
        <v>4</v>
      </c>
      <c r="G646" s="11" t="s">
        <v>768</v>
      </c>
      <c r="H646" s="58">
        <v>46327</v>
      </c>
      <c r="I646" s="11" t="s">
        <v>386</v>
      </c>
      <c r="J646" s="10">
        <v>1</v>
      </c>
      <c r="K646" s="57">
        <v>46327</v>
      </c>
      <c r="L646" s="55">
        <v>85250</v>
      </c>
      <c r="M646" t="s">
        <v>2275</v>
      </c>
      <c r="N646" t="s">
        <v>2234</v>
      </c>
      <c r="O646" t="s">
        <v>2258</v>
      </c>
      <c r="P646" t="s">
        <v>2284</v>
      </c>
    </row>
    <row r="647" spans="1:16" x14ac:dyDescent="0.25">
      <c r="A647" s="51" t="s">
        <v>915</v>
      </c>
      <c r="B647" s="7" t="s">
        <v>2199</v>
      </c>
      <c r="C647" t="s">
        <v>374</v>
      </c>
      <c r="D647" s="7" t="s">
        <v>916</v>
      </c>
      <c r="E647" t="s">
        <v>918</v>
      </c>
      <c r="F647" s="7">
        <v>4</v>
      </c>
      <c r="G647" t="s">
        <v>768</v>
      </c>
      <c r="H647" s="59">
        <v>46327</v>
      </c>
      <c r="I647" t="s">
        <v>386</v>
      </c>
      <c r="J647" s="7">
        <v>1</v>
      </c>
      <c r="K647" s="1">
        <v>46327</v>
      </c>
      <c r="L647" s="56">
        <v>23700</v>
      </c>
      <c r="M647" t="s">
        <v>2275</v>
      </c>
      <c r="N647" t="s">
        <v>2234</v>
      </c>
      <c r="O647" t="s">
        <v>2258</v>
      </c>
      <c r="P647" t="s">
        <v>2284</v>
      </c>
    </row>
    <row r="648" spans="1:16" x14ac:dyDescent="0.25">
      <c r="A648" s="50" t="s">
        <v>915</v>
      </c>
      <c r="B648" s="10" t="s">
        <v>2199</v>
      </c>
      <c r="C648" s="11" t="s">
        <v>374</v>
      </c>
      <c r="D648" s="10" t="s">
        <v>916</v>
      </c>
      <c r="E648" s="11" t="s">
        <v>786</v>
      </c>
      <c r="F648" s="10">
        <v>4</v>
      </c>
      <c r="G648" s="11" t="s">
        <v>768</v>
      </c>
      <c r="H648" s="58">
        <v>46327</v>
      </c>
      <c r="I648" s="11" t="s">
        <v>386</v>
      </c>
      <c r="J648" s="10">
        <v>1</v>
      </c>
      <c r="K648" s="57">
        <v>46327</v>
      </c>
      <c r="L648" s="55">
        <v>40920</v>
      </c>
      <c r="M648" t="s">
        <v>2275</v>
      </c>
      <c r="N648" t="s">
        <v>2234</v>
      </c>
      <c r="O648" t="s">
        <v>2258</v>
      </c>
      <c r="P648" t="s">
        <v>2284</v>
      </c>
    </row>
    <row r="649" spans="1:16" x14ac:dyDescent="0.25">
      <c r="A649" s="51" t="s">
        <v>915</v>
      </c>
      <c r="B649" s="7" t="s">
        <v>2199</v>
      </c>
      <c r="C649" t="s">
        <v>374</v>
      </c>
      <c r="D649" s="7" t="s">
        <v>916</v>
      </c>
      <c r="E649" t="s">
        <v>602</v>
      </c>
      <c r="F649" s="7">
        <v>4</v>
      </c>
      <c r="G649" t="s">
        <v>768</v>
      </c>
      <c r="H649" s="59">
        <v>46327</v>
      </c>
      <c r="I649" t="s">
        <v>386</v>
      </c>
      <c r="J649" s="7">
        <v>1</v>
      </c>
      <c r="K649" s="1">
        <v>46327</v>
      </c>
      <c r="L649" s="56">
        <v>250000</v>
      </c>
      <c r="M649" t="s">
        <v>2275</v>
      </c>
      <c r="N649" t="s">
        <v>2234</v>
      </c>
      <c r="O649" t="s">
        <v>2258</v>
      </c>
      <c r="P649" t="s">
        <v>2284</v>
      </c>
    </row>
    <row r="650" spans="1:16" x14ac:dyDescent="0.25">
      <c r="A650" s="50" t="s">
        <v>919</v>
      </c>
      <c r="B650" s="10" t="s">
        <v>2199</v>
      </c>
      <c r="C650" s="11" t="s">
        <v>374</v>
      </c>
      <c r="D650" s="10" t="s">
        <v>920</v>
      </c>
      <c r="E650" s="11" t="s">
        <v>786</v>
      </c>
      <c r="F650" s="10">
        <v>1</v>
      </c>
      <c r="G650" s="11" t="s">
        <v>768</v>
      </c>
      <c r="H650" s="58">
        <v>46023</v>
      </c>
      <c r="I650" s="11" t="s">
        <v>386</v>
      </c>
      <c r="J650" s="10">
        <v>1</v>
      </c>
      <c r="K650" s="57">
        <v>46023</v>
      </c>
      <c r="L650" s="55">
        <v>159016</v>
      </c>
      <c r="M650" t="s">
        <v>2275</v>
      </c>
      <c r="N650" t="s">
        <v>2234</v>
      </c>
      <c r="O650" t="s">
        <v>2258</v>
      </c>
      <c r="P650" t="s">
        <v>2284</v>
      </c>
    </row>
    <row r="651" spans="1:16" x14ac:dyDescent="0.25">
      <c r="A651" s="51" t="s">
        <v>927</v>
      </c>
      <c r="B651" s="7" t="s">
        <v>2199</v>
      </c>
      <c r="C651" t="s">
        <v>374</v>
      </c>
      <c r="D651" s="7" t="s">
        <v>928</v>
      </c>
      <c r="E651" t="s">
        <v>359</v>
      </c>
      <c r="F651" s="7">
        <v>3</v>
      </c>
      <c r="G651" t="s">
        <v>768</v>
      </c>
      <c r="H651" s="59">
        <v>46054</v>
      </c>
      <c r="I651" t="s">
        <v>386</v>
      </c>
      <c r="J651" s="7">
        <v>1</v>
      </c>
      <c r="K651" s="1">
        <v>46054</v>
      </c>
      <c r="L651" s="56">
        <v>392191</v>
      </c>
      <c r="M651" t="s">
        <v>2275</v>
      </c>
      <c r="N651" t="s">
        <v>2234</v>
      </c>
      <c r="O651" t="s">
        <v>2258</v>
      </c>
      <c r="P651" t="s">
        <v>2284</v>
      </c>
    </row>
    <row r="652" spans="1:16" x14ac:dyDescent="0.25">
      <c r="A652" s="50" t="s">
        <v>927</v>
      </c>
      <c r="B652" s="10" t="s">
        <v>2199</v>
      </c>
      <c r="C652" s="11" t="s">
        <v>374</v>
      </c>
      <c r="D652" s="10" t="s">
        <v>928</v>
      </c>
      <c r="E652" s="11" t="s">
        <v>855</v>
      </c>
      <c r="F652" s="10">
        <v>3</v>
      </c>
      <c r="G652" s="11" t="s">
        <v>768</v>
      </c>
      <c r="H652" s="58">
        <v>46054</v>
      </c>
      <c r="I652" s="11" t="s">
        <v>386</v>
      </c>
      <c r="J652" s="10">
        <v>1</v>
      </c>
      <c r="K652" s="57">
        <v>46054</v>
      </c>
      <c r="L652" s="55">
        <v>39600</v>
      </c>
      <c r="M652" t="s">
        <v>2275</v>
      </c>
      <c r="N652" t="s">
        <v>2234</v>
      </c>
      <c r="O652" t="s">
        <v>2258</v>
      </c>
      <c r="P652" t="s">
        <v>2284</v>
      </c>
    </row>
    <row r="653" spans="1:16" x14ac:dyDescent="0.25">
      <c r="A653" s="51" t="s">
        <v>927</v>
      </c>
      <c r="B653" s="7" t="s">
        <v>2199</v>
      </c>
      <c r="C653" t="s">
        <v>374</v>
      </c>
      <c r="D653" s="7" t="s">
        <v>928</v>
      </c>
      <c r="E653" t="s">
        <v>602</v>
      </c>
      <c r="F653" s="7">
        <v>3</v>
      </c>
      <c r="G653" t="s">
        <v>768</v>
      </c>
      <c r="H653" s="59">
        <v>46054</v>
      </c>
      <c r="I653" t="s">
        <v>386</v>
      </c>
      <c r="J653" s="7">
        <v>1</v>
      </c>
      <c r="K653" s="1">
        <v>46054</v>
      </c>
      <c r="L653" s="56">
        <v>700000</v>
      </c>
      <c r="M653" t="s">
        <v>2275</v>
      </c>
      <c r="N653" t="s">
        <v>2234</v>
      </c>
      <c r="O653" t="s">
        <v>2258</v>
      </c>
      <c r="P653" t="s">
        <v>2284</v>
      </c>
    </row>
    <row r="654" spans="1:16" x14ac:dyDescent="0.25">
      <c r="A654" s="50" t="s">
        <v>1030</v>
      </c>
      <c r="B654" s="10" t="s">
        <v>2199</v>
      </c>
      <c r="C654" s="11" t="s">
        <v>374</v>
      </c>
      <c r="D654" s="10" t="s">
        <v>1032</v>
      </c>
      <c r="E654" s="11" t="s">
        <v>359</v>
      </c>
      <c r="F654" s="10">
        <v>2</v>
      </c>
      <c r="G654" s="11" t="s">
        <v>1035</v>
      </c>
      <c r="H654" s="58">
        <v>46082</v>
      </c>
      <c r="I654" s="11" t="s">
        <v>1036</v>
      </c>
      <c r="J654" s="10">
        <v>1</v>
      </c>
      <c r="K654" s="57">
        <v>46082</v>
      </c>
      <c r="L654" s="55">
        <v>9200000</v>
      </c>
      <c r="M654" t="s">
        <v>2230</v>
      </c>
      <c r="N654" t="s">
        <v>2227</v>
      </c>
      <c r="O654" t="s">
        <v>2261</v>
      </c>
      <c r="P654" t="s">
        <v>2284</v>
      </c>
    </row>
    <row r="655" spans="1:16" x14ac:dyDescent="0.25">
      <c r="A655" s="51" t="s">
        <v>1030</v>
      </c>
      <c r="B655" s="7" t="s">
        <v>2199</v>
      </c>
      <c r="C655" t="s">
        <v>374</v>
      </c>
      <c r="D655" s="7" t="s">
        <v>1032</v>
      </c>
      <c r="E655" t="s">
        <v>1034</v>
      </c>
      <c r="F655" s="7">
        <v>2</v>
      </c>
      <c r="G655" t="s">
        <v>1035</v>
      </c>
      <c r="H655" s="59">
        <v>46082</v>
      </c>
      <c r="I655" t="s">
        <v>1036</v>
      </c>
      <c r="J655" s="7">
        <v>1</v>
      </c>
      <c r="K655" s="1">
        <v>46082</v>
      </c>
      <c r="L655" s="56">
        <v>21200000</v>
      </c>
      <c r="M655" t="s">
        <v>2230</v>
      </c>
      <c r="N655" t="s">
        <v>2227</v>
      </c>
      <c r="O655" t="s">
        <v>2261</v>
      </c>
      <c r="P655" t="s">
        <v>2284</v>
      </c>
    </row>
    <row r="656" spans="1:16" x14ac:dyDescent="0.25">
      <c r="A656" s="50" t="s">
        <v>1052</v>
      </c>
      <c r="B656" s="10" t="s">
        <v>2199</v>
      </c>
      <c r="C656" s="11" t="s">
        <v>374</v>
      </c>
      <c r="D656" s="10" t="s">
        <v>1053</v>
      </c>
      <c r="E656" s="11" t="s">
        <v>359</v>
      </c>
      <c r="F656" s="10">
        <v>2</v>
      </c>
      <c r="G656" s="11" t="s">
        <v>768</v>
      </c>
      <c r="H656" s="58">
        <v>46082</v>
      </c>
      <c r="I656" s="11" t="s">
        <v>386</v>
      </c>
      <c r="J656" s="10">
        <v>1</v>
      </c>
      <c r="K656" s="57">
        <v>46082</v>
      </c>
      <c r="L656" s="55">
        <v>176460</v>
      </c>
      <c r="M656" t="s">
        <v>2275</v>
      </c>
      <c r="N656" t="s">
        <v>2234</v>
      </c>
      <c r="O656" t="s">
        <v>2258</v>
      </c>
      <c r="P656" t="s">
        <v>2284</v>
      </c>
    </row>
    <row r="657" spans="1:16" x14ac:dyDescent="0.25">
      <c r="A657" s="51" t="s">
        <v>1052</v>
      </c>
      <c r="B657" s="7" t="s">
        <v>2199</v>
      </c>
      <c r="C657" t="s">
        <v>374</v>
      </c>
      <c r="D657" s="7" t="s">
        <v>1053</v>
      </c>
      <c r="E657" t="s">
        <v>855</v>
      </c>
      <c r="F657" s="7">
        <v>2</v>
      </c>
      <c r="G657" t="s">
        <v>768</v>
      </c>
      <c r="H657" s="59">
        <v>46082</v>
      </c>
      <c r="I657" t="s">
        <v>386</v>
      </c>
      <c r="J657" s="7">
        <v>1</v>
      </c>
      <c r="K657" s="1">
        <v>46082</v>
      </c>
      <c r="L657" s="56">
        <v>35400</v>
      </c>
      <c r="M657" t="s">
        <v>2275</v>
      </c>
      <c r="N657" t="s">
        <v>2234</v>
      </c>
      <c r="O657" t="s">
        <v>2258</v>
      </c>
      <c r="P657" t="s">
        <v>2284</v>
      </c>
    </row>
    <row r="658" spans="1:16" x14ac:dyDescent="0.25">
      <c r="A658" s="50" t="s">
        <v>1055</v>
      </c>
      <c r="B658" s="10" t="s">
        <v>2199</v>
      </c>
      <c r="C658" s="11" t="s">
        <v>374</v>
      </c>
      <c r="D658" s="10" t="s">
        <v>1056</v>
      </c>
      <c r="E658" s="11" t="s">
        <v>359</v>
      </c>
      <c r="F658" s="10">
        <v>4</v>
      </c>
      <c r="G658" s="11" t="s">
        <v>768</v>
      </c>
      <c r="H658" s="58">
        <v>46082</v>
      </c>
      <c r="I658" s="11" t="s">
        <v>386</v>
      </c>
      <c r="J658" s="10">
        <v>1</v>
      </c>
      <c r="K658" s="57">
        <v>46082</v>
      </c>
      <c r="L658" s="55">
        <v>176460</v>
      </c>
      <c r="M658" t="s">
        <v>2275</v>
      </c>
      <c r="N658" t="s">
        <v>2234</v>
      </c>
      <c r="O658" t="s">
        <v>2258</v>
      </c>
      <c r="P658" t="s">
        <v>2284</v>
      </c>
    </row>
    <row r="659" spans="1:16" x14ac:dyDescent="0.25">
      <c r="A659" s="51" t="s">
        <v>1055</v>
      </c>
      <c r="B659" s="7" t="s">
        <v>2199</v>
      </c>
      <c r="C659" t="s">
        <v>374</v>
      </c>
      <c r="D659" s="7" t="s">
        <v>1056</v>
      </c>
      <c r="E659" t="s">
        <v>486</v>
      </c>
      <c r="F659" s="7">
        <v>4</v>
      </c>
      <c r="G659" t="s">
        <v>768</v>
      </c>
      <c r="H659" s="59">
        <v>46082</v>
      </c>
      <c r="I659" t="s">
        <v>386</v>
      </c>
      <c r="J659" s="7">
        <v>1</v>
      </c>
      <c r="K659" s="1">
        <v>46082</v>
      </c>
      <c r="L659" s="56">
        <v>15000</v>
      </c>
      <c r="M659" t="s">
        <v>2275</v>
      </c>
      <c r="N659" t="s">
        <v>2234</v>
      </c>
      <c r="O659" t="s">
        <v>2258</v>
      </c>
      <c r="P659" t="s">
        <v>2284</v>
      </c>
    </row>
    <row r="660" spans="1:16" x14ac:dyDescent="0.25">
      <c r="A660" s="50" t="s">
        <v>1055</v>
      </c>
      <c r="B660" s="10" t="s">
        <v>2199</v>
      </c>
      <c r="C660" s="11" t="s">
        <v>374</v>
      </c>
      <c r="D660" s="10" t="s">
        <v>1056</v>
      </c>
      <c r="E660" s="11" t="s">
        <v>855</v>
      </c>
      <c r="F660" s="10">
        <v>4</v>
      </c>
      <c r="G660" s="11" t="s">
        <v>768</v>
      </c>
      <c r="H660" s="58">
        <v>46082</v>
      </c>
      <c r="I660" s="11" t="s">
        <v>386</v>
      </c>
      <c r="J660" s="10">
        <v>1</v>
      </c>
      <c r="K660" s="57">
        <v>46082</v>
      </c>
      <c r="L660" s="55">
        <v>20400</v>
      </c>
      <c r="M660" t="s">
        <v>2275</v>
      </c>
      <c r="N660" t="s">
        <v>2234</v>
      </c>
      <c r="O660" t="s">
        <v>2258</v>
      </c>
      <c r="P660" t="s">
        <v>2284</v>
      </c>
    </row>
    <row r="661" spans="1:16" x14ac:dyDescent="0.25">
      <c r="A661" s="51" t="s">
        <v>1055</v>
      </c>
      <c r="B661" s="7" t="s">
        <v>2199</v>
      </c>
      <c r="C661" t="s">
        <v>374</v>
      </c>
      <c r="D661" s="7" t="s">
        <v>1056</v>
      </c>
      <c r="E661" t="s">
        <v>1058</v>
      </c>
      <c r="F661" s="7">
        <v>4</v>
      </c>
      <c r="G661" t="s">
        <v>768</v>
      </c>
      <c r="H661" s="59">
        <v>46082</v>
      </c>
      <c r="I661" t="s">
        <v>386</v>
      </c>
      <c r="J661" s="7">
        <v>1</v>
      </c>
      <c r="K661" s="1">
        <v>46082</v>
      </c>
      <c r="L661" s="56">
        <v>52000</v>
      </c>
      <c r="M661" t="s">
        <v>2275</v>
      </c>
      <c r="N661" t="s">
        <v>2234</v>
      </c>
      <c r="O661" t="s">
        <v>2258</v>
      </c>
      <c r="P661" t="s">
        <v>2284</v>
      </c>
    </row>
    <row r="662" spans="1:16" x14ac:dyDescent="0.25">
      <c r="A662" s="50" t="s">
        <v>1066</v>
      </c>
      <c r="B662" s="10" t="s">
        <v>2199</v>
      </c>
      <c r="C662" s="11" t="s">
        <v>374</v>
      </c>
      <c r="D662" s="10" t="s">
        <v>1067</v>
      </c>
      <c r="E662" s="11" t="s">
        <v>486</v>
      </c>
      <c r="F662" s="10">
        <v>2</v>
      </c>
      <c r="G662" s="11" t="s">
        <v>790</v>
      </c>
      <c r="H662" s="58">
        <v>46266</v>
      </c>
      <c r="I662" s="11" t="s">
        <v>791</v>
      </c>
      <c r="J662" s="10">
        <v>1</v>
      </c>
      <c r="K662" s="57">
        <v>46296</v>
      </c>
      <c r="L662" s="55">
        <v>250000</v>
      </c>
      <c r="M662" t="s">
        <v>2232</v>
      </c>
      <c r="N662" t="s">
        <v>2234</v>
      </c>
      <c r="O662" t="s">
        <v>2265</v>
      </c>
      <c r="P662" t="s">
        <v>2284</v>
      </c>
    </row>
    <row r="663" spans="1:16" x14ac:dyDescent="0.25">
      <c r="A663" s="51" t="s">
        <v>1066</v>
      </c>
      <c r="B663" s="7" t="s">
        <v>2199</v>
      </c>
      <c r="C663" t="s">
        <v>374</v>
      </c>
      <c r="D663" s="7" t="s">
        <v>1067</v>
      </c>
      <c r="E663" t="s">
        <v>602</v>
      </c>
      <c r="F663" s="7">
        <v>2</v>
      </c>
      <c r="G663" t="s">
        <v>790</v>
      </c>
      <c r="H663" s="59">
        <v>46296</v>
      </c>
      <c r="I663" t="s">
        <v>791</v>
      </c>
      <c r="J663" s="7">
        <v>1</v>
      </c>
      <c r="K663" s="1">
        <v>46296</v>
      </c>
      <c r="L663" s="56">
        <v>1500000</v>
      </c>
      <c r="M663" t="s">
        <v>2232</v>
      </c>
      <c r="N663" t="s">
        <v>2234</v>
      </c>
      <c r="O663" t="s">
        <v>2265</v>
      </c>
      <c r="P663" t="s">
        <v>2284</v>
      </c>
    </row>
    <row r="664" spans="1:16" x14ac:dyDescent="0.25">
      <c r="A664" s="50" t="s">
        <v>1143</v>
      </c>
      <c r="B664" s="10" t="s">
        <v>2199</v>
      </c>
      <c r="C664" s="11" t="s">
        <v>374</v>
      </c>
      <c r="D664" s="10" t="s">
        <v>1144</v>
      </c>
      <c r="E664" s="11" t="s">
        <v>359</v>
      </c>
      <c r="F664" s="10">
        <v>4</v>
      </c>
      <c r="G664" s="11" t="s">
        <v>768</v>
      </c>
      <c r="H664" s="58">
        <v>46235</v>
      </c>
      <c r="I664" s="11" t="s">
        <v>386</v>
      </c>
      <c r="J664" s="10">
        <v>1</v>
      </c>
      <c r="K664" s="57">
        <v>46235</v>
      </c>
      <c r="L664" s="55">
        <v>89504</v>
      </c>
      <c r="M664" t="s">
        <v>2275</v>
      </c>
      <c r="N664" t="s">
        <v>2234</v>
      </c>
      <c r="O664" t="s">
        <v>2258</v>
      </c>
      <c r="P664" t="s">
        <v>2284</v>
      </c>
    </row>
    <row r="665" spans="1:16" x14ac:dyDescent="0.25">
      <c r="A665" s="51" t="s">
        <v>1143</v>
      </c>
      <c r="B665" s="7" t="s">
        <v>2199</v>
      </c>
      <c r="C665" t="s">
        <v>374</v>
      </c>
      <c r="D665" s="7" t="s">
        <v>1144</v>
      </c>
      <c r="E665" t="s">
        <v>1148</v>
      </c>
      <c r="F665" s="7">
        <v>4</v>
      </c>
      <c r="G665" t="s">
        <v>768</v>
      </c>
      <c r="H665" s="59">
        <v>46235</v>
      </c>
      <c r="I665" t="s">
        <v>386</v>
      </c>
      <c r="J665" s="7">
        <v>1</v>
      </c>
      <c r="K665" s="1">
        <v>46235</v>
      </c>
      <c r="L665" s="56">
        <v>110000</v>
      </c>
      <c r="M665" t="s">
        <v>2275</v>
      </c>
      <c r="N665" t="s">
        <v>2234</v>
      </c>
      <c r="O665" t="s">
        <v>2258</v>
      </c>
      <c r="P665" t="s">
        <v>2284</v>
      </c>
    </row>
    <row r="666" spans="1:16" x14ac:dyDescent="0.25">
      <c r="A666" s="50" t="s">
        <v>1143</v>
      </c>
      <c r="B666" s="10" t="s">
        <v>2199</v>
      </c>
      <c r="C666" s="11" t="s">
        <v>374</v>
      </c>
      <c r="D666" s="10" t="s">
        <v>1144</v>
      </c>
      <c r="E666" s="11" t="s">
        <v>1147</v>
      </c>
      <c r="F666" s="10">
        <v>4</v>
      </c>
      <c r="G666" s="11" t="s">
        <v>768</v>
      </c>
      <c r="H666" s="58">
        <v>46235</v>
      </c>
      <c r="I666" s="11" t="s">
        <v>386</v>
      </c>
      <c r="J666" s="10">
        <v>1</v>
      </c>
      <c r="K666" s="57">
        <v>46235</v>
      </c>
      <c r="L666" s="55">
        <v>25000</v>
      </c>
      <c r="M666" t="s">
        <v>2275</v>
      </c>
      <c r="N666" t="s">
        <v>2234</v>
      </c>
      <c r="O666" t="s">
        <v>2258</v>
      </c>
      <c r="P666" t="s">
        <v>2284</v>
      </c>
    </row>
    <row r="667" spans="1:16" x14ac:dyDescent="0.25">
      <c r="A667" s="51" t="s">
        <v>1143</v>
      </c>
      <c r="B667" s="7" t="s">
        <v>2199</v>
      </c>
      <c r="C667" t="s">
        <v>374</v>
      </c>
      <c r="D667" s="7" t="s">
        <v>1144</v>
      </c>
      <c r="E667" t="s">
        <v>1146</v>
      </c>
      <c r="F667" s="7">
        <v>4</v>
      </c>
      <c r="G667" t="s">
        <v>768</v>
      </c>
      <c r="H667" s="59">
        <v>46235</v>
      </c>
      <c r="I667" t="s">
        <v>386</v>
      </c>
      <c r="J667" s="7">
        <v>1</v>
      </c>
      <c r="K667" s="1">
        <v>46235</v>
      </c>
      <c r="L667" s="56">
        <v>25000</v>
      </c>
      <c r="M667" t="s">
        <v>2275</v>
      </c>
      <c r="N667" t="s">
        <v>2234</v>
      </c>
      <c r="O667" t="s">
        <v>2258</v>
      </c>
      <c r="P667" t="s">
        <v>2284</v>
      </c>
    </row>
    <row r="668" spans="1:16" x14ac:dyDescent="0.25">
      <c r="A668" s="50" t="s">
        <v>1149</v>
      </c>
      <c r="B668" s="10" t="s">
        <v>2199</v>
      </c>
      <c r="C668" s="11" t="s">
        <v>374</v>
      </c>
      <c r="D668" s="10" t="s">
        <v>1150</v>
      </c>
      <c r="E668" s="11" t="s">
        <v>831</v>
      </c>
      <c r="F668" s="10">
        <v>3</v>
      </c>
      <c r="G668" s="11" t="s">
        <v>1152</v>
      </c>
      <c r="H668" s="58">
        <v>46113</v>
      </c>
      <c r="I668" s="11" t="s">
        <v>1153</v>
      </c>
      <c r="J668" s="10">
        <v>1</v>
      </c>
      <c r="K668" s="57">
        <v>46113</v>
      </c>
      <c r="L668" s="55">
        <v>50000</v>
      </c>
      <c r="M668" t="s">
        <v>2222</v>
      </c>
      <c r="N668" t="s">
        <v>2234</v>
      </c>
      <c r="O668" t="s">
        <v>2260</v>
      </c>
      <c r="P668" t="s">
        <v>2284</v>
      </c>
    </row>
    <row r="669" spans="1:16" x14ac:dyDescent="0.25">
      <c r="A669" s="51" t="s">
        <v>1149</v>
      </c>
      <c r="B669" s="7" t="s">
        <v>2199</v>
      </c>
      <c r="C669" t="s">
        <v>374</v>
      </c>
      <c r="D669" s="7" t="s">
        <v>1150</v>
      </c>
      <c r="E669" t="s">
        <v>486</v>
      </c>
      <c r="F669" s="7">
        <v>3</v>
      </c>
      <c r="G669" t="s">
        <v>1152</v>
      </c>
      <c r="H669" s="59">
        <v>46113</v>
      </c>
      <c r="I669" t="s">
        <v>1153</v>
      </c>
      <c r="J669" s="7">
        <v>1</v>
      </c>
      <c r="K669" s="1">
        <v>46113</v>
      </c>
      <c r="L669" s="56">
        <v>352240</v>
      </c>
      <c r="M669" t="s">
        <v>2222</v>
      </c>
      <c r="N669" t="s">
        <v>2234</v>
      </c>
      <c r="O669" t="s">
        <v>2260</v>
      </c>
      <c r="P669" t="s">
        <v>2284</v>
      </c>
    </row>
    <row r="670" spans="1:16" x14ac:dyDescent="0.25">
      <c r="A670" s="50" t="s">
        <v>1149</v>
      </c>
      <c r="B670" s="10" t="s">
        <v>2199</v>
      </c>
      <c r="C670" s="11" t="s">
        <v>374</v>
      </c>
      <c r="D670" s="10" t="s">
        <v>1150</v>
      </c>
      <c r="E670" s="11" t="s">
        <v>602</v>
      </c>
      <c r="F670" s="10">
        <v>3</v>
      </c>
      <c r="G670" s="11" t="s">
        <v>1152</v>
      </c>
      <c r="H670" s="58">
        <v>46113</v>
      </c>
      <c r="I670" s="11" t="s">
        <v>1153</v>
      </c>
      <c r="J670" s="10">
        <v>1</v>
      </c>
      <c r="K670" s="57">
        <v>46113</v>
      </c>
      <c r="L670" s="55">
        <v>270000</v>
      </c>
      <c r="M670" t="s">
        <v>2222</v>
      </c>
      <c r="N670" t="s">
        <v>2234</v>
      </c>
      <c r="O670" t="s">
        <v>2260</v>
      </c>
      <c r="P670" t="s">
        <v>2284</v>
      </c>
    </row>
    <row r="671" spans="1:16" x14ac:dyDescent="0.25">
      <c r="A671" s="51" t="s">
        <v>1171</v>
      </c>
      <c r="B671" s="7" t="s">
        <v>2199</v>
      </c>
      <c r="C671" t="s">
        <v>374</v>
      </c>
      <c r="D671" s="7" t="s">
        <v>1172</v>
      </c>
      <c r="E671" t="s">
        <v>780</v>
      </c>
      <c r="F671" s="7">
        <v>4</v>
      </c>
      <c r="G671" t="s">
        <v>1152</v>
      </c>
      <c r="H671" s="59">
        <v>46174</v>
      </c>
      <c r="I671" t="s">
        <v>1153</v>
      </c>
      <c r="J671" s="7">
        <v>1</v>
      </c>
      <c r="K671" s="1">
        <v>46174</v>
      </c>
      <c r="L671" s="56">
        <v>50000</v>
      </c>
      <c r="M671" t="s">
        <v>2222</v>
      </c>
      <c r="N671" t="s">
        <v>2234</v>
      </c>
      <c r="O671" t="s">
        <v>2260</v>
      </c>
      <c r="P671" t="s">
        <v>2284</v>
      </c>
    </row>
    <row r="672" spans="1:16" x14ac:dyDescent="0.25">
      <c r="A672" s="50" t="s">
        <v>1171</v>
      </c>
      <c r="B672" s="10" t="s">
        <v>2199</v>
      </c>
      <c r="C672" s="11" t="s">
        <v>374</v>
      </c>
      <c r="D672" s="10" t="s">
        <v>1172</v>
      </c>
      <c r="E672" s="11" t="s">
        <v>1175</v>
      </c>
      <c r="F672" s="10">
        <v>4</v>
      </c>
      <c r="G672" s="11" t="s">
        <v>1152</v>
      </c>
      <c r="H672" s="58">
        <v>46174</v>
      </c>
      <c r="I672" s="11" t="s">
        <v>1153</v>
      </c>
      <c r="J672" s="10">
        <v>1</v>
      </c>
      <c r="K672" s="57">
        <v>46174</v>
      </c>
      <c r="L672" s="55">
        <v>580665</v>
      </c>
      <c r="M672" t="s">
        <v>2222</v>
      </c>
      <c r="N672" t="s">
        <v>2234</v>
      </c>
      <c r="O672" t="s">
        <v>2260</v>
      </c>
      <c r="P672" t="s">
        <v>2284</v>
      </c>
    </row>
    <row r="673" spans="1:16" x14ac:dyDescent="0.25">
      <c r="A673" s="51" t="s">
        <v>1171</v>
      </c>
      <c r="B673" s="7" t="s">
        <v>2199</v>
      </c>
      <c r="C673" t="s">
        <v>374</v>
      </c>
      <c r="D673" s="7" t="s">
        <v>1172</v>
      </c>
      <c r="E673" t="s">
        <v>1174</v>
      </c>
      <c r="F673" s="7">
        <v>4</v>
      </c>
      <c r="G673" t="s">
        <v>1152</v>
      </c>
      <c r="H673" s="59">
        <v>46174</v>
      </c>
      <c r="I673" t="s">
        <v>1153</v>
      </c>
      <c r="J673" s="7">
        <v>1</v>
      </c>
      <c r="K673" s="1">
        <v>46174</v>
      </c>
      <c r="L673" s="56">
        <v>994896</v>
      </c>
      <c r="M673" t="s">
        <v>2222</v>
      </c>
      <c r="N673" t="s">
        <v>2234</v>
      </c>
      <c r="O673" t="s">
        <v>2260</v>
      </c>
      <c r="P673" t="s">
        <v>2284</v>
      </c>
    </row>
    <row r="674" spans="1:16" x14ac:dyDescent="0.25">
      <c r="A674" s="50" t="s">
        <v>1171</v>
      </c>
      <c r="B674" s="10" t="s">
        <v>2199</v>
      </c>
      <c r="C674" s="11" t="s">
        <v>374</v>
      </c>
      <c r="D674" s="10" t="s">
        <v>1172</v>
      </c>
      <c r="E674" s="11" t="s">
        <v>874</v>
      </c>
      <c r="F674" s="10">
        <v>4</v>
      </c>
      <c r="G674" s="11" t="s">
        <v>1152</v>
      </c>
      <c r="H674" s="58">
        <v>46174</v>
      </c>
      <c r="I674" s="11" t="s">
        <v>1153</v>
      </c>
      <c r="J674" s="10">
        <v>1</v>
      </c>
      <c r="K674" s="57">
        <v>46174</v>
      </c>
      <c r="L674" s="55">
        <v>1350000</v>
      </c>
      <c r="M674" t="s">
        <v>2222</v>
      </c>
      <c r="N674" t="s">
        <v>2234</v>
      </c>
      <c r="O674" t="s">
        <v>2260</v>
      </c>
      <c r="P674" t="s">
        <v>2284</v>
      </c>
    </row>
    <row r="675" spans="1:16" x14ac:dyDescent="0.25">
      <c r="A675" s="51" t="s">
        <v>1193</v>
      </c>
      <c r="B675" s="7" t="s">
        <v>2199</v>
      </c>
      <c r="C675" t="s">
        <v>374</v>
      </c>
      <c r="D675" s="7" t="s">
        <v>1194</v>
      </c>
      <c r="E675" t="s">
        <v>602</v>
      </c>
      <c r="F675" s="7">
        <v>2</v>
      </c>
      <c r="G675" t="s">
        <v>733</v>
      </c>
      <c r="H675" s="59">
        <v>46204</v>
      </c>
      <c r="I675" t="s">
        <v>734</v>
      </c>
      <c r="J675" s="7">
        <v>1</v>
      </c>
      <c r="K675" s="1">
        <v>46204</v>
      </c>
      <c r="L675" s="56">
        <v>750000</v>
      </c>
      <c r="M675" t="s">
        <v>2232</v>
      </c>
      <c r="N675" t="s">
        <v>2234</v>
      </c>
      <c r="O675" t="s">
        <v>2265</v>
      </c>
      <c r="P675" t="s">
        <v>2284</v>
      </c>
    </row>
    <row r="676" spans="1:16" x14ac:dyDescent="0.25">
      <c r="A676" s="50" t="s">
        <v>1193</v>
      </c>
      <c r="B676" s="10" t="s">
        <v>2199</v>
      </c>
      <c r="C676" s="11" t="s">
        <v>374</v>
      </c>
      <c r="D676" s="10" t="s">
        <v>1194</v>
      </c>
      <c r="E676" s="11" t="s">
        <v>602</v>
      </c>
      <c r="F676" s="10">
        <v>2</v>
      </c>
      <c r="G676" s="11" t="s">
        <v>733</v>
      </c>
      <c r="H676" s="58">
        <v>46296</v>
      </c>
      <c r="I676" s="11" t="s">
        <v>734</v>
      </c>
      <c r="J676" s="10">
        <v>1</v>
      </c>
      <c r="K676" s="57">
        <v>46296</v>
      </c>
      <c r="L676" s="55">
        <v>750000</v>
      </c>
      <c r="M676" t="s">
        <v>2232</v>
      </c>
      <c r="N676" t="s">
        <v>2234</v>
      </c>
      <c r="O676" t="s">
        <v>2265</v>
      </c>
      <c r="P676" t="s">
        <v>2284</v>
      </c>
    </row>
    <row r="677" spans="1:16" x14ac:dyDescent="0.25">
      <c r="A677" s="51" t="s">
        <v>1264</v>
      </c>
      <c r="B677" s="7" t="s">
        <v>2199</v>
      </c>
      <c r="C677" t="s">
        <v>374</v>
      </c>
      <c r="D677" s="7" t="s">
        <v>1266</v>
      </c>
      <c r="E677" t="s">
        <v>1268</v>
      </c>
      <c r="F677" s="7">
        <v>3</v>
      </c>
      <c r="G677" t="s">
        <v>768</v>
      </c>
      <c r="H677" s="59">
        <v>46082</v>
      </c>
      <c r="I677" t="s">
        <v>386</v>
      </c>
      <c r="J677" s="7">
        <v>1</v>
      </c>
      <c r="K677" s="1">
        <v>46082</v>
      </c>
      <c r="L677" s="56">
        <v>15600</v>
      </c>
      <c r="M677" t="s">
        <v>2275</v>
      </c>
      <c r="N677" t="s">
        <v>2234</v>
      </c>
      <c r="O677" t="s">
        <v>2258</v>
      </c>
      <c r="P677" t="s">
        <v>2284</v>
      </c>
    </row>
    <row r="678" spans="1:16" x14ac:dyDescent="0.25">
      <c r="A678" s="50" t="s">
        <v>1264</v>
      </c>
      <c r="B678" s="10" t="s">
        <v>2199</v>
      </c>
      <c r="C678" s="11" t="s">
        <v>374</v>
      </c>
      <c r="D678" s="10" t="s">
        <v>1266</v>
      </c>
      <c r="E678" s="11" t="s">
        <v>786</v>
      </c>
      <c r="F678" s="10">
        <v>3</v>
      </c>
      <c r="G678" s="11" t="s">
        <v>768</v>
      </c>
      <c r="H678" s="58">
        <v>46082</v>
      </c>
      <c r="I678" s="11" t="s">
        <v>386</v>
      </c>
      <c r="J678" s="10">
        <v>1</v>
      </c>
      <c r="K678" s="57">
        <v>46082</v>
      </c>
      <c r="L678" s="55">
        <v>245531</v>
      </c>
      <c r="M678" t="s">
        <v>2275</v>
      </c>
      <c r="N678" t="s">
        <v>2234</v>
      </c>
      <c r="O678" t="s">
        <v>2258</v>
      </c>
      <c r="P678" t="s">
        <v>2284</v>
      </c>
    </row>
    <row r="679" spans="1:16" x14ac:dyDescent="0.25">
      <c r="A679" s="51" t="s">
        <v>1264</v>
      </c>
      <c r="B679" s="7" t="s">
        <v>2199</v>
      </c>
      <c r="C679" t="s">
        <v>374</v>
      </c>
      <c r="D679" s="7" t="s">
        <v>1266</v>
      </c>
      <c r="E679" t="s">
        <v>772</v>
      </c>
      <c r="F679" s="7">
        <v>3</v>
      </c>
      <c r="G679" t="s">
        <v>768</v>
      </c>
      <c r="H679" s="59">
        <v>46082</v>
      </c>
      <c r="I679" t="s">
        <v>386</v>
      </c>
      <c r="J679" s="7">
        <v>1</v>
      </c>
      <c r="K679" s="1">
        <v>46082</v>
      </c>
      <c r="L679" s="56">
        <v>16000</v>
      </c>
      <c r="M679" t="s">
        <v>2275</v>
      </c>
      <c r="N679" t="s">
        <v>2234</v>
      </c>
      <c r="O679" t="s">
        <v>2258</v>
      </c>
      <c r="P679" t="s">
        <v>2284</v>
      </c>
    </row>
    <row r="680" spans="1:16" x14ac:dyDescent="0.25">
      <c r="A680" s="50" t="s">
        <v>1280</v>
      </c>
      <c r="B680" s="10" t="s">
        <v>2199</v>
      </c>
      <c r="C680" s="11" t="s">
        <v>594</v>
      </c>
      <c r="D680" s="10" t="s">
        <v>1281</v>
      </c>
      <c r="E680" s="11" t="s">
        <v>807</v>
      </c>
      <c r="F680" s="10">
        <v>1</v>
      </c>
      <c r="G680" s="11" t="s">
        <v>624</v>
      </c>
      <c r="H680" s="58">
        <v>46296</v>
      </c>
      <c r="I680" s="11" t="s">
        <v>625</v>
      </c>
      <c r="J680" s="10">
        <v>1</v>
      </c>
      <c r="K680" s="57">
        <v>46296</v>
      </c>
      <c r="L680" s="55">
        <v>25000000</v>
      </c>
      <c r="M680" t="s">
        <v>2246</v>
      </c>
      <c r="N680" t="s">
        <v>2256</v>
      </c>
      <c r="O680" t="s">
        <v>2270</v>
      </c>
      <c r="P680" t="s">
        <v>2284</v>
      </c>
    </row>
    <row r="681" spans="1:16" x14ac:dyDescent="0.25">
      <c r="A681" s="51" t="s">
        <v>1283</v>
      </c>
      <c r="B681" s="7" t="s">
        <v>2199</v>
      </c>
      <c r="C681" t="s">
        <v>594</v>
      </c>
      <c r="D681" s="7" t="s">
        <v>1284</v>
      </c>
      <c r="E681" t="s">
        <v>807</v>
      </c>
      <c r="F681" s="7">
        <v>1</v>
      </c>
      <c r="G681" t="s">
        <v>624</v>
      </c>
      <c r="H681" s="59">
        <v>46327</v>
      </c>
      <c r="I681" t="s">
        <v>625</v>
      </c>
      <c r="J681" s="7">
        <v>1</v>
      </c>
      <c r="K681" s="1">
        <v>46327</v>
      </c>
      <c r="L681" s="56">
        <v>37000000</v>
      </c>
      <c r="M681" t="s">
        <v>2246</v>
      </c>
      <c r="N681" t="s">
        <v>2256</v>
      </c>
      <c r="O681" t="s">
        <v>2270</v>
      </c>
      <c r="P681" t="s">
        <v>2284</v>
      </c>
    </row>
    <row r="682" spans="1:16" x14ac:dyDescent="0.25">
      <c r="A682" s="50" t="s">
        <v>1286</v>
      </c>
      <c r="B682" s="10" t="s">
        <v>2199</v>
      </c>
      <c r="C682" s="11" t="s">
        <v>594</v>
      </c>
      <c r="D682" s="10" t="s">
        <v>1287</v>
      </c>
      <c r="E682" s="11" t="s">
        <v>807</v>
      </c>
      <c r="F682" s="10">
        <v>1</v>
      </c>
      <c r="G682" s="11" t="s">
        <v>624</v>
      </c>
      <c r="H682" s="58">
        <v>46235</v>
      </c>
      <c r="I682" s="11" t="s">
        <v>625</v>
      </c>
      <c r="J682" s="10">
        <v>1</v>
      </c>
      <c r="K682" s="57">
        <v>46235</v>
      </c>
      <c r="L682" s="55">
        <v>60000000</v>
      </c>
      <c r="M682" t="s">
        <v>2246</v>
      </c>
      <c r="N682" t="s">
        <v>2256</v>
      </c>
      <c r="O682" t="s">
        <v>2270</v>
      </c>
      <c r="P682" t="s">
        <v>2284</v>
      </c>
    </row>
    <row r="683" spans="1:16" x14ac:dyDescent="0.25">
      <c r="A683" s="51" t="s">
        <v>1355</v>
      </c>
      <c r="B683" s="7" t="s">
        <v>2199</v>
      </c>
      <c r="C683" t="s">
        <v>594</v>
      </c>
      <c r="D683" s="7" t="s">
        <v>1356</v>
      </c>
      <c r="E683" t="s">
        <v>1175</v>
      </c>
      <c r="F683" s="7">
        <v>2</v>
      </c>
      <c r="G683" t="s">
        <v>1299</v>
      </c>
      <c r="H683" s="59">
        <v>46204</v>
      </c>
      <c r="I683" t="s">
        <v>1300</v>
      </c>
      <c r="J683" s="7">
        <v>1</v>
      </c>
      <c r="K683" s="1">
        <v>46204</v>
      </c>
      <c r="L683" s="56">
        <v>9566000</v>
      </c>
      <c r="M683" t="s">
        <v>2245</v>
      </c>
      <c r="N683" t="s">
        <v>2256</v>
      </c>
      <c r="O683" t="s">
        <v>2272</v>
      </c>
      <c r="P683" t="s">
        <v>2284</v>
      </c>
    </row>
    <row r="684" spans="1:16" x14ac:dyDescent="0.25">
      <c r="A684" s="50" t="s">
        <v>1355</v>
      </c>
      <c r="B684" s="10" t="s">
        <v>2199</v>
      </c>
      <c r="C684" s="11" t="s">
        <v>594</v>
      </c>
      <c r="D684" s="10" t="s">
        <v>1356</v>
      </c>
      <c r="E684" s="11" t="s">
        <v>1303</v>
      </c>
      <c r="F684" s="10">
        <v>2</v>
      </c>
      <c r="G684" s="11" t="s">
        <v>1299</v>
      </c>
      <c r="H684" s="58">
        <v>46204</v>
      </c>
      <c r="I684" s="11" t="s">
        <v>1300</v>
      </c>
      <c r="J684" s="10">
        <v>1</v>
      </c>
      <c r="K684" s="57">
        <v>46204</v>
      </c>
      <c r="L684" s="55">
        <v>7621000</v>
      </c>
      <c r="M684" t="s">
        <v>2245</v>
      </c>
      <c r="N684" t="s">
        <v>2256</v>
      </c>
      <c r="O684" t="s">
        <v>2272</v>
      </c>
      <c r="P684" t="s">
        <v>2284</v>
      </c>
    </row>
    <row r="685" spans="1:16" x14ac:dyDescent="0.25">
      <c r="A685" s="51" t="s">
        <v>1357</v>
      </c>
      <c r="B685" s="7" t="s">
        <v>2199</v>
      </c>
      <c r="C685" t="s">
        <v>594</v>
      </c>
      <c r="D685" s="7" t="s">
        <v>1358</v>
      </c>
      <c r="E685" t="s">
        <v>1175</v>
      </c>
      <c r="F685" s="7">
        <v>2</v>
      </c>
      <c r="G685" t="s">
        <v>1299</v>
      </c>
      <c r="H685" s="59">
        <v>46174</v>
      </c>
      <c r="I685" t="s">
        <v>1300</v>
      </c>
      <c r="J685" s="7">
        <v>1</v>
      </c>
      <c r="K685" s="1">
        <v>46174</v>
      </c>
      <c r="L685" s="56">
        <v>97703000</v>
      </c>
      <c r="M685" t="s">
        <v>2245</v>
      </c>
      <c r="N685" t="s">
        <v>2256</v>
      </c>
      <c r="O685" t="s">
        <v>2272</v>
      </c>
      <c r="P685" t="s">
        <v>2284</v>
      </c>
    </row>
    <row r="686" spans="1:16" x14ac:dyDescent="0.25">
      <c r="A686" s="50" t="s">
        <v>1357</v>
      </c>
      <c r="B686" s="10" t="s">
        <v>2199</v>
      </c>
      <c r="C686" s="11" t="s">
        <v>594</v>
      </c>
      <c r="D686" s="10" t="s">
        <v>1358</v>
      </c>
      <c r="E686" s="11" t="s">
        <v>1303</v>
      </c>
      <c r="F686" s="10">
        <v>2</v>
      </c>
      <c r="G686" s="11" t="s">
        <v>1299</v>
      </c>
      <c r="H686" s="58">
        <v>46174</v>
      </c>
      <c r="I686" s="11" t="s">
        <v>1300</v>
      </c>
      <c r="J686" s="10">
        <v>1</v>
      </c>
      <c r="K686" s="57">
        <v>46174</v>
      </c>
      <c r="L686" s="55">
        <v>196076000</v>
      </c>
      <c r="M686" t="s">
        <v>2245</v>
      </c>
      <c r="N686" t="s">
        <v>2256</v>
      </c>
      <c r="O686" t="s">
        <v>2272</v>
      </c>
      <c r="P686" t="s">
        <v>2284</v>
      </c>
    </row>
    <row r="687" spans="1:16" x14ac:dyDescent="0.25">
      <c r="A687" s="51" t="s">
        <v>1360</v>
      </c>
      <c r="B687" s="7" t="s">
        <v>2199</v>
      </c>
      <c r="C687" t="s">
        <v>594</v>
      </c>
      <c r="D687" s="7" t="s">
        <v>1361</v>
      </c>
      <c r="E687" t="s">
        <v>807</v>
      </c>
      <c r="F687" s="7">
        <v>1</v>
      </c>
      <c r="G687" t="s">
        <v>624</v>
      </c>
      <c r="H687" s="59">
        <v>46266</v>
      </c>
      <c r="I687" t="s">
        <v>625</v>
      </c>
      <c r="J687" s="7">
        <v>1</v>
      </c>
      <c r="K687" s="1">
        <v>46266</v>
      </c>
      <c r="L687" s="56">
        <v>37000000</v>
      </c>
      <c r="M687" t="s">
        <v>2246</v>
      </c>
      <c r="N687" t="s">
        <v>2256</v>
      </c>
      <c r="O687" t="s">
        <v>2270</v>
      </c>
      <c r="P687" t="s">
        <v>2284</v>
      </c>
    </row>
    <row r="688" spans="1:16" x14ac:dyDescent="0.25">
      <c r="A688" s="50" t="s">
        <v>1363</v>
      </c>
      <c r="B688" s="10" t="s">
        <v>2199</v>
      </c>
      <c r="C688" s="11" t="s">
        <v>594</v>
      </c>
      <c r="D688" s="10" t="s">
        <v>1364</v>
      </c>
      <c r="E688" s="11" t="s">
        <v>1175</v>
      </c>
      <c r="F688" s="10">
        <v>2</v>
      </c>
      <c r="G688" s="11" t="s">
        <v>1299</v>
      </c>
      <c r="H688" s="58">
        <v>46143</v>
      </c>
      <c r="I688" s="11" t="s">
        <v>1300</v>
      </c>
      <c r="J688" s="10">
        <v>1</v>
      </c>
      <c r="K688" s="57">
        <v>46143</v>
      </c>
      <c r="L688" s="55">
        <v>44778000</v>
      </c>
      <c r="M688" t="s">
        <v>2245</v>
      </c>
      <c r="N688" t="s">
        <v>2256</v>
      </c>
      <c r="O688" t="s">
        <v>2272</v>
      </c>
      <c r="P688" t="s">
        <v>2284</v>
      </c>
    </row>
    <row r="689" spans="1:16" x14ac:dyDescent="0.25">
      <c r="A689" s="51" t="s">
        <v>1363</v>
      </c>
      <c r="B689" s="7" t="s">
        <v>2199</v>
      </c>
      <c r="C689" t="s">
        <v>594</v>
      </c>
      <c r="D689" s="7" t="s">
        <v>1364</v>
      </c>
      <c r="E689" t="s">
        <v>1303</v>
      </c>
      <c r="F689" s="7">
        <v>2</v>
      </c>
      <c r="G689" t="s">
        <v>1299</v>
      </c>
      <c r="H689" s="59">
        <v>46143</v>
      </c>
      <c r="I689" t="s">
        <v>1300</v>
      </c>
      <c r="J689" s="7">
        <v>1</v>
      </c>
      <c r="K689" s="1">
        <v>46143</v>
      </c>
      <c r="L689" s="56">
        <v>57632000</v>
      </c>
      <c r="M689" t="s">
        <v>2245</v>
      </c>
      <c r="N689" t="s">
        <v>2256</v>
      </c>
      <c r="O689" t="s">
        <v>2272</v>
      </c>
      <c r="P689" t="s">
        <v>2284</v>
      </c>
    </row>
    <row r="690" spans="1:16" x14ac:dyDescent="0.25">
      <c r="A690" s="50" t="s">
        <v>1366</v>
      </c>
      <c r="B690" s="10" t="s">
        <v>2199</v>
      </c>
      <c r="C690" s="11" t="s">
        <v>594</v>
      </c>
      <c r="D690" s="10" t="s">
        <v>1367</v>
      </c>
      <c r="E690" s="11" t="s">
        <v>807</v>
      </c>
      <c r="F690" s="10">
        <v>1</v>
      </c>
      <c r="G690" s="11" t="s">
        <v>624</v>
      </c>
      <c r="H690" s="58">
        <v>46266</v>
      </c>
      <c r="I690" s="11" t="s">
        <v>625</v>
      </c>
      <c r="J690" s="10">
        <v>1</v>
      </c>
      <c r="K690" s="57">
        <v>46266</v>
      </c>
      <c r="L690" s="55">
        <v>103000000</v>
      </c>
      <c r="M690" t="s">
        <v>2246</v>
      </c>
      <c r="N690" t="s">
        <v>2256</v>
      </c>
      <c r="O690" t="s">
        <v>2270</v>
      </c>
      <c r="P690" t="s">
        <v>2284</v>
      </c>
    </row>
    <row r="691" spans="1:16" x14ac:dyDescent="0.25">
      <c r="A691" s="51" t="s">
        <v>1382</v>
      </c>
      <c r="B691" s="7" t="s">
        <v>2199</v>
      </c>
      <c r="C691" t="s">
        <v>594</v>
      </c>
      <c r="D691" s="7" t="s">
        <v>1383</v>
      </c>
      <c r="E691" t="s">
        <v>1175</v>
      </c>
      <c r="F691" s="7">
        <v>1</v>
      </c>
      <c r="G691" t="s">
        <v>1299</v>
      </c>
      <c r="H691" s="59">
        <v>46113</v>
      </c>
      <c r="I691" t="s">
        <v>1300</v>
      </c>
      <c r="J691" s="7">
        <v>1</v>
      </c>
      <c r="K691" s="1">
        <v>46113</v>
      </c>
      <c r="L691" s="56">
        <v>6442000</v>
      </c>
      <c r="M691" t="s">
        <v>2245</v>
      </c>
      <c r="N691" t="s">
        <v>2256</v>
      </c>
      <c r="O691" t="s">
        <v>2272</v>
      </c>
      <c r="P691" t="s">
        <v>2284</v>
      </c>
    </row>
    <row r="692" spans="1:16" x14ac:dyDescent="0.25">
      <c r="A692" s="50" t="s">
        <v>1401</v>
      </c>
      <c r="B692" s="10" t="s">
        <v>2199</v>
      </c>
      <c r="C692" s="11" t="s">
        <v>594</v>
      </c>
      <c r="D692" s="10" t="s">
        <v>1402</v>
      </c>
      <c r="E692" s="11" t="s">
        <v>1175</v>
      </c>
      <c r="F692" s="10">
        <v>2</v>
      </c>
      <c r="G692" s="11" t="s">
        <v>1299</v>
      </c>
      <c r="H692" s="58">
        <v>46143</v>
      </c>
      <c r="I692" s="11" t="s">
        <v>1300</v>
      </c>
      <c r="J692" s="10">
        <v>1</v>
      </c>
      <c r="K692" s="57">
        <v>46143</v>
      </c>
      <c r="L692" s="55">
        <v>40289000</v>
      </c>
      <c r="M692" t="s">
        <v>2245</v>
      </c>
      <c r="N692" t="s">
        <v>2256</v>
      </c>
      <c r="O692" t="s">
        <v>2272</v>
      </c>
      <c r="P692" t="s">
        <v>2284</v>
      </c>
    </row>
    <row r="693" spans="1:16" x14ac:dyDescent="0.25">
      <c r="A693" s="51" t="s">
        <v>1401</v>
      </c>
      <c r="B693" s="7" t="s">
        <v>2199</v>
      </c>
      <c r="C693" t="s">
        <v>594</v>
      </c>
      <c r="D693" s="7" t="s">
        <v>1402</v>
      </c>
      <c r="E693" t="s">
        <v>1303</v>
      </c>
      <c r="F693" s="7">
        <v>2</v>
      </c>
      <c r="G693" t="s">
        <v>1299</v>
      </c>
      <c r="H693" s="59">
        <v>46143</v>
      </c>
      <c r="I693" t="s">
        <v>1300</v>
      </c>
      <c r="J693" s="7">
        <v>1</v>
      </c>
      <c r="K693" s="1">
        <v>46143</v>
      </c>
      <c r="L693" s="56">
        <v>316236000</v>
      </c>
      <c r="M693" t="s">
        <v>2245</v>
      </c>
      <c r="N693" t="s">
        <v>2256</v>
      </c>
      <c r="O693" t="s">
        <v>2272</v>
      </c>
      <c r="P693" t="s">
        <v>2284</v>
      </c>
    </row>
    <row r="694" spans="1:16" x14ac:dyDescent="0.25">
      <c r="A694" s="50" t="s">
        <v>1827</v>
      </c>
      <c r="B694" s="10" t="s">
        <v>2199</v>
      </c>
      <c r="C694" s="11" t="s">
        <v>594</v>
      </c>
      <c r="D694" s="10" t="s">
        <v>1828</v>
      </c>
      <c r="E694" s="11" t="s">
        <v>1830</v>
      </c>
      <c r="F694" s="10">
        <v>1</v>
      </c>
      <c r="G694" s="11" t="s">
        <v>1723</v>
      </c>
      <c r="H694" s="58">
        <v>46023</v>
      </c>
      <c r="I694" s="11" t="s">
        <v>1831</v>
      </c>
      <c r="J694" s="10">
        <v>1</v>
      </c>
      <c r="K694" s="57">
        <v>46023</v>
      </c>
      <c r="L694" s="55">
        <v>7200000</v>
      </c>
      <c r="M694" t="s">
        <v>2221</v>
      </c>
      <c r="N694" t="s">
        <v>2234</v>
      </c>
      <c r="O694" t="s">
        <v>2259</v>
      </c>
      <c r="P694" t="s">
        <v>2284</v>
      </c>
    </row>
    <row r="695" spans="1:16" x14ac:dyDescent="0.25">
      <c r="A695" s="51" t="s">
        <v>595</v>
      </c>
      <c r="B695" s="7" t="s">
        <v>2199</v>
      </c>
      <c r="C695" t="s">
        <v>594</v>
      </c>
      <c r="D695" s="7" t="s">
        <v>597</v>
      </c>
      <c r="E695" t="s">
        <v>600</v>
      </c>
      <c r="F695" s="7">
        <v>6</v>
      </c>
      <c r="G695" t="s">
        <v>590</v>
      </c>
      <c r="H695" s="59">
        <v>46143</v>
      </c>
      <c r="I695" t="s">
        <v>591</v>
      </c>
      <c r="J695" s="7">
        <v>1</v>
      </c>
      <c r="K695" s="1">
        <v>46143</v>
      </c>
      <c r="L695" s="56">
        <v>96000000</v>
      </c>
      <c r="M695" t="s">
        <v>2222</v>
      </c>
      <c r="N695" t="s">
        <v>2234</v>
      </c>
      <c r="O695" t="s">
        <v>2260</v>
      </c>
      <c r="P695" t="s">
        <v>2284</v>
      </c>
    </row>
    <row r="696" spans="1:16" x14ac:dyDescent="0.25">
      <c r="A696" s="50" t="s">
        <v>595</v>
      </c>
      <c r="B696" s="10" t="s">
        <v>2199</v>
      </c>
      <c r="C696" s="11" t="s">
        <v>594</v>
      </c>
      <c r="D696" s="10" t="s">
        <v>597</v>
      </c>
      <c r="E696" s="11" t="s">
        <v>601</v>
      </c>
      <c r="F696" s="10">
        <v>6</v>
      </c>
      <c r="G696" s="11" t="s">
        <v>590</v>
      </c>
      <c r="H696" s="58">
        <v>46082</v>
      </c>
      <c r="I696" s="11" t="s">
        <v>591</v>
      </c>
      <c r="J696" s="10">
        <v>1</v>
      </c>
      <c r="K696" s="57">
        <v>46082</v>
      </c>
      <c r="L696" s="55">
        <v>24115000</v>
      </c>
      <c r="M696" t="s">
        <v>2222</v>
      </c>
      <c r="N696" t="s">
        <v>2234</v>
      </c>
      <c r="O696" t="s">
        <v>2260</v>
      </c>
      <c r="P696" t="s">
        <v>2284</v>
      </c>
    </row>
    <row r="697" spans="1:16" x14ac:dyDescent="0.25">
      <c r="A697" s="51" t="s">
        <v>595</v>
      </c>
      <c r="B697" s="7" t="s">
        <v>2199</v>
      </c>
      <c r="C697" t="s">
        <v>594</v>
      </c>
      <c r="D697" s="7" t="s">
        <v>597</v>
      </c>
      <c r="E697" t="s">
        <v>604</v>
      </c>
      <c r="F697" s="7">
        <v>6</v>
      </c>
      <c r="G697" t="s">
        <v>590</v>
      </c>
      <c r="H697" s="59">
        <v>46143</v>
      </c>
      <c r="I697" t="s">
        <v>591</v>
      </c>
      <c r="J697" s="7">
        <v>1</v>
      </c>
      <c r="K697" s="1">
        <v>46143</v>
      </c>
      <c r="L697" s="56">
        <v>122000004</v>
      </c>
      <c r="M697" t="s">
        <v>2222</v>
      </c>
      <c r="N697" t="s">
        <v>2234</v>
      </c>
      <c r="O697" t="s">
        <v>2260</v>
      </c>
      <c r="P697" t="s">
        <v>2284</v>
      </c>
    </row>
    <row r="698" spans="1:16" x14ac:dyDescent="0.25">
      <c r="A698" s="50" t="s">
        <v>595</v>
      </c>
      <c r="B698" s="10" t="s">
        <v>2199</v>
      </c>
      <c r="C698" s="11" t="s">
        <v>594</v>
      </c>
      <c r="D698" s="10" t="s">
        <v>597</v>
      </c>
      <c r="E698" s="11" t="s">
        <v>603</v>
      </c>
      <c r="F698" s="10">
        <v>6</v>
      </c>
      <c r="G698" s="11" t="s">
        <v>590</v>
      </c>
      <c r="H698" s="58">
        <v>46143</v>
      </c>
      <c r="I698" s="11" t="s">
        <v>591</v>
      </c>
      <c r="J698" s="10">
        <v>1</v>
      </c>
      <c r="K698" s="57">
        <v>46143</v>
      </c>
      <c r="L698" s="55">
        <v>5000002</v>
      </c>
      <c r="M698" t="s">
        <v>2222</v>
      </c>
      <c r="N698" t="s">
        <v>2234</v>
      </c>
      <c r="O698" t="s">
        <v>2260</v>
      </c>
      <c r="P698" t="s">
        <v>2284</v>
      </c>
    </row>
    <row r="699" spans="1:16" x14ac:dyDescent="0.25">
      <c r="A699" s="51" t="s">
        <v>595</v>
      </c>
      <c r="B699" s="7" t="s">
        <v>2199</v>
      </c>
      <c r="C699" t="s">
        <v>594</v>
      </c>
      <c r="D699" s="7" t="s">
        <v>597</v>
      </c>
      <c r="E699" t="s">
        <v>602</v>
      </c>
      <c r="F699" s="7">
        <v>6</v>
      </c>
      <c r="G699" t="s">
        <v>590</v>
      </c>
      <c r="H699" s="59">
        <v>46266</v>
      </c>
      <c r="I699" t="s">
        <v>591</v>
      </c>
      <c r="J699" s="7">
        <v>1</v>
      </c>
      <c r="K699" s="1">
        <v>46266</v>
      </c>
      <c r="L699" s="56">
        <v>3500000</v>
      </c>
      <c r="M699" t="s">
        <v>2222</v>
      </c>
      <c r="N699" t="s">
        <v>2234</v>
      </c>
      <c r="O699" t="s">
        <v>2260</v>
      </c>
      <c r="P699" t="s">
        <v>2284</v>
      </c>
    </row>
    <row r="700" spans="1:16" x14ac:dyDescent="0.25">
      <c r="A700" s="50" t="s">
        <v>595</v>
      </c>
      <c r="B700" s="10" t="s">
        <v>2199</v>
      </c>
      <c r="C700" s="11" t="s">
        <v>594</v>
      </c>
      <c r="D700" s="10" t="s">
        <v>597</v>
      </c>
      <c r="E700" s="11" t="s">
        <v>599</v>
      </c>
      <c r="F700" s="10">
        <v>6</v>
      </c>
      <c r="G700" s="11" t="s">
        <v>590</v>
      </c>
      <c r="H700" s="58">
        <v>46143</v>
      </c>
      <c r="I700" s="11" t="s">
        <v>591</v>
      </c>
      <c r="J700" s="10">
        <v>1</v>
      </c>
      <c r="K700" s="57">
        <v>46143</v>
      </c>
      <c r="L700" s="55">
        <v>28000000</v>
      </c>
      <c r="M700" t="s">
        <v>2222</v>
      </c>
      <c r="N700" t="s">
        <v>2234</v>
      </c>
      <c r="O700" t="s">
        <v>2260</v>
      </c>
      <c r="P700" t="s">
        <v>2284</v>
      </c>
    </row>
    <row r="701" spans="1:16" x14ac:dyDescent="0.25">
      <c r="A701" s="51" t="s">
        <v>803</v>
      </c>
      <c r="B701" s="7" t="s">
        <v>2199</v>
      </c>
      <c r="C701" t="s">
        <v>594</v>
      </c>
      <c r="D701" s="7" t="s">
        <v>805</v>
      </c>
      <c r="E701" t="s">
        <v>807</v>
      </c>
      <c r="F701" s="7">
        <v>1</v>
      </c>
      <c r="G701" t="s">
        <v>624</v>
      </c>
      <c r="H701" s="59">
        <v>46266</v>
      </c>
      <c r="I701" t="s">
        <v>625</v>
      </c>
      <c r="J701" s="7">
        <v>1</v>
      </c>
      <c r="K701" s="1">
        <v>46266</v>
      </c>
      <c r="L701" s="56">
        <v>37000000</v>
      </c>
      <c r="M701" t="s">
        <v>2246</v>
      </c>
      <c r="N701" t="s">
        <v>2256</v>
      </c>
      <c r="O701" t="s">
        <v>2270</v>
      </c>
      <c r="P701" t="s">
        <v>2284</v>
      </c>
    </row>
    <row r="702" spans="1:16" x14ac:dyDescent="0.25">
      <c r="A702" s="50" t="s">
        <v>808</v>
      </c>
      <c r="B702" s="10" t="s">
        <v>2199</v>
      </c>
      <c r="C702" s="11" t="s">
        <v>594</v>
      </c>
      <c r="D702" s="10" t="s">
        <v>809</v>
      </c>
      <c r="E702" s="11" t="s">
        <v>807</v>
      </c>
      <c r="F702" s="10">
        <v>1</v>
      </c>
      <c r="G702" s="11" t="s">
        <v>624</v>
      </c>
      <c r="H702" s="58">
        <v>46296</v>
      </c>
      <c r="I702" s="11" t="s">
        <v>625</v>
      </c>
      <c r="J702" s="10">
        <v>1</v>
      </c>
      <c r="K702" s="57">
        <v>46296</v>
      </c>
      <c r="L702" s="55">
        <v>37000000</v>
      </c>
      <c r="M702" t="s">
        <v>2246</v>
      </c>
      <c r="N702" t="s">
        <v>2256</v>
      </c>
      <c r="O702" t="s">
        <v>2270</v>
      </c>
      <c r="P702" t="s">
        <v>2284</v>
      </c>
    </row>
    <row r="703" spans="1:16" x14ac:dyDescent="0.25">
      <c r="A703" s="51" t="s">
        <v>1196</v>
      </c>
      <c r="B703" s="7" t="s">
        <v>2199</v>
      </c>
      <c r="C703" t="s">
        <v>594</v>
      </c>
      <c r="D703" s="7" t="s">
        <v>1197</v>
      </c>
      <c r="E703" t="s">
        <v>1199</v>
      </c>
      <c r="F703" s="7">
        <v>1</v>
      </c>
      <c r="G703" t="s">
        <v>1200</v>
      </c>
      <c r="H703" s="59">
        <v>46357</v>
      </c>
      <c r="I703" t="s">
        <v>514</v>
      </c>
      <c r="J703" s="7">
        <v>1</v>
      </c>
      <c r="K703" s="1">
        <v>46357</v>
      </c>
      <c r="L703" s="56">
        <v>3430002</v>
      </c>
      <c r="M703" t="s">
        <v>2237</v>
      </c>
      <c r="N703" t="s">
        <v>2256</v>
      </c>
      <c r="O703" t="s">
        <v>2266</v>
      </c>
      <c r="P703" t="s">
        <v>2284</v>
      </c>
    </row>
    <row r="704" spans="1:16" x14ac:dyDescent="0.25">
      <c r="A704" s="50" t="s">
        <v>1204</v>
      </c>
      <c r="B704" s="10" t="s">
        <v>2199</v>
      </c>
      <c r="C704" s="11" t="s">
        <v>594</v>
      </c>
      <c r="D704" s="10" t="s">
        <v>1205</v>
      </c>
      <c r="E704" s="11" t="s">
        <v>807</v>
      </c>
      <c r="F704" s="10">
        <v>1</v>
      </c>
      <c r="G704" s="11" t="s">
        <v>624</v>
      </c>
      <c r="H704" s="58">
        <v>46327</v>
      </c>
      <c r="I704" s="11" t="s">
        <v>625</v>
      </c>
      <c r="J704" s="10">
        <v>1</v>
      </c>
      <c r="K704" s="57">
        <v>46327</v>
      </c>
      <c r="L704" s="55">
        <v>37000000</v>
      </c>
      <c r="M704" t="s">
        <v>2246</v>
      </c>
      <c r="N704" t="s">
        <v>2256</v>
      </c>
      <c r="O704" t="s">
        <v>2270</v>
      </c>
      <c r="P704" t="s">
        <v>2284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7EB99-4BA3-47DA-9FBA-89E6F68D4753}">
  <dimension ref="A1:AD1360"/>
  <sheetViews>
    <sheetView showGridLines="0" topLeftCell="J1" workbookViewId="0">
      <selection activeCell="D14" sqref="D14"/>
    </sheetView>
  </sheetViews>
  <sheetFormatPr baseColWidth="10" defaultRowHeight="15" x14ac:dyDescent="0.25"/>
  <cols>
    <col min="1" max="1" width="26.42578125" bestFit="1" customWidth="1"/>
    <col min="2" max="2" width="16.85546875" bestFit="1" customWidth="1"/>
    <col min="3" max="3" width="23.7109375" customWidth="1"/>
    <col min="4" max="4" width="16.85546875" bestFit="1" customWidth="1"/>
    <col min="5" max="5" width="19.85546875" customWidth="1"/>
    <col min="6" max="6" width="15.5703125" customWidth="1"/>
    <col min="7" max="7" width="21.85546875" style="3" customWidth="1"/>
    <col min="8" max="9" width="45.7109375" bestFit="1" customWidth="1"/>
    <col min="10" max="10" width="17.5703125" bestFit="1" customWidth="1"/>
    <col min="11" max="11" width="21" customWidth="1"/>
    <col min="12" max="12" width="12" bestFit="1" customWidth="1"/>
    <col min="13" max="13" width="18.85546875" bestFit="1" customWidth="1"/>
    <col min="14" max="14" width="19" style="2" bestFit="1" customWidth="1"/>
    <col min="15" max="15" width="27.7109375" style="2" customWidth="1"/>
    <col min="16" max="16" width="12.42578125" bestFit="1" customWidth="1"/>
    <col min="17" max="17" width="45.7109375" bestFit="1" customWidth="1"/>
    <col min="18" max="18" width="28.85546875" bestFit="1" customWidth="1"/>
    <col min="19" max="19" width="45.7109375" bestFit="1" customWidth="1"/>
    <col min="20" max="20" width="20.7109375" bestFit="1" customWidth="1"/>
    <col min="21" max="21" width="37.140625" bestFit="1" customWidth="1"/>
    <col min="22" max="22" width="22.28515625" bestFit="1" customWidth="1"/>
    <col min="23" max="23" width="26" bestFit="1" customWidth="1"/>
    <col min="24" max="24" width="31.28515625" bestFit="1" customWidth="1"/>
    <col min="25" max="25" width="21.5703125" bestFit="1" customWidth="1"/>
    <col min="26" max="26" width="15" bestFit="1" customWidth="1"/>
    <col min="27" max="27" width="17.42578125" bestFit="1" customWidth="1"/>
    <col min="28" max="28" width="25.42578125" bestFit="1" customWidth="1"/>
    <col min="29" max="29" width="8" bestFit="1" customWidth="1"/>
  </cols>
  <sheetData>
    <row r="1" spans="1:30" x14ac:dyDescent="0.25">
      <c r="A1" s="34" t="s">
        <v>0</v>
      </c>
      <c r="B1" s="34" t="s">
        <v>2</v>
      </c>
      <c r="C1" s="34" t="s">
        <v>1</v>
      </c>
      <c r="D1" s="34" t="s">
        <v>2</v>
      </c>
      <c r="E1" s="34" t="s">
        <v>3</v>
      </c>
      <c r="F1" s="34" t="s">
        <v>4</v>
      </c>
      <c r="G1" s="34" t="s">
        <v>5</v>
      </c>
      <c r="H1" s="34" t="s">
        <v>6</v>
      </c>
      <c r="I1" s="34" t="s">
        <v>7</v>
      </c>
      <c r="J1" s="34" t="s">
        <v>8</v>
      </c>
      <c r="K1" s="34" t="s">
        <v>9</v>
      </c>
      <c r="L1" s="34" t="s">
        <v>10</v>
      </c>
      <c r="M1" s="34" t="s">
        <v>11</v>
      </c>
      <c r="N1" s="35" t="s">
        <v>12</v>
      </c>
      <c r="O1" s="35" t="s">
        <v>13</v>
      </c>
      <c r="P1" s="34" t="s">
        <v>14</v>
      </c>
      <c r="Q1" s="34" t="s">
        <v>15</v>
      </c>
      <c r="R1" s="34" t="s">
        <v>16</v>
      </c>
      <c r="S1" s="34" t="s">
        <v>17</v>
      </c>
      <c r="T1" s="34" t="s">
        <v>18</v>
      </c>
      <c r="U1" s="34" t="s">
        <v>19</v>
      </c>
      <c r="V1" s="34" t="s">
        <v>20</v>
      </c>
      <c r="W1" s="34" t="s">
        <v>21</v>
      </c>
      <c r="X1" s="34" t="s">
        <v>22</v>
      </c>
      <c r="Y1" s="34" t="s">
        <v>23</v>
      </c>
      <c r="Z1" s="34" t="s">
        <v>24</v>
      </c>
      <c r="AA1" s="34" t="s">
        <v>25</v>
      </c>
      <c r="AB1" s="34" t="s">
        <v>26</v>
      </c>
      <c r="AC1" s="34" t="s">
        <v>2197</v>
      </c>
      <c r="AD1" s="34" t="s">
        <v>2213</v>
      </c>
    </row>
    <row r="2" spans="1:30" x14ac:dyDescent="0.25">
      <c r="A2" s="36" t="s">
        <v>27</v>
      </c>
      <c r="B2" s="36" t="s">
        <v>29</v>
      </c>
      <c r="C2" s="36" t="s">
        <v>28</v>
      </c>
      <c r="D2" s="36" t="s">
        <v>29</v>
      </c>
      <c r="E2" s="36" t="s">
        <v>30</v>
      </c>
      <c r="F2" s="36" t="s">
        <v>31</v>
      </c>
      <c r="G2" s="37" t="s">
        <v>32</v>
      </c>
      <c r="H2" s="36" t="s">
        <v>33</v>
      </c>
      <c r="I2" s="36" t="s">
        <v>34</v>
      </c>
      <c r="J2" s="36">
        <v>2</v>
      </c>
      <c r="K2" s="36" t="s">
        <v>35</v>
      </c>
      <c r="L2" s="36">
        <v>1</v>
      </c>
      <c r="M2" s="36">
        <v>1</v>
      </c>
      <c r="N2" s="38">
        <v>90000000</v>
      </c>
      <c r="O2" s="39">
        <v>2500000</v>
      </c>
      <c r="P2" s="36">
        <v>36</v>
      </c>
      <c r="Q2" s="36" t="s">
        <v>36</v>
      </c>
      <c r="R2" s="36" t="s">
        <v>37</v>
      </c>
      <c r="S2" s="36" t="s">
        <v>38</v>
      </c>
      <c r="T2" s="36" t="s">
        <v>39</v>
      </c>
      <c r="U2" s="36" t="s">
        <v>40</v>
      </c>
      <c r="V2" s="40">
        <v>45292</v>
      </c>
      <c r="W2" s="40">
        <v>45478</v>
      </c>
      <c r="X2" s="36">
        <v>54</v>
      </c>
      <c r="Y2" s="36" t="s">
        <v>41</v>
      </c>
      <c r="Z2" s="36">
        <v>1</v>
      </c>
      <c r="AA2" s="36">
        <v>2500000</v>
      </c>
      <c r="AB2" s="40">
        <v>46054</v>
      </c>
      <c r="AC2" s="36" t="s">
        <v>2196</v>
      </c>
      <c r="AD2" s="36" t="str">
        <f>VLOOKUP(D2,Oficial!A:C,3,0)</f>
        <v>Arrastre</v>
      </c>
    </row>
    <row r="3" spans="1:30" x14ac:dyDescent="0.25">
      <c r="A3" s="36" t="s">
        <v>27</v>
      </c>
      <c r="B3" s="36" t="s">
        <v>29</v>
      </c>
      <c r="C3" s="36" t="s">
        <v>28</v>
      </c>
      <c r="D3" s="36" t="s">
        <v>29</v>
      </c>
      <c r="E3" s="36" t="s">
        <v>30</v>
      </c>
      <c r="F3" s="36" t="s">
        <v>31</v>
      </c>
      <c r="G3" s="37" t="s">
        <v>32</v>
      </c>
      <c r="H3" s="36" t="s">
        <v>33</v>
      </c>
      <c r="I3" s="36" t="s">
        <v>34</v>
      </c>
      <c r="J3" s="36">
        <v>2</v>
      </c>
      <c r="K3" s="36" t="s">
        <v>35</v>
      </c>
      <c r="L3" s="36">
        <v>1</v>
      </c>
      <c r="M3" s="36">
        <v>1</v>
      </c>
      <c r="N3" s="38">
        <v>90000000</v>
      </c>
      <c r="O3" s="39">
        <v>2500000</v>
      </c>
      <c r="P3" s="36">
        <v>36</v>
      </c>
      <c r="Q3" s="36" t="s">
        <v>36</v>
      </c>
      <c r="R3" s="36" t="s">
        <v>37</v>
      </c>
      <c r="S3" s="36" t="s">
        <v>38</v>
      </c>
      <c r="T3" s="36" t="s">
        <v>39</v>
      </c>
      <c r="U3" s="36" t="s">
        <v>40</v>
      </c>
      <c r="V3" s="40">
        <v>45292</v>
      </c>
      <c r="W3" s="40">
        <v>45478</v>
      </c>
      <c r="X3" s="36">
        <v>54</v>
      </c>
      <c r="Y3" s="36" t="s">
        <v>41</v>
      </c>
      <c r="Z3" s="36">
        <v>1</v>
      </c>
      <c r="AA3" s="36">
        <v>2500000</v>
      </c>
      <c r="AB3" s="40">
        <v>46113</v>
      </c>
      <c r="AC3" s="36" t="s">
        <v>2196</v>
      </c>
      <c r="AD3" s="36" t="str">
        <f>VLOOKUP(D3,Oficial!A:C,3,0)</f>
        <v>Arrastre</v>
      </c>
    </row>
    <row r="4" spans="1:30" x14ac:dyDescent="0.25">
      <c r="A4" s="36" t="s">
        <v>27</v>
      </c>
      <c r="B4" s="36" t="s">
        <v>29</v>
      </c>
      <c r="C4" s="36" t="s">
        <v>28</v>
      </c>
      <c r="D4" s="36" t="s">
        <v>29</v>
      </c>
      <c r="E4" s="36" t="s">
        <v>30</v>
      </c>
      <c r="F4" s="36" t="s">
        <v>31</v>
      </c>
      <c r="G4" s="37" t="s">
        <v>32</v>
      </c>
      <c r="H4" s="36" t="s">
        <v>33</v>
      </c>
      <c r="I4" s="36" t="s">
        <v>34</v>
      </c>
      <c r="J4" s="36">
        <v>2</v>
      </c>
      <c r="K4" s="36" t="s">
        <v>35</v>
      </c>
      <c r="L4" s="36">
        <v>1</v>
      </c>
      <c r="M4" s="36">
        <v>1</v>
      </c>
      <c r="N4" s="38">
        <v>90000000</v>
      </c>
      <c r="O4" s="39">
        <v>2500000</v>
      </c>
      <c r="P4" s="36">
        <v>36</v>
      </c>
      <c r="Q4" s="36" t="s">
        <v>36</v>
      </c>
      <c r="R4" s="36" t="s">
        <v>37</v>
      </c>
      <c r="S4" s="36" t="s">
        <v>38</v>
      </c>
      <c r="T4" s="36" t="s">
        <v>39</v>
      </c>
      <c r="U4" s="36" t="s">
        <v>40</v>
      </c>
      <c r="V4" s="40">
        <v>45292</v>
      </c>
      <c r="W4" s="40">
        <v>45478</v>
      </c>
      <c r="X4" s="36">
        <v>54</v>
      </c>
      <c r="Y4" s="36" t="s">
        <v>42</v>
      </c>
      <c r="Z4" s="36">
        <v>1</v>
      </c>
      <c r="AA4" s="36">
        <v>2500000</v>
      </c>
      <c r="AB4" s="40">
        <v>46054</v>
      </c>
      <c r="AC4" s="36" t="s">
        <v>2196</v>
      </c>
      <c r="AD4" s="36" t="str">
        <f>VLOOKUP(D4,Oficial!A:C,3,0)</f>
        <v>Arrastre</v>
      </c>
    </row>
    <row r="5" spans="1:30" x14ac:dyDescent="0.25">
      <c r="A5" s="36" t="s">
        <v>27</v>
      </c>
      <c r="B5" s="36" t="s">
        <v>29</v>
      </c>
      <c r="C5" s="36" t="s">
        <v>28</v>
      </c>
      <c r="D5" s="36" t="s">
        <v>29</v>
      </c>
      <c r="E5" s="36" t="s">
        <v>30</v>
      </c>
      <c r="F5" s="36" t="s">
        <v>31</v>
      </c>
      <c r="G5" s="37" t="s">
        <v>32</v>
      </c>
      <c r="H5" s="36" t="s">
        <v>33</v>
      </c>
      <c r="I5" s="36" t="s">
        <v>34</v>
      </c>
      <c r="J5" s="36">
        <v>2</v>
      </c>
      <c r="K5" s="36" t="s">
        <v>35</v>
      </c>
      <c r="L5" s="36">
        <v>1</v>
      </c>
      <c r="M5" s="36">
        <v>1</v>
      </c>
      <c r="N5" s="38">
        <v>90000000</v>
      </c>
      <c r="O5" s="39">
        <v>2500000</v>
      </c>
      <c r="P5" s="36">
        <v>36</v>
      </c>
      <c r="Q5" s="36" t="s">
        <v>36</v>
      </c>
      <c r="R5" s="36" t="s">
        <v>37</v>
      </c>
      <c r="S5" s="36" t="s">
        <v>38</v>
      </c>
      <c r="T5" s="36" t="s">
        <v>39</v>
      </c>
      <c r="U5" s="36" t="s">
        <v>40</v>
      </c>
      <c r="V5" s="40">
        <v>45292</v>
      </c>
      <c r="W5" s="40">
        <v>45478</v>
      </c>
      <c r="X5" s="36">
        <v>54</v>
      </c>
      <c r="Y5" s="36" t="s">
        <v>42</v>
      </c>
      <c r="Z5" s="36">
        <v>1</v>
      </c>
      <c r="AA5" s="36">
        <v>2500000</v>
      </c>
      <c r="AB5" s="40">
        <v>46357</v>
      </c>
      <c r="AC5" s="36" t="s">
        <v>2196</v>
      </c>
      <c r="AD5" s="36" t="str">
        <f>VLOOKUP(D5,Oficial!A:C,3,0)</f>
        <v>Arrastre</v>
      </c>
    </row>
    <row r="6" spans="1:30" x14ac:dyDescent="0.25">
      <c r="A6" s="36" t="s">
        <v>27</v>
      </c>
      <c r="B6" s="36" t="s">
        <v>29</v>
      </c>
      <c r="C6" s="36" t="s">
        <v>28</v>
      </c>
      <c r="D6" s="36" t="s">
        <v>29</v>
      </c>
      <c r="E6" s="36" t="s">
        <v>30</v>
      </c>
      <c r="F6" s="36" t="s">
        <v>31</v>
      </c>
      <c r="G6" s="37" t="s">
        <v>32</v>
      </c>
      <c r="H6" s="36" t="s">
        <v>33</v>
      </c>
      <c r="I6" s="36" t="s">
        <v>34</v>
      </c>
      <c r="J6" s="36">
        <v>2</v>
      </c>
      <c r="K6" s="36" t="s">
        <v>35</v>
      </c>
      <c r="L6" s="36">
        <v>1</v>
      </c>
      <c r="M6" s="36">
        <v>1</v>
      </c>
      <c r="N6" s="38">
        <v>90000000</v>
      </c>
      <c r="O6" s="39">
        <v>2500000</v>
      </c>
      <c r="P6" s="36">
        <v>36</v>
      </c>
      <c r="Q6" s="36" t="s">
        <v>36</v>
      </c>
      <c r="R6" s="36" t="s">
        <v>37</v>
      </c>
      <c r="S6" s="36" t="s">
        <v>38</v>
      </c>
      <c r="T6" s="36" t="s">
        <v>39</v>
      </c>
      <c r="U6" s="36" t="s">
        <v>40</v>
      </c>
      <c r="V6" s="40">
        <v>45292</v>
      </c>
      <c r="W6" s="40">
        <v>45478</v>
      </c>
      <c r="X6" s="36">
        <v>54</v>
      </c>
      <c r="Y6" s="36" t="s">
        <v>43</v>
      </c>
      <c r="Z6" s="36">
        <v>1</v>
      </c>
      <c r="AA6" s="36">
        <v>2500000</v>
      </c>
      <c r="AB6" s="40">
        <v>46327</v>
      </c>
      <c r="AC6" s="36" t="s">
        <v>2196</v>
      </c>
      <c r="AD6" s="36" t="str">
        <f>VLOOKUP(D6,Oficial!A:C,3,0)</f>
        <v>Arrastre</v>
      </c>
    </row>
    <row r="7" spans="1:30" x14ac:dyDescent="0.25">
      <c r="A7" s="36" t="s">
        <v>27</v>
      </c>
      <c r="B7" s="36" t="s">
        <v>29</v>
      </c>
      <c r="C7" s="36" t="s">
        <v>28</v>
      </c>
      <c r="D7" s="36" t="s">
        <v>29</v>
      </c>
      <c r="E7" s="36" t="s">
        <v>30</v>
      </c>
      <c r="F7" s="36" t="s">
        <v>31</v>
      </c>
      <c r="G7" s="37" t="s">
        <v>32</v>
      </c>
      <c r="H7" s="36" t="s">
        <v>33</v>
      </c>
      <c r="I7" s="36" t="s">
        <v>34</v>
      </c>
      <c r="J7" s="36">
        <v>2</v>
      </c>
      <c r="K7" s="36" t="s">
        <v>35</v>
      </c>
      <c r="L7" s="36">
        <v>1</v>
      </c>
      <c r="M7" s="36">
        <v>1</v>
      </c>
      <c r="N7" s="38">
        <v>90000000</v>
      </c>
      <c r="O7" s="39">
        <v>2500000</v>
      </c>
      <c r="P7" s="36">
        <v>36</v>
      </c>
      <c r="Q7" s="36" t="s">
        <v>36</v>
      </c>
      <c r="R7" s="36" t="s">
        <v>37</v>
      </c>
      <c r="S7" s="36" t="s">
        <v>38</v>
      </c>
      <c r="T7" s="36" t="s">
        <v>39</v>
      </c>
      <c r="U7" s="36" t="s">
        <v>40</v>
      </c>
      <c r="V7" s="40">
        <v>45292</v>
      </c>
      <c r="W7" s="40">
        <v>45478</v>
      </c>
      <c r="X7" s="36">
        <v>54</v>
      </c>
      <c r="Y7" s="36" t="s">
        <v>41</v>
      </c>
      <c r="Z7" s="36">
        <v>1</v>
      </c>
      <c r="AA7" s="36">
        <v>2500000</v>
      </c>
      <c r="AB7" s="40">
        <v>46174</v>
      </c>
      <c r="AC7" s="36" t="s">
        <v>2196</v>
      </c>
      <c r="AD7" s="36" t="str">
        <f>VLOOKUP(D7,Oficial!A:C,3,0)</f>
        <v>Arrastre</v>
      </c>
    </row>
    <row r="8" spans="1:30" x14ac:dyDescent="0.25">
      <c r="A8" s="36" t="s">
        <v>27</v>
      </c>
      <c r="B8" s="36" t="s">
        <v>29</v>
      </c>
      <c r="C8" s="36" t="s">
        <v>28</v>
      </c>
      <c r="D8" s="36" t="s">
        <v>29</v>
      </c>
      <c r="E8" s="36" t="s">
        <v>30</v>
      </c>
      <c r="F8" s="36" t="s">
        <v>31</v>
      </c>
      <c r="G8" s="37" t="s">
        <v>32</v>
      </c>
      <c r="H8" s="36" t="s">
        <v>33</v>
      </c>
      <c r="I8" s="36" t="s">
        <v>34</v>
      </c>
      <c r="J8" s="36">
        <v>2</v>
      </c>
      <c r="K8" s="36" t="s">
        <v>35</v>
      </c>
      <c r="L8" s="36">
        <v>1</v>
      </c>
      <c r="M8" s="36">
        <v>1</v>
      </c>
      <c r="N8" s="38">
        <v>90000000</v>
      </c>
      <c r="O8" s="39">
        <v>2500000</v>
      </c>
      <c r="P8" s="36">
        <v>36</v>
      </c>
      <c r="Q8" s="36" t="s">
        <v>36</v>
      </c>
      <c r="R8" s="36" t="s">
        <v>37</v>
      </c>
      <c r="S8" s="36" t="s">
        <v>38</v>
      </c>
      <c r="T8" s="36" t="s">
        <v>39</v>
      </c>
      <c r="U8" s="36" t="s">
        <v>40</v>
      </c>
      <c r="V8" s="40">
        <v>45292</v>
      </c>
      <c r="W8" s="40">
        <v>45478</v>
      </c>
      <c r="X8" s="36">
        <v>54</v>
      </c>
      <c r="Y8" s="36" t="s">
        <v>41</v>
      </c>
      <c r="Z8" s="36">
        <v>1</v>
      </c>
      <c r="AA8" s="36">
        <v>2500000</v>
      </c>
      <c r="AB8" s="40">
        <v>46327</v>
      </c>
      <c r="AC8" s="36" t="s">
        <v>2196</v>
      </c>
      <c r="AD8" s="36" t="str">
        <f>VLOOKUP(D8,Oficial!A:C,3,0)</f>
        <v>Arrastre</v>
      </c>
    </row>
    <row r="9" spans="1:30" x14ac:dyDescent="0.25">
      <c r="A9" s="36" t="s">
        <v>27</v>
      </c>
      <c r="B9" s="36" t="s">
        <v>29</v>
      </c>
      <c r="C9" s="36" t="s">
        <v>28</v>
      </c>
      <c r="D9" s="36" t="s">
        <v>29</v>
      </c>
      <c r="E9" s="36" t="s">
        <v>30</v>
      </c>
      <c r="F9" s="36" t="s">
        <v>31</v>
      </c>
      <c r="G9" s="37" t="s">
        <v>32</v>
      </c>
      <c r="H9" s="36" t="s">
        <v>33</v>
      </c>
      <c r="I9" s="36" t="s">
        <v>34</v>
      </c>
      <c r="J9" s="36">
        <v>2</v>
      </c>
      <c r="K9" s="36" t="s">
        <v>35</v>
      </c>
      <c r="L9" s="36">
        <v>1</v>
      </c>
      <c r="M9" s="36">
        <v>1</v>
      </c>
      <c r="N9" s="38">
        <v>90000000</v>
      </c>
      <c r="O9" s="39">
        <v>2500000</v>
      </c>
      <c r="P9" s="36">
        <v>36</v>
      </c>
      <c r="Q9" s="36" t="s">
        <v>36</v>
      </c>
      <c r="R9" s="36" t="s">
        <v>37</v>
      </c>
      <c r="S9" s="36" t="s">
        <v>38</v>
      </c>
      <c r="T9" s="36" t="s">
        <v>39</v>
      </c>
      <c r="U9" s="36" t="s">
        <v>40</v>
      </c>
      <c r="V9" s="40">
        <v>45292</v>
      </c>
      <c r="W9" s="40">
        <v>45478</v>
      </c>
      <c r="X9" s="36">
        <v>54</v>
      </c>
      <c r="Y9" s="36" t="s">
        <v>42</v>
      </c>
      <c r="Z9" s="36">
        <v>1</v>
      </c>
      <c r="AA9" s="36">
        <v>2500000</v>
      </c>
      <c r="AB9" s="40">
        <v>46204</v>
      </c>
      <c r="AC9" s="36" t="s">
        <v>2196</v>
      </c>
      <c r="AD9" s="36" t="str">
        <f>VLOOKUP(D9,Oficial!A:C,3,0)</f>
        <v>Arrastre</v>
      </c>
    </row>
    <row r="10" spans="1:30" x14ac:dyDescent="0.25">
      <c r="A10" s="36" t="s">
        <v>27</v>
      </c>
      <c r="B10" s="36" t="s">
        <v>29</v>
      </c>
      <c r="C10" s="36" t="s">
        <v>28</v>
      </c>
      <c r="D10" s="36" t="s">
        <v>29</v>
      </c>
      <c r="E10" s="36" t="s">
        <v>30</v>
      </c>
      <c r="F10" s="36" t="s">
        <v>31</v>
      </c>
      <c r="G10" s="37" t="s">
        <v>32</v>
      </c>
      <c r="H10" s="36" t="s">
        <v>33</v>
      </c>
      <c r="I10" s="36" t="s">
        <v>34</v>
      </c>
      <c r="J10" s="36">
        <v>2</v>
      </c>
      <c r="K10" s="36" t="s">
        <v>35</v>
      </c>
      <c r="L10" s="36">
        <v>1</v>
      </c>
      <c r="M10" s="36">
        <v>1</v>
      </c>
      <c r="N10" s="38">
        <v>90000000</v>
      </c>
      <c r="O10" s="39">
        <v>2500000</v>
      </c>
      <c r="P10" s="36">
        <v>36</v>
      </c>
      <c r="Q10" s="36" t="s">
        <v>36</v>
      </c>
      <c r="R10" s="36" t="s">
        <v>37</v>
      </c>
      <c r="S10" s="36" t="s">
        <v>38</v>
      </c>
      <c r="T10" s="36" t="s">
        <v>39</v>
      </c>
      <c r="U10" s="36" t="s">
        <v>40</v>
      </c>
      <c r="V10" s="40">
        <v>45292</v>
      </c>
      <c r="W10" s="40">
        <v>45478</v>
      </c>
      <c r="X10" s="36">
        <v>54</v>
      </c>
      <c r="Y10" s="36" t="s">
        <v>42</v>
      </c>
      <c r="Z10" s="36">
        <v>1</v>
      </c>
      <c r="AA10" s="36">
        <v>2500000</v>
      </c>
      <c r="AB10" s="40">
        <v>46023</v>
      </c>
      <c r="AC10" s="36" t="s">
        <v>2196</v>
      </c>
      <c r="AD10" s="36" t="str">
        <f>VLOOKUP(D10,Oficial!A:C,3,0)</f>
        <v>Arrastre</v>
      </c>
    </row>
    <row r="11" spans="1:30" x14ac:dyDescent="0.25">
      <c r="A11" s="36" t="s">
        <v>27</v>
      </c>
      <c r="B11" s="36" t="s">
        <v>29</v>
      </c>
      <c r="C11" s="36" t="s">
        <v>28</v>
      </c>
      <c r="D11" s="36" t="s">
        <v>29</v>
      </c>
      <c r="E11" s="36" t="s">
        <v>30</v>
      </c>
      <c r="F11" s="36" t="s">
        <v>31</v>
      </c>
      <c r="G11" s="37" t="s">
        <v>32</v>
      </c>
      <c r="H11" s="36" t="s">
        <v>33</v>
      </c>
      <c r="I11" s="36" t="s">
        <v>34</v>
      </c>
      <c r="J11" s="36">
        <v>2</v>
      </c>
      <c r="K11" s="36" t="s">
        <v>35</v>
      </c>
      <c r="L11" s="36">
        <v>1</v>
      </c>
      <c r="M11" s="36">
        <v>1</v>
      </c>
      <c r="N11" s="38">
        <v>90000000</v>
      </c>
      <c r="O11" s="39">
        <v>2500000</v>
      </c>
      <c r="P11" s="36">
        <v>36</v>
      </c>
      <c r="Q11" s="36" t="s">
        <v>36</v>
      </c>
      <c r="R11" s="36" t="s">
        <v>37</v>
      </c>
      <c r="S11" s="36" t="s">
        <v>38</v>
      </c>
      <c r="T11" s="36" t="s">
        <v>39</v>
      </c>
      <c r="U11" s="36" t="s">
        <v>40</v>
      </c>
      <c r="V11" s="40">
        <v>45292</v>
      </c>
      <c r="W11" s="40">
        <v>45478</v>
      </c>
      <c r="X11" s="36">
        <v>54</v>
      </c>
      <c r="Y11" s="36" t="s">
        <v>42</v>
      </c>
      <c r="Z11" s="36">
        <v>1</v>
      </c>
      <c r="AA11" s="36">
        <v>2500000</v>
      </c>
      <c r="AB11" s="40">
        <v>46174</v>
      </c>
      <c r="AC11" s="36" t="s">
        <v>2196</v>
      </c>
      <c r="AD11" s="36" t="str">
        <f>VLOOKUP(D11,Oficial!A:C,3,0)</f>
        <v>Arrastre</v>
      </c>
    </row>
    <row r="12" spans="1:30" x14ac:dyDescent="0.25">
      <c r="A12" s="36" t="s">
        <v>27</v>
      </c>
      <c r="B12" s="36" t="s">
        <v>29</v>
      </c>
      <c r="C12" s="36" t="s">
        <v>28</v>
      </c>
      <c r="D12" s="36" t="s">
        <v>29</v>
      </c>
      <c r="E12" s="36" t="s">
        <v>30</v>
      </c>
      <c r="F12" s="36" t="s">
        <v>31</v>
      </c>
      <c r="G12" s="37" t="s">
        <v>32</v>
      </c>
      <c r="H12" s="36" t="s">
        <v>33</v>
      </c>
      <c r="I12" s="36" t="s">
        <v>34</v>
      </c>
      <c r="J12" s="36">
        <v>2</v>
      </c>
      <c r="K12" s="36" t="s">
        <v>35</v>
      </c>
      <c r="L12" s="36">
        <v>1</v>
      </c>
      <c r="M12" s="36">
        <v>1</v>
      </c>
      <c r="N12" s="38">
        <v>90000000</v>
      </c>
      <c r="O12" s="39">
        <v>2500000</v>
      </c>
      <c r="P12" s="36">
        <v>36</v>
      </c>
      <c r="Q12" s="36" t="s">
        <v>36</v>
      </c>
      <c r="R12" s="36" t="s">
        <v>37</v>
      </c>
      <c r="S12" s="36" t="s">
        <v>38</v>
      </c>
      <c r="T12" s="36" t="s">
        <v>39</v>
      </c>
      <c r="U12" s="36" t="s">
        <v>40</v>
      </c>
      <c r="V12" s="40">
        <v>45292</v>
      </c>
      <c r="W12" s="40">
        <v>45478</v>
      </c>
      <c r="X12" s="36">
        <v>54</v>
      </c>
      <c r="Y12" s="36" t="s">
        <v>43</v>
      </c>
      <c r="Z12" s="36">
        <v>1</v>
      </c>
      <c r="AA12" s="36">
        <v>2500000</v>
      </c>
      <c r="AB12" s="40">
        <v>46113</v>
      </c>
      <c r="AC12" s="36" t="s">
        <v>2196</v>
      </c>
      <c r="AD12" s="36" t="str">
        <f>VLOOKUP(D12,Oficial!A:C,3,0)</f>
        <v>Arrastre</v>
      </c>
    </row>
    <row r="13" spans="1:30" x14ac:dyDescent="0.25">
      <c r="A13" s="36" t="s">
        <v>27</v>
      </c>
      <c r="B13" s="36" t="s">
        <v>29</v>
      </c>
      <c r="C13" s="36" t="s">
        <v>28</v>
      </c>
      <c r="D13" s="36" t="s">
        <v>29</v>
      </c>
      <c r="E13" s="36" t="s">
        <v>30</v>
      </c>
      <c r="F13" s="36" t="s">
        <v>31</v>
      </c>
      <c r="G13" s="37" t="s">
        <v>32</v>
      </c>
      <c r="H13" s="36" t="s">
        <v>33</v>
      </c>
      <c r="I13" s="36" t="s">
        <v>34</v>
      </c>
      <c r="J13" s="36">
        <v>2</v>
      </c>
      <c r="K13" s="36" t="s">
        <v>35</v>
      </c>
      <c r="L13" s="36">
        <v>1</v>
      </c>
      <c r="M13" s="36">
        <v>1</v>
      </c>
      <c r="N13" s="38">
        <v>90000000</v>
      </c>
      <c r="O13" s="39">
        <v>2500000</v>
      </c>
      <c r="P13" s="36">
        <v>36</v>
      </c>
      <c r="Q13" s="36" t="s">
        <v>36</v>
      </c>
      <c r="R13" s="36" t="s">
        <v>37</v>
      </c>
      <c r="S13" s="36" t="s">
        <v>38</v>
      </c>
      <c r="T13" s="36" t="s">
        <v>39</v>
      </c>
      <c r="U13" s="36" t="s">
        <v>40</v>
      </c>
      <c r="V13" s="40">
        <v>45292</v>
      </c>
      <c r="W13" s="40">
        <v>45478</v>
      </c>
      <c r="X13" s="36">
        <v>54</v>
      </c>
      <c r="Y13" s="36" t="s">
        <v>42</v>
      </c>
      <c r="Z13" s="36">
        <v>1</v>
      </c>
      <c r="AA13" s="36">
        <v>2500000</v>
      </c>
      <c r="AB13" s="40">
        <v>46082</v>
      </c>
      <c r="AC13" s="36" t="s">
        <v>2196</v>
      </c>
      <c r="AD13" s="36" t="str">
        <f>VLOOKUP(D13,Oficial!A:C,3,0)</f>
        <v>Arrastre</v>
      </c>
    </row>
    <row r="14" spans="1:30" x14ac:dyDescent="0.25">
      <c r="A14" s="36" t="s">
        <v>27</v>
      </c>
      <c r="B14" s="36" t="s">
        <v>44</v>
      </c>
      <c r="C14" s="36" t="s">
        <v>28</v>
      </c>
      <c r="D14" s="36" t="s">
        <v>44</v>
      </c>
      <c r="E14" s="36" t="s">
        <v>45</v>
      </c>
      <c r="F14" s="36" t="s">
        <v>31</v>
      </c>
      <c r="G14" s="37" t="s">
        <v>32</v>
      </c>
      <c r="H14" s="36" t="s">
        <v>46</v>
      </c>
      <c r="I14" s="36" t="s">
        <v>47</v>
      </c>
      <c r="J14" s="36">
        <v>2</v>
      </c>
      <c r="K14" s="36" t="s">
        <v>48</v>
      </c>
      <c r="L14" s="36">
        <v>1</v>
      </c>
      <c r="M14" s="36">
        <v>1</v>
      </c>
      <c r="N14" s="38">
        <v>20136000</v>
      </c>
      <c r="O14" s="41">
        <v>559333</v>
      </c>
      <c r="P14" s="36">
        <v>36</v>
      </c>
      <c r="Q14" s="36" t="s">
        <v>36</v>
      </c>
      <c r="R14" s="36" t="s">
        <v>37</v>
      </c>
      <c r="S14" s="36" t="s">
        <v>49</v>
      </c>
      <c r="T14" s="36" t="s">
        <v>39</v>
      </c>
      <c r="U14" s="36" t="s">
        <v>40</v>
      </c>
      <c r="V14" s="40">
        <v>45200</v>
      </c>
      <c r="W14" s="40">
        <v>45478</v>
      </c>
      <c r="X14" s="36">
        <v>1</v>
      </c>
      <c r="Y14" s="36" t="s">
        <v>50</v>
      </c>
      <c r="Z14" s="36">
        <v>1</v>
      </c>
      <c r="AA14" s="36">
        <v>559333</v>
      </c>
      <c r="AB14" s="40">
        <v>46023</v>
      </c>
      <c r="AC14" s="36" t="s">
        <v>2196</v>
      </c>
      <c r="AD14" s="36" t="str">
        <f>VLOOKUP(D14,Oficial!A:C,3,0)</f>
        <v>Arrastre</v>
      </c>
    </row>
    <row r="15" spans="1:30" x14ac:dyDescent="0.25">
      <c r="A15" s="36" t="s">
        <v>27</v>
      </c>
      <c r="B15" s="36" t="s">
        <v>44</v>
      </c>
      <c r="C15" s="36" t="s">
        <v>28</v>
      </c>
      <c r="D15" s="36" t="s">
        <v>44</v>
      </c>
      <c r="E15" s="36" t="s">
        <v>45</v>
      </c>
      <c r="F15" s="36" t="s">
        <v>31</v>
      </c>
      <c r="G15" s="37" t="s">
        <v>32</v>
      </c>
      <c r="H15" s="36" t="s">
        <v>46</v>
      </c>
      <c r="I15" s="36" t="s">
        <v>47</v>
      </c>
      <c r="J15" s="36">
        <v>2</v>
      </c>
      <c r="K15" s="36" t="s">
        <v>48</v>
      </c>
      <c r="L15" s="36">
        <v>1</v>
      </c>
      <c r="M15" s="36">
        <v>1</v>
      </c>
      <c r="N15" s="38">
        <v>20136000</v>
      </c>
      <c r="O15" s="41">
        <v>559333</v>
      </c>
      <c r="P15" s="36">
        <v>36</v>
      </c>
      <c r="Q15" s="36" t="s">
        <v>36</v>
      </c>
      <c r="R15" s="36" t="s">
        <v>37</v>
      </c>
      <c r="S15" s="36" t="s">
        <v>49</v>
      </c>
      <c r="T15" s="36" t="s">
        <v>39</v>
      </c>
      <c r="U15" s="36" t="s">
        <v>40</v>
      </c>
      <c r="V15" s="40">
        <v>45200</v>
      </c>
      <c r="W15" s="40">
        <v>45478</v>
      </c>
      <c r="X15" s="36">
        <v>1</v>
      </c>
      <c r="Y15" s="36" t="s">
        <v>50</v>
      </c>
      <c r="Z15" s="36">
        <v>1</v>
      </c>
      <c r="AA15" s="36">
        <v>559333</v>
      </c>
      <c r="AB15" s="40">
        <v>46204</v>
      </c>
      <c r="AC15" s="36" t="s">
        <v>2196</v>
      </c>
      <c r="AD15" s="36" t="str">
        <f>VLOOKUP(D15,Oficial!A:C,3,0)</f>
        <v>Arrastre</v>
      </c>
    </row>
    <row r="16" spans="1:30" x14ac:dyDescent="0.25">
      <c r="A16" s="36" t="s">
        <v>27</v>
      </c>
      <c r="B16" s="36" t="s">
        <v>44</v>
      </c>
      <c r="C16" s="36" t="s">
        <v>28</v>
      </c>
      <c r="D16" s="36" t="s">
        <v>44</v>
      </c>
      <c r="E16" s="36" t="s">
        <v>45</v>
      </c>
      <c r="F16" s="36" t="s">
        <v>31</v>
      </c>
      <c r="G16" s="37" t="s">
        <v>32</v>
      </c>
      <c r="H16" s="36" t="s">
        <v>46</v>
      </c>
      <c r="I16" s="36" t="s">
        <v>47</v>
      </c>
      <c r="J16" s="36">
        <v>2</v>
      </c>
      <c r="K16" s="36" t="s">
        <v>48</v>
      </c>
      <c r="L16" s="36">
        <v>1</v>
      </c>
      <c r="M16" s="36">
        <v>1</v>
      </c>
      <c r="N16" s="38">
        <v>20136000</v>
      </c>
      <c r="O16" s="41">
        <v>559333</v>
      </c>
      <c r="P16" s="36">
        <v>36</v>
      </c>
      <c r="Q16" s="36" t="s">
        <v>36</v>
      </c>
      <c r="R16" s="36" t="s">
        <v>37</v>
      </c>
      <c r="S16" s="36" t="s">
        <v>49</v>
      </c>
      <c r="T16" s="36" t="s">
        <v>39</v>
      </c>
      <c r="U16" s="36" t="s">
        <v>40</v>
      </c>
      <c r="V16" s="40">
        <v>45200</v>
      </c>
      <c r="W16" s="40">
        <v>45478</v>
      </c>
      <c r="X16" s="36">
        <v>1</v>
      </c>
      <c r="Y16" s="36" t="s">
        <v>50</v>
      </c>
      <c r="Z16" s="36">
        <v>1</v>
      </c>
      <c r="AA16" s="36">
        <v>559333</v>
      </c>
      <c r="AB16" s="40">
        <v>46143</v>
      </c>
      <c r="AC16" s="36" t="s">
        <v>2196</v>
      </c>
      <c r="AD16" s="36" t="str">
        <f>VLOOKUP(D16,Oficial!A:C,3,0)</f>
        <v>Arrastre</v>
      </c>
    </row>
    <row r="17" spans="1:30" x14ac:dyDescent="0.25">
      <c r="A17" s="36" t="s">
        <v>27</v>
      </c>
      <c r="B17" s="36" t="s">
        <v>44</v>
      </c>
      <c r="C17" s="36" t="s">
        <v>28</v>
      </c>
      <c r="D17" s="36" t="s">
        <v>44</v>
      </c>
      <c r="E17" s="36" t="s">
        <v>45</v>
      </c>
      <c r="F17" s="36" t="s">
        <v>31</v>
      </c>
      <c r="G17" s="37" t="s">
        <v>32</v>
      </c>
      <c r="H17" s="36" t="s">
        <v>46</v>
      </c>
      <c r="I17" s="36" t="s">
        <v>47</v>
      </c>
      <c r="J17" s="36">
        <v>2</v>
      </c>
      <c r="K17" s="36" t="s">
        <v>48</v>
      </c>
      <c r="L17" s="36">
        <v>1</v>
      </c>
      <c r="M17" s="36">
        <v>1</v>
      </c>
      <c r="N17" s="38">
        <v>20136000</v>
      </c>
      <c r="O17" s="41">
        <v>559333</v>
      </c>
      <c r="P17" s="36">
        <v>36</v>
      </c>
      <c r="Q17" s="36" t="s">
        <v>36</v>
      </c>
      <c r="R17" s="36" t="s">
        <v>37</v>
      </c>
      <c r="S17" s="36" t="s">
        <v>49</v>
      </c>
      <c r="T17" s="36" t="s">
        <v>39</v>
      </c>
      <c r="U17" s="36" t="s">
        <v>40</v>
      </c>
      <c r="V17" s="40">
        <v>45200</v>
      </c>
      <c r="W17" s="40">
        <v>45478</v>
      </c>
      <c r="X17" s="36">
        <v>1</v>
      </c>
      <c r="Y17" s="36" t="s">
        <v>50</v>
      </c>
      <c r="Z17" s="36">
        <v>1</v>
      </c>
      <c r="AA17" s="36">
        <v>559333</v>
      </c>
      <c r="AB17" s="40">
        <v>46054</v>
      </c>
      <c r="AC17" s="36" t="s">
        <v>2196</v>
      </c>
      <c r="AD17" s="36" t="str">
        <f>VLOOKUP(D17,Oficial!A:C,3,0)</f>
        <v>Arrastre</v>
      </c>
    </row>
    <row r="18" spans="1:30" x14ac:dyDescent="0.25">
      <c r="A18" s="36" t="s">
        <v>27</v>
      </c>
      <c r="B18" s="36" t="s">
        <v>44</v>
      </c>
      <c r="C18" s="36" t="s">
        <v>28</v>
      </c>
      <c r="D18" s="36" t="s">
        <v>44</v>
      </c>
      <c r="E18" s="36" t="s">
        <v>45</v>
      </c>
      <c r="F18" s="36" t="s">
        <v>31</v>
      </c>
      <c r="G18" s="37" t="s">
        <v>32</v>
      </c>
      <c r="H18" s="36" t="s">
        <v>46</v>
      </c>
      <c r="I18" s="36" t="s">
        <v>47</v>
      </c>
      <c r="J18" s="36">
        <v>2</v>
      </c>
      <c r="K18" s="36" t="s">
        <v>48</v>
      </c>
      <c r="L18" s="36">
        <v>1</v>
      </c>
      <c r="M18" s="36">
        <v>1</v>
      </c>
      <c r="N18" s="38">
        <v>20136000</v>
      </c>
      <c r="O18" s="41">
        <v>559333</v>
      </c>
      <c r="P18" s="36">
        <v>36</v>
      </c>
      <c r="Q18" s="36" t="s">
        <v>36</v>
      </c>
      <c r="R18" s="36" t="s">
        <v>37</v>
      </c>
      <c r="S18" s="36" t="s">
        <v>49</v>
      </c>
      <c r="T18" s="36" t="s">
        <v>39</v>
      </c>
      <c r="U18" s="36" t="s">
        <v>40</v>
      </c>
      <c r="V18" s="40">
        <v>45200</v>
      </c>
      <c r="W18" s="40">
        <v>45478</v>
      </c>
      <c r="X18" s="36">
        <v>1</v>
      </c>
      <c r="Y18" s="36" t="s">
        <v>50</v>
      </c>
      <c r="Z18" s="36">
        <v>1</v>
      </c>
      <c r="AA18" s="36">
        <v>559333</v>
      </c>
      <c r="AB18" s="40">
        <v>46235</v>
      </c>
      <c r="AC18" s="36" t="s">
        <v>2196</v>
      </c>
      <c r="AD18" s="36" t="str">
        <f>VLOOKUP(D18,Oficial!A:C,3,0)</f>
        <v>Arrastre</v>
      </c>
    </row>
    <row r="19" spans="1:30" x14ac:dyDescent="0.25">
      <c r="A19" s="36" t="s">
        <v>27</v>
      </c>
      <c r="B19" s="36" t="s">
        <v>44</v>
      </c>
      <c r="C19" s="36" t="s">
        <v>28</v>
      </c>
      <c r="D19" s="36" t="s">
        <v>44</v>
      </c>
      <c r="E19" s="36" t="s">
        <v>45</v>
      </c>
      <c r="F19" s="36" t="s">
        <v>31</v>
      </c>
      <c r="G19" s="37" t="s">
        <v>32</v>
      </c>
      <c r="H19" s="36" t="s">
        <v>46</v>
      </c>
      <c r="I19" s="36" t="s">
        <v>47</v>
      </c>
      <c r="J19" s="36">
        <v>2</v>
      </c>
      <c r="K19" s="36" t="s">
        <v>48</v>
      </c>
      <c r="L19" s="36">
        <v>1</v>
      </c>
      <c r="M19" s="36">
        <v>1</v>
      </c>
      <c r="N19" s="38">
        <v>20136000</v>
      </c>
      <c r="O19" s="41">
        <v>559333</v>
      </c>
      <c r="P19" s="36">
        <v>36</v>
      </c>
      <c r="Q19" s="36" t="s">
        <v>36</v>
      </c>
      <c r="R19" s="36" t="s">
        <v>37</v>
      </c>
      <c r="S19" s="36" t="s">
        <v>49</v>
      </c>
      <c r="T19" s="36" t="s">
        <v>39</v>
      </c>
      <c r="U19" s="36" t="s">
        <v>40</v>
      </c>
      <c r="V19" s="40">
        <v>45200</v>
      </c>
      <c r="W19" s="40">
        <v>45478</v>
      </c>
      <c r="X19" s="36">
        <v>1</v>
      </c>
      <c r="Y19" s="36" t="s">
        <v>50</v>
      </c>
      <c r="Z19" s="36">
        <v>1</v>
      </c>
      <c r="AA19" s="36">
        <v>559333</v>
      </c>
      <c r="AB19" s="40">
        <v>46082</v>
      </c>
      <c r="AC19" s="36" t="s">
        <v>2196</v>
      </c>
      <c r="AD19" s="36" t="str">
        <f>VLOOKUP(D19,Oficial!A:C,3,0)</f>
        <v>Arrastre</v>
      </c>
    </row>
    <row r="20" spans="1:30" x14ac:dyDescent="0.25">
      <c r="A20" s="36" t="s">
        <v>27</v>
      </c>
      <c r="B20" s="36" t="s">
        <v>44</v>
      </c>
      <c r="C20" s="36" t="s">
        <v>28</v>
      </c>
      <c r="D20" s="36" t="s">
        <v>44</v>
      </c>
      <c r="E20" s="36" t="s">
        <v>45</v>
      </c>
      <c r="F20" s="36" t="s">
        <v>31</v>
      </c>
      <c r="G20" s="37" t="s">
        <v>32</v>
      </c>
      <c r="H20" s="36" t="s">
        <v>46</v>
      </c>
      <c r="I20" s="36" t="s">
        <v>47</v>
      </c>
      <c r="J20" s="36">
        <v>2</v>
      </c>
      <c r="K20" s="36" t="s">
        <v>48</v>
      </c>
      <c r="L20" s="36">
        <v>1</v>
      </c>
      <c r="M20" s="36">
        <v>1</v>
      </c>
      <c r="N20" s="38">
        <v>20136000</v>
      </c>
      <c r="O20" s="41">
        <v>559333</v>
      </c>
      <c r="P20" s="36">
        <v>36</v>
      </c>
      <c r="Q20" s="36" t="s">
        <v>36</v>
      </c>
      <c r="R20" s="36" t="s">
        <v>37</v>
      </c>
      <c r="S20" s="36" t="s">
        <v>49</v>
      </c>
      <c r="T20" s="36" t="s">
        <v>39</v>
      </c>
      <c r="U20" s="36" t="s">
        <v>40</v>
      </c>
      <c r="V20" s="40">
        <v>45200</v>
      </c>
      <c r="W20" s="40">
        <v>45478</v>
      </c>
      <c r="X20" s="36">
        <v>1</v>
      </c>
      <c r="Y20" s="36" t="s">
        <v>50</v>
      </c>
      <c r="Z20" s="36">
        <v>1</v>
      </c>
      <c r="AA20" s="36">
        <v>559333</v>
      </c>
      <c r="AB20" s="40">
        <v>46174</v>
      </c>
      <c r="AC20" s="36" t="s">
        <v>2196</v>
      </c>
      <c r="AD20" s="36" t="str">
        <f>VLOOKUP(D20,Oficial!A:C,3,0)</f>
        <v>Arrastre</v>
      </c>
    </row>
    <row r="21" spans="1:30" x14ac:dyDescent="0.25">
      <c r="A21" s="36" t="s">
        <v>27</v>
      </c>
      <c r="B21" s="36" t="s">
        <v>44</v>
      </c>
      <c r="C21" s="36" t="s">
        <v>28</v>
      </c>
      <c r="D21" s="36" t="s">
        <v>44</v>
      </c>
      <c r="E21" s="36" t="s">
        <v>45</v>
      </c>
      <c r="F21" s="36" t="s">
        <v>31</v>
      </c>
      <c r="G21" s="37" t="s">
        <v>32</v>
      </c>
      <c r="H21" s="36" t="s">
        <v>46</v>
      </c>
      <c r="I21" s="36" t="s">
        <v>47</v>
      </c>
      <c r="J21" s="36">
        <v>2</v>
      </c>
      <c r="K21" s="36" t="s">
        <v>48</v>
      </c>
      <c r="L21" s="36">
        <v>1</v>
      </c>
      <c r="M21" s="36">
        <v>1</v>
      </c>
      <c r="N21" s="38">
        <v>20136000</v>
      </c>
      <c r="O21" s="41">
        <v>559333</v>
      </c>
      <c r="P21" s="36">
        <v>36</v>
      </c>
      <c r="Q21" s="36" t="s">
        <v>36</v>
      </c>
      <c r="R21" s="36" t="s">
        <v>37</v>
      </c>
      <c r="S21" s="36" t="s">
        <v>49</v>
      </c>
      <c r="T21" s="36" t="s">
        <v>39</v>
      </c>
      <c r="U21" s="36" t="s">
        <v>40</v>
      </c>
      <c r="V21" s="40">
        <v>45200</v>
      </c>
      <c r="W21" s="40">
        <v>45478</v>
      </c>
      <c r="X21" s="36">
        <v>1</v>
      </c>
      <c r="Y21" s="36" t="s">
        <v>50</v>
      </c>
      <c r="Z21" s="36">
        <v>1</v>
      </c>
      <c r="AA21" s="36">
        <v>559333</v>
      </c>
      <c r="AB21" s="40">
        <v>46113</v>
      </c>
      <c r="AC21" s="36" t="s">
        <v>2196</v>
      </c>
      <c r="AD21" s="36" t="str">
        <f>VLOOKUP(D21,Oficial!A:C,3,0)</f>
        <v>Arrastre</v>
      </c>
    </row>
    <row r="22" spans="1:30" x14ac:dyDescent="0.25">
      <c r="A22" s="36" t="s">
        <v>27</v>
      </c>
      <c r="B22" s="36" t="s">
        <v>44</v>
      </c>
      <c r="C22" s="36" t="s">
        <v>28</v>
      </c>
      <c r="D22" s="36" t="s">
        <v>44</v>
      </c>
      <c r="E22" s="36" t="s">
        <v>45</v>
      </c>
      <c r="F22" s="36" t="s">
        <v>31</v>
      </c>
      <c r="G22" s="37" t="s">
        <v>32</v>
      </c>
      <c r="H22" s="36" t="s">
        <v>46</v>
      </c>
      <c r="I22" s="36" t="s">
        <v>47</v>
      </c>
      <c r="J22" s="36">
        <v>2</v>
      </c>
      <c r="K22" s="36" t="s">
        <v>48</v>
      </c>
      <c r="L22" s="36">
        <v>1</v>
      </c>
      <c r="M22" s="36">
        <v>1</v>
      </c>
      <c r="N22" s="38">
        <v>20136000</v>
      </c>
      <c r="O22" s="41">
        <v>559333</v>
      </c>
      <c r="P22" s="36">
        <v>36</v>
      </c>
      <c r="Q22" s="36" t="s">
        <v>36</v>
      </c>
      <c r="R22" s="36" t="s">
        <v>37</v>
      </c>
      <c r="S22" s="36" t="s">
        <v>49</v>
      </c>
      <c r="T22" s="36" t="s">
        <v>39</v>
      </c>
      <c r="U22" s="36" t="s">
        <v>40</v>
      </c>
      <c r="V22" s="40">
        <v>45200</v>
      </c>
      <c r="W22" s="40">
        <v>45478</v>
      </c>
      <c r="X22" s="36">
        <v>1</v>
      </c>
      <c r="Y22" s="36" t="s">
        <v>50</v>
      </c>
      <c r="Z22" s="36">
        <v>1</v>
      </c>
      <c r="AA22" s="36">
        <v>559333</v>
      </c>
      <c r="AB22" s="40">
        <v>46266</v>
      </c>
      <c r="AC22" s="36" t="s">
        <v>2196</v>
      </c>
      <c r="AD22" s="36" t="str">
        <f>VLOOKUP(D22,Oficial!A:C,3,0)</f>
        <v>Arrastre</v>
      </c>
    </row>
    <row r="23" spans="1:30" x14ac:dyDescent="0.25">
      <c r="A23" s="36" t="s">
        <v>27</v>
      </c>
      <c r="B23" s="36" t="s">
        <v>44</v>
      </c>
      <c r="C23" s="36" t="s">
        <v>28</v>
      </c>
      <c r="D23" s="36" t="s">
        <v>44</v>
      </c>
      <c r="E23" s="36" t="s">
        <v>45</v>
      </c>
      <c r="F23" s="36" t="s">
        <v>31</v>
      </c>
      <c r="G23" s="37" t="s">
        <v>32</v>
      </c>
      <c r="H23" s="36" t="s">
        <v>46</v>
      </c>
      <c r="I23" s="36" t="s">
        <v>47</v>
      </c>
      <c r="J23" s="36">
        <v>2</v>
      </c>
      <c r="K23" s="36" t="s">
        <v>48</v>
      </c>
      <c r="L23" s="36">
        <v>1</v>
      </c>
      <c r="M23" s="36">
        <v>1</v>
      </c>
      <c r="N23" s="38">
        <v>20136000</v>
      </c>
      <c r="O23" s="41">
        <v>559333</v>
      </c>
      <c r="P23" s="36">
        <v>36</v>
      </c>
      <c r="Q23" s="36" t="s">
        <v>36</v>
      </c>
      <c r="R23" s="36" t="s">
        <v>37</v>
      </c>
      <c r="S23" s="36" t="s">
        <v>49</v>
      </c>
      <c r="T23" s="36" t="s">
        <v>39</v>
      </c>
      <c r="U23" s="36" t="s">
        <v>40</v>
      </c>
      <c r="V23" s="40">
        <v>45200</v>
      </c>
      <c r="W23" s="40">
        <v>45478</v>
      </c>
      <c r="X23" s="36">
        <v>1</v>
      </c>
      <c r="Y23" s="36" t="s">
        <v>50</v>
      </c>
      <c r="Z23" s="36">
        <v>1</v>
      </c>
      <c r="AA23" s="36">
        <v>559333</v>
      </c>
      <c r="AB23" s="40">
        <v>46296</v>
      </c>
      <c r="AC23" s="36" t="s">
        <v>2196</v>
      </c>
      <c r="AD23" s="36" t="str">
        <f>VLOOKUP(D23,Oficial!A:C,3,0)</f>
        <v>Arrastre</v>
      </c>
    </row>
    <row r="24" spans="1:30" x14ac:dyDescent="0.25">
      <c r="A24" s="36" t="s">
        <v>27</v>
      </c>
      <c r="B24" s="36" t="s">
        <v>44</v>
      </c>
      <c r="C24" s="36" t="s">
        <v>28</v>
      </c>
      <c r="D24" s="36" t="s">
        <v>44</v>
      </c>
      <c r="E24" s="36" t="s">
        <v>45</v>
      </c>
      <c r="F24" s="36" t="s">
        <v>31</v>
      </c>
      <c r="G24" s="37" t="s">
        <v>32</v>
      </c>
      <c r="H24" s="36" t="s">
        <v>46</v>
      </c>
      <c r="I24" s="36" t="s">
        <v>47</v>
      </c>
      <c r="J24" s="36">
        <v>2</v>
      </c>
      <c r="K24" s="36" t="s">
        <v>48</v>
      </c>
      <c r="L24" s="36">
        <v>1</v>
      </c>
      <c r="M24" s="36">
        <v>1</v>
      </c>
      <c r="N24" s="38">
        <v>20136000</v>
      </c>
      <c r="O24" s="41">
        <v>559333</v>
      </c>
      <c r="P24" s="36">
        <v>36</v>
      </c>
      <c r="Q24" s="36" t="s">
        <v>36</v>
      </c>
      <c r="R24" s="36" t="s">
        <v>37</v>
      </c>
      <c r="S24" s="36" t="s">
        <v>49</v>
      </c>
      <c r="T24" s="36" t="s">
        <v>39</v>
      </c>
      <c r="U24" s="36" t="s">
        <v>40</v>
      </c>
      <c r="V24" s="40">
        <v>45200</v>
      </c>
      <c r="W24" s="40">
        <v>45478</v>
      </c>
      <c r="X24" s="36">
        <v>1</v>
      </c>
      <c r="Y24" s="36" t="s">
        <v>50</v>
      </c>
      <c r="Z24" s="36">
        <v>1</v>
      </c>
      <c r="AA24" s="36">
        <v>559333</v>
      </c>
      <c r="AB24" s="40">
        <v>46327</v>
      </c>
      <c r="AC24" s="36" t="s">
        <v>2196</v>
      </c>
      <c r="AD24" s="36" t="str">
        <f>VLOOKUP(D24,Oficial!A:C,3,0)</f>
        <v>Arrastre</v>
      </c>
    </row>
    <row r="25" spans="1:30" x14ac:dyDescent="0.25">
      <c r="A25" s="36" t="s">
        <v>27</v>
      </c>
      <c r="B25" s="36" t="s">
        <v>44</v>
      </c>
      <c r="C25" s="36" t="s">
        <v>28</v>
      </c>
      <c r="D25" s="36" t="s">
        <v>44</v>
      </c>
      <c r="E25" s="36" t="s">
        <v>45</v>
      </c>
      <c r="F25" s="36" t="s">
        <v>31</v>
      </c>
      <c r="G25" s="37" t="s">
        <v>32</v>
      </c>
      <c r="H25" s="36" t="s">
        <v>46</v>
      </c>
      <c r="I25" s="36" t="s">
        <v>47</v>
      </c>
      <c r="J25" s="36">
        <v>2</v>
      </c>
      <c r="K25" s="36" t="s">
        <v>48</v>
      </c>
      <c r="L25" s="36">
        <v>1</v>
      </c>
      <c r="M25" s="36">
        <v>1</v>
      </c>
      <c r="N25" s="38">
        <v>20136000</v>
      </c>
      <c r="O25" s="41">
        <v>559333</v>
      </c>
      <c r="P25" s="36">
        <v>36</v>
      </c>
      <c r="Q25" s="36" t="s">
        <v>36</v>
      </c>
      <c r="R25" s="36" t="s">
        <v>37</v>
      </c>
      <c r="S25" s="36" t="s">
        <v>49</v>
      </c>
      <c r="T25" s="36" t="s">
        <v>39</v>
      </c>
      <c r="U25" s="36" t="s">
        <v>40</v>
      </c>
      <c r="V25" s="40">
        <v>45200</v>
      </c>
      <c r="W25" s="40">
        <v>45478</v>
      </c>
      <c r="X25" s="36">
        <v>1</v>
      </c>
      <c r="Y25" s="36" t="s">
        <v>50</v>
      </c>
      <c r="Z25" s="36">
        <v>1</v>
      </c>
      <c r="AA25" s="36">
        <v>559333</v>
      </c>
      <c r="AB25" s="40">
        <v>46357</v>
      </c>
      <c r="AC25" s="36" t="s">
        <v>2196</v>
      </c>
      <c r="AD25" s="36" t="str">
        <f>VLOOKUP(D25,Oficial!A:C,3,0)</f>
        <v>Arrastre</v>
      </c>
    </row>
    <row r="26" spans="1:30" x14ac:dyDescent="0.25">
      <c r="A26" s="36" t="s">
        <v>27</v>
      </c>
      <c r="B26" s="36" t="s">
        <v>51</v>
      </c>
      <c r="C26" s="36" t="s">
        <v>28</v>
      </c>
      <c r="D26" s="36" t="s">
        <v>51</v>
      </c>
      <c r="E26" s="36" t="s">
        <v>30</v>
      </c>
      <c r="F26" s="36" t="s">
        <v>31</v>
      </c>
      <c r="G26" s="37" t="s">
        <v>32</v>
      </c>
      <c r="H26" s="36" t="s">
        <v>52</v>
      </c>
      <c r="I26" s="36" t="s">
        <v>53</v>
      </c>
      <c r="J26" s="36">
        <v>1</v>
      </c>
      <c r="K26" s="36" t="s">
        <v>54</v>
      </c>
      <c r="L26" s="36">
        <v>1</v>
      </c>
      <c r="M26" s="36">
        <v>1</v>
      </c>
      <c r="N26" s="38">
        <v>20136000</v>
      </c>
      <c r="O26" s="42">
        <v>559345</v>
      </c>
      <c r="P26" s="36">
        <v>36</v>
      </c>
      <c r="Q26" s="36" t="s">
        <v>36</v>
      </c>
      <c r="R26" s="36" t="s">
        <v>55</v>
      </c>
      <c r="S26" s="36" t="s">
        <v>56</v>
      </c>
      <c r="T26" s="36" t="s">
        <v>57</v>
      </c>
      <c r="U26" s="36" t="s">
        <v>58</v>
      </c>
      <c r="V26" s="40">
        <v>45292</v>
      </c>
      <c r="W26" s="40">
        <v>45478</v>
      </c>
      <c r="X26" s="36">
        <v>0</v>
      </c>
      <c r="Y26" s="36"/>
      <c r="Z26" s="36">
        <v>1</v>
      </c>
      <c r="AA26" s="36">
        <v>559345</v>
      </c>
      <c r="AB26" s="40">
        <v>46357</v>
      </c>
      <c r="AC26" s="36" t="s">
        <v>2196</v>
      </c>
      <c r="AD26" s="36" t="str">
        <f>VLOOKUP(D26,Oficial!A:C,3,0)</f>
        <v>Arrastre</v>
      </c>
    </row>
    <row r="27" spans="1:30" x14ac:dyDescent="0.25">
      <c r="A27" s="36" t="s">
        <v>27</v>
      </c>
      <c r="B27" s="36" t="s">
        <v>51</v>
      </c>
      <c r="C27" s="36" t="s">
        <v>28</v>
      </c>
      <c r="D27" s="36" t="s">
        <v>51</v>
      </c>
      <c r="E27" s="36" t="s">
        <v>30</v>
      </c>
      <c r="F27" s="36" t="s">
        <v>31</v>
      </c>
      <c r="G27" s="37" t="s">
        <v>32</v>
      </c>
      <c r="H27" s="36" t="s">
        <v>52</v>
      </c>
      <c r="I27" s="36" t="s">
        <v>53</v>
      </c>
      <c r="J27" s="36">
        <v>1</v>
      </c>
      <c r="K27" s="36" t="s">
        <v>54</v>
      </c>
      <c r="L27" s="36">
        <v>1</v>
      </c>
      <c r="M27" s="36">
        <v>1</v>
      </c>
      <c r="N27" s="38">
        <v>20136000</v>
      </c>
      <c r="O27" s="42">
        <v>559333</v>
      </c>
      <c r="P27" s="36">
        <v>36</v>
      </c>
      <c r="Q27" s="36" t="s">
        <v>36</v>
      </c>
      <c r="R27" s="36" t="s">
        <v>55</v>
      </c>
      <c r="S27" s="36" t="s">
        <v>56</v>
      </c>
      <c r="T27" s="36" t="s">
        <v>57</v>
      </c>
      <c r="U27" s="36" t="s">
        <v>58</v>
      </c>
      <c r="V27" s="40">
        <v>45292</v>
      </c>
      <c r="W27" s="40">
        <v>45478</v>
      </c>
      <c r="X27" s="36">
        <v>0</v>
      </c>
      <c r="Y27" s="36"/>
      <c r="Z27" s="36">
        <v>1</v>
      </c>
      <c r="AA27" s="36">
        <v>559333</v>
      </c>
      <c r="AB27" s="40">
        <v>46143</v>
      </c>
      <c r="AC27" s="36" t="s">
        <v>2196</v>
      </c>
      <c r="AD27" s="36" t="str">
        <f>VLOOKUP(D27,Oficial!A:C,3,0)</f>
        <v>Arrastre</v>
      </c>
    </row>
    <row r="28" spans="1:30" x14ac:dyDescent="0.25">
      <c r="A28" s="36" t="s">
        <v>27</v>
      </c>
      <c r="B28" s="36" t="s">
        <v>51</v>
      </c>
      <c r="C28" s="36" t="s">
        <v>28</v>
      </c>
      <c r="D28" s="36" t="s">
        <v>51</v>
      </c>
      <c r="E28" s="36" t="s">
        <v>30</v>
      </c>
      <c r="F28" s="36" t="s">
        <v>31</v>
      </c>
      <c r="G28" s="37" t="s">
        <v>32</v>
      </c>
      <c r="H28" s="36" t="s">
        <v>52</v>
      </c>
      <c r="I28" s="36" t="s">
        <v>53</v>
      </c>
      <c r="J28" s="36">
        <v>1</v>
      </c>
      <c r="K28" s="36" t="s">
        <v>54</v>
      </c>
      <c r="L28" s="36">
        <v>1</v>
      </c>
      <c r="M28" s="36">
        <v>1</v>
      </c>
      <c r="N28" s="38">
        <v>20136000</v>
      </c>
      <c r="O28" s="42">
        <v>559333</v>
      </c>
      <c r="P28" s="36">
        <v>36</v>
      </c>
      <c r="Q28" s="36" t="s">
        <v>36</v>
      </c>
      <c r="R28" s="36" t="s">
        <v>55</v>
      </c>
      <c r="S28" s="36" t="s">
        <v>56</v>
      </c>
      <c r="T28" s="36" t="s">
        <v>57</v>
      </c>
      <c r="U28" s="36" t="s">
        <v>58</v>
      </c>
      <c r="V28" s="40">
        <v>45292</v>
      </c>
      <c r="W28" s="40">
        <v>45478</v>
      </c>
      <c r="X28" s="36">
        <v>0</v>
      </c>
      <c r="Y28" s="36"/>
      <c r="Z28" s="36">
        <v>1</v>
      </c>
      <c r="AA28" s="36">
        <v>559333</v>
      </c>
      <c r="AB28" s="40">
        <v>46082</v>
      </c>
      <c r="AC28" s="36" t="s">
        <v>2196</v>
      </c>
      <c r="AD28" s="36" t="str">
        <f>VLOOKUP(D28,Oficial!A:C,3,0)</f>
        <v>Arrastre</v>
      </c>
    </row>
    <row r="29" spans="1:30" x14ac:dyDescent="0.25">
      <c r="A29" s="36" t="s">
        <v>27</v>
      </c>
      <c r="B29" s="36" t="s">
        <v>51</v>
      </c>
      <c r="C29" s="36" t="s">
        <v>28</v>
      </c>
      <c r="D29" s="36" t="s">
        <v>51</v>
      </c>
      <c r="E29" s="36" t="s">
        <v>30</v>
      </c>
      <c r="F29" s="36" t="s">
        <v>31</v>
      </c>
      <c r="G29" s="37" t="s">
        <v>32</v>
      </c>
      <c r="H29" s="36" t="s">
        <v>52</v>
      </c>
      <c r="I29" s="36" t="s">
        <v>53</v>
      </c>
      <c r="J29" s="36">
        <v>1</v>
      </c>
      <c r="K29" s="36" t="s">
        <v>54</v>
      </c>
      <c r="L29" s="36">
        <v>1</v>
      </c>
      <c r="M29" s="36">
        <v>1</v>
      </c>
      <c r="N29" s="38">
        <v>20136000</v>
      </c>
      <c r="O29" s="42">
        <v>559333</v>
      </c>
      <c r="P29" s="36">
        <v>36</v>
      </c>
      <c r="Q29" s="36" t="s">
        <v>36</v>
      </c>
      <c r="R29" s="36" t="s">
        <v>55</v>
      </c>
      <c r="S29" s="36" t="s">
        <v>56</v>
      </c>
      <c r="T29" s="36" t="s">
        <v>57</v>
      </c>
      <c r="U29" s="36" t="s">
        <v>58</v>
      </c>
      <c r="V29" s="40">
        <v>45292</v>
      </c>
      <c r="W29" s="40">
        <v>45478</v>
      </c>
      <c r="X29" s="36">
        <v>0</v>
      </c>
      <c r="Y29" s="36"/>
      <c r="Z29" s="36">
        <v>1</v>
      </c>
      <c r="AA29" s="36">
        <v>559333</v>
      </c>
      <c r="AB29" s="40">
        <v>46054</v>
      </c>
      <c r="AC29" s="36" t="s">
        <v>2196</v>
      </c>
      <c r="AD29" s="36" t="str">
        <f>VLOOKUP(D29,Oficial!A:C,3,0)</f>
        <v>Arrastre</v>
      </c>
    </row>
    <row r="30" spans="1:30" x14ac:dyDescent="0.25">
      <c r="A30" s="36" t="s">
        <v>27</v>
      </c>
      <c r="B30" s="36" t="s">
        <v>51</v>
      </c>
      <c r="C30" s="36" t="s">
        <v>28</v>
      </c>
      <c r="D30" s="36" t="s">
        <v>51</v>
      </c>
      <c r="E30" s="36" t="s">
        <v>30</v>
      </c>
      <c r="F30" s="36" t="s">
        <v>31</v>
      </c>
      <c r="G30" s="37" t="s">
        <v>32</v>
      </c>
      <c r="H30" s="36" t="s">
        <v>52</v>
      </c>
      <c r="I30" s="36" t="s">
        <v>53</v>
      </c>
      <c r="J30" s="36">
        <v>1</v>
      </c>
      <c r="K30" s="36" t="s">
        <v>54</v>
      </c>
      <c r="L30" s="36">
        <v>1</v>
      </c>
      <c r="M30" s="36">
        <v>1</v>
      </c>
      <c r="N30" s="38">
        <v>20136000</v>
      </c>
      <c r="O30" s="42">
        <v>559333</v>
      </c>
      <c r="P30" s="36">
        <v>36</v>
      </c>
      <c r="Q30" s="36" t="s">
        <v>36</v>
      </c>
      <c r="R30" s="36" t="s">
        <v>55</v>
      </c>
      <c r="S30" s="36" t="s">
        <v>56</v>
      </c>
      <c r="T30" s="36" t="s">
        <v>57</v>
      </c>
      <c r="U30" s="36" t="s">
        <v>58</v>
      </c>
      <c r="V30" s="40">
        <v>45292</v>
      </c>
      <c r="W30" s="40">
        <v>45478</v>
      </c>
      <c r="X30" s="36">
        <v>0</v>
      </c>
      <c r="Y30" s="36"/>
      <c r="Z30" s="36">
        <v>1</v>
      </c>
      <c r="AA30" s="36">
        <v>559333</v>
      </c>
      <c r="AB30" s="40">
        <v>46174</v>
      </c>
      <c r="AC30" s="36" t="s">
        <v>2196</v>
      </c>
      <c r="AD30" s="36" t="str">
        <f>VLOOKUP(D30,Oficial!A:C,3,0)</f>
        <v>Arrastre</v>
      </c>
    </row>
    <row r="31" spans="1:30" x14ac:dyDescent="0.25">
      <c r="A31" s="36" t="s">
        <v>27</v>
      </c>
      <c r="B31" s="36" t="s">
        <v>51</v>
      </c>
      <c r="C31" s="36" t="s">
        <v>28</v>
      </c>
      <c r="D31" s="36" t="s">
        <v>51</v>
      </c>
      <c r="E31" s="36" t="s">
        <v>30</v>
      </c>
      <c r="F31" s="36" t="s">
        <v>31</v>
      </c>
      <c r="G31" s="37" t="s">
        <v>32</v>
      </c>
      <c r="H31" s="36" t="s">
        <v>52</v>
      </c>
      <c r="I31" s="36" t="s">
        <v>53</v>
      </c>
      <c r="J31" s="36">
        <v>1</v>
      </c>
      <c r="K31" s="36" t="s">
        <v>54</v>
      </c>
      <c r="L31" s="36">
        <v>1</v>
      </c>
      <c r="M31" s="36">
        <v>1</v>
      </c>
      <c r="N31" s="38">
        <v>20136000</v>
      </c>
      <c r="O31" s="42">
        <v>559333</v>
      </c>
      <c r="P31" s="36">
        <v>36</v>
      </c>
      <c r="Q31" s="36" t="s">
        <v>36</v>
      </c>
      <c r="R31" s="36" t="s">
        <v>55</v>
      </c>
      <c r="S31" s="36" t="s">
        <v>56</v>
      </c>
      <c r="T31" s="36" t="s">
        <v>57</v>
      </c>
      <c r="U31" s="36" t="s">
        <v>58</v>
      </c>
      <c r="V31" s="40">
        <v>45292</v>
      </c>
      <c r="W31" s="40">
        <v>45478</v>
      </c>
      <c r="X31" s="36">
        <v>0</v>
      </c>
      <c r="Y31" s="36"/>
      <c r="Z31" s="36">
        <v>1</v>
      </c>
      <c r="AA31" s="36">
        <v>559333</v>
      </c>
      <c r="AB31" s="40">
        <v>46023</v>
      </c>
      <c r="AC31" s="36" t="s">
        <v>2196</v>
      </c>
      <c r="AD31" s="36" t="str">
        <f>VLOOKUP(D31,Oficial!A:C,3,0)</f>
        <v>Arrastre</v>
      </c>
    </row>
    <row r="32" spans="1:30" x14ac:dyDescent="0.25">
      <c r="A32" s="36" t="s">
        <v>27</v>
      </c>
      <c r="B32" s="36" t="s">
        <v>51</v>
      </c>
      <c r="C32" s="36" t="s">
        <v>28</v>
      </c>
      <c r="D32" s="36" t="s">
        <v>51</v>
      </c>
      <c r="E32" s="36" t="s">
        <v>30</v>
      </c>
      <c r="F32" s="36" t="s">
        <v>31</v>
      </c>
      <c r="G32" s="37" t="s">
        <v>32</v>
      </c>
      <c r="H32" s="36" t="s">
        <v>52</v>
      </c>
      <c r="I32" s="36" t="s">
        <v>53</v>
      </c>
      <c r="J32" s="36">
        <v>1</v>
      </c>
      <c r="K32" s="36" t="s">
        <v>54</v>
      </c>
      <c r="L32" s="36">
        <v>1</v>
      </c>
      <c r="M32" s="36">
        <v>1</v>
      </c>
      <c r="N32" s="38">
        <v>20136000</v>
      </c>
      <c r="O32" s="42">
        <v>559333</v>
      </c>
      <c r="P32" s="36">
        <v>36</v>
      </c>
      <c r="Q32" s="36" t="s">
        <v>36</v>
      </c>
      <c r="R32" s="36" t="s">
        <v>55</v>
      </c>
      <c r="S32" s="36" t="s">
        <v>56</v>
      </c>
      <c r="T32" s="36" t="s">
        <v>57</v>
      </c>
      <c r="U32" s="36" t="s">
        <v>58</v>
      </c>
      <c r="V32" s="40">
        <v>45292</v>
      </c>
      <c r="W32" s="40">
        <v>45478</v>
      </c>
      <c r="X32" s="36">
        <v>0</v>
      </c>
      <c r="Y32" s="36"/>
      <c r="Z32" s="36">
        <v>1</v>
      </c>
      <c r="AA32" s="36">
        <v>559333</v>
      </c>
      <c r="AB32" s="40">
        <v>46204</v>
      </c>
      <c r="AC32" s="36" t="s">
        <v>2196</v>
      </c>
      <c r="AD32" s="36" t="str">
        <f>VLOOKUP(D32,Oficial!A:C,3,0)</f>
        <v>Arrastre</v>
      </c>
    </row>
    <row r="33" spans="1:30" x14ac:dyDescent="0.25">
      <c r="A33" s="36" t="s">
        <v>27</v>
      </c>
      <c r="B33" s="36" t="s">
        <v>51</v>
      </c>
      <c r="C33" s="36" t="s">
        <v>28</v>
      </c>
      <c r="D33" s="36" t="s">
        <v>51</v>
      </c>
      <c r="E33" s="36" t="s">
        <v>30</v>
      </c>
      <c r="F33" s="36" t="s">
        <v>31</v>
      </c>
      <c r="G33" s="37" t="s">
        <v>32</v>
      </c>
      <c r="H33" s="36" t="s">
        <v>52</v>
      </c>
      <c r="I33" s="36" t="s">
        <v>53</v>
      </c>
      <c r="J33" s="36">
        <v>1</v>
      </c>
      <c r="K33" s="36" t="s">
        <v>54</v>
      </c>
      <c r="L33" s="36">
        <v>1</v>
      </c>
      <c r="M33" s="36">
        <v>1</v>
      </c>
      <c r="N33" s="38">
        <v>20136000</v>
      </c>
      <c r="O33" s="42">
        <v>559333</v>
      </c>
      <c r="P33" s="36">
        <v>36</v>
      </c>
      <c r="Q33" s="36" t="s">
        <v>36</v>
      </c>
      <c r="R33" s="36" t="s">
        <v>55</v>
      </c>
      <c r="S33" s="36" t="s">
        <v>56</v>
      </c>
      <c r="T33" s="36" t="s">
        <v>57</v>
      </c>
      <c r="U33" s="36" t="s">
        <v>58</v>
      </c>
      <c r="V33" s="40">
        <v>45292</v>
      </c>
      <c r="W33" s="40">
        <v>45478</v>
      </c>
      <c r="X33" s="36">
        <v>0</v>
      </c>
      <c r="Y33" s="36"/>
      <c r="Z33" s="36">
        <v>1</v>
      </c>
      <c r="AA33" s="36">
        <v>559333</v>
      </c>
      <c r="AB33" s="40">
        <v>46113</v>
      </c>
      <c r="AC33" s="36" t="s">
        <v>2196</v>
      </c>
      <c r="AD33" s="36" t="str">
        <f>VLOOKUP(D33,Oficial!A:C,3,0)</f>
        <v>Arrastre</v>
      </c>
    </row>
    <row r="34" spans="1:30" x14ac:dyDescent="0.25">
      <c r="A34" s="36" t="s">
        <v>27</v>
      </c>
      <c r="B34" s="36" t="s">
        <v>51</v>
      </c>
      <c r="C34" s="36" t="s">
        <v>28</v>
      </c>
      <c r="D34" s="36" t="s">
        <v>51</v>
      </c>
      <c r="E34" s="36" t="s">
        <v>30</v>
      </c>
      <c r="F34" s="36" t="s">
        <v>31</v>
      </c>
      <c r="G34" s="37" t="s">
        <v>32</v>
      </c>
      <c r="H34" s="36" t="s">
        <v>52</v>
      </c>
      <c r="I34" s="36" t="s">
        <v>53</v>
      </c>
      <c r="J34" s="36">
        <v>1</v>
      </c>
      <c r="K34" s="36" t="s">
        <v>54</v>
      </c>
      <c r="L34" s="36">
        <v>1</v>
      </c>
      <c r="M34" s="36">
        <v>1</v>
      </c>
      <c r="N34" s="38">
        <v>20136000</v>
      </c>
      <c r="O34" s="42">
        <v>559333</v>
      </c>
      <c r="P34" s="36">
        <v>36</v>
      </c>
      <c r="Q34" s="36" t="s">
        <v>36</v>
      </c>
      <c r="R34" s="36" t="s">
        <v>55</v>
      </c>
      <c r="S34" s="36" t="s">
        <v>56</v>
      </c>
      <c r="T34" s="36" t="s">
        <v>57</v>
      </c>
      <c r="U34" s="36" t="s">
        <v>58</v>
      </c>
      <c r="V34" s="40">
        <v>45292</v>
      </c>
      <c r="W34" s="40">
        <v>45478</v>
      </c>
      <c r="X34" s="36">
        <v>0</v>
      </c>
      <c r="Y34" s="36"/>
      <c r="Z34" s="36">
        <v>1</v>
      </c>
      <c r="AA34" s="36">
        <v>559333</v>
      </c>
      <c r="AB34" s="40">
        <v>46235</v>
      </c>
      <c r="AC34" s="36" t="s">
        <v>2196</v>
      </c>
      <c r="AD34" s="36" t="str">
        <f>VLOOKUP(D34,Oficial!A:C,3,0)</f>
        <v>Arrastre</v>
      </c>
    </row>
    <row r="35" spans="1:30" x14ac:dyDescent="0.25">
      <c r="A35" s="36" t="s">
        <v>27</v>
      </c>
      <c r="B35" s="36" t="s">
        <v>51</v>
      </c>
      <c r="C35" s="36" t="s">
        <v>28</v>
      </c>
      <c r="D35" s="36" t="s">
        <v>51</v>
      </c>
      <c r="E35" s="36" t="s">
        <v>30</v>
      </c>
      <c r="F35" s="36" t="s">
        <v>31</v>
      </c>
      <c r="G35" s="37" t="s">
        <v>32</v>
      </c>
      <c r="H35" s="36" t="s">
        <v>52</v>
      </c>
      <c r="I35" s="36" t="s">
        <v>53</v>
      </c>
      <c r="J35" s="36">
        <v>1</v>
      </c>
      <c r="K35" s="36" t="s">
        <v>54</v>
      </c>
      <c r="L35" s="36">
        <v>1</v>
      </c>
      <c r="M35" s="36">
        <v>1</v>
      </c>
      <c r="N35" s="38">
        <v>20136000</v>
      </c>
      <c r="O35" s="42">
        <v>559333</v>
      </c>
      <c r="P35" s="36">
        <v>36</v>
      </c>
      <c r="Q35" s="36" t="s">
        <v>36</v>
      </c>
      <c r="R35" s="36" t="s">
        <v>55</v>
      </c>
      <c r="S35" s="36" t="s">
        <v>56</v>
      </c>
      <c r="T35" s="36" t="s">
        <v>57</v>
      </c>
      <c r="U35" s="36" t="s">
        <v>58</v>
      </c>
      <c r="V35" s="40">
        <v>45292</v>
      </c>
      <c r="W35" s="40">
        <v>45478</v>
      </c>
      <c r="X35" s="36">
        <v>0</v>
      </c>
      <c r="Y35" s="36"/>
      <c r="Z35" s="36">
        <v>1</v>
      </c>
      <c r="AA35" s="36">
        <v>559333</v>
      </c>
      <c r="AB35" s="40">
        <v>46296</v>
      </c>
      <c r="AC35" s="36" t="s">
        <v>2196</v>
      </c>
      <c r="AD35" s="36" t="str">
        <f>VLOOKUP(D35,Oficial!A:C,3,0)</f>
        <v>Arrastre</v>
      </c>
    </row>
    <row r="36" spans="1:30" x14ac:dyDescent="0.25">
      <c r="A36" s="36" t="s">
        <v>27</v>
      </c>
      <c r="B36" s="36" t="s">
        <v>51</v>
      </c>
      <c r="C36" s="36" t="s">
        <v>28</v>
      </c>
      <c r="D36" s="36" t="s">
        <v>51</v>
      </c>
      <c r="E36" s="36" t="s">
        <v>30</v>
      </c>
      <c r="F36" s="36" t="s">
        <v>31</v>
      </c>
      <c r="G36" s="37" t="s">
        <v>32</v>
      </c>
      <c r="H36" s="36" t="s">
        <v>52</v>
      </c>
      <c r="I36" s="36" t="s">
        <v>53</v>
      </c>
      <c r="J36" s="36">
        <v>1</v>
      </c>
      <c r="K36" s="36" t="s">
        <v>54</v>
      </c>
      <c r="L36" s="36">
        <v>1</v>
      </c>
      <c r="M36" s="36">
        <v>1</v>
      </c>
      <c r="N36" s="38">
        <v>20136000</v>
      </c>
      <c r="O36" s="42">
        <v>559333</v>
      </c>
      <c r="P36" s="36">
        <v>36</v>
      </c>
      <c r="Q36" s="36" t="s">
        <v>36</v>
      </c>
      <c r="R36" s="36" t="s">
        <v>55</v>
      </c>
      <c r="S36" s="36" t="s">
        <v>56</v>
      </c>
      <c r="T36" s="36" t="s">
        <v>57</v>
      </c>
      <c r="U36" s="36" t="s">
        <v>58</v>
      </c>
      <c r="V36" s="40">
        <v>45292</v>
      </c>
      <c r="W36" s="40">
        <v>45478</v>
      </c>
      <c r="X36" s="36">
        <v>0</v>
      </c>
      <c r="Y36" s="36"/>
      <c r="Z36" s="36">
        <v>1</v>
      </c>
      <c r="AA36" s="36">
        <v>559333</v>
      </c>
      <c r="AB36" s="40">
        <v>46266</v>
      </c>
      <c r="AC36" s="36" t="s">
        <v>2196</v>
      </c>
      <c r="AD36" s="36" t="str">
        <f>VLOOKUP(D36,Oficial!A:C,3,0)</f>
        <v>Arrastre</v>
      </c>
    </row>
    <row r="37" spans="1:30" x14ac:dyDescent="0.25">
      <c r="A37" s="36" t="s">
        <v>27</v>
      </c>
      <c r="B37" s="36" t="s">
        <v>51</v>
      </c>
      <c r="C37" s="36" t="s">
        <v>28</v>
      </c>
      <c r="D37" s="36" t="s">
        <v>51</v>
      </c>
      <c r="E37" s="36" t="s">
        <v>30</v>
      </c>
      <c r="F37" s="36" t="s">
        <v>31</v>
      </c>
      <c r="G37" s="37" t="s">
        <v>32</v>
      </c>
      <c r="H37" s="36" t="s">
        <v>52</v>
      </c>
      <c r="I37" s="36" t="s">
        <v>53</v>
      </c>
      <c r="J37" s="36">
        <v>1</v>
      </c>
      <c r="K37" s="36" t="s">
        <v>54</v>
      </c>
      <c r="L37" s="36">
        <v>1</v>
      </c>
      <c r="M37" s="36">
        <v>1</v>
      </c>
      <c r="N37" s="38">
        <v>20136000</v>
      </c>
      <c r="O37" s="42">
        <v>559333</v>
      </c>
      <c r="P37" s="36">
        <v>36</v>
      </c>
      <c r="Q37" s="36" t="s">
        <v>36</v>
      </c>
      <c r="R37" s="36" t="s">
        <v>55</v>
      </c>
      <c r="S37" s="36" t="s">
        <v>56</v>
      </c>
      <c r="T37" s="36" t="s">
        <v>57</v>
      </c>
      <c r="U37" s="36" t="s">
        <v>58</v>
      </c>
      <c r="V37" s="40">
        <v>45292</v>
      </c>
      <c r="W37" s="40">
        <v>45478</v>
      </c>
      <c r="X37" s="36">
        <v>0</v>
      </c>
      <c r="Y37" s="36"/>
      <c r="Z37" s="36">
        <v>1</v>
      </c>
      <c r="AA37" s="36">
        <v>559333</v>
      </c>
      <c r="AB37" s="40">
        <v>46327</v>
      </c>
      <c r="AC37" s="36" t="s">
        <v>2196</v>
      </c>
      <c r="AD37" s="36" t="str">
        <f>VLOOKUP(D37,Oficial!A:C,3,0)</f>
        <v>Arrastre</v>
      </c>
    </row>
    <row r="38" spans="1:30" x14ac:dyDescent="0.25">
      <c r="A38" s="36" t="s">
        <v>27</v>
      </c>
      <c r="B38" s="36" t="s">
        <v>59</v>
      </c>
      <c r="C38" s="36" t="s">
        <v>28</v>
      </c>
      <c r="D38" s="36" t="s">
        <v>59</v>
      </c>
      <c r="E38" s="36" t="s">
        <v>45</v>
      </c>
      <c r="F38" s="36" t="s">
        <v>31</v>
      </c>
      <c r="G38" s="37" t="s">
        <v>32</v>
      </c>
      <c r="H38" s="36" t="s">
        <v>60</v>
      </c>
      <c r="I38" s="36" t="s">
        <v>61</v>
      </c>
      <c r="J38" s="36">
        <v>1</v>
      </c>
      <c r="K38" s="36" t="s">
        <v>62</v>
      </c>
      <c r="L38" s="36">
        <v>1</v>
      </c>
      <c r="M38" s="36">
        <v>1</v>
      </c>
      <c r="N38" s="38">
        <v>130000000</v>
      </c>
      <c r="O38" s="42">
        <v>3611111</v>
      </c>
      <c r="P38" s="36">
        <v>36</v>
      </c>
      <c r="Q38" s="36" t="s">
        <v>63</v>
      </c>
      <c r="R38" s="36" t="s">
        <v>64</v>
      </c>
      <c r="S38" s="36" t="s">
        <v>65</v>
      </c>
      <c r="T38" s="36" t="s">
        <v>66</v>
      </c>
      <c r="U38" s="36" t="s">
        <v>67</v>
      </c>
      <c r="V38" s="40">
        <v>45413</v>
      </c>
      <c r="W38" s="40">
        <v>45478</v>
      </c>
      <c r="X38" s="36">
        <v>0</v>
      </c>
      <c r="Y38" s="36"/>
      <c r="Z38" s="36">
        <v>1</v>
      </c>
      <c r="AA38" s="36">
        <v>3611111</v>
      </c>
      <c r="AB38" s="40">
        <v>46204</v>
      </c>
      <c r="AC38" s="36" t="s">
        <v>2196</v>
      </c>
      <c r="AD38" s="36" t="str">
        <f>VLOOKUP(D38,Oficial!A:C,3,0)</f>
        <v>Arrastre</v>
      </c>
    </row>
    <row r="39" spans="1:30" x14ac:dyDescent="0.25">
      <c r="A39" s="36" t="s">
        <v>27</v>
      </c>
      <c r="B39" s="36" t="s">
        <v>59</v>
      </c>
      <c r="C39" s="36" t="s">
        <v>28</v>
      </c>
      <c r="D39" s="36" t="s">
        <v>59</v>
      </c>
      <c r="E39" s="36" t="s">
        <v>45</v>
      </c>
      <c r="F39" s="36" t="s">
        <v>31</v>
      </c>
      <c r="G39" s="37" t="s">
        <v>32</v>
      </c>
      <c r="H39" s="36" t="s">
        <v>60</v>
      </c>
      <c r="I39" s="36" t="s">
        <v>61</v>
      </c>
      <c r="J39" s="36">
        <v>1</v>
      </c>
      <c r="K39" s="36" t="s">
        <v>62</v>
      </c>
      <c r="L39" s="36">
        <v>1</v>
      </c>
      <c r="M39" s="36">
        <v>1</v>
      </c>
      <c r="N39" s="38">
        <v>130000000</v>
      </c>
      <c r="O39" s="42">
        <v>3611111</v>
      </c>
      <c r="P39" s="36">
        <v>36</v>
      </c>
      <c r="Q39" s="36" t="s">
        <v>63</v>
      </c>
      <c r="R39" s="36" t="s">
        <v>64</v>
      </c>
      <c r="S39" s="36" t="s">
        <v>65</v>
      </c>
      <c r="T39" s="36" t="s">
        <v>66</v>
      </c>
      <c r="U39" s="36" t="s">
        <v>67</v>
      </c>
      <c r="V39" s="40">
        <v>45413</v>
      </c>
      <c r="W39" s="40">
        <v>45478</v>
      </c>
      <c r="X39" s="36">
        <v>0</v>
      </c>
      <c r="Y39" s="36"/>
      <c r="Z39" s="36">
        <v>1</v>
      </c>
      <c r="AA39" s="36">
        <v>3611111</v>
      </c>
      <c r="AB39" s="40">
        <v>46023</v>
      </c>
      <c r="AC39" s="36" t="s">
        <v>2196</v>
      </c>
      <c r="AD39" s="36" t="str">
        <f>VLOOKUP(D39,Oficial!A:C,3,0)</f>
        <v>Arrastre</v>
      </c>
    </row>
    <row r="40" spans="1:30" x14ac:dyDescent="0.25">
      <c r="A40" s="36" t="s">
        <v>27</v>
      </c>
      <c r="B40" s="36" t="s">
        <v>59</v>
      </c>
      <c r="C40" s="36" t="s">
        <v>28</v>
      </c>
      <c r="D40" s="36" t="s">
        <v>59</v>
      </c>
      <c r="E40" s="36" t="s">
        <v>45</v>
      </c>
      <c r="F40" s="36" t="s">
        <v>31</v>
      </c>
      <c r="G40" s="37" t="s">
        <v>32</v>
      </c>
      <c r="H40" s="36" t="s">
        <v>60</v>
      </c>
      <c r="I40" s="36" t="s">
        <v>61</v>
      </c>
      <c r="J40" s="36">
        <v>1</v>
      </c>
      <c r="K40" s="36" t="s">
        <v>62</v>
      </c>
      <c r="L40" s="36">
        <v>1</v>
      </c>
      <c r="M40" s="36">
        <v>1</v>
      </c>
      <c r="N40" s="38">
        <v>130000000</v>
      </c>
      <c r="O40" s="42">
        <v>3611111</v>
      </c>
      <c r="P40" s="36">
        <v>36</v>
      </c>
      <c r="Q40" s="36" t="s">
        <v>63</v>
      </c>
      <c r="R40" s="36" t="s">
        <v>64</v>
      </c>
      <c r="S40" s="36" t="s">
        <v>65</v>
      </c>
      <c r="T40" s="36" t="s">
        <v>66</v>
      </c>
      <c r="U40" s="36" t="s">
        <v>67</v>
      </c>
      <c r="V40" s="40">
        <v>45413</v>
      </c>
      <c r="W40" s="40">
        <v>45478</v>
      </c>
      <c r="X40" s="36">
        <v>0</v>
      </c>
      <c r="Y40" s="36"/>
      <c r="Z40" s="36">
        <v>1</v>
      </c>
      <c r="AA40" s="36">
        <v>3611111</v>
      </c>
      <c r="AB40" s="40">
        <v>46357</v>
      </c>
      <c r="AC40" s="36" t="s">
        <v>2196</v>
      </c>
      <c r="AD40" s="36" t="str">
        <f>VLOOKUP(D40,Oficial!A:C,3,0)</f>
        <v>Arrastre</v>
      </c>
    </row>
    <row r="41" spans="1:30" x14ac:dyDescent="0.25">
      <c r="A41" s="36" t="s">
        <v>27</v>
      </c>
      <c r="B41" s="36" t="s">
        <v>59</v>
      </c>
      <c r="C41" s="36" t="s">
        <v>28</v>
      </c>
      <c r="D41" s="36" t="s">
        <v>59</v>
      </c>
      <c r="E41" s="36" t="s">
        <v>45</v>
      </c>
      <c r="F41" s="36" t="s">
        <v>31</v>
      </c>
      <c r="G41" s="37" t="s">
        <v>32</v>
      </c>
      <c r="H41" s="36" t="s">
        <v>60</v>
      </c>
      <c r="I41" s="36" t="s">
        <v>61</v>
      </c>
      <c r="J41" s="36">
        <v>1</v>
      </c>
      <c r="K41" s="36" t="s">
        <v>62</v>
      </c>
      <c r="L41" s="36">
        <v>1</v>
      </c>
      <c r="M41" s="36">
        <v>1</v>
      </c>
      <c r="N41" s="38">
        <v>130000000</v>
      </c>
      <c r="O41" s="42">
        <v>3611111</v>
      </c>
      <c r="P41" s="36">
        <v>36</v>
      </c>
      <c r="Q41" s="36" t="s">
        <v>63</v>
      </c>
      <c r="R41" s="36" t="s">
        <v>64</v>
      </c>
      <c r="S41" s="36" t="s">
        <v>65</v>
      </c>
      <c r="T41" s="36" t="s">
        <v>66</v>
      </c>
      <c r="U41" s="36" t="s">
        <v>67</v>
      </c>
      <c r="V41" s="40">
        <v>45413</v>
      </c>
      <c r="W41" s="40">
        <v>45478</v>
      </c>
      <c r="X41" s="36">
        <v>0</v>
      </c>
      <c r="Y41" s="36"/>
      <c r="Z41" s="36">
        <v>1</v>
      </c>
      <c r="AA41" s="36">
        <v>3611111</v>
      </c>
      <c r="AB41" s="40">
        <v>46174</v>
      </c>
      <c r="AC41" s="36" t="s">
        <v>2196</v>
      </c>
      <c r="AD41" s="36" t="str">
        <f>VLOOKUP(D41,Oficial!A:C,3,0)</f>
        <v>Arrastre</v>
      </c>
    </row>
    <row r="42" spans="1:30" x14ac:dyDescent="0.25">
      <c r="A42" s="36" t="s">
        <v>27</v>
      </c>
      <c r="B42" s="36" t="s">
        <v>59</v>
      </c>
      <c r="C42" s="36" t="s">
        <v>28</v>
      </c>
      <c r="D42" s="36" t="s">
        <v>59</v>
      </c>
      <c r="E42" s="36" t="s">
        <v>45</v>
      </c>
      <c r="F42" s="36" t="s">
        <v>31</v>
      </c>
      <c r="G42" s="37" t="s">
        <v>32</v>
      </c>
      <c r="H42" s="36" t="s">
        <v>60</v>
      </c>
      <c r="I42" s="36" t="s">
        <v>61</v>
      </c>
      <c r="J42" s="36">
        <v>1</v>
      </c>
      <c r="K42" s="36" t="s">
        <v>62</v>
      </c>
      <c r="L42" s="36">
        <v>1</v>
      </c>
      <c r="M42" s="36">
        <v>1</v>
      </c>
      <c r="N42" s="38">
        <v>130000000</v>
      </c>
      <c r="O42" s="42">
        <v>3611111</v>
      </c>
      <c r="P42" s="36">
        <v>36</v>
      </c>
      <c r="Q42" s="36" t="s">
        <v>63</v>
      </c>
      <c r="R42" s="36" t="s">
        <v>64</v>
      </c>
      <c r="S42" s="36" t="s">
        <v>65</v>
      </c>
      <c r="T42" s="36" t="s">
        <v>66</v>
      </c>
      <c r="U42" s="36" t="s">
        <v>67</v>
      </c>
      <c r="V42" s="40">
        <v>45413</v>
      </c>
      <c r="W42" s="40">
        <v>45478</v>
      </c>
      <c r="X42" s="36">
        <v>0</v>
      </c>
      <c r="Y42" s="36"/>
      <c r="Z42" s="36">
        <v>1</v>
      </c>
      <c r="AA42" s="36">
        <v>3611111</v>
      </c>
      <c r="AB42" s="40">
        <v>46266</v>
      </c>
      <c r="AC42" s="36" t="s">
        <v>2196</v>
      </c>
      <c r="AD42" s="36" t="str">
        <f>VLOOKUP(D42,Oficial!A:C,3,0)</f>
        <v>Arrastre</v>
      </c>
    </row>
    <row r="43" spans="1:30" x14ac:dyDescent="0.25">
      <c r="A43" s="36" t="s">
        <v>27</v>
      </c>
      <c r="B43" s="36" t="s">
        <v>59</v>
      </c>
      <c r="C43" s="36" t="s">
        <v>28</v>
      </c>
      <c r="D43" s="36" t="s">
        <v>59</v>
      </c>
      <c r="E43" s="36" t="s">
        <v>45</v>
      </c>
      <c r="F43" s="36" t="s">
        <v>31</v>
      </c>
      <c r="G43" s="37" t="s">
        <v>32</v>
      </c>
      <c r="H43" s="36" t="s">
        <v>60</v>
      </c>
      <c r="I43" s="36" t="s">
        <v>61</v>
      </c>
      <c r="J43" s="36">
        <v>1</v>
      </c>
      <c r="K43" s="36" t="s">
        <v>62</v>
      </c>
      <c r="L43" s="36">
        <v>1</v>
      </c>
      <c r="M43" s="36">
        <v>1</v>
      </c>
      <c r="N43" s="38">
        <v>130000000</v>
      </c>
      <c r="O43" s="42">
        <v>3611111</v>
      </c>
      <c r="P43" s="36">
        <v>36</v>
      </c>
      <c r="Q43" s="36" t="s">
        <v>63</v>
      </c>
      <c r="R43" s="36" t="s">
        <v>64</v>
      </c>
      <c r="S43" s="36" t="s">
        <v>65</v>
      </c>
      <c r="T43" s="36" t="s">
        <v>66</v>
      </c>
      <c r="U43" s="36" t="s">
        <v>67</v>
      </c>
      <c r="V43" s="40">
        <v>45413</v>
      </c>
      <c r="W43" s="40">
        <v>45478</v>
      </c>
      <c r="X43" s="36">
        <v>0</v>
      </c>
      <c r="Y43" s="36"/>
      <c r="Z43" s="36">
        <v>1</v>
      </c>
      <c r="AA43" s="36">
        <v>3611111</v>
      </c>
      <c r="AB43" s="40">
        <v>46235</v>
      </c>
      <c r="AC43" s="36" t="s">
        <v>2196</v>
      </c>
      <c r="AD43" s="36" t="str">
        <f>VLOOKUP(D43,Oficial!A:C,3,0)</f>
        <v>Arrastre</v>
      </c>
    </row>
    <row r="44" spans="1:30" x14ac:dyDescent="0.25">
      <c r="A44" s="36" t="s">
        <v>27</v>
      </c>
      <c r="B44" s="36" t="s">
        <v>59</v>
      </c>
      <c r="C44" s="36" t="s">
        <v>28</v>
      </c>
      <c r="D44" s="36" t="s">
        <v>59</v>
      </c>
      <c r="E44" s="36" t="s">
        <v>45</v>
      </c>
      <c r="F44" s="36" t="s">
        <v>31</v>
      </c>
      <c r="G44" s="37" t="s">
        <v>32</v>
      </c>
      <c r="H44" s="36" t="s">
        <v>60</v>
      </c>
      <c r="I44" s="36" t="s">
        <v>61</v>
      </c>
      <c r="J44" s="36">
        <v>1</v>
      </c>
      <c r="K44" s="36" t="s">
        <v>62</v>
      </c>
      <c r="L44" s="36">
        <v>1</v>
      </c>
      <c r="M44" s="36">
        <v>1</v>
      </c>
      <c r="N44" s="38">
        <v>130000000</v>
      </c>
      <c r="O44" s="42">
        <v>3611111</v>
      </c>
      <c r="P44" s="36">
        <v>36</v>
      </c>
      <c r="Q44" s="36" t="s">
        <v>63</v>
      </c>
      <c r="R44" s="36" t="s">
        <v>64</v>
      </c>
      <c r="S44" s="36" t="s">
        <v>65</v>
      </c>
      <c r="T44" s="36" t="s">
        <v>66</v>
      </c>
      <c r="U44" s="36" t="s">
        <v>67</v>
      </c>
      <c r="V44" s="40">
        <v>45413</v>
      </c>
      <c r="W44" s="40">
        <v>45478</v>
      </c>
      <c r="X44" s="36">
        <v>0</v>
      </c>
      <c r="Y44" s="36"/>
      <c r="Z44" s="36">
        <v>1</v>
      </c>
      <c r="AA44" s="36">
        <v>3611111</v>
      </c>
      <c r="AB44" s="40">
        <v>46054</v>
      </c>
      <c r="AC44" s="36" t="s">
        <v>2196</v>
      </c>
      <c r="AD44" s="36" t="str">
        <f>VLOOKUP(D44,Oficial!A:C,3,0)</f>
        <v>Arrastre</v>
      </c>
    </row>
    <row r="45" spans="1:30" x14ac:dyDescent="0.25">
      <c r="A45" s="36" t="s">
        <v>27</v>
      </c>
      <c r="B45" s="36" t="s">
        <v>59</v>
      </c>
      <c r="C45" s="36" t="s">
        <v>28</v>
      </c>
      <c r="D45" s="36" t="s">
        <v>59</v>
      </c>
      <c r="E45" s="36" t="s">
        <v>45</v>
      </c>
      <c r="F45" s="36" t="s">
        <v>31</v>
      </c>
      <c r="G45" s="37" t="s">
        <v>32</v>
      </c>
      <c r="H45" s="36" t="s">
        <v>60</v>
      </c>
      <c r="I45" s="36" t="s">
        <v>61</v>
      </c>
      <c r="J45" s="36">
        <v>1</v>
      </c>
      <c r="K45" s="36" t="s">
        <v>62</v>
      </c>
      <c r="L45" s="36">
        <v>1</v>
      </c>
      <c r="M45" s="36">
        <v>1</v>
      </c>
      <c r="N45" s="38">
        <v>130000000</v>
      </c>
      <c r="O45" s="42">
        <v>3611111</v>
      </c>
      <c r="P45" s="36">
        <v>36</v>
      </c>
      <c r="Q45" s="36" t="s">
        <v>63</v>
      </c>
      <c r="R45" s="36" t="s">
        <v>64</v>
      </c>
      <c r="S45" s="36" t="s">
        <v>65</v>
      </c>
      <c r="T45" s="36" t="s">
        <v>66</v>
      </c>
      <c r="U45" s="36" t="s">
        <v>67</v>
      </c>
      <c r="V45" s="40">
        <v>45413</v>
      </c>
      <c r="W45" s="40">
        <v>45478</v>
      </c>
      <c r="X45" s="36">
        <v>0</v>
      </c>
      <c r="Y45" s="36"/>
      <c r="Z45" s="36">
        <v>1</v>
      </c>
      <c r="AA45" s="36">
        <v>3611111</v>
      </c>
      <c r="AB45" s="40">
        <v>46327</v>
      </c>
      <c r="AC45" s="36" t="s">
        <v>2196</v>
      </c>
      <c r="AD45" s="36" t="str">
        <f>VLOOKUP(D45,Oficial!A:C,3,0)</f>
        <v>Arrastre</v>
      </c>
    </row>
    <row r="46" spans="1:30" x14ac:dyDescent="0.25">
      <c r="A46" s="36" t="s">
        <v>27</v>
      </c>
      <c r="B46" s="36" t="s">
        <v>59</v>
      </c>
      <c r="C46" s="36" t="s">
        <v>28</v>
      </c>
      <c r="D46" s="36" t="s">
        <v>59</v>
      </c>
      <c r="E46" s="36" t="s">
        <v>45</v>
      </c>
      <c r="F46" s="36" t="s">
        <v>31</v>
      </c>
      <c r="G46" s="37" t="s">
        <v>32</v>
      </c>
      <c r="H46" s="36" t="s">
        <v>60</v>
      </c>
      <c r="I46" s="36" t="s">
        <v>61</v>
      </c>
      <c r="J46" s="36">
        <v>1</v>
      </c>
      <c r="K46" s="36" t="s">
        <v>62</v>
      </c>
      <c r="L46" s="36">
        <v>1</v>
      </c>
      <c r="M46" s="36">
        <v>1</v>
      </c>
      <c r="N46" s="38">
        <v>130000000</v>
      </c>
      <c r="O46" s="42">
        <v>3611111</v>
      </c>
      <c r="P46" s="36">
        <v>36</v>
      </c>
      <c r="Q46" s="36" t="s">
        <v>63</v>
      </c>
      <c r="R46" s="36" t="s">
        <v>64</v>
      </c>
      <c r="S46" s="36" t="s">
        <v>65</v>
      </c>
      <c r="T46" s="36" t="s">
        <v>66</v>
      </c>
      <c r="U46" s="36" t="s">
        <v>67</v>
      </c>
      <c r="V46" s="40">
        <v>45413</v>
      </c>
      <c r="W46" s="40">
        <v>45478</v>
      </c>
      <c r="X46" s="36">
        <v>0</v>
      </c>
      <c r="Y46" s="36"/>
      <c r="Z46" s="36">
        <v>1</v>
      </c>
      <c r="AA46" s="36">
        <v>3611111</v>
      </c>
      <c r="AB46" s="40">
        <v>46113</v>
      </c>
      <c r="AC46" s="36" t="s">
        <v>2196</v>
      </c>
      <c r="AD46" s="36" t="str">
        <f>VLOOKUP(D46,Oficial!A:C,3,0)</f>
        <v>Arrastre</v>
      </c>
    </row>
    <row r="47" spans="1:30" x14ac:dyDescent="0.25">
      <c r="A47" s="36" t="s">
        <v>27</v>
      </c>
      <c r="B47" s="36" t="s">
        <v>59</v>
      </c>
      <c r="C47" s="36" t="s">
        <v>28</v>
      </c>
      <c r="D47" s="36" t="s">
        <v>59</v>
      </c>
      <c r="E47" s="36" t="s">
        <v>45</v>
      </c>
      <c r="F47" s="36" t="s">
        <v>31</v>
      </c>
      <c r="G47" s="37" t="s">
        <v>32</v>
      </c>
      <c r="H47" s="36" t="s">
        <v>60</v>
      </c>
      <c r="I47" s="36" t="s">
        <v>61</v>
      </c>
      <c r="J47" s="36">
        <v>1</v>
      </c>
      <c r="K47" s="36" t="s">
        <v>62</v>
      </c>
      <c r="L47" s="36">
        <v>1</v>
      </c>
      <c r="M47" s="36">
        <v>1</v>
      </c>
      <c r="N47" s="38">
        <v>130000000</v>
      </c>
      <c r="O47" s="42">
        <v>3611111</v>
      </c>
      <c r="P47" s="36">
        <v>36</v>
      </c>
      <c r="Q47" s="36" t="s">
        <v>63</v>
      </c>
      <c r="R47" s="36" t="s">
        <v>64</v>
      </c>
      <c r="S47" s="36" t="s">
        <v>65</v>
      </c>
      <c r="T47" s="36" t="s">
        <v>66</v>
      </c>
      <c r="U47" s="36" t="s">
        <v>67</v>
      </c>
      <c r="V47" s="40">
        <v>45413</v>
      </c>
      <c r="W47" s="40">
        <v>45478</v>
      </c>
      <c r="X47" s="36">
        <v>0</v>
      </c>
      <c r="Y47" s="36"/>
      <c r="Z47" s="36">
        <v>1</v>
      </c>
      <c r="AA47" s="36">
        <v>3611111</v>
      </c>
      <c r="AB47" s="40">
        <v>46143</v>
      </c>
      <c r="AC47" s="36" t="s">
        <v>2196</v>
      </c>
      <c r="AD47" s="36" t="str">
        <f>VLOOKUP(D47,Oficial!A:C,3,0)</f>
        <v>Arrastre</v>
      </c>
    </row>
    <row r="48" spans="1:30" x14ac:dyDescent="0.25">
      <c r="A48" s="36" t="s">
        <v>27</v>
      </c>
      <c r="B48" s="36" t="s">
        <v>59</v>
      </c>
      <c r="C48" s="36" t="s">
        <v>28</v>
      </c>
      <c r="D48" s="36" t="s">
        <v>59</v>
      </c>
      <c r="E48" s="36" t="s">
        <v>45</v>
      </c>
      <c r="F48" s="36" t="s">
        <v>31</v>
      </c>
      <c r="G48" s="37" t="s">
        <v>32</v>
      </c>
      <c r="H48" s="36" t="s">
        <v>60</v>
      </c>
      <c r="I48" s="36" t="s">
        <v>61</v>
      </c>
      <c r="J48" s="36">
        <v>1</v>
      </c>
      <c r="K48" s="36" t="s">
        <v>62</v>
      </c>
      <c r="L48" s="36">
        <v>1</v>
      </c>
      <c r="M48" s="36">
        <v>1</v>
      </c>
      <c r="N48" s="38">
        <v>130000000</v>
      </c>
      <c r="O48" s="42">
        <v>3611111</v>
      </c>
      <c r="P48" s="36">
        <v>36</v>
      </c>
      <c r="Q48" s="36" t="s">
        <v>63</v>
      </c>
      <c r="R48" s="36" t="s">
        <v>64</v>
      </c>
      <c r="S48" s="36" t="s">
        <v>65</v>
      </c>
      <c r="T48" s="36" t="s">
        <v>66</v>
      </c>
      <c r="U48" s="36" t="s">
        <v>67</v>
      </c>
      <c r="V48" s="40">
        <v>45413</v>
      </c>
      <c r="W48" s="40">
        <v>45478</v>
      </c>
      <c r="X48" s="36">
        <v>0</v>
      </c>
      <c r="Y48" s="36"/>
      <c r="Z48" s="36">
        <v>1</v>
      </c>
      <c r="AA48" s="36">
        <v>3611111</v>
      </c>
      <c r="AB48" s="40">
        <v>46082</v>
      </c>
      <c r="AC48" s="36" t="s">
        <v>2196</v>
      </c>
      <c r="AD48" s="36" t="str">
        <f>VLOOKUP(D48,Oficial!A:C,3,0)</f>
        <v>Arrastre</v>
      </c>
    </row>
    <row r="49" spans="1:30" x14ac:dyDescent="0.25">
      <c r="A49" s="36" t="s">
        <v>27</v>
      </c>
      <c r="B49" s="36" t="s">
        <v>59</v>
      </c>
      <c r="C49" s="36" t="s">
        <v>28</v>
      </c>
      <c r="D49" s="36" t="s">
        <v>59</v>
      </c>
      <c r="E49" s="36" t="s">
        <v>45</v>
      </c>
      <c r="F49" s="36" t="s">
        <v>31</v>
      </c>
      <c r="G49" s="37" t="s">
        <v>32</v>
      </c>
      <c r="H49" s="36" t="s">
        <v>60</v>
      </c>
      <c r="I49" s="36" t="s">
        <v>61</v>
      </c>
      <c r="J49" s="36">
        <v>1</v>
      </c>
      <c r="K49" s="36" t="s">
        <v>62</v>
      </c>
      <c r="L49" s="36">
        <v>1</v>
      </c>
      <c r="M49" s="36">
        <v>1</v>
      </c>
      <c r="N49" s="38">
        <v>130000000</v>
      </c>
      <c r="O49" s="42">
        <v>3611111</v>
      </c>
      <c r="P49" s="36">
        <v>36</v>
      </c>
      <c r="Q49" s="36" t="s">
        <v>63</v>
      </c>
      <c r="R49" s="36" t="s">
        <v>64</v>
      </c>
      <c r="S49" s="36" t="s">
        <v>65</v>
      </c>
      <c r="T49" s="36" t="s">
        <v>66</v>
      </c>
      <c r="U49" s="36" t="s">
        <v>67</v>
      </c>
      <c r="V49" s="40">
        <v>45413</v>
      </c>
      <c r="W49" s="40">
        <v>45478</v>
      </c>
      <c r="X49" s="36">
        <v>0</v>
      </c>
      <c r="Y49" s="36"/>
      <c r="Z49" s="36">
        <v>1</v>
      </c>
      <c r="AA49" s="36">
        <v>3611111</v>
      </c>
      <c r="AB49" s="40">
        <v>46296</v>
      </c>
      <c r="AC49" s="36" t="s">
        <v>2196</v>
      </c>
      <c r="AD49" s="36" t="str">
        <f>VLOOKUP(D49,Oficial!A:C,3,0)</f>
        <v>Arrastre</v>
      </c>
    </row>
    <row r="50" spans="1:30" x14ac:dyDescent="0.25">
      <c r="A50" s="36" t="s">
        <v>27</v>
      </c>
      <c r="B50" s="36" t="s">
        <v>68</v>
      </c>
      <c r="C50" s="36" t="s">
        <v>28</v>
      </c>
      <c r="D50" s="36" t="s">
        <v>68</v>
      </c>
      <c r="E50" s="36" t="s">
        <v>30</v>
      </c>
      <c r="F50" s="36" t="s">
        <v>31</v>
      </c>
      <c r="G50" s="37" t="s">
        <v>69</v>
      </c>
      <c r="H50" s="36" t="s">
        <v>70</v>
      </c>
      <c r="I50" s="36" t="s">
        <v>71</v>
      </c>
      <c r="J50" s="36">
        <v>1</v>
      </c>
      <c r="K50" s="36" t="s">
        <v>72</v>
      </c>
      <c r="L50" s="36">
        <v>1</v>
      </c>
      <c r="M50" s="36">
        <v>1</v>
      </c>
      <c r="N50" s="38">
        <v>80865750</v>
      </c>
      <c r="O50" s="43">
        <v>3369406</v>
      </c>
      <c r="P50" s="36">
        <v>24</v>
      </c>
      <c r="Q50" s="36" t="s">
        <v>73</v>
      </c>
      <c r="R50" s="36" t="s">
        <v>74</v>
      </c>
      <c r="S50" s="36" t="s">
        <v>75</v>
      </c>
      <c r="T50" s="36" t="s">
        <v>76</v>
      </c>
      <c r="U50" s="36" t="s">
        <v>77</v>
      </c>
      <c r="V50" s="40">
        <v>45474</v>
      </c>
      <c r="W50" s="40">
        <v>45478</v>
      </c>
      <c r="X50" s="36">
        <v>12</v>
      </c>
      <c r="Y50" s="36" t="s">
        <v>78</v>
      </c>
      <c r="Z50" s="36">
        <v>1</v>
      </c>
      <c r="AA50" s="36">
        <v>3369406</v>
      </c>
      <c r="AB50" s="40">
        <v>46054</v>
      </c>
      <c r="AC50" s="36" t="s">
        <v>2196</v>
      </c>
      <c r="AD50" s="36" t="str">
        <f>VLOOKUP(D50,Oficial!A:C,3,0)</f>
        <v>Arrastre</v>
      </c>
    </row>
    <row r="51" spans="1:30" x14ac:dyDescent="0.25">
      <c r="A51" s="36" t="s">
        <v>27</v>
      </c>
      <c r="B51" s="36" t="s">
        <v>68</v>
      </c>
      <c r="C51" s="36" t="s">
        <v>28</v>
      </c>
      <c r="D51" s="36" t="s">
        <v>68</v>
      </c>
      <c r="E51" s="36" t="s">
        <v>30</v>
      </c>
      <c r="F51" s="36" t="s">
        <v>31</v>
      </c>
      <c r="G51" s="37" t="s">
        <v>69</v>
      </c>
      <c r="H51" s="36" t="s">
        <v>70</v>
      </c>
      <c r="I51" s="36" t="s">
        <v>71</v>
      </c>
      <c r="J51" s="36">
        <v>1</v>
      </c>
      <c r="K51" s="36" t="s">
        <v>72</v>
      </c>
      <c r="L51" s="36">
        <v>1</v>
      </c>
      <c r="M51" s="36">
        <v>1</v>
      </c>
      <c r="N51" s="38">
        <v>80865750</v>
      </c>
      <c r="O51" s="43">
        <v>3369406</v>
      </c>
      <c r="P51" s="36">
        <v>24</v>
      </c>
      <c r="Q51" s="36" t="s">
        <v>73</v>
      </c>
      <c r="R51" s="36" t="s">
        <v>74</v>
      </c>
      <c r="S51" s="36" t="s">
        <v>75</v>
      </c>
      <c r="T51" s="36" t="s">
        <v>76</v>
      </c>
      <c r="U51" s="36" t="s">
        <v>77</v>
      </c>
      <c r="V51" s="40">
        <v>45474</v>
      </c>
      <c r="W51" s="40">
        <v>45478</v>
      </c>
      <c r="X51" s="36">
        <v>12</v>
      </c>
      <c r="Y51" s="36" t="s">
        <v>79</v>
      </c>
      <c r="Z51" s="36">
        <v>1</v>
      </c>
      <c r="AA51" s="36">
        <v>3369406</v>
      </c>
      <c r="AB51" s="40">
        <v>46082</v>
      </c>
      <c r="AC51" s="36" t="s">
        <v>2196</v>
      </c>
      <c r="AD51" s="36" t="str">
        <f>VLOOKUP(D51,Oficial!A:C,3,0)</f>
        <v>Arrastre</v>
      </c>
    </row>
    <row r="52" spans="1:30" x14ac:dyDescent="0.25">
      <c r="A52" s="36" t="s">
        <v>27</v>
      </c>
      <c r="B52" s="36" t="s">
        <v>68</v>
      </c>
      <c r="C52" s="36" t="s">
        <v>28</v>
      </c>
      <c r="D52" s="36" t="s">
        <v>68</v>
      </c>
      <c r="E52" s="36" t="s">
        <v>30</v>
      </c>
      <c r="F52" s="36" t="s">
        <v>31</v>
      </c>
      <c r="G52" s="37" t="s">
        <v>69</v>
      </c>
      <c r="H52" s="36" t="s">
        <v>70</v>
      </c>
      <c r="I52" s="36" t="s">
        <v>71</v>
      </c>
      <c r="J52" s="36">
        <v>1</v>
      </c>
      <c r="K52" s="36" t="s">
        <v>72</v>
      </c>
      <c r="L52" s="36">
        <v>1</v>
      </c>
      <c r="M52" s="36">
        <v>1</v>
      </c>
      <c r="N52" s="38">
        <v>80865750</v>
      </c>
      <c r="O52" s="43">
        <v>3369406</v>
      </c>
      <c r="P52" s="36">
        <v>24</v>
      </c>
      <c r="Q52" s="36" t="s">
        <v>73</v>
      </c>
      <c r="R52" s="36" t="s">
        <v>74</v>
      </c>
      <c r="S52" s="36" t="s">
        <v>75</v>
      </c>
      <c r="T52" s="36" t="s">
        <v>76</v>
      </c>
      <c r="U52" s="36" t="s">
        <v>77</v>
      </c>
      <c r="V52" s="40">
        <v>45474</v>
      </c>
      <c r="W52" s="40">
        <v>45478</v>
      </c>
      <c r="X52" s="36">
        <v>12</v>
      </c>
      <c r="Y52" s="36" t="s">
        <v>78</v>
      </c>
      <c r="Z52" s="36">
        <v>1</v>
      </c>
      <c r="AA52" s="36">
        <v>3369406</v>
      </c>
      <c r="AB52" s="40">
        <v>46204</v>
      </c>
      <c r="AC52" s="36" t="s">
        <v>2196</v>
      </c>
      <c r="AD52" s="36" t="str">
        <f>VLOOKUP(D52,Oficial!A:C,3,0)</f>
        <v>Arrastre</v>
      </c>
    </row>
    <row r="53" spans="1:30" x14ac:dyDescent="0.25">
      <c r="A53" s="36" t="s">
        <v>27</v>
      </c>
      <c r="B53" s="36" t="s">
        <v>68</v>
      </c>
      <c r="C53" s="36" t="s">
        <v>28</v>
      </c>
      <c r="D53" s="36" t="s">
        <v>68</v>
      </c>
      <c r="E53" s="36" t="s">
        <v>30</v>
      </c>
      <c r="F53" s="36" t="s">
        <v>31</v>
      </c>
      <c r="G53" s="37" t="s">
        <v>69</v>
      </c>
      <c r="H53" s="36" t="s">
        <v>70</v>
      </c>
      <c r="I53" s="36" t="s">
        <v>71</v>
      </c>
      <c r="J53" s="36">
        <v>1</v>
      </c>
      <c r="K53" s="36" t="s">
        <v>72</v>
      </c>
      <c r="L53" s="36">
        <v>1</v>
      </c>
      <c r="M53" s="36">
        <v>1</v>
      </c>
      <c r="N53" s="38">
        <v>80865750</v>
      </c>
      <c r="O53" s="43">
        <v>3369406</v>
      </c>
      <c r="P53" s="36">
        <v>24</v>
      </c>
      <c r="Q53" s="36" t="s">
        <v>73</v>
      </c>
      <c r="R53" s="36" t="s">
        <v>74</v>
      </c>
      <c r="S53" s="36" t="s">
        <v>75</v>
      </c>
      <c r="T53" s="36" t="s">
        <v>76</v>
      </c>
      <c r="U53" s="36" t="s">
        <v>77</v>
      </c>
      <c r="V53" s="40">
        <v>45474</v>
      </c>
      <c r="W53" s="40">
        <v>45478</v>
      </c>
      <c r="X53" s="36">
        <v>12</v>
      </c>
      <c r="Y53" s="36" t="s">
        <v>79</v>
      </c>
      <c r="Z53" s="36">
        <v>1</v>
      </c>
      <c r="AA53" s="36">
        <v>3369406</v>
      </c>
      <c r="AB53" s="40">
        <v>46174</v>
      </c>
      <c r="AC53" s="36" t="s">
        <v>2196</v>
      </c>
      <c r="AD53" s="36" t="str">
        <f>VLOOKUP(D53,Oficial!A:C,3,0)</f>
        <v>Arrastre</v>
      </c>
    </row>
    <row r="54" spans="1:30" x14ac:dyDescent="0.25">
      <c r="A54" s="36" t="s">
        <v>27</v>
      </c>
      <c r="B54" s="36" t="s">
        <v>68</v>
      </c>
      <c r="C54" s="36" t="s">
        <v>28</v>
      </c>
      <c r="D54" s="36" t="s">
        <v>68</v>
      </c>
      <c r="E54" s="36" t="s">
        <v>30</v>
      </c>
      <c r="F54" s="36" t="s">
        <v>31</v>
      </c>
      <c r="G54" s="37" t="s">
        <v>69</v>
      </c>
      <c r="H54" s="36" t="s">
        <v>70</v>
      </c>
      <c r="I54" s="36" t="s">
        <v>71</v>
      </c>
      <c r="J54" s="36">
        <v>1</v>
      </c>
      <c r="K54" s="36" t="s">
        <v>72</v>
      </c>
      <c r="L54" s="36">
        <v>1</v>
      </c>
      <c r="M54" s="36">
        <v>1</v>
      </c>
      <c r="N54" s="38">
        <v>80865750</v>
      </c>
      <c r="O54" s="43">
        <v>3369406</v>
      </c>
      <c r="P54" s="36">
        <v>24</v>
      </c>
      <c r="Q54" s="36" t="s">
        <v>73</v>
      </c>
      <c r="R54" s="36" t="s">
        <v>74</v>
      </c>
      <c r="S54" s="36" t="s">
        <v>75</v>
      </c>
      <c r="T54" s="36" t="s">
        <v>76</v>
      </c>
      <c r="U54" s="36" t="s">
        <v>77</v>
      </c>
      <c r="V54" s="40">
        <v>45474</v>
      </c>
      <c r="W54" s="40">
        <v>45478</v>
      </c>
      <c r="X54" s="36">
        <v>12</v>
      </c>
      <c r="Y54" s="36" t="s">
        <v>80</v>
      </c>
      <c r="Z54" s="36">
        <v>1</v>
      </c>
      <c r="AA54" s="36">
        <v>3369406</v>
      </c>
      <c r="AB54" s="40">
        <v>46174</v>
      </c>
      <c r="AC54" s="36" t="s">
        <v>2196</v>
      </c>
      <c r="AD54" s="36" t="str">
        <f>VLOOKUP(D54,Oficial!A:C,3,0)</f>
        <v>Arrastre</v>
      </c>
    </row>
    <row r="55" spans="1:30" x14ac:dyDescent="0.25">
      <c r="A55" s="36" t="s">
        <v>27</v>
      </c>
      <c r="B55" s="36" t="s">
        <v>68</v>
      </c>
      <c r="C55" s="36" t="s">
        <v>28</v>
      </c>
      <c r="D55" s="36" t="s">
        <v>68</v>
      </c>
      <c r="E55" s="36" t="s">
        <v>30</v>
      </c>
      <c r="F55" s="36" t="s">
        <v>31</v>
      </c>
      <c r="G55" s="37" t="s">
        <v>69</v>
      </c>
      <c r="H55" s="36" t="s">
        <v>70</v>
      </c>
      <c r="I55" s="36" t="s">
        <v>71</v>
      </c>
      <c r="J55" s="36">
        <v>1</v>
      </c>
      <c r="K55" s="36" t="s">
        <v>72</v>
      </c>
      <c r="L55" s="36">
        <v>1</v>
      </c>
      <c r="M55" s="36">
        <v>1</v>
      </c>
      <c r="N55" s="38">
        <v>80865750</v>
      </c>
      <c r="O55" s="43">
        <v>3369406</v>
      </c>
      <c r="P55" s="36">
        <v>24</v>
      </c>
      <c r="Q55" s="36" t="s">
        <v>73</v>
      </c>
      <c r="R55" s="36" t="s">
        <v>74</v>
      </c>
      <c r="S55" s="36" t="s">
        <v>75</v>
      </c>
      <c r="T55" s="36" t="s">
        <v>76</v>
      </c>
      <c r="U55" s="36" t="s">
        <v>77</v>
      </c>
      <c r="V55" s="40">
        <v>45474</v>
      </c>
      <c r="W55" s="40">
        <v>45478</v>
      </c>
      <c r="X55" s="36">
        <v>12</v>
      </c>
      <c r="Y55" s="36" t="s">
        <v>78</v>
      </c>
      <c r="Z55" s="36">
        <v>1</v>
      </c>
      <c r="AA55" s="36">
        <v>3369406</v>
      </c>
      <c r="AB55" s="40">
        <v>46327</v>
      </c>
      <c r="AC55" s="36" t="s">
        <v>2196</v>
      </c>
      <c r="AD55" s="36" t="str">
        <f>VLOOKUP(D55,Oficial!A:C,3,0)</f>
        <v>Arrastre</v>
      </c>
    </row>
    <row r="56" spans="1:30" x14ac:dyDescent="0.25">
      <c r="A56" s="36" t="s">
        <v>27</v>
      </c>
      <c r="B56" s="36" t="s">
        <v>68</v>
      </c>
      <c r="C56" s="36" t="s">
        <v>28</v>
      </c>
      <c r="D56" s="36" t="s">
        <v>68</v>
      </c>
      <c r="E56" s="36" t="s">
        <v>30</v>
      </c>
      <c r="F56" s="36" t="s">
        <v>31</v>
      </c>
      <c r="G56" s="37" t="s">
        <v>69</v>
      </c>
      <c r="H56" s="36" t="s">
        <v>70</v>
      </c>
      <c r="I56" s="36" t="s">
        <v>71</v>
      </c>
      <c r="J56" s="36">
        <v>1</v>
      </c>
      <c r="K56" s="36" t="s">
        <v>72</v>
      </c>
      <c r="L56" s="36">
        <v>1</v>
      </c>
      <c r="M56" s="36">
        <v>1</v>
      </c>
      <c r="N56" s="38">
        <v>80865750</v>
      </c>
      <c r="O56" s="43">
        <v>3369406</v>
      </c>
      <c r="P56" s="36">
        <v>24</v>
      </c>
      <c r="Q56" s="36" t="s">
        <v>73</v>
      </c>
      <c r="R56" s="36" t="s">
        <v>74</v>
      </c>
      <c r="S56" s="36" t="s">
        <v>75</v>
      </c>
      <c r="T56" s="36" t="s">
        <v>76</v>
      </c>
      <c r="U56" s="36" t="s">
        <v>77</v>
      </c>
      <c r="V56" s="40">
        <v>45474</v>
      </c>
      <c r="W56" s="40">
        <v>45478</v>
      </c>
      <c r="X56" s="36">
        <v>12</v>
      </c>
      <c r="Y56" s="36" t="s">
        <v>80</v>
      </c>
      <c r="Z56" s="36">
        <v>1</v>
      </c>
      <c r="AA56" s="36">
        <v>3369406</v>
      </c>
      <c r="AB56" s="40">
        <v>46204</v>
      </c>
      <c r="AC56" s="36" t="s">
        <v>2196</v>
      </c>
      <c r="AD56" s="36" t="str">
        <f>VLOOKUP(D56,Oficial!A:C,3,0)</f>
        <v>Arrastre</v>
      </c>
    </row>
    <row r="57" spans="1:30" x14ac:dyDescent="0.25">
      <c r="A57" s="36" t="s">
        <v>27</v>
      </c>
      <c r="B57" s="36" t="s">
        <v>68</v>
      </c>
      <c r="C57" s="36" t="s">
        <v>28</v>
      </c>
      <c r="D57" s="36" t="s">
        <v>68</v>
      </c>
      <c r="E57" s="36" t="s">
        <v>30</v>
      </c>
      <c r="F57" s="36" t="s">
        <v>31</v>
      </c>
      <c r="G57" s="37" t="s">
        <v>69</v>
      </c>
      <c r="H57" s="36" t="s">
        <v>70</v>
      </c>
      <c r="I57" s="36" t="s">
        <v>71</v>
      </c>
      <c r="J57" s="36">
        <v>1</v>
      </c>
      <c r="K57" s="36" t="s">
        <v>72</v>
      </c>
      <c r="L57" s="36">
        <v>1</v>
      </c>
      <c r="M57" s="36">
        <v>1</v>
      </c>
      <c r="N57" s="38">
        <v>80865750</v>
      </c>
      <c r="O57" s="43">
        <v>3369406</v>
      </c>
      <c r="P57" s="36">
        <v>24</v>
      </c>
      <c r="Q57" s="36" t="s">
        <v>73</v>
      </c>
      <c r="R57" s="36" t="s">
        <v>74</v>
      </c>
      <c r="S57" s="36" t="s">
        <v>75</v>
      </c>
      <c r="T57" s="36" t="s">
        <v>76</v>
      </c>
      <c r="U57" s="36" t="s">
        <v>77</v>
      </c>
      <c r="V57" s="40">
        <v>45474</v>
      </c>
      <c r="W57" s="40">
        <v>45478</v>
      </c>
      <c r="X57" s="36">
        <v>12</v>
      </c>
      <c r="Y57" s="36" t="s">
        <v>81</v>
      </c>
      <c r="Z57" s="36">
        <v>1</v>
      </c>
      <c r="AA57" s="36">
        <v>3369406</v>
      </c>
      <c r="AB57" s="40">
        <v>46054</v>
      </c>
      <c r="AC57" s="36" t="s">
        <v>2196</v>
      </c>
      <c r="AD57" s="36" t="str">
        <f>VLOOKUP(D57,Oficial!A:C,3,0)</f>
        <v>Arrastre</v>
      </c>
    </row>
    <row r="58" spans="1:30" x14ac:dyDescent="0.25">
      <c r="A58" s="36" t="s">
        <v>27</v>
      </c>
      <c r="B58" s="36" t="s">
        <v>68</v>
      </c>
      <c r="C58" s="36" t="s">
        <v>28</v>
      </c>
      <c r="D58" s="36" t="s">
        <v>68</v>
      </c>
      <c r="E58" s="36" t="s">
        <v>30</v>
      </c>
      <c r="F58" s="36" t="s">
        <v>31</v>
      </c>
      <c r="G58" s="37" t="s">
        <v>69</v>
      </c>
      <c r="H58" s="36" t="s">
        <v>70</v>
      </c>
      <c r="I58" s="36" t="s">
        <v>71</v>
      </c>
      <c r="J58" s="36">
        <v>1</v>
      </c>
      <c r="K58" s="36" t="s">
        <v>72</v>
      </c>
      <c r="L58" s="36">
        <v>1</v>
      </c>
      <c r="M58" s="36">
        <v>1</v>
      </c>
      <c r="N58" s="38">
        <v>80865750</v>
      </c>
      <c r="O58" s="43">
        <v>3369406</v>
      </c>
      <c r="P58" s="36">
        <v>24</v>
      </c>
      <c r="Q58" s="36" t="s">
        <v>73</v>
      </c>
      <c r="R58" s="36" t="s">
        <v>74</v>
      </c>
      <c r="S58" s="36" t="s">
        <v>75</v>
      </c>
      <c r="T58" s="36" t="s">
        <v>76</v>
      </c>
      <c r="U58" s="36" t="s">
        <v>77</v>
      </c>
      <c r="V58" s="40">
        <v>45474</v>
      </c>
      <c r="W58" s="40">
        <v>45478</v>
      </c>
      <c r="X58" s="36">
        <v>12</v>
      </c>
      <c r="Y58" s="36" t="s">
        <v>79</v>
      </c>
      <c r="Z58" s="36">
        <v>1</v>
      </c>
      <c r="AA58" s="36">
        <v>3369406</v>
      </c>
      <c r="AB58" s="40">
        <v>46054</v>
      </c>
      <c r="AC58" s="36" t="s">
        <v>2196</v>
      </c>
      <c r="AD58" s="36" t="str">
        <f>VLOOKUP(D58,Oficial!A:C,3,0)</f>
        <v>Arrastre</v>
      </c>
    </row>
    <row r="59" spans="1:30" x14ac:dyDescent="0.25">
      <c r="A59" s="36" t="s">
        <v>27</v>
      </c>
      <c r="B59" s="36" t="s">
        <v>68</v>
      </c>
      <c r="C59" s="36" t="s">
        <v>28</v>
      </c>
      <c r="D59" s="36" t="s">
        <v>68</v>
      </c>
      <c r="E59" s="36" t="s">
        <v>30</v>
      </c>
      <c r="F59" s="36" t="s">
        <v>31</v>
      </c>
      <c r="G59" s="37" t="s">
        <v>69</v>
      </c>
      <c r="H59" s="36" t="s">
        <v>70</v>
      </c>
      <c r="I59" s="36" t="s">
        <v>71</v>
      </c>
      <c r="J59" s="36">
        <v>1</v>
      </c>
      <c r="K59" s="36" t="s">
        <v>72</v>
      </c>
      <c r="L59" s="36">
        <v>1</v>
      </c>
      <c r="M59" s="36">
        <v>1</v>
      </c>
      <c r="N59" s="38">
        <v>80865750</v>
      </c>
      <c r="O59" s="43">
        <v>3369408</v>
      </c>
      <c r="P59" s="36">
        <v>24</v>
      </c>
      <c r="Q59" s="36" t="s">
        <v>73</v>
      </c>
      <c r="R59" s="36" t="s">
        <v>74</v>
      </c>
      <c r="S59" s="36" t="s">
        <v>75</v>
      </c>
      <c r="T59" s="36" t="s">
        <v>76</v>
      </c>
      <c r="U59" s="36" t="s">
        <v>77</v>
      </c>
      <c r="V59" s="40">
        <v>45474</v>
      </c>
      <c r="W59" s="40">
        <v>45478</v>
      </c>
      <c r="X59" s="36">
        <v>12</v>
      </c>
      <c r="Y59" s="36" t="s">
        <v>80</v>
      </c>
      <c r="Z59" s="36">
        <v>1</v>
      </c>
      <c r="AA59" s="36">
        <v>3369406</v>
      </c>
      <c r="AB59" s="40">
        <v>46235</v>
      </c>
      <c r="AC59" s="36" t="s">
        <v>2196</v>
      </c>
      <c r="AD59" s="36" t="str">
        <f>VLOOKUP(D59,Oficial!A:C,3,0)</f>
        <v>Arrastre</v>
      </c>
    </row>
    <row r="60" spans="1:30" x14ac:dyDescent="0.25">
      <c r="A60" s="36" t="s">
        <v>27</v>
      </c>
      <c r="B60" s="36" t="s">
        <v>68</v>
      </c>
      <c r="C60" s="36" t="s">
        <v>28</v>
      </c>
      <c r="D60" s="36" t="s">
        <v>68</v>
      </c>
      <c r="E60" s="36" t="s">
        <v>30</v>
      </c>
      <c r="F60" s="36" t="s">
        <v>31</v>
      </c>
      <c r="G60" s="37" t="s">
        <v>69</v>
      </c>
      <c r="H60" s="36" t="s">
        <v>70</v>
      </c>
      <c r="I60" s="36" t="s">
        <v>71</v>
      </c>
      <c r="J60" s="36">
        <v>1</v>
      </c>
      <c r="K60" s="36" t="s">
        <v>72</v>
      </c>
      <c r="L60" s="36">
        <v>1</v>
      </c>
      <c r="M60" s="36">
        <v>1</v>
      </c>
      <c r="N60" s="38">
        <v>80865750</v>
      </c>
      <c r="O60" s="43">
        <v>3369408</v>
      </c>
      <c r="P60" s="36">
        <v>24</v>
      </c>
      <c r="Q60" s="36" t="s">
        <v>73</v>
      </c>
      <c r="R60" s="36" t="s">
        <v>74</v>
      </c>
      <c r="S60" s="36" t="s">
        <v>75</v>
      </c>
      <c r="T60" s="36" t="s">
        <v>76</v>
      </c>
      <c r="U60" s="36" t="s">
        <v>77</v>
      </c>
      <c r="V60" s="40">
        <v>45474</v>
      </c>
      <c r="W60" s="40">
        <v>45478</v>
      </c>
      <c r="X60" s="36">
        <v>12</v>
      </c>
      <c r="Y60" s="36" t="s">
        <v>79</v>
      </c>
      <c r="Z60" s="36">
        <v>1</v>
      </c>
      <c r="AA60" s="36">
        <v>3369406</v>
      </c>
      <c r="AB60" s="40">
        <v>46327</v>
      </c>
      <c r="AC60" s="36" t="s">
        <v>2196</v>
      </c>
      <c r="AD60" s="36" t="str">
        <f>VLOOKUP(D60,Oficial!A:C,3,0)</f>
        <v>Arrastre</v>
      </c>
    </row>
    <row r="61" spans="1:30" x14ac:dyDescent="0.25">
      <c r="A61" s="36" t="s">
        <v>27</v>
      </c>
      <c r="B61" s="36" t="s">
        <v>68</v>
      </c>
      <c r="C61" s="36" t="s">
        <v>28</v>
      </c>
      <c r="D61" s="36" t="s">
        <v>68</v>
      </c>
      <c r="E61" s="36" t="s">
        <v>30</v>
      </c>
      <c r="F61" s="36" t="s">
        <v>31</v>
      </c>
      <c r="G61" s="37" t="s">
        <v>69</v>
      </c>
      <c r="H61" s="36" t="s">
        <v>70</v>
      </c>
      <c r="I61" s="36" t="s">
        <v>71</v>
      </c>
      <c r="J61" s="36">
        <v>1</v>
      </c>
      <c r="K61" s="36" t="s">
        <v>72</v>
      </c>
      <c r="L61" s="36">
        <v>1</v>
      </c>
      <c r="M61" s="36">
        <v>1</v>
      </c>
      <c r="N61" s="38">
        <v>80865750</v>
      </c>
      <c r="O61" s="43">
        <v>3369408</v>
      </c>
      <c r="P61" s="36">
        <v>24</v>
      </c>
      <c r="Q61" s="36" t="s">
        <v>73</v>
      </c>
      <c r="R61" s="36" t="s">
        <v>74</v>
      </c>
      <c r="S61" s="36" t="s">
        <v>75</v>
      </c>
      <c r="T61" s="36" t="s">
        <v>76</v>
      </c>
      <c r="U61" s="36" t="s">
        <v>77</v>
      </c>
      <c r="V61" s="40">
        <v>45474</v>
      </c>
      <c r="W61" s="40">
        <v>45478</v>
      </c>
      <c r="X61" s="36">
        <v>12</v>
      </c>
      <c r="Y61" s="36" t="s">
        <v>79</v>
      </c>
      <c r="Z61" s="36">
        <v>1</v>
      </c>
      <c r="AA61" s="36">
        <v>3369406</v>
      </c>
      <c r="AB61" s="40">
        <v>46143</v>
      </c>
      <c r="AC61" s="36" t="s">
        <v>2196</v>
      </c>
      <c r="AD61" s="36" t="str">
        <f>VLOOKUP(D61,Oficial!A:C,3,0)</f>
        <v>Arrastre</v>
      </c>
    </row>
    <row r="62" spans="1:30" x14ac:dyDescent="0.25">
      <c r="A62" s="36" t="s">
        <v>27</v>
      </c>
      <c r="B62" s="36" t="s">
        <v>82</v>
      </c>
      <c r="C62" s="36" t="s">
        <v>28</v>
      </c>
      <c r="D62" s="36" t="s">
        <v>82</v>
      </c>
      <c r="E62" s="36" t="s">
        <v>45</v>
      </c>
      <c r="F62" s="36" t="s">
        <v>31</v>
      </c>
      <c r="G62" s="37" t="s">
        <v>69</v>
      </c>
      <c r="H62" s="36" t="s">
        <v>83</v>
      </c>
      <c r="I62" s="36" t="s">
        <v>84</v>
      </c>
      <c r="J62" s="36">
        <v>1</v>
      </c>
      <c r="K62" s="36" t="s">
        <v>72</v>
      </c>
      <c r="L62" s="36">
        <v>1</v>
      </c>
      <c r="M62" s="36">
        <v>1</v>
      </c>
      <c r="N62" s="38">
        <v>156722240</v>
      </c>
      <c r="O62" s="42">
        <v>6530093</v>
      </c>
      <c r="P62" s="36">
        <v>24</v>
      </c>
      <c r="Q62" s="36" t="s">
        <v>73</v>
      </c>
      <c r="R62" s="36" t="s">
        <v>74</v>
      </c>
      <c r="S62" s="36" t="s">
        <v>85</v>
      </c>
      <c r="T62" s="36" t="s">
        <v>76</v>
      </c>
      <c r="U62" s="36" t="s">
        <v>86</v>
      </c>
      <c r="V62" s="40">
        <v>45444</v>
      </c>
      <c r="W62" s="40">
        <v>45478</v>
      </c>
      <c r="X62" s="36">
        <v>5</v>
      </c>
      <c r="Y62" s="36" t="s">
        <v>87</v>
      </c>
      <c r="Z62" s="36">
        <v>1</v>
      </c>
      <c r="AA62" s="36">
        <v>6530093</v>
      </c>
      <c r="AB62" s="40">
        <v>46054</v>
      </c>
      <c r="AC62" s="36" t="s">
        <v>2196</v>
      </c>
      <c r="AD62" s="36" t="str">
        <f>VLOOKUP(D62,Oficial!A:C,3,0)</f>
        <v>Arrastre</v>
      </c>
    </row>
    <row r="63" spans="1:30" x14ac:dyDescent="0.25">
      <c r="A63" s="36" t="s">
        <v>27</v>
      </c>
      <c r="B63" s="36" t="s">
        <v>82</v>
      </c>
      <c r="C63" s="36" t="s">
        <v>28</v>
      </c>
      <c r="D63" s="36" t="s">
        <v>82</v>
      </c>
      <c r="E63" s="36" t="s">
        <v>45</v>
      </c>
      <c r="F63" s="36" t="s">
        <v>31</v>
      </c>
      <c r="G63" s="37" t="s">
        <v>69</v>
      </c>
      <c r="H63" s="36" t="s">
        <v>83</v>
      </c>
      <c r="I63" s="36" t="s">
        <v>84</v>
      </c>
      <c r="J63" s="36">
        <v>1</v>
      </c>
      <c r="K63" s="36" t="s">
        <v>72</v>
      </c>
      <c r="L63" s="36">
        <v>1</v>
      </c>
      <c r="M63" s="36">
        <v>1</v>
      </c>
      <c r="N63" s="38">
        <v>156722240</v>
      </c>
      <c r="O63" s="42">
        <v>6530093</v>
      </c>
      <c r="P63" s="36">
        <v>24</v>
      </c>
      <c r="Q63" s="36" t="s">
        <v>73</v>
      </c>
      <c r="R63" s="36" t="s">
        <v>74</v>
      </c>
      <c r="S63" s="36" t="s">
        <v>85</v>
      </c>
      <c r="T63" s="36" t="s">
        <v>76</v>
      </c>
      <c r="U63" s="36" t="s">
        <v>86</v>
      </c>
      <c r="V63" s="40">
        <v>45444</v>
      </c>
      <c r="W63" s="40">
        <v>45478</v>
      </c>
      <c r="X63" s="36">
        <v>5</v>
      </c>
      <c r="Y63" s="36" t="s">
        <v>87</v>
      </c>
      <c r="Z63" s="36">
        <v>1</v>
      </c>
      <c r="AA63" s="36">
        <v>6530093</v>
      </c>
      <c r="AB63" s="40">
        <v>46023</v>
      </c>
      <c r="AC63" s="36" t="s">
        <v>2196</v>
      </c>
      <c r="AD63" s="36" t="str">
        <f>VLOOKUP(D63,Oficial!A:C,3,0)</f>
        <v>Arrastre</v>
      </c>
    </row>
    <row r="64" spans="1:30" x14ac:dyDescent="0.25">
      <c r="A64" s="36" t="s">
        <v>27</v>
      </c>
      <c r="B64" s="36" t="s">
        <v>82</v>
      </c>
      <c r="C64" s="36" t="s">
        <v>28</v>
      </c>
      <c r="D64" s="36" t="s">
        <v>82</v>
      </c>
      <c r="E64" s="36" t="s">
        <v>45</v>
      </c>
      <c r="F64" s="36" t="s">
        <v>31</v>
      </c>
      <c r="G64" s="37" t="s">
        <v>69</v>
      </c>
      <c r="H64" s="36" t="s">
        <v>83</v>
      </c>
      <c r="I64" s="36" t="s">
        <v>84</v>
      </c>
      <c r="J64" s="36">
        <v>1</v>
      </c>
      <c r="K64" s="36" t="s">
        <v>72</v>
      </c>
      <c r="L64" s="36">
        <v>1</v>
      </c>
      <c r="M64" s="36">
        <v>1</v>
      </c>
      <c r="N64" s="38">
        <v>156722240</v>
      </c>
      <c r="O64" s="42">
        <v>6530093</v>
      </c>
      <c r="P64" s="36">
        <v>24</v>
      </c>
      <c r="Q64" s="36" t="s">
        <v>73</v>
      </c>
      <c r="R64" s="36" t="s">
        <v>74</v>
      </c>
      <c r="S64" s="36" t="s">
        <v>85</v>
      </c>
      <c r="T64" s="36" t="s">
        <v>76</v>
      </c>
      <c r="U64" s="36" t="s">
        <v>86</v>
      </c>
      <c r="V64" s="40">
        <v>45444</v>
      </c>
      <c r="W64" s="40">
        <v>45478</v>
      </c>
      <c r="X64" s="36">
        <v>5</v>
      </c>
      <c r="Y64" s="36" t="s">
        <v>88</v>
      </c>
      <c r="Z64" s="36">
        <v>1</v>
      </c>
      <c r="AA64" s="36">
        <v>6530093</v>
      </c>
      <c r="AB64" s="40">
        <v>46023</v>
      </c>
      <c r="AC64" s="36" t="s">
        <v>2196</v>
      </c>
      <c r="AD64" s="36" t="str">
        <f>VLOOKUP(D64,Oficial!A:C,3,0)</f>
        <v>Arrastre</v>
      </c>
    </row>
    <row r="65" spans="1:30" x14ac:dyDescent="0.25">
      <c r="A65" s="36" t="s">
        <v>27</v>
      </c>
      <c r="B65" s="36" t="s">
        <v>82</v>
      </c>
      <c r="C65" s="36" t="s">
        <v>28</v>
      </c>
      <c r="D65" s="36" t="s">
        <v>82</v>
      </c>
      <c r="E65" s="36" t="s">
        <v>45</v>
      </c>
      <c r="F65" s="36" t="s">
        <v>31</v>
      </c>
      <c r="G65" s="37" t="s">
        <v>69</v>
      </c>
      <c r="H65" s="36" t="s">
        <v>83</v>
      </c>
      <c r="I65" s="36" t="s">
        <v>84</v>
      </c>
      <c r="J65" s="36">
        <v>1</v>
      </c>
      <c r="K65" s="36" t="s">
        <v>72</v>
      </c>
      <c r="L65" s="36">
        <v>1</v>
      </c>
      <c r="M65" s="36">
        <v>1</v>
      </c>
      <c r="N65" s="38">
        <v>156722240</v>
      </c>
      <c r="O65" s="42">
        <v>6530093</v>
      </c>
      <c r="P65" s="36">
        <v>24</v>
      </c>
      <c r="Q65" s="36" t="s">
        <v>73</v>
      </c>
      <c r="R65" s="36" t="s">
        <v>74</v>
      </c>
      <c r="S65" s="36" t="s">
        <v>85</v>
      </c>
      <c r="T65" s="36" t="s">
        <v>76</v>
      </c>
      <c r="U65" s="36" t="s">
        <v>86</v>
      </c>
      <c r="V65" s="40">
        <v>45444</v>
      </c>
      <c r="W65" s="40">
        <v>45478</v>
      </c>
      <c r="X65" s="36">
        <v>5</v>
      </c>
      <c r="Y65" s="36" t="s">
        <v>89</v>
      </c>
      <c r="Z65" s="36">
        <v>1</v>
      </c>
      <c r="AA65" s="36">
        <v>6530093</v>
      </c>
      <c r="AB65" s="40">
        <v>46143</v>
      </c>
      <c r="AC65" s="36" t="s">
        <v>2196</v>
      </c>
      <c r="AD65" s="36" t="str">
        <f>VLOOKUP(D65,Oficial!A:C,3,0)</f>
        <v>Arrastre</v>
      </c>
    </row>
    <row r="66" spans="1:30" x14ac:dyDescent="0.25">
      <c r="A66" s="36" t="s">
        <v>27</v>
      </c>
      <c r="B66" s="36" t="s">
        <v>82</v>
      </c>
      <c r="C66" s="36" t="s">
        <v>28</v>
      </c>
      <c r="D66" s="36" t="s">
        <v>82</v>
      </c>
      <c r="E66" s="36" t="s">
        <v>45</v>
      </c>
      <c r="F66" s="36" t="s">
        <v>31</v>
      </c>
      <c r="G66" s="37" t="s">
        <v>69</v>
      </c>
      <c r="H66" s="36" t="s">
        <v>83</v>
      </c>
      <c r="I66" s="36" t="s">
        <v>84</v>
      </c>
      <c r="J66" s="36">
        <v>1</v>
      </c>
      <c r="K66" s="36" t="s">
        <v>72</v>
      </c>
      <c r="L66" s="36">
        <v>1</v>
      </c>
      <c r="M66" s="36">
        <v>1</v>
      </c>
      <c r="N66" s="38">
        <v>156722240</v>
      </c>
      <c r="O66" s="42">
        <v>6530093</v>
      </c>
      <c r="P66" s="36">
        <v>24</v>
      </c>
      <c r="Q66" s="36" t="s">
        <v>73</v>
      </c>
      <c r="R66" s="36" t="s">
        <v>74</v>
      </c>
      <c r="S66" s="36" t="s">
        <v>85</v>
      </c>
      <c r="T66" s="36" t="s">
        <v>76</v>
      </c>
      <c r="U66" s="36" t="s">
        <v>86</v>
      </c>
      <c r="V66" s="40">
        <v>45444</v>
      </c>
      <c r="W66" s="40">
        <v>45478</v>
      </c>
      <c r="X66" s="36">
        <v>5</v>
      </c>
      <c r="Y66" s="36" t="s">
        <v>90</v>
      </c>
      <c r="Z66" s="36">
        <v>1</v>
      </c>
      <c r="AA66" s="36">
        <v>6530093</v>
      </c>
      <c r="AB66" s="40">
        <v>46235</v>
      </c>
      <c r="AC66" s="36" t="s">
        <v>2196</v>
      </c>
      <c r="AD66" s="36" t="str">
        <f>VLOOKUP(D66,Oficial!A:C,3,0)</f>
        <v>Arrastre</v>
      </c>
    </row>
    <row r="67" spans="1:30" x14ac:dyDescent="0.25">
      <c r="A67" s="36" t="s">
        <v>27</v>
      </c>
      <c r="B67" s="36" t="s">
        <v>82</v>
      </c>
      <c r="C67" s="36" t="s">
        <v>28</v>
      </c>
      <c r="D67" s="36" t="s">
        <v>82</v>
      </c>
      <c r="E67" s="36" t="s">
        <v>45</v>
      </c>
      <c r="F67" s="36" t="s">
        <v>31</v>
      </c>
      <c r="G67" s="37" t="s">
        <v>69</v>
      </c>
      <c r="H67" s="36" t="s">
        <v>83</v>
      </c>
      <c r="I67" s="36" t="s">
        <v>84</v>
      </c>
      <c r="J67" s="36">
        <v>1</v>
      </c>
      <c r="K67" s="36" t="s">
        <v>72</v>
      </c>
      <c r="L67" s="36">
        <v>1</v>
      </c>
      <c r="M67" s="36">
        <v>1</v>
      </c>
      <c r="N67" s="38">
        <v>156722240</v>
      </c>
      <c r="O67" s="42">
        <v>6530093</v>
      </c>
      <c r="P67" s="36">
        <v>24</v>
      </c>
      <c r="Q67" s="36" t="s">
        <v>73</v>
      </c>
      <c r="R67" s="36" t="s">
        <v>74</v>
      </c>
      <c r="S67" s="36" t="s">
        <v>85</v>
      </c>
      <c r="T67" s="36" t="s">
        <v>76</v>
      </c>
      <c r="U67" s="36" t="s">
        <v>86</v>
      </c>
      <c r="V67" s="40">
        <v>45444</v>
      </c>
      <c r="W67" s="40">
        <v>45478</v>
      </c>
      <c r="X67" s="36">
        <v>5</v>
      </c>
      <c r="Y67" s="36" t="s">
        <v>88</v>
      </c>
      <c r="Z67" s="36">
        <v>1</v>
      </c>
      <c r="AA67" s="36">
        <v>6530093</v>
      </c>
      <c r="AB67" s="40">
        <v>46143</v>
      </c>
      <c r="AC67" s="36" t="s">
        <v>2196</v>
      </c>
      <c r="AD67" s="36" t="str">
        <f>VLOOKUP(D67,Oficial!A:C,3,0)</f>
        <v>Arrastre</v>
      </c>
    </row>
    <row r="68" spans="1:30" x14ac:dyDescent="0.25">
      <c r="A68" s="36" t="s">
        <v>27</v>
      </c>
      <c r="B68" s="36" t="s">
        <v>82</v>
      </c>
      <c r="C68" s="36" t="s">
        <v>28</v>
      </c>
      <c r="D68" s="36" t="s">
        <v>82</v>
      </c>
      <c r="E68" s="36" t="s">
        <v>45</v>
      </c>
      <c r="F68" s="36" t="s">
        <v>31</v>
      </c>
      <c r="G68" s="37" t="s">
        <v>69</v>
      </c>
      <c r="H68" s="36" t="s">
        <v>83</v>
      </c>
      <c r="I68" s="36" t="s">
        <v>84</v>
      </c>
      <c r="J68" s="36">
        <v>1</v>
      </c>
      <c r="K68" s="36" t="s">
        <v>72</v>
      </c>
      <c r="L68" s="36">
        <v>1</v>
      </c>
      <c r="M68" s="36">
        <v>1</v>
      </c>
      <c r="N68" s="38">
        <v>156722240</v>
      </c>
      <c r="O68" s="42">
        <v>6530093</v>
      </c>
      <c r="P68" s="36">
        <v>24</v>
      </c>
      <c r="Q68" s="36" t="s">
        <v>73</v>
      </c>
      <c r="R68" s="36" t="s">
        <v>74</v>
      </c>
      <c r="S68" s="36" t="s">
        <v>85</v>
      </c>
      <c r="T68" s="36" t="s">
        <v>76</v>
      </c>
      <c r="U68" s="36" t="s">
        <v>86</v>
      </c>
      <c r="V68" s="40">
        <v>45444</v>
      </c>
      <c r="W68" s="40">
        <v>45478</v>
      </c>
      <c r="X68" s="36">
        <v>5</v>
      </c>
      <c r="Y68" s="36" t="s">
        <v>87</v>
      </c>
      <c r="Z68" s="36">
        <v>1</v>
      </c>
      <c r="AA68" s="36">
        <v>6530093</v>
      </c>
      <c r="AB68" s="40">
        <v>46143</v>
      </c>
      <c r="AC68" s="36" t="s">
        <v>2196</v>
      </c>
      <c r="AD68" s="36" t="str">
        <f>VLOOKUP(D68,Oficial!A:C,3,0)</f>
        <v>Arrastre</v>
      </c>
    </row>
    <row r="69" spans="1:30" x14ac:dyDescent="0.25">
      <c r="A69" s="36" t="s">
        <v>27</v>
      </c>
      <c r="B69" s="36" t="s">
        <v>82</v>
      </c>
      <c r="C69" s="36" t="s">
        <v>28</v>
      </c>
      <c r="D69" s="36" t="s">
        <v>82</v>
      </c>
      <c r="E69" s="36" t="s">
        <v>45</v>
      </c>
      <c r="F69" s="36" t="s">
        <v>31</v>
      </c>
      <c r="G69" s="37" t="s">
        <v>69</v>
      </c>
      <c r="H69" s="36" t="s">
        <v>83</v>
      </c>
      <c r="I69" s="36" t="s">
        <v>84</v>
      </c>
      <c r="J69" s="36">
        <v>1</v>
      </c>
      <c r="K69" s="36" t="s">
        <v>72</v>
      </c>
      <c r="L69" s="36">
        <v>1</v>
      </c>
      <c r="M69" s="36">
        <v>1</v>
      </c>
      <c r="N69" s="38">
        <v>156722240</v>
      </c>
      <c r="O69" s="42">
        <v>6530093</v>
      </c>
      <c r="P69" s="36">
        <v>24</v>
      </c>
      <c r="Q69" s="36" t="s">
        <v>73</v>
      </c>
      <c r="R69" s="36" t="s">
        <v>74</v>
      </c>
      <c r="S69" s="36" t="s">
        <v>85</v>
      </c>
      <c r="T69" s="36" t="s">
        <v>76</v>
      </c>
      <c r="U69" s="36" t="s">
        <v>86</v>
      </c>
      <c r="V69" s="40">
        <v>45444</v>
      </c>
      <c r="W69" s="40">
        <v>45478</v>
      </c>
      <c r="X69" s="36">
        <v>5</v>
      </c>
      <c r="Y69" s="36" t="s">
        <v>90</v>
      </c>
      <c r="Z69" s="36">
        <v>1</v>
      </c>
      <c r="AA69" s="36">
        <v>6530093</v>
      </c>
      <c r="AB69" s="40">
        <v>46023</v>
      </c>
      <c r="AC69" s="36" t="s">
        <v>2196</v>
      </c>
      <c r="AD69" s="36" t="str">
        <f>VLOOKUP(D69,Oficial!A:C,3,0)</f>
        <v>Arrastre</v>
      </c>
    </row>
    <row r="70" spans="1:30" x14ac:dyDescent="0.25">
      <c r="A70" s="36" t="s">
        <v>27</v>
      </c>
      <c r="B70" s="36" t="s">
        <v>82</v>
      </c>
      <c r="C70" s="36" t="s">
        <v>28</v>
      </c>
      <c r="D70" s="36" t="s">
        <v>82</v>
      </c>
      <c r="E70" s="36" t="s">
        <v>45</v>
      </c>
      <c r="F70" s="36" t="s">
        <v>31</v>
      </c>
      <c r="G70" s="37" t="s">
        <v>69</v>
      </c>
      <c r="H70" s="36" t="s">
        <v>83</v>
      </c>
      <c r="I70" s="36" t="s">
        <v>84</v>
      </c>
      <c r="J70" s="36">
        <v>1</v>
      </c>
      <c r="K70" s="36" t="s">
        <v>72</v>
      </c>
      <c r="L70" s="36">
        <v>1</v>
      </c>
      <c r="M70" s="36">
        <v>1</v>
      </c>
      <c r="N70" s="38">
        <v>156722240</v>
      </c>
      <c r="O70" s="42">
        <v>6530093</v>
      </c>
      <c r="P70" s="36">
        <v>24</v>
      </c>
      <c r="Q70" s="36" t="s">
        <v>73</v>
      </c>
      <c r="R70" s="36" t="s">
        <v>74</v>
      </c>
      <c r="S70" s="36" t="s">
        <v>85</v>
      </c>
      <c r="T70" s="36" t="s">
        <v>76</v>
      </c>
      <c r="U70" s="36" t="s">
        <v>86</v>
      </c>
      <c r="V70" s="40">
        <v>45444</v>
      </c>
      <c r="W70" s="40">
        <v>45478</v>
      </c>
      <c r="X70" s="36">
        <v>5</v>
      </c>
      <c r="Y70" s="36" t="s">
        <v>88</v>
      </c>
      <c r="Z70" s="36">
        <v>1</v>
      </c>
      <c r="AA70" s="36">
        <v>6530093</v>
      </c>
      <c r="AB70" s="40">
        <v>46082</v>
      </c>
      <c r="AC70" s="36" t="s">
        <v>2196</v>
      </c>
      <c r="AD70" s="36" t="str">
        <f>VLOOKUP(D70,Oficial!A:C,3,0)</f>
        <v>Arrastre</v>
      </c>
    </row>
    <row r="71" spans="1:30" x14ac:dyDescent="0.25">
      <c r="A71" s="36" t="s">
        <v>27</v>
      </c>
      <c r="B71" s="36" t="s">
        <v>82</v>
      </c>
      <c r="C71" s="36" t="s">
        <v>28</v>
      </c>
      <c r="D71" s="36" t="s">
        <v>82</v>
      </c>
      <c r="E71" s="36" t="s">
        <v>45</v>
      </c>
      <c r="F71" s="36" t="s">
        <v>31</v>
      </c>
      <c r="G71" s="37" t="s">
        <v>69</v>
      </c>
      <c r="H71" s="36" t="s">
        <v>83</v>
      </c>
      <c r="I71" s="36" t="s">
        <v>84</v>
      </c>
      <c r="J71" s="36">
        <v>1</v>
      </c>
      <c r="K71" s="36" t="s">
        <v>72</v>
      </c>
      <c r="L71" s="36">
        <v>1</v>
      </c>
      <c r="M71" s="36">
        <v>1</v>
      </c>
      <c r="N71" s="38">
        <v>156722240</v>
      </c>
      <c r="O71" s="42">
        <v>6530099</v>
      </c>
      <c r="P71" s="36">
        <v>24</v>
      </c>
      <c r="Q71" s="36" t="s">
        <v>73</v>
      </c>
      <c r="R71" s="36" t="s">
        <v>74</v>
      </c>
      <c r="S71" s="36" t="s">
        <v>85</v>
      </c>
      <c r="T71" s="36" t="s">
        <v>76</v>
      </c>
      <c r="U71" s="36" t="s">
        <v>86</v>
      </c>
      <c r="V71" s="40">
        <v>45444</v>
      </c>
      <c r="W71" s="40">
        <v>45478</v>
      </c>
      <c r="X71" s="36">
        <v>5</v>
      </c>
      <c r="Y71" s="36" t="s">
        <v>89</v>
      </c>
      <c r="Z71" s="36">
        <v>1</v>
      </c>
      <c r="AA71" s="36">
        <v>6530099</v>
      </c>
      <c r="AB71" s="40">
        <v>46357</v>
      </c>
      <c r="AC71" s="36" t="s">
        <v>2196</v>
      </c>
      <c r="AD71" s="36" t="str">
        <f>VLOOKUP(D71,Oficial!A:C,3,0)</f>
        <v>Arrastre</v>
      </c>
    </row>
    <row r="72" spans="1:30" x14ac:dyDescent="0.25">
      <c r="A72" s="36" t="s">
        <v>27</v>
      </c>
      <c r="B72" s="36" t="s">
        <v>82</v>
      </c>
      <c r="C72" s="36" t="s">
        <v>28</v>
      </c>
      <c r="D72" s="36" t="s">
        <v>82</v>
      </c>
      <c r="E72" s="36" t="s">
        <v>45</v>
      </c>
      <c r="F72" s="36" t="s">
        <v>31</v>
      </c>
      <c r="G72" s="37" t="s">
        <v>69</v>
      </c>
      <c r="H72" s="36" t="s">
        <v>83</v>
      </c>
      <c r="I72" s="36" t="s">
        <v>84</v>
      </c>
      <c r="J72" s="36">
        <v>1</v>
      </c>
      <c r="K72" s="36" t="s">
        <v>72</v>
      </c>
      <c r="L72" s="36">
        <v>1</v>
      </c>
      <c r="M72" s="36">
        <v>1</v>
      </c>
      <c r="N72" s="38">
        <v>156722240</v>
      </c>
      <c r="O72" s="42">
        <v>6530093</v>
      </c>
      <c r="P72" s="36">
        <v>24</v>
      </c>
      <c r="Q72" s="36" t="s">
        <v>73</v>
      </c>
      <c r="R72" s="36" t="s">
        <v>74</v>
      </c>
      <c r="S72" s="36" t="s">
        <v>85</v>
      </c>
      <c r="T72" s="36" t="s">
        <v>76</v>
      </c>
      <c r="U72" s="36" t="s">
        <v>86</v>
      </c>
      <c r="V72" s="40">
        <v>45444</v>
      </c>
      <c r="W72" s="40">
        <v>45478</v>
      </c>
      <c r="X72" s="36">
        <v>5</v>
      </c>
      <c r="Y72" s="36" t="s">
        <v>88</v>
      </c>
      <c r="Z72" s="36">
        <v>1</v>
      </c>
      <c r="AA72" s="36">
        <v>6530093</v>
      </c>
      <c r="AB72" s="40">
        <v>46204</v>
      </c>
      <c r="AC72" s="36" t="s">
        <v>2196</v>
      </c>
      <c r="AD72" s="36" t="str">
        <f>VLOOKUP(D72,Oficial!A:C,3,0)</f>
        <v>Arrastre</v>
      </c>
    </row>
    <row r="73" spans="1:30" x14ac:dyDescent="0.25">
      <c r="A73" s="36" t="s">
        <v>27</v>
      </c>
      <c r="B73" s="36" t="s">
        <v>82</v>
      </c>
      <c r="C73" s="36" t="s">
        <v>28</v>
      </c>
      <c r="D73" s="36" t="s">
        <v>82</v>
      </c>
      <c r="E73" s="36" t="s">
        <v>45</v>
      </c>
      <c r="F73" s="36" t="s">
        <v>31</v>
      </c>
      <c r="G73" s="37" t="s">
        <v>69</v>
      </c>
      <c r="H73" s="36" t="s">
        <v>83</v>
      </c>
      <c r="I73" s="36" t="s">
        <v>84</v>
      </c>
      <c r="J73" s="36">
        <v>1</v>
      </c>
      <c r="K73" s="36" t="s">
        <v>72</v>
      </c>
      <c r="L73" s="36">
        <v>1</v>
      </c>
      <c r="M73" s="36">
        <v>1</v>
      </c>
      <c r="N73" s="38">
        <v>156722240</v>
      </c>
      <c r="O73" s="42">
        <v>6530095</v>
      </c>
      <c r="P73" s="36">
        <v>24</v>
      </c>
      <c r="Q73" s="36" t="s">
        <v>73</v>
      </c>
      <c r="R73" s="36" t="s">
        <v>74</v>
      </c>
      <c r="S73" s="36" t="s">
        <v>85</v>
      </c>
      <c r="T73" s="36" t="s">
        <v>76</v>
      </c>
      <c r="U73" s="36" t="s">
        <v>86</v>
      </c>
      <c r="V73" s="40">
        <v>45444</v>
      </c>
      <c r="W73" s="40">
        <v>45478</v>
      </c>
      <c r="X73" s="36">
        <v>5</v>
      </c>
      <c r="Y73" s="36" t="s">
        <v>88</v>
      </c>
      <c r="Z73" s="36">
        <v>1</v>
      </c>
      <c r="AA73" s="36">
        <v>6530093</v>
      </c>
      <c r="AB73" s="40">
        <v>46235</v>
      </c>
      <c r="AC73" s="36" t="s">
        <v>2196</v>
      </c>
      <c r="AD73" s="36" t="str">
        <f>VLOOKUP(D73,Oficial!A:C,3,0)</f>
        <v>Arrastre</v>
      </c>
    </row>
    <row r="74" spans="1:30" x14ac:dyDescent="0.25">
      <c r="A74" s="36" t="s">
        <v>27</v>
      </c>
      <c r="B74" s="36" t="s">
        <v>91</v>
      </c>
      <c r="C74" s="36" t="s">
        <v>28</v>
      </c>
      <c r="D74" s="36" t="s">
        <v>91</v>
      </c>
      <c r="E74" s="36" t="s">
        <v>30</v>
      </c>
      <c r="F74" s="36" t="s">
        <v>31</v>
      </c>
      <c r="G74" s="37" t="s">
        <v>69</v>
      </c>
      <c r="H74" s="36" t="s">
        <v>92</v>
      </c>
      <c r="I74" s="36" t="s">
        <v>93</v>
      </c>
      <c r="J74" s="36">
        <v>1</v>
      </c>
      <c r="K74" s="36" t="s">
        <v>72</v>
      </c>
      <c r="L74" s="36">
        <v>1</v>
      </c>
      <c r="M74" s="36">
        <v>1</v>
      </c>
      <c r="N74" s="38">
        <v>156722240</v>
      </c>
      <c r="O74" s="41">
        <v>6530093</v>
      </c>
      <c r="P74" s="36">
        <v>24</v>
      </c>
      <c r="Q74" s="36" t="s">
        <v>73</v>
      </c>
      <c r="R74" s="36" t="s">
        <v>74</v>
      </c>
      <c r="S74" s="36" t="s">
        <v>85</v>
      </c>
      <c r="T74" s="36" t="s">
        <v>94</v>
      </c>
      <c r="U74" s="36" t="s">
        <v>77</v>
      </c>
      <c r="V74" s="40">
        <v>45444</v>
      </c>
      <c r="W74" s="40">
        <v>45478</v>
      </c>
      <c r="X74" s="36">
        <v>11</v>
      </c>
      <c r="Y74" s="36" t="s">
        <v>96</v>
      </c>
      <c r="Z74" s="36">
        <v>1</v>
      </c>
      <c r="AA74" s="36">
        <v>6530093</v>
      </c>
      <c r="AB74" s="40">
        <v>46113</v>
      </c>
      <c r="AC74" s="36" t="s">
        <v>2196</v>
      </c>
      <c r="AD74" s="36" t="str">
        <f>VLOOKUP(D74,Oficial!A:C,3,0)</f>
        <v>Arrastre</v>
      </c>
    </row>
    <row r="75" spans="1:30" x14ac:dyDescent="0.25">
      <c r="A75" s="36" t="s">
        <v>27</v>
      </c>
      <c r="B75" s="36" t="s">
        <v>91</v>
      </c>
      <c r="C75" s="36" t="s">
        <v>28</v>
      </c>
      <c r="D75" s="36" t="s">
        <v>91</v>
      </c>
      <c r="E75" s="36" t="s">
        <v>30</v>
      </c>
      <c r="F75" s="36" t="s">
        <v>31</v>
      </c>
      <c r="G75" s="37" t="s">
        <v>69</v>
      </c>
      <c r="H75" s="36" t="s">
        <v>92</v>
      </c>
      <c r="I75" s="36" t="s">
        <v>93</v>
      </c>
      <c r="J75" s="36">
        <v>1</v>
      </c>
      <c r="K75" s="36" t="s">
        <v>72</v>
      </c>
      <c r="L75" s="36">
        <v>1</v>
      </c>
      <c r="M75" s="36">
        <v>1</v>
      </c>
      <c r="N75" s="38">
        <v>156722240</v>
      </c>
      <c r="O75" s="41">
        <v>6530093</v>
      </c>
      <c r="P75" s="36">
        <v>24</v>
      </c>
      <c r="Q75" s="36" t="s">
        <v>73</v>
      </c>
      <c r="R75" s="36" t="s">
        <v>74</v>
      </c>
      <c r="S75" s="36" t="s">
        <v>85</v>
      </c>
      <c r="T75" s="36" t="s">
        <v>94</v>
      </c>
      <c r="U75" s="36" t="s">
        <v>77</v>
      </c>
      <c r="V75" s="40">
        <v>45444</v>
      </c>
      <c r="W75" s="40">
        <v>45478</v>
      </c>
      <c r="X75" s="36">
        <v>11</v>
      </c>
      <c r="Y75" s="36" t="s">
        <v>97</v>
      </c>
      <c r="Z75" s="36">
        <v>1</v>
      </c>
      <c r="AA75" s="36">
        <v>6530093</v>
      </c>
      <c r="AB75" s="40">
        <v>46174</v>
      </c>
      <c r="AC75" s="36" t="s">
        <v>2196</v>
      </c>
      <c r="AD75" s="36" t="str">
        <f>VLOOKUP(D75,Oficial!A:C,3,0)</f>
        <v>Arrastre</v>
      </c>
    </row>
    <row r="76" spans="1:30" x14ac:dyDescent="0.25">
      <c r="A76" s="36" t="s">
        <v>27</v>
      </c>
      <c r="B76" s="36" t="s">
        <v>91</v>
      </c>
      <c r="C76" s="36" t="s">
        <v>28</v>
      </c>
      <c r="D76" s="36" t="s">
        <v>91</v>
      </c>
      <c r="E76" s="36" t="s">
        <v>30</v>
      </c>
      <c r="F76" s="36" t="s">
        <v>31</v>
      </c>
      <c r="G76" s="37" t="s">
        <v>69</v>
      </c>
      <c r="H76" s="36" t="s">
        <v>92</v>
      </c>
      <c r="I76" s="36" t="s">
        <v>93</v>
      </c>
      <c r="J76" s="36">
        <v>1</v>
      </c>
      <c r="K76" s="36" t="s">
        <v>72</v>
      </c>
      <c r="L76" s="36">
        <v>1</v>
      </c>
      <c r="M76" s="36">
        <v>1</v>
      </c>
      <c r="N76" s="38">
        <v>156722240</v>
      </c>
      <c r="O76" s="41">
        <v>6530093</v>
      </c>
      <c r="P76" s="36">
        <v>24</v>
      </c>
      <c r="Q76" s="36" t="s">
        <v>73</v>
      </c>
      <c r="R76" s="36" t="s">
        <v>74</v>
      </c>
      <c r="S76" s="36" t="s">
        <v>85</v>
      </c>
      <c r="T76" s="36" t="s">
        <v>94</v>
      </c>
      <c r="U76" s="36" t="s">
        <v>77</v>
      </c>
      <c r="V76" s="40">
        <v>45444</v>
      </c>
      <c r="W76" s="40">
        <v>45478</v>
      </c>
      <c r="X76" s="36">
        <v>11</v>
      </c>
      <c r="Y76" s="36" t="s">
        <v>100</v>
      </c>
      <c r="Z76" s="36">
        <v>1</v>
      </c>
      <c r="AA76" s="36">
        <v>6530093</v>
      </c>
      <c r="AB76" s="40">
        <v>46296</v>
      </c>
      <c r="AC76" s="36" t="s">
        <v>2196</v>
      </c>
      <c r="AD76" s="36" t="str">
        <f>VLOOKUP(D76,Oficial!A:C,3,0)</f>
        <v>Arrastre</v>
      </c>
    </row>
    <row r="77" spans="1:30" x14ac:dyDescent="0.25">
      <c r="A77" s="36" t="s">
        <v>27</v>
      </c>
      <c r="B77" s="36" t="s">
        <v>91</v>
      </c>
      <c r="C77" s="36" t="s">
        <v>28</v>
      </c>
      <c r="D77" s="36" t="s">
        <v>91</v>
      </c>
      <c r="E77" s="36" t="s">
        <v>30</v>
      </c>
      <c r="F77" s="36" t="s">
        <v>31</v>
      </c>
      <c r="G77" s="37" t="s">
        <v>69</v>
      </c>
      <c r="H77" s="36" t="s">
        <v>92</v>
      </c>
      <c r="I77" s="36" t="s">
        <v>93</v>
      </c>
      <c r="J77" s="36">
        <v>1</v>
      </c>
      <c r="K77" s="36" t="s">
        <v>72</v>
      </c>
      <c r="L77" s="36">
        <v>1</v>
      </c>
      <c r="M77" s="36">
        <v>1</v>
      </c>
      <c r="N77" s="38">
        <v>156722240</v>
      </c>
      <c r="O77" s="41">
        <v>6530093</v>
      </c>
      <c r="P77" s="36">
        <v>24</v>
      </c>
      <c r="Q77" s="36" t="s">
        <v>73</v>
      </c>
      <c r="R77" s="36" t="s">
        <v>74</v>
      </c>
      <c r="S77" s="36" t="s">
        <v>85</v>
      </c>
      <c r="T77" s="36" t="s">
        <v>94</v>
      </c>
      <c r="U77" s="36" t="s">
        <v>77</v>
      </c>
      <c r="V77" s="40">
        <v>45444</v>
      </c>
      <c r="W77" s="40">
        <v>45478</v>
      </c>
      <c r="X77" s="36">
        <v>11</v>
      </c>
      <c r="Y77" s="36" t="s">
        <v>98</v>
      </c>
      <c r="Z77" s="36">
        <v>1</v>
      </c>
      <c r="AA77" s="36">
        <v>6530093</v>
      </c>
      <c r="AB77" s="40">
        <v>46023</v>
      </c>
      <c r="AC77" s="36" t="s">
        <v>2196</v>
      </c>
      <c r="AD77" s="36" t="str">
        <f>VLOOKUP(D77,Oficial!A:C,3,0)</f>
        <v>Arrastre</v>
      </c>
    </row>
    <row r="78" spans="1:30" x14ac:dyDescent="0.25">
      <c r="A78" s="36" t="s">
        <v>27</v>
      </c>
      <c r="B78" s="36" t="s">
        <v>91</v>
      </c>
      <c r="C78" s="36" t="s">
        <v>28</v>
      </c>
      <c r="D78" s="36" t="s">
        <v>91</v>
      </c>
      <c r="E78" s="36" t="s">
        <v>30</v>
      </c>
      <c r="F78" s="36" t="s">
        <v>31</v>
      </c>
      <c r="G78" s="37" t="s">
        <v>69</v>
      </c>
      <c r="H78" s="36" t="s">
        <v>92</v>
      </c>
      <c r="I78" s="36" t="s">
        <v>93</v>
      </c>
      <c r="J78" s="36">
        <v>1</v>
      </c>
      <c r="K78" s="36" t="s">
        <v>72</v>
      </c>
      <c r="L78" s="36">
        <v>1</v>
      </c>
      <c r="M78" s="36">
        <v>1</v>
      </c>
      <c r="N78" s="38">
        <v>156722240</v>
      </c>
      <c r="O78" s="41">
        <v>6530093</v>
      </c>
      <c r="P78" s="36">
        <v>24</v>
      </c>
      <c r="Q78" s="36" t="s">
        <v>73</v>
      </c>
      <c r="R78" s="36" t="s">
        <v>74</v>
      </c>
      <c r="S78" s="36" t="s">
        <v>85</v>
      </c>
      <c r="T78" s="36" t="s">
        <v>94</v>
      </c>
      <c r="U78" s="36" t="s">
        <v>77</v>
      </c>
      <c r="V78" s="40">
        <v>45444</v>
      </c>
      <c r="W78" s="40">
        <v>45478</v>
      </c>
      <c r="X78" s="36">
        <v>11</v>
      </c>
      <c r="Y78" s="36" t="s">
        <v>98</v>
      </c>
      <c r="Z78" s="36">
        <v>1</v>
      </c>
      <c r="AA78" s="36">
        <v>6530093</v>
      </c>
      <c r="AB78" s="40">
        <v>46204</v>
      </c>
      <c r="AC78" s="36" t="s">
        <v>2196</v>
      </c>
      <c r="AD78" s="36" t="str">
        <f>VLOOKUP(D78,Oficial!A:C,3,0)</f>
        <v>Arrastre</v>
      </c>
    </row>
    <row r="79" spans="1:30" x14ac:dyDescent="0.25">
      <c r="A79" s="36" t="s">
        <v>27</v>
      </c>
      <c r="B79" s="36" t="s">
        <v>91</v>
      </c>
      <c r="C79" s="36" t="s">
        <v>28</v>
      </c>
      <c r="D79" s="36" t="s">
        <v>91</v>
      </c>
      <c r="E79" s="36" t="s">
        <v>30</v>
      </c>
      <c r="F79" s="36" t="s">
        <v>31</v>
      </c>
      <c r="G79" s="37" t="s">
        <v>69</v>
      </c>
      <c r="H79" s="36" t="s">
        <v>92</v>
      </c>
      <c r="I79" s="36" t="s">
        <v>93</v>
      </c>
      <c r="J79" s="36">
        <v>1</v>
      </c>
      <c r="K79" s="36" t="s">
        <v>72</v>
      </c>
      <c r="L79" s="36">
        <v>1</v>
      </c>
      <c r="M79" s="36">
        <v>1</v>
      </c>
      <c r="N79" s="38">
        <v>156722240</v>
      </c>
      <c r="O79" s="41">
        <v>6530095</v>
      </c>
      <c r="P79" s="36">
        <v>24</v>
      </c>
      <c r="Q79" s="36" t="s">
        <v>73</v>
      </c>
      <c r="R79" s="36" t="s">
        <v>74</v>
      </c>
      <c r="S79" s="36" t="s">
        <v>85</v>
      </c>
      <c r="T79" s="36" t="s">
        <v>94</v>
      </c>
      <c r="U79" s="36" t="s">
        <v>77</v>
      </c>
      <c r="V79" s="40">
        <v>45444</v>
      </c>
      <c r="W79" s="40">
        <v>45478</v>
      </c>
      <c r="X79" s="36">
        <v>11</v>
      </c>
      <c r="Y79" s="36" t="s">
        <v>99</v>
      </c>
      <c r="Z79" s="36">
        <v>1</v>
      </c>
      <c r="AA79" s="36">
        <v>6530095</v>
      </c>
      <c r="AB79" s="40">
        <v>46327</v>
      </c>
      <c r="AC79" s="36" t="s">
        <v>2196</v>
      </c>
      <c r="AD79" s="36" t="str">
        <f>VLOOKUP(D79,Oficial!A:C,3,0)</f>
        <v>Arrastre</v>
      </c>
    </row>
    <row r="80" spans="1:30" x14ac:dyDescent="0.25">
      <c r="A80" s="36" t="s">
        <v>27</v>
      </c>
      <c r="B80" s="36" t="s">
        <v>91</v>
      </c>
      <c r="C80" s="36" t="s">
        <v>28</v>
      </c>
      <c r="D80" s="36" t="s">
        <v>91</v>
      </c>
      <c r="E80" s="36" t="s">
        <v>30</v>
      </c>
      <c r="F80" s="36" t="s">
        <v>31</v>
      </c>
      <c r="G80" s="37" t="s">
        <v>69</v>
      </c>
      <c r="H80" s="36" t="s">
        <v>92</v>
      </c>
      <c r="I80" s="36" t="s">
        <v>93</v>
      </c>
      <c r="J80" s="36">
        <v>1</v>
      </c>
      <c r="K80" s="36" t="s">
        <v>72</v>
      </c>
      <c r="L80" s="36">
        <v>1</v>
      </c>
      <c r="M80" s="36">
        <v>1</v>
      </c>
      <c r="N80" s="38">
        <v>156722240</v>
      </c>
      <c r="O80" s="41">
        <v>6530093</v>
      </c>
      <c r="P80" s="36">
        <v>24</v>
      </c>
      <c r="Q80" s="36" t="s">
        <v>73</v>
      </c>
      <c r="R80" s="36" t="s">
        <v>74</v>
      </c>
      <c r="S80" s="36" t="s">
        <v>85</v>
      </c>
      <c r="T80" s="36" t="s">
        <v>94</v>
      </c>
      <c r="U80" s="36" t="s">
        <v>77</v>
      </c>
      <c r="V80" s="40">
        <v>45444</v>
      </c>
      <c r="W80" s="40">
        <v>45478</v>
      </c>
      <c r="X80" s="36">
        <v>11</v>
      </c>
      <c r="Y80" s="36" t="s">
        <v>101</v>
      </c>
      <c r="Z80" s="36">
        <v>1</v>
      </c>
      <c r="AA80" s="36">
        <v>6530093</v>
      </c>
      <c r="AB80" s="40">
        <v>46235</v>
      </c>
      <c r="AC80" s="36" t="s">
        <v>2196</v>
      </c>
      <c r="AD80" s="36" t="str">
        <f>VLOOKUP(D80,Oficial!A:C,3,0)</f>
        <v>Arrastre</v>
      </c>
    </row>
    <row r="81" spans="1:30" x14ac:dyDescent="0.25">
      <c r="A81" s="36" t="s">
        <v>27</v>
      </c>
      <c r="B81" s="36" t="s">
        <v>91</v>
      </c>
      <c r="C81" s="36" t="s">
        <v>28</v>
      </c>
      <c r="D81" s="36" t="s">
        <v>91</v>
      </c>
      <c r="E81" s="36" t="s">
        <v>30</v>
      </c>
      <c r="F81" s="36" t="s">
        <v>31</v>
      </c>
      <c r="G81" s="37" t="s">
        <v>69</v>
      </c>
      <c r="H81" s="36" t="s">
        <v>92</v>
      </c>
      <c r="I81" s="36" t="s">
        <v>93</v>
      </c>
      <c r="J81" s="36">
        <v>1</v>
      </c>
      <c r="K81" s="36" t="s">
        <v>72</v>
      </c>
      <c r="L81" s="36">
        <v>1</v>
      </c>
      <c r="M81" s="36">
        <v>1</v>
      </c>
      <c r="N81" s="38">
        <v>156722240</v>
      </c>
      <c r="O81" s="41">
        <v>6530093</v>
      </c>
      <c r="P81" s="36">
        <v>24</v>
      </c>
      <c r="Q81" s="36" t="s">
        <v>73</v>
      </c>
      <c r="R81" s="36" t="s">
        <v>74</v>
      </c>
      <c r="S81" s="36" t="s">
        <v>85</v>
      </c>
      <c r="T81" s="36" t="s">
        <v>94</v>
      </c>
      <c r="U81" s="36" t="s">
        <v>77</v>
      </c>
      <c r="V81" s="40">
        <v>45444</v>
      </c>
      <c r="W81" s="40">
        <v>45478</v>
      </c>
      <c r="X81" s="36">
        <v>11</v>
      </c>
      <c r="Y81" s="36" t="s">
        <v>101</v>
      </c>
      <c r="Z81" s="36">
        <v>1</v>
      </c>
      <c r="AA81" s="36">
        <v>6530093</v>
      </c>
      <c r="AB81" s="40">
        <v>46113</v>
      </c>
      <c r="AC81" s="36" t="s">
        <v>2196</v>
      </c>
      <c r="AD81" s="36" t="str">
        <f>VLOOKUP(D81,Oficial!A:C,3,0)</f>
        <v>Arrastre</v>
      </c>
    </row>
    <row r="82" spans="1:30" x14ac:dyDescent="0.25">
      <c r="A82" s="36" t="s">
        <v>27</v>
      </c>
      <c r="B82" s="36" t="s">
        <v>91</v>
      </c>
      <c r="C82" s="36" t="s">
        <v>28</v>
      </c>
      <c r="D82" s="36" t="s">
        <v>91</v>
      </c>
      <c r="E82" s="36" t="s">
        <v>30</v>
      </c>
      <c r="F82" s="36" t="s">
        <v>31</v>
      </c>
      <c r="G82" s="37" t="s">
        <v>69</v>
      </c>
      <c r="H82" s="36" t="s">
        <v>92</v>
      </c>
      <c r="I82" s="36" t="s">
        <v>93</v>
      </c>
      <c r="J82" s="36">
        <v>1</v>
      </c>
      <c r="K82" s="36" t="s">
        <v>72</v>
      </c>
      <c r="L82" s="36">
        <v>1</v>
      </c>
      <c r="M82" s="36">
        <v>1</v>
      </c>
      <c r="N82" s="38">
        <v>156722240</v>
      </c>
      <c r="O82" s="41">
        <v>6530095</v>
      </c>
      <c r="P82" s="36">
        <v>24</v>
      </c>
      <c r="Q82" s="36" t="s">
        <v>73</v>
      </c>
      <c r="R82" s="36" t="s">
        <v>74</v>
      </c>
      <c r="S82" s="36" t="s">
        <v>85</v>
      </c>
      <c r="T82" s="36" t="s">
        <v>94</v>
      </c>
      <c r="U82" s="36" t="s">
        <v>77</v>
      </c>
      <c r="V82" s="40">
        <v>45444</v>
      </c>
      <c r="W82" s="40">
        <v>45478</v>
      </c>
      <c r="X82" s="36">
        <v>11</v>
      </c>
      <c r="Y82" s="36" t="s">
        <v>95</v>
      </c>
      <c r="Z82" s="36">
        <v>1</v>
      </c>
      <c r="AA82" s="36">
        <v>6530095</v>
      </c>
      <c r="AB82" s="40">
        <v>46327</v>
      </c>
      <c r="AC82" s="36" t="s">
        <v>2196</v>
      </c>
      <c r="AD82" s="36" t="str">
        <f>VLOOKUP(D82,Oficial!A:C,3,0)</f>
        <v>Arrastre</v>
      </c>
    </row>
    <row r="83" spans="1:30" x14ac:dyDescent="0.25">
      <c r="A83" s="36" t="s">
        <v>27</v>
      </c>
      <c r="B83" s="36" t="s">
        <v>91</v>
      </c>
      <c r="C83" s="36" t="s">
        <v>28</v>
      </c>
      <c r="D83" s="36" t="s">
        <v>91</v>
      </c>
      <c r="E83" s="36" t="s">
        <v>30</v>
      </c>
      <c r="F83" s="36" t="s">
        <v>31</v>
      </c>
      <c r="G83" s="37" t="s">
        <v>69</v>
      </c>
      <c r="H83" s="36" t="s">
        <v>92</v>
      </c>
      <c r="I83" s="36" t="s">
        <v>93</v>
      </c>
      <c r="J83" s="36">
        <v>1</v>
      </c>
      <c r="K83" s="36" t="s">
        <v>72</v>
      </c>
      <c r="L83" s="36">
        <v>1</v>
      </c>
      <c r="M83" s="36">
        <v>1</v>
      </c>
      <c r="N83" s="38">
        <v>156722240</v>
      </c>
      <c r="O83" s="41">
        <v>6530093</v>
      </c>
      <c r="P83" s="36">
        <v>24</v>
      </c>
      <c r="Q83" s="36" t="s">
        <v>73</v>
      </c>
      <c r="R83" s="36" t="s">
        <v>74</v>
      </c>
      <c r="S83" s="36" t="s">
        <v>85</v>
      </c>
      <c r="T83" s="36" t="s">
        <v>94</v>
      </c>
      <c r="U83" s="36" t="s">
        <v>77</v>
      </c>
      <c r="V83" s="40">
        <v>45444</v>
      </c>
      <c r="W83" s="40">
        <v>45478</v>
      </c>
      <c r="X83" s="36">
        <v>11</v>
      </c>
      <c r="Y83" s="36" t="s">
        <v>102</v>
      </c>
      <c r="Z83" s="36">
        <v>1</v>
      </c>
      <c r="AA83" s="36">
        <v>6530093</v>
      </c>
      <c r="AB83" s="40">
        <v>46266</v>
      </c>
      <c r="AC83" s="36" t="s">
        <v>2196</v>
      </c>
      <c r="AD83" s="36" t="str">
        <f>VLOOKUP(D83,Oficial!A:C,3,0)</f>
        <v>Arrastre</v>
      </c>
    </row>
    <row r="84" spans="1:30" x14ac:dyDescent="0.25">
      <c r="A84" s="36" t="s">
        <v>27</v>
      </c>
      <c r="B84" s="36" t="s">
        <v>91</v>
      </c>
      <c r="C84" s="36" t="s">
        <v>28</v>
      </c>
      <c r="D84" s="36" t="s">
        <v>91</v>
      </c>
      <c r="E84" s="36" t="s">
        <v>30</v>
      </c>
      <c r="F84" s="36" t="s">
        <v>31</v>
      </c>
      <c r="G84" s="37" t="s">
        <v>69</v>
      </c>
      <c r="H84" s="36" t="s">
        <v>92</v>
      </c>
      <c r="I84" s="36" t="s">
        <v>93</v>
      </c>
      <c r="J84" s="36">
        <v>1</v>
      </c>
      <c r="K84" s="36" t="s">
        <v>72</v>
      </c>
      <c r="L84" s="36">
        <v>1</v>
      </c>
      <c r="M84" s="36">
        <v>1</v>
      </c>
      <c r="N84" s="38">
        <v>156722240</v>
      </c>
      <c r="O84" s="41">
        <v>6530093</v>
      </c>
      <c r="P84" s="36">
        <v>24</v>
      </c>
      <c r="Q84" s="36" t="s">
        <v>73</v>
      </c>
      <c r="R84" s="36" t="s">
        <v>74</v>
      </c>
      <c r="S84" s="36" t="s">
        <v>85</v>
      </c>
      <c r="T84" s="36" t="s">
        <v>94</v>
      </c>
      <c r="U84" s="36" t="s">
        <v>77</v>
      </c>
      <c r="V84" s="40">
        <v>45444</v>
      </c>
      <c r="W84" s="40">
        <v>45478</v>
      </c>
      <c r="X84" s="36">
        <v>11</v>
      </c>
      <c r="Y84" s="36" t="s">
        <v>100</v>
      </c>
      <c r="Z84" s="36">
        <v>1</v>
      </c>
      <c r="AA84" s="36">
        <v>6530093</v>
      </c>
      <c r="AB84" s="40">
        <v>46113</v>
      </c>
      <c r="AC84" s="36" t="s">
        <v>2196</v>
      </c>
      <c r="AD84" s="36" t="str">
        <f>VLOOKUP(D84,Oficial!A:C,3,0)</f>
        <v>Arrastre</v>
      </c>
    </row>
    <row r="85" spans="1:30" x14ac:dyDescent="0.25">
      <c r="A85" s="36" t="s">
        <v>27</v>
      </c>
      <c r="B85" s="36" t="s">
        <v>91</v>
      </c>
      <c r="C85" s="36" t="s">
        <v>28</v>
      </c>
      <c r="D85" s="36" t="s">
        <v>91</v>
      </c>
      <c r="E85" s="36" t="s">
        <v>30</v>
      </c>
      <c r="F85" s="36" t="s">
        <v>31</v>
      </c>
      <c r="G85" s="37" t="s">
        <v>69</v>
      </c>
      <c r="H85" s="36" t="s">
        <v>92</v>
      </c>
      <c r="I85" s="36" t="s">
        <v>93</v>
      </c>
      <c r="J85" s="36">
        <v>1</v>
      </c>
      <c r="K85" s="36" t="s">
        <v>72</v>
      </c>
      <c r="L85" s="36">
        <v>1</v>
      </c>
      <c r="M85" s="36">
        <v>1</v>
      </c>
      <c r="N85" s="38">
        <v>156722240</v>
      </c>
      <c r="O85" s="41">
        <v>6530097</v>
      </c>
      <c r="P85" s="36">
        <v>24</v>
      </c>
      <c r="Q85" s="36" t="s">
        <v>73</v>
      </c>
      <c r="R85" s="36" t="s">
        <v>74</v>
      </c>
      <c r="S85" s="36" t="s">
        <v>85</v>
      </c>
      <c r="T85" s="36" t="s">
        <v>94</v>
      </c>
      <c r="U85" s="36" t="s">
        <v>77</v>
      </c>
      <c r="V85" s="40">
        <v>45444</v>
      </c>
      <c r="W85" s="40">
        <v>45478</v>
      </c>
      <c r="X85" s="36">
        <v>11</v>
      </c>
      <c r="Y85" s="36" t="s">
        <v>99</v>
      </c>
      <c r="Z85" s="36">
        <v>1</v>
      </c>
      <c r="AA85" s="36">
        <v>6530093</v>
      </c>
      <c r="AB85" s="40">
        <v>46082</v>
      </c>
      <c r="AC85" s="36" t="s">
        <v>2196</v>
      </c>
      <c r="AD85" s="36" t="str">
        <f>VLOOKUP(D85,Oficial!A:C,3,0)</f>
        <v>Arrastre</v>
      </c>
    </row>
    <row r="86" spans="1:30" x14ac:dyDescent="0.25">
      <c r="A86" s="36" t="s">
        <v>27</v>
      </c>
      <c r="B86" s="36" t="s">
        <v>103</v>
      </c>
      <c r="C86" s="36" t="s">
        <v>28</v>
      </c>
      <c r="D86" s="36" t="s">
        <v>103</v>
      </c>
      <c r="E86" s="36" t="s">
        <v>30</v>
      </c>
      <c r="F86" s="36" t="s">
        <v>31</v>
      </c>
      <c r="G86" s="37" t="s">
        <v>104</v>
      </c>
      <c r="H86" s="36" t="s">
        <v>105</v>
      </c>
      <c r="I86" s="36" t="s">
        <v>106</v>
      </c>
      <c r="J86" s="36">
        <v>1</v>
      </c>
      <c r="K86" s="36" t="s">
        <v>107</v>
      </c>
      <c r="L86" s="36">
        <v>1</v>
      </c>
      <c r="M86" s="36">
        <v>1</v>
      </c>
      <c r="N86" s="38">
        <v>45150000</v>
      </c>
      <c r="O86" s="42">
        <v>1505000</v>
      </c>
      <c r="P86" s="36">
        <v>30</v>
      </c>
      <c r="Q86" s="36" t="s">
        <v>108</v>
      </c>
      <c r="R86" s="36" t="s">
        <v>109</v>
      </c>
      <c r="S86" s="36" t="s">
        <v>110</v>
      </c>
      <c r="T86" s="36" t="s">
        <v>111</v>
      </c>
      <c r="U86" s="36" t="s">
        <v>112</v>
      </c>
      <c r="V86" s="40">
        <v>45444</v>
      </c>
      <c r="W86" s="40">
        <v>45478</v>
      </c>
      <c r="X86" s="36">
        <v>35</v>
      </c>
      <c r="Y86" s="36" t="s">
        <v>113</v>
      </c>
      <c r="Z86" s="36">
        <v>1</v>
      </c>
      <c r="AA86" s="36">
        <v>1505000</v>
      </c>
      <c r="AB86" s="40">
        <v>46174</v>
      </c>
      <c r="AC86" s="36" t="s">
        <v>2196</v>
      </c>
      <c r="AD86" s="36" t="str">
        <f>VLOOKUP(D86,Oficial!A:C,3,0)</f>
        <v>Arrastre</v>
      </c>
    </row>
    <row r="87" spans="1:30" x14ac:dyDescent="0.25">
      <c r="A87" s="36" t="s">
        <v>27</v>
      </c>
      <c r="B87" s="36" t="s">
        <v>103</v>
      </c>
      <c r="C87" s="36" t="s">
        <v>28</v>
      </c>
      <c r="D87" s="36" t="s">
        <v>103</v>
      </c>
      <c r="E87" s="36" t="s">
        <v>30</v>
      </c>
      <c r="F87" s="36" t="s">
        <v>31</v>
      </c>
      <c r="G87" s="37" t="s">
        <v>104</v>
      </c>
      <c r="H87" s="36" t="s">
        <v>105</v>
      </c>
      <c r="I87" s="36" t="s">
        <v>106</v>
      </c>
      <c r="J87" s="36">
        <v>1</v>
      </c>
      <c r="K87" s="36" t="s">
        <v>107</v>
      </c>
      <c r="L87" s="36">
        <v>1</v>
      </c>
      <c r="M87" s="36">
        <v>1</v>
      </c>
      <c r="N87" s="38">
        <v>45150000</v>
      </c>
      <c r="O87" s="42">
        <v>1505000</v>
      </c>
      <c r="P87" s="36">
        <v>30</v>
      </c>
      <c r="Q87" s="36" t="s">
        <v>108</v>
      </c>
      <c r="R87" s="36" t="s">
        <v>109</v>
      </c>
      <c r="S87" s="36" t="s">
        <v>110</v>
      </c>
      <c r="T87" s="36" t="s">
        <v>111</v>
      </c>
      <c r="U87" s="36" t="s">
        <v>112</v>
      </c>
      <c r="V87" s="40">
        <v>45444</v>
      </c>
      <c r="W87" s="40">
        <v>45478</v>
      </c>
      <c r="X87" s="36">
        <v>35</v>
      </c>
      <c r="Y87" s="36" t="s">
        <v>113</v>
      </c>
      <c r="Z87" s="36">
        <v>1</v>
      </c>
      <c r="AA87" s="36">
        <v>1505000</v>
      </c>
      <c r="AB87" s="40">
        <v>46357</v>
      </c>
      <c r="AC87" s="36" t="s">
        <v>2196</v>
      </c>
      <c r="AD87" s="36" t="str">
        <f>VLOOKUP(D87,Oficial!A:C,3,0)</f>
        <v>Arrastre</v>
      </c>
    </row>
    <row r="88" spans="1:30" x14ac:dyDescent="0.25">
      <c r="A88" s="36" t="s">
        <v>27</v>
      </c>
      <c r="B88" s="36" t="s">
        <v>103</v>
      </c>
      <c r="C88" s="36" t="s">
        <v>28</v>
      </c>
      <c r="D88" s="36" t="s">
        <v>103</v>
      </c>
      <c r="E88" s="36" t="s">
        <v>30</v>
      </c>
      <c r="F88" s="36" t="s">
        <v>31</v>
      </c>
      <c r="G88" s="37" t="s">
        <v>104</v>
      </c>
      <c r="H88" s="36" t="s">
        <v>105</v>
      </c>
      <c r="I88" s="36" t="s">
        <v>106</v>
      </c>
      <c r="J88" s="36">
        <v>1</v>
      </c>
      <c r="K88" s="36" t="s">
        <v>107</v>
      </c>
      <c r="L88" s="36">
        <v>1</v>
      </c>
      <c r="M88" s="36">
        <v>1</v>
      </c>
      <c r="N88" s="38">
        <v>45150000</v>
      </c>
      <c r="O88" s="42">
        <v>1505000</v>
      </c>
      <c r="P88" s="36">
        <v>30</v>
      </c>
      <c r="Q88" s="36" t="s">
        <v>108</v>
      </c>
      <c r="R88" s="36" t="s">
        <v>109</v>
      </c>
      <c r="S88" s="36" t="s">
        <v>110</v>
      </c>
      <c r="T88" s="36" t="s">
        <v>111</v>
      </c>
      <c r="U88" s="36" t="s">
        <v>112</v>
      </c>
      <c r="V88" s="40">
        <v>45444</v>
      </c>
      <c r="W88" s="40">
        <v>45478</v>
      </c>
      <c r="X88" s="36">
        <v>35</v>
      </c>
      <c r="Y88" s="36" t="s">
        <v>113</v>
      </c>
      <c r="Z88" s="36">
        <v>1</v>
      </c>
      <c r="AA88" s="36">
        <v>1505000</v>
      </c>
      <c r="AB88" s="40">
        <v>46204</v>
      </c>
      <c r="AC88" s="36" t="s">
        <v>2196</v>
      </c>
      <c r="AD88" s="36" t="str">
        <f>VLOOKUP(D88,Oficial!A:C,3,0)</f>
        <v>Arrastre</v>
      </c>
    </row>
    <row r="89" spans="1:30" x14ac:dyDescent="0.25">
      <c r="A89" s="36" t="s">
        <v>27</v>
      </c>
      <c r="B89" s="36" t="s">
        <v>103</v>
      </c>
      <c r="C89" s="36" t="s">
        <v>28</v>
      </c>
      <c r="D89" s="36" t="s">
        <v>103</v>
      </c>
      <c r="E89" s="36" t="s">
        <v>30</v>
      </c>
      <c r="F89" s="36" t="s">
        <v>31</v>
      </c>
      <c r="G89" s="37" t="s">
        <v>104</v>
      </c>
      <c r="H89" s="36" t="s">
        <v>105</v>
      </c>
      <c r="I89" s="36" t="s">
        <v>106</v>
      </c>
      <c r="J89" s="36">
        <v>1</v>
      </c>
      <c r="K89" s="36" t="s">
        <v>107</v>
      </c>
      <c r="L89" s="36">
        <v>1</v>
      </c>
      <c r="M89" s="36">
        <v>1</v>
      </c>
      <c r="N89" s="38">
        <v>45150000</v>
      </c>
      <c r="O89" s="42">
        <v>1505000</v>
      </c>
      <c r="P89" s="36">
        <v>30</v>
      </c>
      <c r="Q89" s="36" t="s">
        <v>108</v>
      </c>
      <c r="R89" s="36" t="s">
        <v>109</v>
      </c>
      <c r="S89" s="36" t="s">
        <v>110</v>
      </c>
      <c r="T89" s="36" t="s">
        <v>111</v>
      </c>
      <c r="U89" s="36" t="s">
        <v>112</v>
      </c>
      <c r="V89" s="40">
        <v>45444</v>
      </c>
      <c r="W89" s="40">
        <v>45478</v>
      </c>
      <c r="X89" s="36">
        <v>35</v>
      </c>
      <c r="Y89" s="36" t="s">
        <v>113</v>
      </c>
      <c r="Z89" s="36">
        <v>1</v>
      </c>
      <c r="AA89" s="36">
        <v>1505000</v>
      </c>
      <c r="AB89" s="40">
        <v>46054</v>
      </c>
      <c r="AC89" s="36" t="s">
        <v>2196</v>
      </c>
      <c r="AD89" s="36" t="str">
        <f>VLOOKUP(D89,Oficial!A:C,3,0)</f>
        <v>Arrastre</v>
      </c>
    </row>
    <row r="90" spans="1:30" x14ac:dyDescent="0.25">
      <c r="A90" s="36" t="s">
        <v>27</v>
      </c>
      <c r="B90" s="36" t="s">
        <v>103</v>
      </c>
      <c r="C90" s="36" t="s">
        <v>28</v>
      </c>
      <c r="D90" s="36" t="s">
        <v>103</v>
      </c>
      <c r="E90" s="36" t="s">
        <v>30</v>
      </c>
      <c r="F90" s="36" t="s">
        <v>31</v>
      </c>
      <c r="G90" s="37" t="s">
        <v>104</v>
      </c>
      <c r="H90" s="36" t="s">
        <v>105</v>
      </c>
      <c r="I90" s="36" t="s">
        <v>106</v>
      </c>
      <c r="J90" s="36">
        <v>1</v>
      </c>
      <c r="K90" s="36" t="s">
        <v>107</v>
      </c>
      <c r="L90" s="36">
        <v>1</v>
      </c>
      <c r="M90" s="36">
        <v>1</v>
      </c>
      <c r="N90" s="38">
        <v>45150000</v>
      </c>
      <c r="O90" s="42">
        <v>1505000</v>
      </c>
      <c r="P90" s="36">
        <v>30</v>
      </c>
      <c r="Q90" s="36" t="s">
        <v>108</v>
      </c>
      <c r="R90" s="36" t="s">
        <v>109</v>
      </c>
      <c r="S90" s="36" t="s">
        <v>110</v>
      </c>
      <c r="T90" s="36" t="s">
        <v>111</v>
      </c>
      <c r="U90" s="36" t="s">
        <v>112</v>
      </c>
      <c r="V90" s="40">
        <v>45444</v>
      </c>
      <c r="W90" s="40">
        <v>45478</v>
      </c>
      <c r="X90" s="36">
        <v>35</v>
      </c>
      <c r="Y90" s="36" t="s">
        <v>113</v>
      </c>
      <c r="Z90" s="36">
        <v>1</v>
      </c>
      <c r="AA90" s="36">
        <v>1505000</v>
      </c>
      <c r="AB90" s="40">
        <v>46082</v>
      </c>
      <c r="AC90" s="36" t="s">
        <v>2196</v>
      </c>
      <c r="AD90" s="36" t="str">
        <f>VLOOKUP(D90,Oficial!A:C,3,0)</f>
        <v>Arrastre</v>
      </c>
    </row>
    <row r="91" spans="1:30" x14ac:dyDescent="0.25">
      <c r="A91" s="36" t="s">
        <v>27</v>
      </c>
      <c r="B91" s="36" t="s">
        <v>103</v>
      </c>
      <c r="C91" s="36" t="s">
        <v>28</v>
      </c>
      <c r="D91" s="36" t="s">
        <v>103</v>
      </c>
      <c r="E91" s="36" t="s">
        <v>30</v>
      </c>
      <c r="F91" s="36" t="s">
        <v>31</v>
      </c>
      <c r="G91" s="37" t="s">
        <v>104</v>
      </c>
      <c r="H91" s="36" t="s">
        <v>105</v>
      </c>
      <c r="I91" s="36" t="s">
        <v>106</v>
      </c>
      <c r="J91" s="36">
        <v>1</v>
      </c>
      <c r="K91" s="36" t="s">
        <v>107</v>
      </c>
      <c r="L91" s="36">
        <v>1</v>
      </c>
      <c r="M91" s="36">
        <v>1</v>
      </c>
      <c r="N91" s="38">
        <v>45150000</v>
      </c>
      <c r="O91" s="42">
        <v>1505000</v>
      </c>
      <c r="P91" s="36">
        <v>30</v>
      </c>
      <c r="Q91" s="36" t="s">
        <v>108</v>
      </c>
      <c r="R91" s="36" t="s">
        <v>109</v>
      </c>
      <c r="S91" s="36" t="s">
        <v>110</v>
      </c>
      <c r="T91" s="36" t="s">
        <v>111</v>
      </c>
      <c r="U91" s="36" t="s">
        <v>112</v>
      </c>
      <c r="V91" s="40">
        <v>45444</v>
      </c>
      <c r="W91" s="40">
        <v>45478</v>
      </c>
      <c r="X91" s="36">
        <v>35</v>
      </c>
      <c r="Y91" s="36" t="s">
        <v>113</v>
      </c>
      <c r="Z91" s="36">
        <v>1</v>
      </c>
      <c r="AA91" s="36">
        <v>1505000</v>
      </c>
      <c r="AB91" s="40">
        <v>46143</v>
      </c>
      <c r="AC91" s="36" t="s">
        <v>2196</v>
      </c>
      <c r="AD91" s="36" t="str">
        <f>VLOOKUP(D91,Oficial!A:C,3,0)</f>
        <v>Arrastre</v>
      </c>
    </row>
    <row r="92" spans="1:30" x14ac:dyDescent="0.25">
      <c r="A92" s="36" t="s">
        <v>27</v>
      </c>
      <c r="B92" s="36" t="s">
        <v>103</v>
      </c>
      <c r="C92" s="36" t="s">
        <v>28</v>
      </c>
      <c r="D92" s="36" t="s">
        <v>103</v>
      </c>
      <c r="E92" s="36" t="s">
        <v>30</v>
      </c>
      <c r="F92" s="36" t="s">
        <v>31</v>
      </c>
      <c r="G92" s="37" t="s">
        <v>104</v>
      </c>
      <c r="H92" s="36" t="s">
        <v>105</v>
      </c>
      <c r="I92" s="36" t="s">
        <v>106</v>
      </c>
      <c r="J92" s="36">
        <v>1</v>
      </c>
      <c r="K92" s="36" t="s">
        <v>107</v>
      </c>
      <c r="L92" s="36">
        <v>1</v>
      </c>
      <c r="M92" s="36">
        <v>1</v>
      </c>
      <c r="N92" s="38">
        <v>45150000</v>
      </c>
      <c r="O92" s="42">
        <v>1505000</v>
      </c>
      <c r="P92" s="36">
        <v>30</v>
      </c>
      <c r="Q92" s="36" t="s">
        <v>108</v>
      </c>
      <c r="R92" s="36" t="s">
        <v>109</v>
      </c>
      <c r="S92" s="36" t="s">
        <v>110</v>
      </c>
      <c r="T92" s="36" t="s">
        <v>111</v>
      </c>
      <c r="U92" s="36" t="s">
        <v>112</v>
      </c>
      <c r="V92" s="40">
        <v>45444</v>
      </c>
      <c r="W92" s="40">
        <v>45478</v>
      </c>
      <c r="X92" s="36">
        <v>35</v>
      </c>
      <c r="Y92" s="36" t="s">
        <v>114</v>
      </c>
      <c r="Z92" s="36">
        <v>1</v>
      </c>
      <c r="AA92" s="36">
        <v>1505000</v>
      </c>
      <c r="AB92" s="40">
        <v>46054</v>
      </c>
      <c r="AC92" s="36" t="s">
        <v>2196</v>
      </c>
      <c r="AD92" s="36" t="str">
        <f>VLOOKUP(D92,Oficial!A:C,3,0)</f>
        <v>Arrastre</v>
      </c>
    </row>
    <row r="93" spans="1:30" x14ac:dyDescent="0.25">
      <c r="A93" s="36" t="s">
        <v>27</v>
      </c>
      <c r="B93" s="36" t="s">
        <v>103</v>
      </c>
      <c r="C93" s="36" t="s">
        <v>28</v>
      </c>
      <c r="D93" s="36" t="s">
        <v>103</v>
      </c>
      <c r="E93" s="36" t="s">
        <v>30</v>
      </c>
      <c r="F93" s="36" t="s">
        <v>31</v>
      </c>
      <c r="G93" s="37" t="s">
        <v>104</v>
      </c>
      <c r="H93" s="36" t="s">
        <v>105</v>
      </c>
      <c r="I93" s="36" t="s">
        <v>106</v>
      </c>
      <c r="J93" s="36">
        <v>1</v>
      </c>
      <c r="K93" s="36" t="s">
        <v>107</v>
      </c>
      <c r="L93" s="36">
        <v>1</v>
      </c>
      <c r="M93" s="36">
        <v>1</v>
      </c>
      <c r="N93" s="38">
        <v>45150000</v>
      </c>
      <c r="O93" s="42">
        <v>1505000</v>
      </c>
      <c r="P93" s="36">
        <v>30</v>
      </c>
      <c r="Q93" s="36" t="s">
        <v>108</v>
      </c>
      <c r="R93" s="36" t="s">
        <v>109</v>
      </c>
      <c r="S93" s="36" t="s">
        <v>110</v>
      </c>
      <c r="T93" s="36" t="s">
        <v>111</v>
      </c>
      <c r="U93" s="36" t="s">
        <v>112</v>
      </c>
      <c r="V93" s="40">
        <v>45444</v>
      </c>
      <c r="W93" s="40">
        <v>45478</v>
      </c>
      <c r="X93" s="36">
        <v>35</v>
      </c>
      <c r="Y93" s="36" t="s">
        <v>113</v>
      </c>
      <c r="Z93" s="36">
        <v>1</v>
      </c>
      <c r="AA93" s="36">
        <v>1505000</v>
      </c>
      <c r="AB93" s="40">
        <v>46113</v>
      </c>
      <c r="AC93" s="36" t="s">
        <v>2196</v>
      </c>
      <c r="AD93" s="36" t="str">
        <f>VLOOKUP(D93,Oficial!A:C,3,0)</f>
        <v>Arrastre</v>
      </c>
    </row>
    <row r="94" spans="1:30" x14ac:dyDescent="0.25">
      <c r="A94" s="36" t="s">
        <v>27</v>
      </c>
      <c r="B94" s="36" t="s">
        <v>103</v>
      </c>
      <c r="C94" s="36" t="s">
        <v>28</v>
      </c>
      <c r="D94" s="36" t="s">
        <v>103</v>
      </c>
      <c r="E94" s="36" t="s">
        <v>30</v>
      </c>
      <c r="F94" s="36" t="s">
        <v>31</v>
      </c>
      <c r="G94" s="37" t="s">
        <v>104</v>
      </c>
      <c r="H94" s="36" t="s">
        <v>105</v>
      </c>
      <c r="I94" s="36" t="s">
        <v>106</v>
      </c>
      <c r="J94" s="36">
        <v>1</v>
      </c>
      <c r="K94" s="36" t="s">
        <v>107</v>
      </c>
      <c r="L94" s="36">
        <v>1</v>
      </c>
      <c r="M94" s="36">
        <v>1</v>
      </c>
      <c r="N94" s="38">
        <v>45150000</v>
      </c>
      <c r="O94" s="42">
        <v>1505000</v>
      </c>
      <c r="P94" s="36">
        <v>30</v>
      </c>
      <c r="Q94" s="36" t="s">
        <v>108</v>
      </c>
      <c r="R94" s="36" t="s">
        <v>109</v>
      </c>
      <c r="S94" s="36" t="s">
        <v>110</v>
      </c>
      <c r="T94" s="36" t="s">
        <v>111</v>
      </c>
      <c r="U94" s="36" t="s">
        <v>112</v>
      </c>
      <c r="V94" s="40">
        <v>45444</v>
      </c>
      <c r="W94" s="40">
        <v>45478</v>
      </c>
      <c r="X94" s="36">
        <v>35</v>
      </c>
      <c r="Y94" s="36" t="s">
        <v>115</v>
      </c>
      <c r="Z94" s="36">
        <v>1</v>
      </c>
      <c r="AA94" s="36">
        <v>1505000</v>
      </c>
      <c r="AB94" s="40">
        <v>46174</v>
      </c>
      <c r="AC94" s="36" t="s">
        <v>2196</v>
      </c>
      <c r="AD94" s="36" t="str">
        <f>VLOOKUP(D94,Oficial!A:C,3,0)</f>
        <v>Arrastre</v>
      </c>
    </row>
    <row r="95" spans="1:30" x14ac:dyDescent="0.25">
      <c r="A95" s="36" t="s">
        <v>27</v>
      </c>
      <c r="B95" s="36" t="s">
        <v>103</v>
      </c>
      <c r="C95" s="36" t="s">
        <v>28</v>
      </c>
      <c r="D95" s="36" t="s">
        <v>103</v>
      </c>
      <c r="E95" s="36" t="s">
        <v>30</v>
      </c>
      <c r="F95" s="36" t="s">
        <v>31</v>
      </c>
      <c r="G95" s="37" t="s">
        <v>104</v>
      </c>
      <c r="H95" s="36" t="s">
        <v>105</v>
      </c>
      <c r="I95" s="36" t="s">
        <v>106</v>
      </c>
      <c r="J95" s="36">
        <v>1</v>
      </c>
      <c r="K95" s="36" t="s">
        <v>107</v>
      </c>
      <c r="L95" s="36">
        <v>1</v>
      </c>
      <c r="M95" s="36">
        <v>1</v>
      </c>
      <c r="N95" s="38">
        <v>45150000</v>
      </c>
      <c r="O95" s="42">
        <v>1505000</v>
      </c>
      <c r="P95" s="36">
        <v>30</v>
      </c>
      <c r="Q95" s="36" t="s">
        <v>108</v>
      </c>
      <c r="R95" s="36" t="s">
        <v>109</v>
      </c>
      <c r="S95" s="36" t="s">
        <v>110</v>
      </c>
      <c r="T95" s="36" t="s">
        <v>111</v>
      </c>
      <c r="U95" s="36" t="s">
        <v>112</v>
      </c>
      <c r="V95" s="40">
        <v>45444</v>
      </c>
      <c r="W95" s="40">
        <v>45478</v>
      </c>
      <c r="X95" s="36">
        <v>35</v>
      </c>
      <c r="Y95" s="36" t="s">
        <v>114</v>
      </c>
      <c r="Z95" s="36">
        <v>1</v>
      </c>
      <c r="AA95" s="36">
        <v>1505000</v>
      </c>
      <c r="AB95" s="40">
        <v>46143</v>
      </c>
      <c r="AC95" s="36" t="s">
        <v>2196</v>
      </c>
      <c r="AD95" s="36" t="str">
        <f>VLOOKUP(D95,Oficial!A:C,3,0)</f>
        <v>Arrastre</v>
      </c>
    </row>
    <row r="96" spans="1:30" x14ac:dyDescent="0.25">
      <c r="A96" s="36" t="s">
        <v>27</v>
      </c>
      <c r="B96" s="36" t="s">
        <v>103</v>
      </c>
      <c r="C96" s="36" t="s">
        <v>28</v>
      </c>
      <c r="D96" s="36" t="s">
        <v>103</v>
      </c>
      <c r="E96" s="36" t="s">
        <v>30</v>
      </c>
      <c r="F96" s="36" t="s">
        <v>31</v>
      </c>
      <c r="G96" s="37" t="s">
        <v>104</v>
      </c>
      <c r="H96" s="36" t="s">
        <v>105</v>
      </c>
      <c r="I96" s="36" t="s">
        <v>106</v>
      </c>
      <c r="J96" s="36">
        <v>1</v>
      </c>
      <c r="K96" s="36" t="s">
        <v>107</v>
      </c>
      <c r="L96" s="36">
        <v>1</v>
      </c>
      <c r="M96" s="36">
        <v>1</v>
      </c>
      <c r="N96" s="38">
        <v>45150000</v>
      </c>
      <c r="O96" s="42">
        <v>1505000</v>
      </c>
      <c r="P96" s="36">
        <v>30</v>
      </c>
      <c r="Q96" s="36" t="s">
        <v>108</v>
      </c>
      <c r="R96" s="36" t="s">
        <v>109</v>
      </c>
      <c r="S96" s="36" t="s">
        <v>110</v>
      </c>
      <c r="T96" s="36" t="s">
        <v>111</v>
      </c>
      <c r="U96" s="36" t="s">
        <v>112</v>
      </c>
      <c r="V96" s="40">
        <v>45444</v>
      </c>
      <c r="W96" s="40">
        <v>45478</v>
      </c>
      <c r="X96" s="36">
        <v>35</v>
      </c>
      <c r="Y96" s="36" t="s">
        <v>116</v>
      </c>
      <c r="Z96" s="36">
        <v>1</v>
      </c>
      <c r="AA96" s="36">
        <v>1505000</v>
      </c>
      <c r="AB96" s="40">
        <v>46023</v>
      </c>
      <c r="AC96" s="36" t="s">
        <v>2196</v>
      </c>
      <c r="AD96" s="36" t="str">
        <f>VLOOKUP(D96,Oficial!A:C,3,0)</f>
        <v>Arrastre</v>
      </c>
    </row>
    <row r="97" spans="1:30" x14ac:dyDescent="0.25">
      <c r="A97" s="36" t="s">
        <v>27</v>
      </c>
      <c r="B97" s="36" t="s">
        <v>103</v>
      </c>
      <c r="C97" s="36" t="s">
        <v>28</v>
      </c>
      <c r="D97" s="36" t="s">
        <v>103</v>
      </c>
      <c r="E97" s="36" t="s">
        <v>30</v>
      </c>
      <c r="F97" s="36" t="s">
        <v>31</v>
      </c>
      <c r="G97" s="37" t="s">
        <v>104</v>
      </c>
      <c r="H97" s="36" t="s">
        <v>105</v>
      </c>
      <c r="I97" s="36" t="s">
        <v>106</v>
      </c>
      <c r="J97" s="36">
        <v>1</v>
      </c>
      <c r="K97" s="36" t="s">
        <v>107</v>
      </c>
      <c r="L97" s="36">
        <v>1</v>
      </c>
      <c r="M97" s="36">
        <v>1</v>
      </c>
      <c r="N97" s="38">
        <v>45150000</v>
      </c>
      <c r="O97" s="42">
        <v>1505000</v>
      </c>
      <c r="P97" s="36">
        <v>30</v>
      </c>
      <c r="Q97" s="36" t="s">
        <v>108</v>
      </c>
      <c r="R97" s="36" t="s">
        <v>109</v>
      </c>
      <c r="S97" s="36" t="s">
        <v>110</v>
      </c>
      <c r="T97" s="36" t="s">
        <v>111</v>
      </c>
      <c r="U97" s="36" t="s">
        <v>112</v>
      </c>
      <c r="V97" s="40">
        <v>45444</v>
      </c>
      <c r="W97" s="40">
        <v>45478</v>
      </c>
      <c r="X97" s="36">
        <v>35</v>
      </c>
      <c r="Y97" s="36" t="s">
        <v>116</v>
      </c>
      <c r="Z97" s="36">
        <v>1</v>
      </c>
      <c r="AA97" s="36">
        <v>1505000</v>
      </c>
      <c r="AB97" s="40">
        <v>46054</v>
      </c>
      <c r="AC97" s="36" t="s">
        <v>2196</v>
      </c>
      <c r="AD97" s="36" t="str">
        <f>VLOOKUP(D97,Oficial!A:C,3,0)</f>
        <v>Arrastre</v>
      </c>
    </row>
    <row r="98" spans="1:30" x14ac:dyDescent="0.25">
      <c r="A98" s="36" t="s">
        <v>27</v>
      </c>
      <c r="B98" s="36" t="s">
        <v>117</v>
      </c>
      <c r="C98" s="36" t="s">
        <v>28</v>
      </c>
      <c r="D98" s="36" t="s">
        <v>117</v>
      </c>
      <c r="E98" s="36" t="s">
        <v>30</v>
      </c>
      <c r="F98" s="36" t="s">
        <v>31</v>
      </c>
      <c r="G98" s="37" t="s">
        <v>118</v>
      </c>
      <c r="H98" s="36" t="s">
        <v>119</v>
      </c>
      <c r="I98" s="36" t="s">
        <v>120</v>
      </c>
      <c r="J98" s="36">
        <v>1</v>
      </c>
      <c r="K98" s="36" t="s">
        <v>121</v>
      </c>
      <c r="L98" s="36">
        <v>1</v>
      </c>
      <c r="M98" s="36">
        <v>1</v>
      </c>
      <c r="N98" s="38">
        <v>300000000</v>
      </c>
      <c r="O98" s="44">
        <v>12500000</v>
      </c>
      <c r="P98" s="36">
        <v>24</v>
      </c>
      <c r="Q98" s="36" t="s">
        <v>73</v>
      </c>
      <c r="R98" s="36" t="s">
        <v>122</v>
      </c>
      <c r="S98" s="36" t="s">
        <v>123</v>
      </c>
      <c r="T98" s="36" t="s">
        <v>124</v>
      </c>
      <c r="U98" s="36" t="s">
        <v>58</v>
      </c>
      <c r="V98" s="40">
        <v>45474</v>
      </c>
      <c r="W98" s="40">
        <v>45478</v>
      </c>
      <c r="X98" s="36">
        <v>46</v>
      </c>
      <c r="Y98" s="36" t="s">
        <v>125</v>
      </c>
      <c r="Z98" s="36">
        <v>1</v>
      </c>
      <c r="AA98" s="36">
        <v>12500000</v>
      </c>
      <c r="AB98" s="40">
        <v>46235</v>
      </c>
      <c r="AC98" s="36" t="s">
        <v>2196</v>
      </c>
      <c r="AD98" s="36" t="str">
        <f>VLOOKUP(D98,Oficial!A:C,3,0)</f>
        <v>Arrastre</v>
      </c>
    </row>
    <row r="99" spans="1:30" x14ac:dyDescent="0.25">
      <c r="A99" s="36" t="s">
        <v>27</v>
      </c>
      <c r="B99" s="36" t="s">
        <v>117</v>
      </c>
      <c r="C99" s="36" t="s">
        <v>28</v>
      </c>
      <c r="D99" s="36" t="s">
        <v>117</v>
      </c>
      <c r="E99" s="36" t="s">
        <v>30</v>
      </c>
      <c r="F99" s="36" t="s">
        <v>31</v>
      </c>
      <c r="G99" s="37" t="s">
        <v>118</v>
      </c>
      <c r="H99" s="36" t="s">
        <v>119</v>
      </c>
      <c r="I99" s="36" t="s">
        <v>120</v>
      </c>
      <c r="J99" s="36">
        <v>1</v>
      </c>
      <c r="K99" s="36" t="s">
        <v>121</v>
      </c>
      <c r="L99" s="36">
        <v>1</v>
      </c>
      <c r="M99" s="36">
        <v>1</v>
      </c>
      <c r="N99" s="38">
        <v>300000000</v>
      </c>
      <c r="O99" s="44">
        <v>12500000</v>
      </c>
      <c r="P99" s="36">
        <v>24</v>
      </c>
      <c r="Q99" s="36" t="s">
        <v>73</v>
      </c>
      <c r="R99" s="36" t="s">
        <v>122</v>
      </c>
      <c r="S99" s="36" t="s">
        <v>123</v>
      </c>
      <c r="T99" s="36" t="s">
        <v>124</v>
      </c>
      <c r="U99" s="36" t="s">
        <v>58</v>
      </c>
      <c r="V99" s="40">
        <v>45474</v>
      </c>
      <c r="W99" s="40">
        <v>45478</v>
      </c>
      <c r="X99" s="36">
        <v>46</v>
      </c>
      <c r="Y99" s="36" t="s">
        <v>126</v>
      </c>
      <c r="Z99" s="36">
        <v>1</v>
      </c>
      <c r="AA99" s="36">
        <v>12500000</v>
      </c>
      <c r="AB99" s="40">
        <v>46327</v>
      </c>
      <c r="AC99" s="36" t="s">
        <v>2196</v>
      </c>
      <c r="AD99" s="36" t="str">
        <f>VLOOKUP(D99,Oficial!A:C,3,0)</f>
        <v>Arrastre</v>
      </c>
    </row>
    <row r="100" spans="1:30" x14ac:dyDescent="0.25">
      <c r="A100" s="36" t="s">
        <v>27</v>
      </c>
      <c r="B100" s="36" t="s">
        <v>117</v>
      </c>
      <c r="C100" s="36" t="s">
        <v>28</v>
      </c>
      <c r="D100" s="36" t="s">
        <v>117</v>
      </c>
      <c r="E100" s="36" t="s">
        <v>30</v>
      </c>
      <c r="F100" s="36" t="s">
        <v>31</v>
      </c>
      <c r="G100" s="37" t="s">
        <v>118</v>
      </c>
      <c r="H100" s="36" t="s">
        <v>119</v>
      </c>
      <c r="I100" s="36" t="s">
        <v>120</v>
      </c>
      <c r="J100" s="36">
        <v>1</v>
      </c>
      <c r="K100" s="36" t="s">
        <v>121</v>
      </c>
      <c r="L100" s="36">
        <v>1</v>
      </c>
      <c r="M100" s="36">
        <v>1</v>
      </c>
      <c r="N100" s="38">
        <v>300000000</v>
      </c>
      <c r="O100" s="44">
        <v>12500000</v>
      </c>
      <c r="P100" s="36">
        <v>24</v>
      </c>
      <c r="Q100" s="36" t="s">
        <v>73</v>
      </c>
      <c r="R100" s="36" t="s">
        <v>122</v>
      </c>
      <c r="S100" s="36" t="s">
        <v>123</v>
      </c>
      <c r="T100" s="36" t="s">
        <v>124</v>
      </c>
      <c r="U100" s="36" t="s">
        <v>58</v>
      </c>
      <c r="V100" s="40">
        <v>45474</v>
      </c>
      <c r="W100" s="40">
        <v>45478</v>
      </c>
      <c r="X100" s="36">
        <v>46</v>
      </c>
      <c r="Y100" s="36" t="s">
        <v>125</v>
      </c>
      <c r="Z100" s="36">
        <v>1</v>
      </c>
      <c r="AA100" s="36">
        <v>12500000</v>
      </c>
      <c r="AB100" s="40">
        <v>46113</v>
      </c>
      <c r="AC100" s="36" t="s">
        <v>2196</v>
      </c>
      <c r="AD100" s="36" t="str">
        <f>VLOOKUP(D100,Oficial!A:C,3,0)</f>
        <v>Arrastre</v>
      </c>
    </row>
    <row r="101" spans="1:30" x14ac:dyDescent="0.25">
      <c r="A101" s="36" t="s">
        <v>27</v>
      </c>
      <c r="B101" s="36" t="s">
        <v>117</v>
      </c>
      <c r="C101" s="36" t="s">
        <v>28</v>
      </c>
      <c r="D101" s="36" t="s">
        <v>117</v>
      </c>
      <c r="E101" s="36" t="s">
        <v>30</v>
      </c>
      <c r="F101" s="36" t="s">
        <v>31</v>
      </c>
      <c r="G101" s="37" t="s">
        <v>118</v>
      </c>
      <c r="H101" s="36" t="s">
        <v>119</v>
      </c>
      <c r="I101" s="36" t="s">
        <v>120</v>
      </c>
      <c r="J101" s="36">
        <v>1</v>
      </c>
      <c r="K101" s="36" t="s">
        <v>121</v>
      </c>
      <c r="L101" s="36">
        <v>1</v>
      </c>
      <c r="M101" s="36">
        <v>1</v>
      </c>
      <c r="N101" s="38">
        <v>300000000</v>
      </c>
      <c r="O101" s="44">
        <v>12500000</v>
      </c>
      <c r="P101" s="36">
        <v>24</v>
      </c>
      <c r="Q101" s="36" t="s">
        <v>73</v>
      </c>
      <c r="R101" s="36" t="s">
        <v>122</v>
      </c>
      <c r="S101" s="36" t="s">
        <v>123</v>
      </c>
      <c r="T101" s="36" t="s">
        <v>124</v>
      </c>
      <c r="U101" s="36" t="s">
        <v>58</v>
      </c>
      <c r="V101" s="40">
        <v>45474</v>
      </c>
      <c r="W101" s="40">
        <v>45478</v>
      </c>
      <c r="X101" s="36">
        <v>46</v>
      </c>
      <c r="Y101" s="36" t="s">
        <v>125</v>
      </c>
      <c r="Z101" s="36">
        <v>1</v>
      </c>
      <c r="AA101" s="36">
        <v>12500000</v>
      </c>
      <c r="AB101" s="40">
        <v>46023</v>
      </c>
      <c r="AC101" s="36" t="s">
        <v>2196</v>
      </c>
      <c r="AD101" s="36" t="str">
        <f>VLOOKUP(D101,Oficial!A:C,3,0)</f>
        <v>Arrastre</v>
      </c>
    </row>
    <row r="102" spans="1:30" x14ac:dyDescent="0.25">
      <c r="A102" s="36" t="s">
        <v>27</v>
      </c>
      <c r="B102" s="36" t="s">
        <v>117</v>
      </c>
      <c r="C102" s="36" t="s">
        <v>28</v>
      </c>
      <c r="D102" s="36" t="s">
        <v>117</v>
      </c>
      <c r="E102" s="36" t="s">
        <v>30</v>
      </c>
      <c r="F102" s="36" t="s">
        <v>31</v>
      </c>
      <c r="G102" s="37" t="s">
        <v>118</v>
      </c>
      <c r="H102" s="36" t="s">
        <v>119</v>
      </c>
      <c r="I102" s="36" t="s">
        <v>120</v>
      </c>
      <c r="J102" s="36">
        <v>1</v>
      </c>
      <c r="K102" s="36" t="s">
        <v>121</v>
      </c>
      <c r="L102" s="36">
        <v>1</v>
      </c>
      <c r="M102" s="36">
        <v>1</v>
      </c>
      <c r="N102" s="38">
        <v>300000000</v>
      </c>
      <c r="O102" s="44">
        <v>12500000</v>
      </c>
      <c r="P102" s="36">
        <v>24</v>
      </c>
      <c r="Q102" s="36" t="s">
        <v>73</v>
      </c>
      <c r="R102" s="36" t="s">
        <v>122</v>
      </c>
      <c r="S102" s="36" t="s">
        <v>123</v>
      </c>
      <c r="T102" s="36" t="s">
        <v>124</v>
      </c>
      <c r="U102" s="36" t="s">
        <v>58</v>
      </c>
      <c r="V102" s="40">
        <v>45474</v>
      </c>
      <c r="W102" s="40">
        <v>45478</v>
      </c>
      <c r="X102" s="36">
        <v>46</v>
      </c>
      <c r="Y102" s="36" t="s">
        <v>125</v>
      </c>
      <c r="Z102" s="36">
        <v>1</v>
      </c>
      <c r="AA102" s="36">
        <v>12500000</v>
      </c>
      <c r="AB102" s="40">
        <v>46054</v>
      </c>
      <c r="AC102" s="36" t="s">
        <v>2196</v>
      </c>
      <c r="AD102" s="36" t="str">
        <f>VLOOKUP(D102,Oficial!A:C,3,0)</f>
        <v>Arrastre</v>
      </c>
    </row>
    <row r="103" spans="1:30" x14ac:dyDescent="0.25">
      <c r="A103" s="36" t="s">
        <v>27</v>
      </c>
      <c r="B103" s="36" t="s">
        <v>117</v>
      </c>
      <c r="C103" s="36" t="s">
        <v>28</v>
      </c>
      <c r="D103" s="36" t="s">
        <v>117</v>
      </c>
      <c r="E103" s="36" t="s">
        <v>30</v>
      </c>
      <c r="F103" s="36" t="s">
        <v>31</v>
      </c>
      <c r="G103" s="37" t="s">
        <v>118</v>
      </c>
      <c r="H103" s="36" t="s">
        <v>119</v>
      </c>
      <c r="I103" s="36" t="s">
        <v>120</v>
      </c>
      <c r="J103" s="36">
        <v>1</v>
      </c>
      <c r="K103" s="36" t="s">
        <v>121</v>
      </c>
      <c r="L103" s="36">
        <v>1</v>
      </c>
      <c r="M103" s="36">
        <v>1</v>
      </c>
      <c r="N103" s="38">
        <v>300000000</v>
      </c>
      <c r="O103" s="44">
        <v>12500000</v>
      </c>
      <c r="P103" s="36">
        <v>24</v>
      </c>
      <c r="Q103" s="36" t="s">
        <v>73</v>
      </c>
      <c r="R103" s="36" t="s">
        <v>122</v>
      </c>
      <c r="S103" s="36" t="s">
        <v>123</v>
      </c>
      <c r="T103" s="36" t="s">
        <v>124</v>
      </c>
      <c r="U103" s="36" t="s">
        <v>58</v>
      </c>
      <c r="V103" s="40">
        <v>45474</v>
      </c>
      <c r="W103" s="40">
        <v>45478</v>
      </c>
      <c r="X103" s="36">
        <v>46</v>
      </c>
      <c r="Y103" s="36" t="s">
        <v>125</v>
      </c>
      <c r="Z103" s="36">
        <v>1</v>
      </c>
      <c r="AA103" s="36">
        <v>12500000</v>
      </c>
      <c r="AB103" s="40">
        <v>46204</v>
      </c>
      <c r="AC103" s="36" t="s">
        <v>2196</v>
      </c>
      <c r="AD103" s="36" t="str">
        <f>VLOOKUP(D103,Oficial!A:C,3,0)</f>
        <v>Arrastre</v>
      </c>
    </row>
    <row r="104" spans="1:30" x14ac:dyDescent="0.25">
      <c r="A104" s="36" t="s">
        <v>27</v>
      </c>
      <c r="B104" s="36" t="s">
        <v>117</v>
      </c>
      <c r="C104" s="36" t="s">
        <v>28</v>
      </c>
      <c r="D104" s="36" t="s">
        <v>117</v>
      </c>
      <c r="E104" s="36" t="s">
        <v>30</v>
      </c>
      <c r="F104" s="36" t="s">
        <v>31</v>
      </c>
      <c r="G104" s="37" t="s">
        <v>118</v>
      </c>
      <c r="H104" s="36" t="s">
        <v>119</v>
      </c>
      <c r="I104" s="36" t="s">
        <v>120</v>
      </c>
      <c r="J104" s="36">
        <v>1</v>
      </c>
      <c r="K104" s="36" t="s">
        <v>121</v>
      </c>
      <c r="L104" s="36">
        <v>1</v>
      </c>
      <c r="M104" s="36">
        <v>1</v>
      </c>
      <c r="N104" s="38">
        <v>300000000</v>
      </c>
      <c r="O104" s="44">
        <v>12500000</v>
      </c>
      <c r="P104" s="36">
        <v>24</v>
      </c>
      <c r="Q104" s="36" t="s">
        <v>73</v>
      </c>
      <c r="R104" s="36" t="s">
        <v>122</v>
      </c>
      <c r="S104" s="36" t="s">
        <v>123</v>
      </c>
      <c r="T104" s="36" t="s">
        <v>124</v>
      </c>
      <c r="U104" s="36" t="s">
        <v>58</v>
      </c>
      <c r="V104" s="40">
        <v>45474</v>
      </c>
      <c r="W104" s="40">
        <v>45478</v>
      </c>
      <c r="X104" s="36">
        <v>46</v>
      </c>
      <c r="Y104" s="36" t="s">
        <v>127</v>
      </c>
      <c r="Z104" s="36">
        <v>1</v>
      </c>
      <c r="AA104" s="36">
        <v>12500000</v>
      </c>
      <c r="AB104" s="40">
        <v>46204</v>
      </c>
      <c r="AC104" s="36" t="s">
        <v>2196</v>
      </c>
      <c r="AD104" s="36" t="str">
        <f>VLOOKUP(D104,Oficial!A:C,3,0)</f>
        <v>Arrastre</v>
      </c>
    </row>
    <row r="105" spans="1:30" x14ac:dyDescent="0.25">
      <c r="A105" s="36" t="s">
        <v>27</v>
      </c>
      <c r="B105" s="36" t="s">
        <v>117</v>
      </c>
      <c r="C105" s="36" t="s">
        <v>28</v>
      </c>
      <c r="D105" s="36" t="s">
        <v>117</v>
      </c>
      <c r="E105" s="36" t="s">
        <v>30</v>
      </c>
      <c r="F105" s="36" t="s">
        <v>31</v>
      </c>
      <c r="G105" s="37" t="s">
        <v>118</v>
      </c>
      <c r="H105" s="36" t="s">
        <v>119</v>
      </c>
      <c r="I105" s="36" t="s">
        <v>120</v>
      </c>
      <c r="J105" s="36">
        <v>1</v>
      </c>
      <c r="K105" s="36" t="s">
        <v>121</v>
      </c>
      <c r="L105" s="36">
        <v>1</v>
      </c>
      <c r="M105" s="36">
        <v>1</v>
      </c>
      <c r="N105" s="38">
        <v>300000000</v>
      </c>
      <c r="O105" s="44">
        <v>12500000</v>
      </c>
      <c r="P105" s="36">
        <v>24</v>
      </c>
      <c r="Q105" s="36" t="s">
        <v>73</v>
      </c>
      <c r="R105" s="36" t="s">
        <v>122</v>
      </c>
      <c r="S105" s="36" t="s">
        <v>123</v>
      </c>
      <c r="T105" s="36" t="s">
        <v>124</v>
      </c>
      <c r="U105" s="36" t="s">
        <v>58</v>
      </c>
      <c r="V105" s="40">
        <v>45474</v>
      </c>
      <c r="W105" s="40">
        <v>45478</v>
      </c>
      <c r="X105" s="36">
        <v>46</v>
      </c>
      <c r="Y105" s="36" t="s">
        <v>127</v>
      </c>
      <c r="Z105" s="36">
        <v>1</v>
      </c>
      <c r="AA105" s="36">
        <v>12500000</v>
      </c>
      <c r="AB105" s="40">
        <v>46113</v>
      </c>
      <c r="AC105" s="36" t="s">
        <v>2196</v>
      </c>
      <c r="AD105" s="36" t="str">
        <f>VLOOKUP(D105,Oficial!A:C,3,0)</f>
        <v>Arrastre</v>
      </c>
    </row>
    <row r="106" spans="1:30" x14ac:dyDescent="0.25">
      <c r="A106" s="36" t="s">
        <v>27</v>
      </c>
      <c r="B106" s="36" t="s">
        <v>117</v>
      </c>
      <c r="C106" s="36" t="s">
        <v>28</v>
      </c>
      <c r="D106" s="36" t="s">
        <v>117</v>
      </c>
      <c r="E106" s="36" t="s">
        <v>30</v>
      </c>
      <c r="F106" s="36" t="s">
        <v>31</v>
      </c>
      <c r="G106" s="37" t="s">
        <v>118</v>
      </c>
      <c r="H106" s="36" t="s">
        <v>119</v>
      </c>
      <c r="I106" s="36" t="s">
        <v>120</v>
      </c>
      <c r="J106" s="36">
        <v>1</v>
      </c>
      <c r="K106" s="36" t="s">
        <v>121</v>
      </c>
      <c r="L106" s="36">
        <v>1</v>
      </c>
      <c r="M106" s="36">
        <v>1</v>
      </c>
      <c r="N106" s="38">
        <v>300000000</v>
      </c>
      <c r="O106" s="44">
        <v>12500000</v>
      </c>
      <c r="P106" s="36">
        <v>24</v>
      </c>
      <c r="Q106" s="36" t="s">
        <v>73</v>
      </c>
      <c r="R106" s="36" t="s">
        <v>122</v>
      </c>
      <c r="S106" s="36" t="s">
        <v>123</v>
      </c>
      <c r="T106" s="36" t="s">
        <v>124</v>
      </c>
      <c r="U106" s="36" t="s">
        <v>58</v>
      </c>
      <c r="V106" s="40">
        <v>45474</v>
      </c>
      <c r="W106" s="40">
        <v>45478</v>
      </c>
      <c r="X106" s="36">
        <v>46</v>
      </c>
      <c r="Y106" s="36" t="s">
        <v>125</v>
      </c>
      <c r="Z106" s="36">
        <v>1</v>
      </c>
      <c r="AA106" s="36">
        <v>12500000</v>
      </c>
      <c r="AB106" s="40">
        <v>46357</v>
      </c>
      <c r="AC106" s="36" t="s">
        <v>2196</v>
      </c>
      <c r="AD106" s="36" t="str">
        <f>VLOOKUP(D106,Oficial!A:C,3,0)</f>
        <v>Arrastre</v>
      </c>
    </row>
    <row r="107" spans="1:30" x14ac:dyDescent="0.25">
      <c r="A107" s="36" t="s">
        <v>27</v>
      </c>
      <c r="B107" s="36" t="s">
        <v>117</v>
      </c>
      <c r="C107" s="36" t="s">
        <v>28</v>
      </c>
      <c r="D107" s="36" t="s">
        <v>117</v>
      </c>
      <c r="E107" s="36" t="s">
        <v>30</v>
      </c>
      <c r="F107" s="36" t="s">
        <v>31</v>
      </c>
      <c r="G107" s="37" t="s">
        <v>118</v>
      </c>
      <c r="H107" s="36" t="s">
        <v>119</v>
      </c>
      <c r="I107" s="36" t="s">
        <v>120</v>
      </c>
      <c r="J107" s="36">
        <v>1</v>
      </c>
      <c r="K107" s="36" t="s">
        <v>121</v>
      </c>
      <c r="L107" s="36">
        <v>1</v>
      </c>
      <c r="M107" s="36">
        <v>1</v>
      </c>
      <c r="N107" s="38">
        <v>300000000</v>
      </c>
      <c r="O107" s="44">
        <v>12500000</v>
      </c>
      <c r="P107" s="36">
        <v>24</v>
      </c>
      <c r="Q107" s="36" t="s">
        <v>73</v>
      </c>
      <c r="R107" s="36" t="s">
        <v>122</v>
      </c>
      <c r="S107" s="36" t="s">
        <v>123</v>
      </c>
      <c r="T107" s="36" t="s">
        <v>124</v>
      </c>
      <c r="U107" s="36" t="s">
        <v>58</v>
      </c>
      <c r="V107" s="40">
        <v>45474</v>
      </c>
      <c r="W107" s="40">
        <v>45478</v>
      </c>
      <c r="X107" s="36">
        <v>46</v>
      </c>
      <c r="Y107" s="36" t="s">
        <v>125</v>
      </c>
      <c r="Z107" s="36">
        <v>1</v>
      </c>
      <c r="AA107" s="36">
        <v>12500000</v>
      </c>
      <c r="AB107" s="40">
        <v>46266</v>
      </c>
      <c r="AC107" s="36" t="s">
        <v>2196</v>
      </c>
      <c r="AD107" s="36" t="str">
        <f>VLOOKUP(D107,Oficial!A:C,3,0)</f>
        <v>Arrastre</v>
      </c>
    </row>
    <row r="108" spans="1:30" x14ac:dyDescent="0.25">
      <c r="A108" s="36" t="s">
        <v>27</v>
      </c>
      <c r="B108" s="36" t="s">
        <v>117</v>
      </c>
      <c r="C108" s="36" t="s">
        <v>28</v>
      </c>
      <c r="D108" s="36" t="s">
        <v>117</v>
      </c>
      <c r="E108" s="36" t="s">
        <v>30</v>
      </c>
      <c r="F108" s="36" t="s">
        <v>31</v>
      </c>
      <c r="G108" s="37" t="s">
        <v>118</v>
      </c>
      <c r="H108" s="36" t="s">
        <v>119</v>
      </c>
      <c r="I108" s="36" t="s">
        <v>120</v>
      </c>
      <c r="J108" s="36">
        <v>1</v>
      </c>
      <c r="K108" s="36" t="s">
        <v>121</v>
      </c>
      <c r="L108" s="36">
        <v>1</v>
      </c>
      <c r="M108" s="36">
        <v>1</v>
      </c>
      <c r="N108" s="38">
        <v>300000000</v>
      </c>
      <c r="O108" s="44">
        <v>12500000</v>
      </c>
      <c r="P108" s="36">
        <v>24</v>
      </c>
      <c r="Q108" s="36" t="s">
        <v>73</v>
      </c>
      <c r="R108" s="36" t="s">
        <v>122</v>
      </c>
      <c r="S108" s="36" t="s">
        <v>123</v>
      </c>
      <c r="T108" s="36" t="s">
        <v>124</v>
      </c>
      <c r="U108" s="36" t="s">
        <v>58</v>
      </c>
      <c r="V108" s="40">
        <v>45474</v>
      </c>
      <c r="W108" s="40">
        <v>45478</v>
      </c>
      <c r="X108" s="36">
        <v>46</v>
      </c>
      <c r="Y108" s="36" t="s">
        <v>125</v>
      </c>
      <c r="Z108" s="36">
        <v>1</v>
      </c>
      <c r="AA108" s="36">
        <v>12500000</v>
      </c>
      <c r="AB108" s="40">
        <v>46082</v>
      </c>
      <c r="AC108" s="36" t="s">
        <v>2196</v>
      </c>
      <c r="AD108" s="36" t="str">
        <f>VLOOKUP(D108,Oficial!A:C,3,0)</f>
        <v>Arrastre</v>
      </c>
    </row>
    <row r="109" spans="1:30" x14ac:dyDescent="0.25">
      <c r="A109" s="36" t="s">
        <v>27</v>
      </c>
      <c r="B109" s="36" t="s">
        <v>117</v>
      </c>
      <c r="C109" s="36" t="s">
        <v>28</v>
      </c>
      <c r="D109" s="36" t="s">
        <v>117</v>
      </c>
      <c r="E109" s="36" t="s">
        <v>30</v>
      </c>
      <c r="F109" s="36" t="s">
        <v>31</v>
      </c>
      <c r="G109" s="37" t="s">
        <v>118</v>
      </c>
      <c r="H109" s="36" t="s">
        <v>119</v>
      </c>
      <c r="I109" s="36" t="s">
        <v>120</v>
      </c>
      <c r="J109" s="36">
        <v>1</v>
      </c>
      <c r="K109" s="36" t="s">
        <v>121</v>
      </c>
      <c r="L109" s="36">
        <v>1</v>
      </c>
      <c r="M109" s="36">
        <v>1</v>
      </c>
      <c r="N109" s="38">
        <v>300000000</v>
      </c>
      <c r="O109" s="44">
        <v>12500000</v>
      </c>
      <c r="P109" s="36">
        <v>24</v>
      </c>
      <c r="Q109" s="36" t="s">
        <v>73</v>
      </c>
      <c r="R109" s="36" t="s">
        <v>122</v>
      </c>
      <c r="S109" s="36" t="s">
        <v>123</v>
      </c>
      <c r="T109" s="36" t="s">
        <v>124</v>
      </c>
      <c r="U109" s="36" t="s">
        <v>58</v>
      </c>
      <c r="V109" s="40">
        <v>45474</v>
      </c>
      <c r="W109" s="40">
        <v>45478</v>
      </c>
      <c r="X109" s="36">
        <v>46</v>
      </c>
      <c r="Y109" s="36" t="s">
        <v>125</v>
      </c>
      <c r="Z109" s="36">
        <v>1</v>
      </c>
      <c r="AA109" s="36">
        <v>12500000</v>
      </c>
      <c r="AB109" s="40">
        <v>46143</v>
      </c>
      <c r="AC109" s="36" t="s">
        <v>2196</v>
      </c>
      <c r="AD109" s="36" t="str">
        <f>VLOOKUP(D109,Oficial!A:C,3,0)</f>
        <v>Arrastre</v>
      </c>
    </row>
    <row r="110" spans="1:30" x14ac:dyDescent="0.25">
      <c r="A110" s="36" t="s">
        <v>27</v>
      </c>
      <c r="B110" s="36" t="s">
        <v>128</v>
      </c>
      <c r="C110" s="36" t="s">
        <v>28</v>
      </c>
      <c r="D110" s="36" t="s">
        <v>128</v>
      </c>
      <c r="E110" s="36" t="s">
        <v>30</v>
      </c>
      <c r="F110" s="36" t="s">
        <v>31</v>
      </c>
      <c r="G110" s="37" t="s">
        <v>129</v>
      </c>
      <c r="H110" s="36" t="s">
        <v>130</v>
      </c>
      <c r="I110" s="36" t="s">
        <v>131</v>
      </c>
      <c r="J110" s="36">
        <v>1</v>
      </c>
      <c r="K110" s="36" t="s">
        <v>132</v>
      </c>
      <c r="L110" s="36">
        <v>1</v>
      </c>
      <c r="M110" s="36">
        <v>1</v>
      </c>
      <c r="N110" s="38">
        <v>794718407</v>
      </c>
      <c r="O110" s="41">
        <v>33113266</v>
      </c>
      <c r="P110" s="36">
        <v>24</v>
      </c>
      <c r="Q110" s="36" t="s">
        <v>73</v>
      </c>
      <c r="R110" s="36" t="s">
        <v>109</v>
      </c>
      <c r="S110" s="36" t="s">
        <v>133</v>
      </c>
      <c r="T110" s="36" t="s">
        <v>111</v>
      </c>
      <c r="U110" s="36" t="s">
        <v>112</v>
      </c>
      <c r="V110" s="40">
        <v>45505</v>
      </c>
      <c r="W110" s="40">
        <v>45478</v>
      </c>
      <c r="X110" s="36">
        <v>2</v>
      </c>
      <c r="Y110" s="36" t="s">
        <v>134</v>
      </c>
      <c r="Z110" s="36">
        <v>1</v>
      </c>
      <c r="AA110" s="36">
        <v>33113266</v>
      </c>
      <c r="AB110" s="40">
        <v>46023</v>
      </c>
      <c r="AC110" s="36" t="s">
        <v>2196</v>
      </c>
      <c r="AD110" s="36" t="str">
        <f>VLOOKUP(D110,Oficial!A:C,3,0)</f>
        <v>Arrastre</v>
      </c>
    </row>
    <row r="111" spans="1:30" x14ac:dyDescent="0.25">
      <c r="A111" s="36" t="s">
        <v>27</v>
      </c>
      <c r="B111" s="36" t="s">
        <v>128</v>
      </c>
      <c r="C111" s="36" t="s">
        <v>28</v>
      </c>
      <c r="D111" s="36" t="s">
        <v>128</v>
      </c>
      <c r="E111" s="36" t="s">
        <v>30</v>
      </c>
      <c r="F111" s="36" t="s">
        <v>31</v>
      </c>
      <c r="G111" s="37" t="s">
        <v>129</v>
      </c>
      <c r="H111" s="36" t="s">
        <v>130</v>
      </c>
      <c r="I111" s="36" t="s">
        <v>131</v>
      </c>
      <c r="J111" s="36">
        <v>1</v>
      </c>
      <c r="K111" s="36" t="s">
        <v>132</v>
      </c>
      <c r="L111" s="36">
        <v>1</v>
      </c>
      <c r="M111" s="36">
        <v>1</v>
      </c>
      <c r="N111" s="38">
        <v>794718407</v>
      </c>
      <c r="O111" s="41">
        <v>33113266</v>
      </c>
      <c r="P111" s="36">
        <v>24</v>
      </c>
      <c r="Q111" s="36" t="s">
        <v>73</v>
      </c>
      <c r="R111" s="36" t="s">
        <v>109</v>
      </c>
      <c r="S111" s="36" t="s">
        <v>133</v>
      </c>
      <c r="T111" s="36" t="s">
        <v>111</v>
      </c>
      <c r="U111" s="36" t="s">
        <v>112</v>
      </c>
      <c r="V111" s="40">
        <v>45505</v>
      </c>
      <c r="W111" s="40">
        <v>45478</v>
      </c>
      <c r="X111" s="36">
        <v>2</v>
      </c>
      <c r="Y111" s="36" t="s">
        <v>135</v>
      </c>
      <c r="Z111" s="36">
        <v>1</v>
      </c>
      <c r="AA111" s="36">
        <v>33113266</v>
      </c>
      <c r="AB111" s="40">
        <v>46082</v>
      </c>
      <c r="AC111" s="36" t="s">
        <v>2196</v>
      </c>
      <c r="AD111" s="36" t="str">
        <f>VLOOKUP(D111,Oficial!A:C,3,0)</f>
        <v>Arrastre</v>
      </c>
    </row>
    <row r="112" spans="1:30" x14ac:dyDescent="0.25">
      <c r="A112" s="36" t="s">
        <v>27</v>
      </c>
      <c r="B112" s="36" t="s">
        <v>128</v>
      </c>
      <c r="C112" s="36" t="s">
        <v>28</v>
      </c>
      <c r="D112" s="36" t="s">
        <v>128</v>
      </c>
      <c r="E112" s="36" t="s">
        <v>30</v>
      </c>
      <c r="F112" s="36" t="s">
        <v>31</v>
      </c>
      <c r="G112" s="37" t="s">
        <v>129</v>
      </c>
      <c r="H112" s="36" t="s">
        <v>130</v>
      </c>
      <c r="I112" s="36" t="s">
        <v>131</v>
      </c>
      <c r="J112" s="36">
        <v>1</v>
      </c>
      <c r="K112" s="36" t="s">
        <v>132</v>
      </c>
      <c r="L112" s="36">
        <v>1</v>
      </c>
      <c r="M112" s="36">
        <v>1</v>
      </c>
      <c r="N112" s="38">
        <v>794718407</v>
      </c>
      <c r="O112" s="41">
        <v>33113266</v>
      </c>
      <c r="P112" s="36">
        <v>24</v>
      </c>
      <c r="Q112" s="36" t="s">
        <v>73</v>
      </c>
      <c r="R112" s="36" t="s">
        <v>109</v>
      </c>
      <c r="S112" s="36" t="s">
        <v>133</v>
      </c>
      <c r="T112" s="36" t="s">
        <v>111</v>
      </c>
      <c r="U112" s="36" t="s">
        <v>112</v>
      </c>
      <c r="V112" s="40">
        <v>45505</v>
      </c>
      <c r="W112" s="40">
        <v>45478</v>
      </c>
      <c r="X112" s="36">
        <v>2</v>
      </c>
      <c r="Y112" s="36" t="s">
        <v>135</v>
      </c>
      <c r="Z112" s="36">
        <v>1</v>
      </c>
      <c r="AA112" s="36">
        <v>33113266</v>
      </c>
      <c r="AB112" s="40">
        <v>46023</v>
      </c>
      <c r="AC112" s="36" t="s">
        <v>2196</v>
      </c>
      <c r="AD112" s="36" t="str">
        <f>VLOOKUP(D112,Oficial!A:C,3,0)</f>
        <v>Arrastre</v>
      </c>
    </row>
    <row r="113" spans="1:30" x14ac:dyDescent="0.25">
      <c r="A113" s="36" t="s">
        <v>27</v>
      </c>
      <c r="B113" s="36" t="s">
        <v>128</v>
      </c>
      <c r="C113" s="36" t="s">
        <v>28</v>
      </c>
      <c r="D113" s="36" t="s">
        <v>128</v>
      </c>
      <c r="E113" s="36" t="s">
        <v>30</v>
      </c>
      <c r="F113" s="36" t="s">
        <v>31</v>
      </c>
      <c r="G113" s="37" t="s">
        <v>129</v>
      </c>
      <c r="H113" s="36" t="s">
        <v>130</v>
      </c>
      <c r="I113" s="36" t="s">
        <v>131</v>
      </c>
      <c r="J113" s="36">
        <v>1</v>
      </c>
      <c r="K113" s="36" t="s">
        <v>132</v>
      </c>
      <c r="L113" s="36">
        <v>1</v>
      </c>
      <c r="M113" s="36">
        <v>1</v>
      </c>
      <c r="N113" s="38">
        <v>794718407</v>
      </c>
      <c r="O113" s="41">
        <v>33113266</v>
      </c>
      <c r="P113" s="36">
        <v>24</v>
      </c>
      <c r="Q113" s="36" t="s">
        <v>73</v>
      </c>
      <c r="R113" s="36" t="s">
        <v>109</v>
      </c>
      <c r="S113" s="36" t="s">
        <v>133</v>
      </c>
      <c r="T113" s="36" t="s">
        <v>111</v>
      </c>
      <c r="U113" s="36" t="s">
        <v>112</v>
      </c>
      <c r="V113" s="40">
        <v>45505</v>
      </c>
      <c r="W113" s="40">
        <v>45478</v>
      </c>
      <c r="X113" s="36">
        <v>2</v>
      </c>
      <c r="Y113" s="36" t="s">
        <v>135</v>
      </c>
      <c r="Z113" s="36">
        <v>1</v>
      </c>
      <c r="AA113" s="36">
        <v>33113266</v>
      </c>
      <c r="AB113" s="40">
        <v>46054</v>
      </c>
      <c r="AC113" s="36" t="s">
        <v>2196</v>
      </c>
      <c r="AD113" s="36" t="str">
        <f>VLOOKUP(D113,Oficial!A:C,3,0)</f>
        <v>Arrastre</v>
      </c>
    </row>
    <row r="114" spans="1:30" x14ac:dyDescent="0.25">
      <c r="A114" s="36" t="s">
        <v>27</v>
      </c>
      <c r="B114" s="36" t="s">
        <v>128</v>
      </c>
      <c r="C114" s="36" t="s">
        <v>28</v>
      </c>
      <c r="D114" s="36" t="s">
        <v>128</v>
      </c>
      <c r="E114" s="36" t="s">
        <v>30</v>
      </c>
      <c r="F114" s="36" t="s">
        <v>31</v>
      </c>
      <c r="G114" s="37" t="s">
        <v>129</v>
      </c>
      <c r="H114" s="36" t="s">
        <v>130</v>
      </c>
      <c r="I114" s="36" t="s">
        <v>131</v>
      </c>
      <c r="J114" s="36">
        <v>1</v>
      </c>
      <c r="K114" s="36" t="s">
        <v>132</v>
      </c>
      <c r="L114" s="36">
        <v>1</v>
      </c>
      <c r="M114" s="36">
        <v>1</v>
      </c>
      <c r="N114" s="38">
        <v>794718407</v>
      </c>
      <c r="O114" s="41">
        <v>33113266</v>
      </c>
      <c r="P114" s="36">
        <v>24</v>
      </c>
      <c r="Q114" s="36" t="s">
        <v>73</v>
      </c>
      <c r="R114" s="36" t="s">
        <v>109</v>
      </c>
      <c r="S114" s="36" t="s">
        <v>133</v>
      </c>
      <c r="T114" s="36" t="s">
        <v>111</v>
      </c>
      <c r="U114" s="36" t="s">
        <v>112</v>
      </c>
      <c r="V114" s="40">
        <v>45505</v>
      </c>
      <c r="W114" s="40">
        <v>45478</v>
      </c>
      <c r="X114" s="36">
        <v>2</v>
      </c>
      <c r="Y114" s="36" t="s">
        <v>135</v>
      </c>
      <c r="Z114" s="36">
        <v>1</v>
      </c>
      <c r="AA114" s="36">
        <v>33113266</v>
      </c>
      <c r="AB114" s="40">
        <v>46113</v>
      </c>
      <c r="AC114" s="36" t="s">
        <v>2196</v>
      </c>
      <c r="AD114" s="36" t="str">
        <f>VLOOKUP(D114,Oficial!A:C,3,0)</f>
        <v>Arrastre</v>
      </c>
    </row>
    <row r="115" spans="1:30" x14ac:dyDescent="0.25">
      <c r="A115" s="36" t="s">
        <v>27</v>
      </c>
      <c r="B115" s="36" t="s">
        <v>128</v>
      </c>
      <c r="C115" s="36" t="s">
        <v>28</v>
      </c>
      <c r="D115" s="36" t="s">
        <v>128</v>
      </c>
      <c r="E115" s="36" t="s">
        <v>30</v>
      </c>
      <c r="F115" s="36" t="s">
        <v>31</v>
      </c>
      <c r="G115" s="37" t="s">
        <v>129</v>
      </c>
      <c r="H115" s="36" t="s">
        <v>130</v>
      </c>
      <c r="I115" s="36" t="s">
        <v>131</v>
      </c>
      <c r="J115" s="36">
        <v>1</v>
      </c>
      <c r="K115" s="36" t="s">
        <v>132</v>
      </c>
      <c r="L115" s="36">
        <v>1</v>
      </c>
      <c r="M115" s="36">
        <v>1</v>
      </c>
      <c r="N115" s="38">
        <v>794718407</v>
      </c>
      <c r="O115" s="41">
        <v>33113266</v>
      </c>
      <c r="P115" s="36">
        <v>24</v>
      </c>
      <c r="Q115" s="36" t="s">
        <v>73</v>
      </c>
      <c r="R115" s="36" t="s">
        <v>109</v>
      </c>
      <c r="S115" s="36" t="s">
        <v>133</v>
      </c>
      <c r="T115" s="36" t="s">
        <v>111</v>
      </c>
      <c r="U115" s="36" t="s">
        <v>112</v>
      </c>
      <c r="V115" s="40">
        <v>45505</v>
      </c>
      <c r="W115" s="40">
        <v>45478</v>
      </c>
      <c r="X115" s="36">
        <v>2</v>
      </c>
      <c r="Y115" s="36" t="s">
        <v>135</v>
      </c>
      <c r="Z115" s="36">
        <v>1</v>
      </c>
      <c r="AA115" s="36">
        <v>33113266</v>
      </c>
      <c r="AB115" s="40">
        <v>46204</v>
      </c>
      <c r="AC115" s="36" t="s">
        <v>2196</v>
      </c>
      <c r="AD115" s="36" t="str">
        <f>VLOOKUP(D115,Oficial!A:C,3,0)</f>
        <v>Arrastre</v>
      </c>
    </row>
    <row r="116" spans="1:30" x14ac:dyDescent="0.25">
      <c r="A116" s="36" t="s">
        <v>27</v>
      </c>
      <c r="B116" s="36" t="s">
        <v>128</v>
      </c>
      <c r="C116" s="36" t="s">
        <v>28</v>
      </c>
      <c r="D116" s="36" t="s">
        <v>128</v>
      </c>
      <c r="E116" s="36" t="s">
        <v>30</v>
      </c>
      <c r="F116" s="36" t="s">
        <v>31</v>
      </c>
      <c r="G116" s="37" t="s">
        <v>129</v>
      </c>
      <c r="H116" s="36" t="s">
        <v>130</v>
      </c>
      <c r="I116" s="36" t="s">
        <v>131</v>
      </c>
      <c r="J116" s="36">
        <v>1</v>
      </c>
      <c r="K116" s="36" t="s">
        <v>132</v>
      </c>
      <c r="L116" s="36">
        <v>1</v>
      </c>
      <c r="M116" s="36">
        <v>1</v>
      </c>
      <c r="N116" s="38">
        <v>794718407</v>
      </c>
      <c r="O116" s="41">
        <v>33113266</v>
      </c>
      <c r="P116" s="36">
        <v>24</v>
      </c>
      <c r="Q116" s="36" t="s">
        <v>73</v>
      </c>
      <c r="R116" s="36" t="s">
        <v>109</v>
      </c>
      <c r="S116" s="36" t="s">
        <v>133</v>
      </c>
      <c r="T116" s="36" t="s">
        <v>111</v>
      </c>
      <c r="U116" s="36" t="s">
        <v>112</v>
      </c>
      <c r="V116" s="40">
        <v>45505</v>
      </c>
      <c r="W116" s="40">
        <v>45478</v>
      </c>
      <c r="X116" s="36">
        <v>2</v>
      </c>
      <c r="Y116" s="36" t="s">
        <v>135</v>
      </c>
      <c r="Z116" s="36">
        <v>1</v>
      </c>
      <c r="AA116" s="36">
        <v>33113266</v>
      </c>
      <c r="AB116" s="40">
        <v>46174</v>
      </c>
      <c r="AC116" s="36" t="s">
        <v>2196</v>
      </c>
      <c r="AD116" s="36" t="str">
        <f>VLOOKUP(D116,Oficial!A:C,3,0)</f>
        <v>Arrastre</v>
      </c>
    </row>
    <row r="117" spans="1:30" x14ac:dyDescent="0.25">
      <c r="A117" s="36" t="s">
        <v>27</v>
      </c>
      <c r="B117" s="36" t="s">
        <v>128</v>
      </c>
      <c r="C117" s="36" t="s">
        <v>28</v>
      </c>
      <c r="D117" s="36" t="s">
        <v>128</v>
      </c>
      <c r="E117" s="36" t="s">
        <v>30</v>
      </c>
      <c r="F117" s="36" t="s">
        <v>31</v>
      </c>
      <c r="G117" s="37" t="s">
        <v>129</v>
      </c>
      <c r="H117" s="36" t="s">
        <v>130</v>
      </c>
      <c r="I117" s="36" t="s">
        <v>131</v>
      </c>
      <c r="J117" s="36">
        <v>1</v>
      </c>
      <c r="K117" s="36" t="s">
        <v>132</v>
      </c>
      <c r="L117" s="36">
        <v>1</v>
      </c>
      <c r="M117" s="36">
        <v>1</v>
      </c>
      <c r="N117" s="38">
        <v>794718407</v>
      </c>
      <c r="O117" s="41">
        <v>33113266</v>
      </c>
      <c r="P117" s="36">
        <v>24</v>
      </c>
      <c r="Q117" s="36" t="s">
        <v>73</v>
      </c>
      <c r="R117" s="36" t="s">
        <v>109</v>
      </c>
      <c r="S117" s="36" t="s">
        <v>133</v>
      </c>
      <c r="T117" s="36" t="s">
        <v>111</v>
      </c>
      <c r="U117" s="36" t="s">
        <v>112</v>
      </c>
      <c r="V117" s="40">
        <v>45505</v>
      </c>
      <c r="W117" s="40">
        <v>45478</v>
      </c>
      <c r="X117" s="36">
        <v>2</v>
      </c>
      <c r="Y117" s="36" t="s">
        <v>135</v>
      </c>
      <c r="Z117" s="36">
        <v>1</v>
      </c>
      <c r="AA117" s="36">
        <v>33113266</v>
      </c>
      <c r="AB117" s="40">
        <v>46327</v>
      </c>
      <c r="AC117" s="36" t="s">
        <v>2196</v>
      </c>
      <c r="AD117" s="36" t="str">
        <f>VLOOKUP(D117,Oficial!A:C,3,0)</f>
        <v>Arrastre</v>
      </c>
    </row>
    <row r="118" spans="1:30" x14ac:dyDescent="0.25">
      <c r="A118" s="36" t="s">
        <v>27</v>
      </c>
      <c r="B118" s="36" t="s">
        <v>128</v>
      </c>
      <c r="C118" s="36" t="s">
        <v>28</v>
      </c>
      <c r="D118" s="36" t="s">
        <v>128</v>
      </c>
      <c r="E118" s="36" t="s">
        <v>30</v>
      </c>
      <c r="F118" s="36" t="s">
        <v>31</v>
      </c>
      <c r="G118" s="37" t="s">
        <v>129</v>
      </c>
      <c r="H118" s="36" t="s">
        <v>130</v>
      </c>
      <c r="I118" s="36" t="s">
        <v>131</v>
      </c>
      <c r="J118" s="36">
        <v>1</v>
      </c>
      <c r="K118" s="36" t="s">
        <v>132</v>
      </c>
      <c r="L118" s="36">
        <v>1</v>
      </c>
      <c r="M118" s="36">
        <v>1</v>
      </c>
      <c r="N118" s="38">
        <v>794718407</v>
      </c>
      <c r="O118" s="41">
        <v>33113266</v>
      </c>
      <c r="P118" s="36">
        <v>24</v>
      </c>
      <c r="Q118" s="36" t="s">
        <v>73</v>
      </c>
      <c r="R118" s="36" t="s">
        <v>109</v>
      </c>
      <c r="S118" s="36" t="s">
        <v>133</v>
      </c>
      <c r="T118" s="36" t="s">
        <v>111</v>
      </c>
      <c r="U118" s="36" t="s">
        <v>112</v>
      </c>
      <c r="V118" s="40">
        <v>45505</v>
      </c>
      <c r="W118" s="40">
        <v>45478</v>
      </c>
      <c r="X118" s="36">
        <v>2</v>
      </c>
      <c r="Y118" s="36" t="s">
        <v>134</v>
      </c>
      <c r="Z118" s="36">
        <v>1</v>
      </c>
      <c r="AA118" s="36">
        <v>33113266</v>
      </c>
      <c r="AB118" s="40">
        <v>46235</v>
      </c>
      <c r="AC118" s="36" t="s">
        <v>2196</v>
      </c>
      <c r="AD118" s="36" t="str">
        <f>VLOOKUP(D118,Oficial!A:C,3,0)</f>
        <v>Arrastre</v>
      </c>
    </row>
    <row r="119" spans="1:30" x14ac:dyDescent="0.25">
      <c r="A119" s="36" t="s">
        <v>27</v>
      </c>
      <c r="B119" s="36" t="s">
        <v>128</v>
      </c>
      <c r="C119" s="36" t="s">
        <v>28</v>
      </c>
      <c r="D119" s="36" t="s">
        <v>128</v>
      </c>
      <c r="E119" s="36" t="s">
        <v>30</v>
      </c>
      <c r="F119" s="36" t="s">
        <v>31</v>
      </c>
      <c r="G119" s="37" t="s">
        <v>129</v>
      </c>
      <c r="H119" s="36" t="s">
        <v>130</v>
      </c>
      <c r="I119" s="36" t="s">
        <v>131</v>
      </c>
      <c r="J119" s="36">
        <v>1</v>
      </c>
      <c r="K119" s="36" t="s">
        <v>132</v>
      </c>
      <c r="L119" s="36">
        <v>1</v>
      </c>
      <c r="M119" s="36">
        <v>1</v>
      </c>
      <c r="N119" s="38">
        <v>794718407</v>
      </c>
      <c r="O119" s="41">
        <v>33113266</v>
      </c>
      <c r="P119" s="36">
        <v>24</v>
      </c>
      <c r="Q119" s="36" t="s">
        <v>73</v>
      </c>
      <c r="R119" s="36" t="s">
        <v>109</v>
      </c>
      <c r="S119" s="36" t="s">
        <v>133</v>
      </c>
      <c r="T119" s="36" t="s">
        <v>111</v>
      </c>
      <c r="U119" s="36" t="s">
        <v>112</v>
      </c>
      <c r="V119" s="40">
        <v>45505</v>
      </c>
      <c r="W119" s="40">
        <v>45478</v>
      </c>
      <c r="X119" s="36">
        <v>2</v>
      </c>
      <c r="Y119" s="36" t="s">
        <v>135</v>
      </c>
      <c r="Z119" s="36">
        <v>1</v>
      </c>
      <c r="AA119" s="36">
        <v>33113266</v>
      </c>
      <c r="AB119" s="40">
        <v>46357</v>
      </c>
      <c r="AC119" s="36" t="s">
        <v>2196</v>
      </c>
      <c r="AD119" s="36" t="str">
        <f>VLOOKUP(D119,Oficial!A:C,3,0)</f>
        <v>Arrastre</v>
      </c>
    </row>
    <row r="120" spans="1:30" x14ac:dyDescent="0.25">
      <c r="A120" s="36" t="s">
        <v>27</v>
      </c>
      <c r="B120" s="36" t="s">
        <v>128</v>
      </c>
      <c r="C120" s="36" t="s">
        <v>28</v>
      </c>
      <c r="D120" s="36" t="s">
        <v>128</v>
      </c>
      <c r="E120" s="36" t="s">
        <v>30</v>
      </c>
      <c r="F120" s="36" t="s">
        <v>31</v>
      </c>
      <c r="G120" s="37" t="s">
        <v>129</v>
      </c>
      <c r="H120" s="36" t="s">
        <v>130</v>
      </c>
      <c r="I120" s="36" t="s">
        <v>131</v>
      </c>
      <c r="J120" s="36">
        <v>1</v>
      </c>
      <c r="K120" s="36" t="s">
        <v>132</v>
      </c>
      <c r="L120" s="36">
        <v>1</v>
      </c>
      <c r="M120" s="36">
        <v>1</v>
      </c>
      <c r="N120" s="38">
        <v>794718407</v>
      </c>
      <c r="O120" s="41">
        <v>33113266</v>
      </c>
      <c r="P120" s="36">
        <v>24</v>
      </c>
      <c r="Q120" s="36" t="s">
        <v>73</v>
      </c>
      <c r="R120" s="36" t="s">
        <v>109</v>
      </c>
      <c r="S120" s="36" t="s">
        <v>133</v>
      </c>
      <c r="T120" s="36" t="s">
        <v>111</v>
      </c>
      <c r="U120" s="36" t="s">
        <v>112</v>
      </c>
      <c r="V120" s="40">
        <v>45505</v>
      </c>
      <c r="W120" s="40">
        <v>45478</v>
      </c>
      <c r="X120" s="36">
        <v>2</v>
      </c>
      <c r="Y120" s="36" t="s">
        <v>134</v>
      </c>
      <c r="Z120" s="36">
        <v>1</v>
      </c>
      <c r="AA120" s="36">
        <v>33113266</v>
      </c>
      <c r="AB120" s="40">
        <v>46113</v>
      </c>
      <c r="AC120" s="36" t="s">
        <v>2196</v>
      </c>
      <c r="AD120" s="36" t="str">
        <f>VLOOKUP(D120,Oficial!A:C,3,0)</f>
        <v>Arrastre</v>
      </c>
    </row>
    <row r="121" spans="1:30" x14ac:dyDescent="0.25">
      <c r="A121" s="36" t="s">
        <v>27</v>
      </c>
      <c r="B121" s="36" t="s">
        <v>128</v>
      </c>
      <c r="C121" s="36" t="s">
        <v>28</v>
      </c>
      <c r="D121" s="36" t="s">
        <v>128</v>
      </c>
      <c r="E121" s="36" t="s">
        <v>30</v>
      </c>
      <c r="F121" s="36" t="s">
        <v>31</v>
      </c>
      <c r="G121" s="37" t="s">
        <v>129</v>
      </c>
      <c r="H121" s="36" t="s">
        <v>130</v>
      </c>
      <c r="I121" s="36" t="s">
        <v>131</v>
      </c>
      <c r="J121" s="36">
        <v>1</v>
      </c>
      <c r="K121" s="36" t="s">
        <v>132</v>
      </c>
      <c r="L121" s="36">
        <v>1</v>
      </c>
      <c r="M121" s="36">
        <v>1</v>
      </c>
      <c r="N121" s="38">
        <v>794718407</v>
      </c>
      <c r="O121" s="41">
        <v>33113289</v>
      </c>
      <c r="P121" s="36">
        <v>24</v>
      </c>
      <c r="Q121" s="36" t="s">
        <v>73</v>
      </c>
      <c r="R121" s="36" t="s">
        <v>109</v>
      </c>
      <c r="S121" s="36" t="s">
        <v>133</v>
      </c>
      <c r="T121" s="36" t="s">
        <v>111</v>
      </c>
      <c r="U121" s="36" t="s">
        <v>112</v>
      </c>
      <c r="V121" s="40">
        <v>45505</v>
      </c>
      <c r="W121" s="40">
        <v>45478</v>
      </c>
      <c r="X121" s="36">
        <v>2</v>
      </c>
      <c r="Y121" s="36" t="s">
        <v>135</v>
      </c>
      <c r="Z121" s="36">
        <v>1</v>
      </c>
      <c r="AA121" s="36">
        <v>33113289</v>
      </c>
      <c r="AB121" s="40">
        <v>46143</v>
      </c>
      <c r="AC121" s="36" t="s">
        <v>2196</v>
      </c>
      <c r="AD121" s="36" t="str">
        <f>VLOOKUP(D121,Oficial!A:C,3,0)</f>
        <v>Arrastre</v>
      </c>
    </row>
    <row r="122" spans="1:30" x14ac:dyDescent="0.25">
      <c r="A122" s="36" t="s">
        <v>27</v>
      </c>
      <c r="B122" s="36" t="s">
        <v>136</v>
      </c>
      <c r="C122" s="36" t="s">
        <v>28</v>
      </c>
      <c r="D122" s="36" t="s">
        <v>136</v>
      </c>
      <c r="E122" s="36" t="s">
        <v>30</v>
      </c>
      <c r="F122" s="36" t="s">
        <v>31</v>
      </c>
      <c r="G122" s="37" t="s">
        <v>137</v>
      </c>
      <c r="H122" s="36" t="s">
        <v>138</v>
      </c>
      <c r="I122" s="36" t="s">
        <v>139</v>
      </c>
      <c r="J122" s="36">
        <v>1</v>
      </c>
      <c r="K122" s="36" t="s">
        <v>140</v>
      </c>
      <c r="L122" s="36">
        <v>1</v>
      </c>
      <c r="M122" s="36">
        <v>1</v>
      </c>
      <c r="N122" s="38">
        <v>1491521358</v>
      </c>
      <c r="O122" s="38">
        <v>41414809</v>
      </c>
      <c r="P122" s="36">
        <v>30</v>
      </c>
      <c r="Q122" s="36" t="s">
        <v>108</v>
      </c>
      <c r="R122" s="36" t="s">
        <v>141</v>
      </c>
      <c r="S122" s="36" t="s">
        <v>142</v>
      </c>
      <c r="T122" s="36" t="s">
        <v>143</v>
      </c>
      <c r="U122" s="36" t="s">
        <v>144</v>
      </c>
      <c r="V122" s="40">
        <v>45444</v>
      </c>
      <c r="W122" s="40">
        <v>45478</v>
      </c>
      <c r="X122" s="36">
        <v>14</v>
      </c>
      <c r="Y122" s="36" t="s">
        <v>145</v>
      </c>
      <c r="Z122" s="36">
        <v>1</v>
      </c>
      <c r="AA122" s="36">
        <v>41414809</v>
      </c>
      <c r="AB122" s="40">
        <v>46082</v>
      </c>
      <c r="AC122" s="36" t="s">
        <v>2196</v>
      </c>
      <c r="AD122" s="36" t="str">
        <f>VLOOKUP(D122,Oficial!A:C,3,0)</f>
        <v>Arrastre</v>
      </c>
    </row>
    <row r="123" spans="1:30" x14ac:dyDescent="0.25">
      <c r="A123" s="36" t="s">
        <v>27</v>
      </c>
      <c r="B123" s="36" t="s">
        <v>136</v>
      </c>
      <c r="C123" s="36" t="s">
        <v>28</v>
      </c>
      <c r="D123" s="36" t="s">
        <v>136</v>
      </c>
      <c r="E123" s="36" t="s">
        <v>30</v>
      </c>
      <c r="F123" s="36" t="s">
        <v>31</v>
      </c>
      <c r="G123" s="37" t="s">
        <v>137</v>
      </c>
      <c r="H123" s="36" t="s">
        <v>138</v>
      </c>
      <c r="I123" s="36" t="s">
        <v>139</v>
      </c>
      <c r="J123" s="36">
        <v>1</v>
      </c>
      <c r="K123" s="36" t="s">
        <v>140</v>
      </c>
      <c r="L123" s="36">
        <v>1</v>
      </c>
      <c r="M123" s="36">
        <v>1</v>
      </c>
      <c r="N123" s="38">
        <v>1491521358</v>
      </c>
      <c r="O123" s="38">
        <v>41414809</v>
      </c>
      <c r="P123" s="36">
        <v>30</v>
      </c>
      <c r="Q123" s="36" t="s">
        <v>108</v>
      </c>
      <c r="R123" s="36" t="s">
        <v>141</v>
      </c>
      <c r="S123" s="36" t="s">
        <v>142</v>
      </c>
      <c r="T123" s="36" t="s">
        <v>143</v>
      </c>
      <c r="U123" s="36" t="s">
        <v>144</v>
      </c>
      <c r="V123" s="40">
        <v>45444</v>
      </c>
      <c r="W123" s="40">
        <v>45478</v>
      </c>
      <c r="X123" s="36">
        <v>14</v>
      </c>
      <c r="Y123" s="36" t="s">
        <v>146</v>
      </c>
      <c r="Z123" s="36">
        <v>1</v>
      </c>
      <c r="AA123" s="36">
        <v>41414809</v>
      </c>
      <c r="AB123" s="40">
        <v>46082</v>
      </c>
      <c r="AC123" s="36" t="s">
        <v>2196</v>
      </c>
      <c r="AD123" s="36" t="str">
        <f>VLOOKUP(D123,Oficial!A:C,3,0)</f>
        <v>Arrastre</v>
      </c>
    </row>
    <row r="124" spans="1:30" x14ac:dyDescent="0.25">
      <c r="A124" s="36" t="s">
        <v>27</v>
      </c>
      <c r="B124" s="36" t="s">
        <v>136</v>
      </c>
      <c r="C124" s="36" t="s">
        <v>28</v>
      </c>
      <c r="D124" s="36" t="s">
        <v>136</v>
      </c>
      <c r="E124" s="36" t="s">
        <v>30</v>
      </c>
      <c r="F124" s="36" t="s">
        <v>31</v>
      </c>
      <c r="G124" s="37" t="s">
        <v>137</v>
      </c>
      <c r="H124" s="36" t="s">
        <v>138</v>
      </c>
      <c r="I124" s="36" t="s">
        <v>139</v>
      </c>
      <c r="J124" s="36">
        <v>1</v>
      </c>
      <c r="K124" s="36" t="s">
        <v>140</v>
      </c>
      <c r="L124" s="36">
        <v>1</v>
      </c>
      <c r="M124" s="36">
        <v>1</v>
      </c>
      <c r="N124" s="38">
        <v>1491521358</v>
      </c>
      <c r="O124" s="38">
        <v>41414809</v>
      </c>
      <c r="P124" s="36">
        <v>30</v>
      </c>
      <c r="Q124" s="36" t="s">
        <v>108</v>
      </c>
      <c r="R124" s="36" t="s">
        <v>141</v>
      </c>
      <c r="S124" s="36" t="s">
        <v>142</v>
      </c>
      <c r="T124" s="36" t="s">
        <v>143</v>
      </c>
      <c r="U124" s="36" t="s">
        <v>144</v>
      </c>
      <c r="V124" s="40">
        <v>45444</v>
      </c>
      <c r="W124" s="40">
        <v>45478</v>
      </c>
      <c r="X124" s="36">
        <v>14</v>
      </c>
      <c r="Y124" s="36" t="s">
        <v>146</v>
      </c>
      <c r="Z124" s="36">
        <v>1</v>
      </c>
      <c r="AA124" s="36">
        <v>41414809</v>
      </c>
      <c r="AB124" s="40">
        <v>46327</v>
      </c>
      <c r="AC124" s="36" t="s">
        <v>2196</v>
      </c>
      <c r="AD124" s="36" t="str">
        <f>VLOOKUP(D124,Oficial!A:C,3,0)</f>
        <v>Arrastre</v>
      </c>
    </row>
    <row r="125" spans="1:30" x14ac:dyDescent="0.25">
      <c r="A125" s="36" t="s">
        <v>27</v>
      </c>
      <c r="B125" s="36" t="s">
        <v>136</v>
      </c>
      <c r="C125" s="36" t="s">
        <v>28</v>
      </c>
      <c r="D125" s="36" t="s">
        <v>136</v>
      </c>
      <c r="E125" s="36" t="s">
        <v>30</v>
      </c>
      <c r="F125" s="36" t="s">
        <v>31</v>
      </c>
      <c r="G125" s="37" t="s">
        <v>137</v>
      </c>
      <c r="H125" s="36" t="s">
        <v>138</v>
      </c>
      <c r="I125" s="36" t="s">
        <v>139</v>
      </c>
      <c r="J125" s="36">
        <v>1</v>
      </c>
      <c r="K125" s="36" t="s">
        <v>140</v>
      </c>
      <c r="L125" s="36">
        <v>1</v>
      </c>
      <c r="M125" s="36">
        <v>1</v>
      </c>
      <c r="N125" s="38">
        <v>1491521358</v>
      </c>
      <c r="O125" s="38">
        <v>41414809</v>
      </c>
      <c r="P125" s="36">
        <v>30</v>
      </c>
      <c r="Q125" s="36" t="s">
        <v>108</v>
      </c>
      <c r="R125" s="36" t="s">
        <v>141</v>
      </c>
      <c r="S125" s="36" t="s">
        <v>142</v>
      </c>
      <c r="T125" s="36" t="s">
        <v>143</v>
      </c>
      <c r="U125" s="36" t="s">
        <v>144</v>
      </c>
      <c r="V125" s="40">
        <v>45444</v>
      </c>
      <c r="W125" s="40">
        <v>45478</v>
      </c>
      <c r="X125" s="36">
        <v>14</v>
      </c>
      <c r="Y125" s="36" t="s">
        <v>147</v>
      </c>
      <c r="Z125" s="36">
        <v>1</v>
      </c>
      <c r="AA125" s="36">
        <v>41414809</v>
      </c>
      <c r="AB125" s="40">
        <v>46023</v>
      </c>
      <c r="AC125" s="36" t="s">
        <v>2196</v>
      </c>
      <c r="AD125" s="36" t="str">
        <f>VLOOKUP(D125,Oficial!A:C,3,0)</f>
        <v>Arrastre</v>
      </c>
    </row>
    <row r="126" spans="1:30" x14ac:dyDescent="0.25">
      <c r="A126" s="36" t="s">
        <v>27</v>
      </c>
      <c r="B126" s="36" t="s">
        <v>136</v>
      </c>
      <c r="C126" s="36" t="s">
        <v>28</v>
      </c>
      <c r="D126" s="36" t="s">
        <v>136</v>
      </c>
      <c r="E126" s="36" t="s">
        <v>30</v>
      </c>
      <c r="F126" s="36" t="s">
        <v>31</v>
      </c>
      <c r="G126" s="37" t="s">
        <v>137</v>
      </c>
      <c r="H126" s="36" t="s">
        <v>138</v>
      </c>
      <c r="I126" s="36" t="s">
        <v>139</v>
      </c>
      <c r="J126" s="36">
        <v>1</v>
      </c>
      <c r="K126" s="36" t="s">
        <v>140</v>
      </c>
      <c r="L126" s="36">
        <v>1</v>
      </c>
      <c r="M126" s="36">
        <v>1</v>
      </c>
      <c r="N126" s="38">
        <v>1491521358</v>
      </c>
      <c r="O126" s="38">
        <v>41414809</v>
      </c>
      <c r="P126" s="36">
        <v>30</v>
      </c>
      <c r="Q126" s="36" t="s">
        <v>108</v>
      </c>
      <c r="R126" s="36" t="s">
        <v>141</v>
      </c>
      <c r="S126" s="36" t="s">
        <v>142</v>
      </c>
      <c r="T126" s="36" t="s">
        <v>143</v>
      </c>
      <c r="U126" s="36" t="s">
        <v>144</v>
      </c>
      <c r="V126" s="40">
        <v>45444</v>
      </c>
      <c r="W126" s="40">
        <v>45478</v>
      </c>
      <c r="X126" s="36">
        <v>14</v>
      </c>
      <c r="Y126" s="36" t="s">
        <v>145</v>
      </c>
      <c r="Z126" s="36">
        <v>1</v>
      </c>
      <c r="AA126" s="36">
        <v>41414809</v>
      </c>
      <c r="AB126" s="40">
        <v>46204</v>
      </c>
      <c r="AC126" s="36" t="s">
        <v>2196</v>
      </c>
      <c r="AD126" s="36" t="str">
        <f>VLOOKUP(D126,Oficial!A:C,3,0)</f>
        <v>Arrastre</v>
      </c>
    </row>
    <row r="127" spans="1:30" x14ac:dyDescent="0.25">
      <c r="A127" s="36" t="s">
        <v>27</v>
      </c>
      <c r="B127" s="36" t="s">
        <v>136</v>
      </c>
      <c r="C127" s="36" t="s">
        <v>28</v>
      </c>
      <c r="D127" s="36" t="s">
        <v>136</v>
      </c>
      <c r="E127" s="36" t="s">
        <v>30</v>
      </c>
      <c r="F127" s="36" t="s">
        <v>31</v>
      </c>
      <c r="G127" s="37" t="s">
        <v>137</v>
      </c>
      <c r="H127" s="36" t="s">
        <v>138</v>
      </c>
      <c r="I127" s="36" t="s">
        <v>139</v>
      </c>
      <c r="J127" s="36">
        <v>1</v>
      </c>
      <c r="K127" s="36" t="s">
        <v>140</v>
      </c>
      <c r="L127" s="36">
        <v>1</v>
      </c>
      <c r="M127" s="36">
        <v>1</v>
      </c>
      <c r="N127" s="38">
        <v>1491521358</v>
      </c>
      <c r="O127" s="38">
        <v>41414809</v>
      </c>
      <c r="P127" s="36">
        <v>30</v>
      </c>
      <c r="Q127" s="36" t="s">
        <v>108</v>
      </c>
      <c r="R127" s="36" t="s">
        <v>141</v>
      </c>
      <c r="S127" s="36" t="s">
        <v>142</v>
      </c>
      <c r="T127" s="36" t="s">
        <v>143</v>
      </c>
      <c r="U127" s="36" t="s">
        <v>144</v>
      </c>
      <c r="V127" s="40">
        <v>45444</v>
      </c>
      <c r="W127" s="40">
        <v>45478</v>
      </c>
      <c r="X127" s="36">
        <v>14</v>
      </c>
      <c r="Y127" s="36" t="s">
        <v>146</v>
      </c>
      <c r="Z127" s="36">
        <v>1</v>
      </c>
      <c r="AA127" s="36">
        <v>41414809</v>
      </c>
      <c r="AB127" s="40">
        <v>46204</v>
      </c>
      <c r="AC127" s="36" t="s">
        <v>2196</v>
      </c>
      <c r="AD127" s="36" t="str">
        <f>VLOOKUP(D127,Oficial!A:C,3,0)</f>
        <v>Arrastre</v>
      </c>
    </row>
    <row r="128" spans="1:30" x14ac:dyDescent="0.25">
      <c r="A128" s="36" t="s">
        <v>27</v>
      </c>
      <c r="B128" s="36" t="s">
        <v>136</v>
      </c>
      <c r="C128" s="36" t="s">
        <v>28</v>
      </c>
      <c r="D128" s="36" t="s">
        <v>136</v>
      </c>
      <c r="E128" s="36" t="s">
        <v>30</v>
      </c>
      <c r="F128" s="36" t="s">
        <v>31</v>
      </c>
      <c r="G128" s="37" t="s">
        <v>137</v>
      </c>
      <c r="H128" s="36" t="s">
        <v>138</v>
      </c>
      <c r="I128" s="36" t="s">
        <v>139</v>
      </c>
      <c r="J128" s="36">
        <v>1</v>
      </c>
      <c r="K128" s="36" t="s">
        <v>140</v>
      </c>
      <c r="L128" s="36">
        <v>1</v>
      </c>
      <c r="M128" s="36">
        <v>1</v>
      </c>
      <c r="N128" s="38">
        <v>1491521358</v>
      </c>
      <c r="O128" s="38">
        <v>41414809</v>
      </c>
      <c r="P128" s="36">
        <v>30</v>
      </c>
      <c r="Q128" s="36" t="s">
        <v>108</v>
      </c>
      <c r="R128" s="36" t="s">
        <v>141</v>
      </c>
      <c r="S128" s="36" t="s">
        <v>142</v>
      </c>
      <c r="T128" s="36" t="s">
        <v>143</v>
      </c>
      <c r="U128" s="36" t="s">
        <v>144</v>
      </c>
      <c r="V128" s="40">
        <v>45444</v>
      </c>
      <c r="W128" s="40">
        <v>45478</v>
      </c>
      <c r="X128" s="36">
        <v>14</v>
      </c>
      <c r="Y128" s="36" t="s">
        <v>147</v>
      </c>
      <c r="Z128" s="36">
        <v>1</v>
      </c>
      <c r="AA128" s="36">
        <v>41414809</v>
      </c>
      <c r="AB128" s="40">
        <v>46143</v>
      </c>
      <c r="AC128" s="36" t="s">
        <v>2196</v>
      </c>
      <c r="AD128" s="36" t="str">
        <f>VLOOKUP(D128,Oficial!A:C,3,0)</f>
        <v>Arrastre</v>
      </c>
    </row>
    <row r="129" spans="1:30" x14ac:dyDescent="0.25">
      <c r="A129" s="36" t="s">
        <v>27</v>
      </c>
      <c r="B129" s="36" t="s">
        <v>136</v>
      </c>
      <c r="C129" s="36" t="s">
        <v>28</v>
      </c>
      <c r="D129" s="36" t="s">
        <v>136</v>
      </c>
      <c r="E129" s="36" t="s">
        <v>30</v>
      </c>
      <c r="F129" s="36" t="s">
        <v>31</v>
      </c>
      <c r="G129" s="37" t="s">
        <v>137</v>
      </c>
      <c r="H129" s="36" t="s">
        <v>138</v>
      </c>
      <c r="I129" s="36" t="s">
        <v>139</v>
      </c>
      <c r="J129" s="36">
        <v>1</v>
      </c>
      <c r="K129" s="36" t="s">
        <v>140</v>
      </c>
      <c r="L129" s="36">
        <v>1</v>
      </c>
      <c r="M129" s="36">
        <v>1</v>
      </c>
      <c r="N129" s="38">
        <v>1491521358</v>
      </c>
      <c r="O129" s="38">
        <v>41414809</v>
      </c>
      <c r="P129" s="36">
        <v>30</v>
      </c>
      <c r="Q129" s="36" t="s">
        <v>108</v>
      </c>
      <c r="R129" s="36" t="s">
        <v>141</v>
      </c>
      <c r="S129" s="36" t="s">
        <v>142</v>
      </c>
      <c r="T129" s="36" t="s">
        <v>143</v>
      </c>
      <c r="U129" s="36" t="s">
        <v>144</v>
      </c>
      <c r="V129" s="40">
        <v>45444</v>
      </c>
      <c r="W129" s="40">
        <v>45478</v>
      </c>
      <c r="X129" s="36">
        <v>14</v>
      </c>
      <c r="Y129" s="36" t="s">
        <v>145</v>
      </c>
      <c r="Z129" s="36">
        <v>1</v>
      </c>
      <c r="AA129" s="36">
        <v>41414809</v>
      </c>
      <c r="AB129" s="40">
        <v>46113</v>
      </c>
      <c r="AC129" s="36" t="s">
        <v>2196</v>
      </c>
      <c r="AD129" s="36" t="str">
        <f>VLOOKUP(D129,Oficial!A:C,3,0)</f>
        <v>Arrastre</v>
      </c>
    </row>
    <row r="130" spans="1:30" x14ac:dyDescent="0.25">
      <c r="A130" s="36" t="s">
        <v>27</v>
      </c>
      <c r="B130" s="36" t="s">
        <v>136</v>
      </c>
      <c r="C130" s="36" t="s">
        <v>28</v>
      </c>
      <c r="D130" s="36" t="s">
        <v>136</v>
      </c>
      <c r="E130" s="36" t="s">
        <v>30</v>
      </c>
      <c r="F130" s="36" t="s">
        <v>31</v>
      </c>
      <c r="G130" s="37" t="s">
        <v>137</v>
      </c>
      <c r="H130" s="36" t="s">
        <v>138</v>
      </c>
      <c r="I130" s="36" t="s">
        <v>139</v>
      </c>
      <c r="J130" s="36">
        <v>1</v>
      </c>
      <c r="K130" s="36" t="s">
        <v>140</v>
      </c>
      <c r="L130" s="36">
        <v>1</v>
      </c>
      <c r="M130" s="36">
        <v>1</v>
      </c>
      <c r="N130" s="38">
        <v>1491521358</v>
      </c>
      <c r="O130" s="38">
        <v>41414809</v>
      </c>
      <c r="P130" s="36">
        <v>30</v>
      </c>
      <c r="Q130" s="36" t="s">
        <v>108</v>
      </c>
      <c r="R130" s="36" t="s">
        <v>141</v>
      </c>
      <c r="S130" s="36" t="s">
        <v>142</v>
      </c>
      <c r="T130" s="36" t="s">
        <v>143</v>
      </c>
      <c r="U130" s="36" t="s">
        <v>144</v>
      </c>
      <c r="V130" s="40">
        <v>45444</v>
      </c>
      <c r="W130" s="40">
        <v>45478</v>
      </c>
      <c r="X130" s="36">
        <v>14</v>
      </c>
      <c r="Y130" s="36" t="s">
        <v>146</v>
      </c>
      <c r="Z130" s="36">
        <v>1</v>
      </c>
      <c r="AA130" s="36">
        <v>41414809</v>
      </c>
      <c r="AB130" s="40">
        <v>46143</v>
      </c>
      <c r="AC130" s="36" t="s">
        <v>2196</v>
      </c>
      <c r="AD130" s="36" t="str">
        <f>VLOOKUP(D130,Oficial!A:C,3,0)</f>
        <v>Arrastre</v>
      </c>
    </row>
    <row r="131" spans="1:30" x14ac:dyDescent="0.25">
      <c r="A131" s="36" t="s">
        <v>27</v>
      </c>
      <c r="B131" s="36" t="s">
        <v>136</v>
      </c>
      <c r="C131" s="36" t="s">
        <v>28</v>
      </c>
      <c r="D131" s="36" t="s">
        <v>136</v>
      </c>
      <c r="E131" s="36" t="s">
        <v>30</v>
      </c>
      <c r="F131" s="36" t="s">
        <v>31</v>
      </c>
      <c r="G131" s="37" t="s">
        <v>137</v>
      </c>
      <c r="H131" s="36" t="s">
        <v>138</v>
      </c>
      <c r="I131" s="36" t="s">
        <v>139</v>
      </c>
      <c r="J131" s="36">
        <v>1</v>
      </c>
      <c r="K131" s="36" t="s">
        <v>140</v>
      </c>
      <c r="L131" s="36">
        <v>1</v>
      </c>
      <c r="M131" s="36">
        <v>1</v>
      </c>
      <c r="N131" s="38">
        <v>1491521358</v>
      </c>
      <c r="O131" s="38">
        <v>41414809</v>
      </c>
      <c r="P131" s="36">
        <v>30</v>
      </c>
      <c r="Q131" s="36" t="s">
        <v>108</v>
      </c>
      <c r="R131" s="36" t="s">
        <v>141</v>
      </c>
      <c r="S131" s="36" t="s">
        <v>142</v>
      </c>
      <c r="T131" s="36" t="s">
        <v>143</v>
      </c>
      <c r="U131" s="36" t="s">
        <v>144</v>
      </c>
      <c r="V131" s="40">
        <v>45444</v>
      </c>
      <c r="W131" s="40">
        <v>45478</v>
      </c>
      <c r="X131" s="36">
        <v>14</v>
      </c>
      <c r="Y131" s="36" t="s">
        <v>146</v>
      </c>
      <c r="Z131" s="36">
        <v>1</v>
      </c>
      <c r="AA131" s="36">
        <v>41414809</v>
      </c>
      <c r="AB131" s="40">
        <v>46113</v>
      </c>
      <c r="AC131" s="36" t="s">
        <v>2196</v>
      </c>
      <c r="AD131" s="36" t="str">
        <f>VLOOKUP(D131,Oficial!A:C,3,0)</f>
        <v>Arrastre</v>
      </c>
    </row>
    <row r="132" spans="1:30" x14ac:dyDescent="0.25">
      <c r="A132" s="36" t="s">
        <v>27</v>
      </c>
      <c r="B132" s="36" t="s">
        <v>136</v>
      </c>
      <c r="C132" s="36" t="s">
        <v>28</v>
      </c>
      <c r="D132" s="36" t="s">
        <v>136</v>
      </c>
      <c r="E132" s="36" t="s">
        <v>30</v>
      </c>
      <c r="F132" s="36" t="s">
        <v>31</v>
      </c>
      <c r="G132" s="37" t="s">
        <v>137</v>
      </c>
      <c r="H132" s="36" t="s">
        <v>138</v>
      </c>
      <c r="I132" s="36" t="s">
        <v>139</v>
      </c>
      <c r="J132" s="36">
        <v>1</v>
      </c>
      <c r="K132" s="36" t="s">
        <v>140</v>
      </c>
      <c r="L132" s="36">
        <v>1</v>
      </c>
      <c r="M132" s="36">
        <v>1</v>
      </c>
      <c r="N132" s="38">
        <v>1491521358</v>
      </c>
      <c r="O132" s="38">
        <v>41414809</v>
      </c>
      <c r="P132" s="36">
        <v>30</v>
      </c>
      <c r="Q132" s="36" t="s">
        <v>108</v>
      </c>
      <c r="R132" s="36" t="s">
        <v>141</v>
      </c>
      <c r="S132" s="36" t="s">
        <v>142</v>
      </c>
      <c r="T132" s="36" t="s">
        <v>143</v>
      </c>
      <c r="U132" s="36" t="s">
        <v>144</v>
      </c>
      <c r="V132" s="40">
        <v>45444</v>
      </c>
      <c r="W132" s="40">
        <v>45478</v>
      </c>
      <c r="X132" s="36">
        <v>14</v>
      </c>
      <c r="Y132" s="36" t="s">
        <v>145</v>
      </c>
      <c r="Z132" s="36">
        <v>1</v>
      </c>
      <c r="AA132" s="36">
        <v>41414809</v>
      </c>
      <c r="AB132" s="40">
        <v>46023</v>
      </c>
      <c r="AC132" s="36" t="s">
        <v>2196</v>
      </c>
      <c r="AD132" s="36" t="str">
        <f>VLOOKUP(D132,Oficial!A:C,3,0)</f>
        <v>Arrastre</v>
      </c>
    </row>
    <row r="133" spans="1:30" x14ac:dyDescent="0.25">
      <c r="A133" s="36" t="s">
        <v>27</v>
      </c>
      <c r="B133" s="36" t="s">
        <v>136</v>
      </c>
      <c r="C133" s="36" t="s">
        <v>28</v>
      </c>
      <c r="D133" s="36" t="s">
        <v>136</v>
      </c>
      <c r="E133" s="36" t="s">
        <v>30</v>
      </c>
      <c r="F133" s="36" t="s">
        <v>31</v>
      </c>
      <c r="G133" s="37" t="s">
        <v>137</v>
      </c>
      <c r="H133" s="36" t="s">
        <v>138</v>
      </c>
      <c r="I133" s="36" t="s">
        <v>139</v>
      </c>
      <c r="J133" s="36">
        <v>1</v>
      </c>
      <c r="K133" s="36" t="s">
        <v>140</v>
      </c>
      <c r="L133" s="36">
        <v>1</v>
      </c>
      <c r="M133" s="36">
        <v>1</v>
      </c>
      <c r="N133" s="38">
        <v>1491521358</v>
      </c>
      <c r="O133" s="38">
        <v>41414809</v>
      </c>
      <c r="P133" s="36">
        <v>30</v>
      </c>
      <c r="Q133" s="36" t="s">
        <v>108</v>
      </c>
      <c r="R133" s="36" t="s">
        <v>141</v>
      </c>
      <c r="S133" s="36" t="s">
        <v>142</v>
      </c>
      <c r="T133" s="36" t="s">
        <v>143</v>
      </c>
      <c r="U133" s="36" t="s">
        <v>144</v>
      </c>
      <c r="V133" s="40">
        <v>45444</v>
      </c>
      <c r="W133" s="40">
        <v>45478</v>
      </c>
      <c r="X133" s="36">
        <v>14</v>
      </c>
      <c r="Y133" s="36" t="s">
        <v>146</v>
      </c>
      <c r="Z133" s="36">
        <v>1</v>
      </c>
      <c r="AA133" s="36">
        <v>41414809</v>
      </c>
      <c r="AB133" s="40">
        <v>46054</v>
      </c>
      <c r="AC133" s="36" t="s">
        <v>2196</v>
      </c>
      <c r="AD133" s="36" t="str">
        <f>VLOOKUP(D133,Oficial!A:C,3,0)</f>
        <v>Arrastre</v>
      </c>
    </row>
    <row r="134" spans="1:30" x14ac:dyDescent="0.25">
      <c r="A134" s="36" t="s">
        <v>27</v>
      </c>
      <c r="B134" s="36" t="s">
        <v>148</v>
      </c>
      <c r="C134" s="36" t="s">
        <v>28</v>
      </c>
      <c r="D134" s="36" t="s">
        <v>148</v>
      </c>
      <c r="E134" s="36" t="s">
        <v>30</v>
      </c>
      <c r="F134" s="36" t="s">
        <v>31</v>
      </c>
      <c r="G134" s="37" t="s">
        <v>149</v>
      </c>
      <c r="H134" s="36" t="s">
        <v>150</v>
      </c>
      <c r="I134" s="36" t="s">
        <v>151</v>
      </c>
      <c r="J134" s="36">
        <v>1</v>
      </c>
      <c r="K134" s="36" t="s">
        <v>152</v>
      </c>
      <c r="L134" s="36">
        <v>1</v>
      </c>
      <c r="M134" s="36">
        <v>1</v>
      </c>
      <c r="N134" s="38">
        <v>236000000</v>
      </c>
      <c r="O134" s="41">
        <v>9833333</v>
      </c>
      <c r="P134" s="36">
        <v>24</v>
      </c>
      <c r="Q134" s="36" t="s">
        <v>73</v>
      </c>
      <c r="R134" s="36" t="s">
        <v>153</v>
      </c>
      <c r="S134" s="36" t="s">
        <v>154</v>
      </c>
      <c r="T134" s="36" t="s">
        <v>155</v>
      </c>
      <c r="U134" s="36" t="s">
        <v>156</v>
      </c>
      <c r="V134" s="40">
        <v>45474</v>
      </c>
      <c r="W134" s="40">
        <v>45478</v>
      </c>
      <c r="X134" s="36">
        <v>23</v>
      </c>
      <c r="Y134" s="36" t="s">
        <v>164</v>
      </c>
      <c r="Z134" s="36">
        <v>1</v>
      </c>
      <c r="AA134" s="36">
        <v>9833333</v>
      </c>
      <c r="AB134" s="40">
        <v>46174</v>
      </c>
      <c r="AC134" s="36" t="s">
        <v>2196</v>
      </c>
      <c r="AD134" s="36" t="str">
        <f>VLOOKUP(D134,Oficial!A:C,3,0)</f>
        <v>Arrastre</v>
      </c>
    </row>
    <row r="135" spans="1:30" x14ac:dyDescent="0.25">
      <c r="A135" s="36" t="s">
        <v>27</v>
      </c>
      <c r="B135" s="36" t="s">
        <v>148</v>
      </c>
      <c r="C135" s="36" t="s">
        <v>28</v>
      </c>
      <c r="D135" s="36" t="s">
        <v>148</v>
      </c>
      <c r="E135" s="36" t="s">
        <v>30</v>
      </c>
      <c r="F135" s="36" t="s">
        <v>31</v>
      </c>
      <c r="G135" s="37" t="s">
        <v>149</v>
      </c>
      <c r="H135" s="36" t="s">
        <v>150</v>
      </c>
      <c r="I135" s="36" t="s">
        <v>151</v>
      </c>
      <c r="J135" s="36">
        <v>1</v>
      </c>
      <c r="K135" s="36" t="s">
        <v>152</v>
      </c>
      <c r="L135" s="36">
        <v>1</v>
      </c>
      <c r="M135" s="36">
        <v>1</v>
      </c>
      <c r="N135" s="38">
        <v>236000000</v>
      </c>
      <c r="O135" s="41">
        <v>9833333</v>
      </c>
      <c r="P135" s="36">
        <v>24</v>
      </c>
      <c r="Q135" s="36" t="s">
        <v>73</v>
      </c>
      <c r="R135" s="36" t="s">
        <v>153</v>
      </c>
      <c r="S135" s="36" t="s">
        <v>154</v>
      </c>
      <c r="T135" s="36" t="s">
        <v>155</v>
      </c>
      <c r="U135" s="36" t="s">
        <v>156</v>
      </c>
      <c r="V135" s="40">
        <v>45474</v>
      </c>
      <c r="W135" s="40">
        <v>45478</v>
      </c>
      <c r="X135" s="36">
        <v>23</v>
      </c>
      <c r="Y135" s="36" t="s">
        <v>157</v>
      </c>
      <c r="Z135" s="36">
        <v>1</v>
      </c>
      <c r="AA135" s="36">
        <v>9833333</v>
      </c>
      <c r="AB135" s="40">
        <v>46143</v>
      </c>
      <c r="AC135" s="36" t="s">
        <v>2196</v>
      </c>
      <c r="AD135" s="36" t="str">
        <f>VLOOKUP(D135,Oficial!A:C,3,0)</f>
        <v>Arrastre</v>
      </c>
    </row>
    <row r="136" spans="1:30" x14ac:dyDescent="0.25">
      <c r="A136" s="36" t="s">
        <v>27</v>
      </c>
      <c r="B136" s="36" t="s">
        <v>148</v>
      </c>
      <c r="C136" s="36" t="s">
        <v>28</v>
      </c>
      <c r="D136" s="36" t="s">
        <v>148</v>
      </c>
      <c r="E136" s="36" t="s">
        <v>30</v>
      </c>
      <c r="F136" s="36" t="s">
        <v>31</v>
      </c>
      <c r="G136" s="37" t="s">
        <v>149</v>
      </c>
      <c r="H136" s="36" t="s">
        <v>150</v>
      </c>
      <c r="I136" s="36" t="s">
        <v>151</v>
      </c>
      <c r="J136" s="36">
        <v>1</v>
      </c>
      <c r="K136" s="36" t="s">
        <v>152</v>
      </c>
      <c r="L136" s="36">
        <v>1</v>
      </c>
      <c r="M136" s="36">
        <v>1</v>
      </c>
      <c r="N136" s="38">
        <v>236000000</v>
      </c>
      <c r="O136" s="41">
        <v>9833333</v>
      </c>
      <c r="P136" s="36">
        <v>24</v>
      </c>
      <c r="Q136" s="36" t="s">
        <v>73</v>
      </c>
      <c r="R136" s="36" t="s">
        <v>153</v>
      </c>
      <c r="S136" s="36" t="s">
        <v>154</v>
      </c>
      <c r="T136" s="36" t="s">
        <v>155</v>
      </c>
      <c r="U136" s="36" t="s">
        <v>156</v>
      </c>
      <c r="V136" s="40">
        <v>45474</v>
      </c>
      <c r="W136" s="40">
        <v>45478</v>
      </c>
      <c r="X136" s="36">
        <v>23</v>
      </c>
      <c r="Y136" s="36" t="s">
        <v>160</v>
      </c>
      <c r="Z136" s="36">
        <v>1</v>
      </c>
      <c r="AA136" s="36">
        <v>9833333</v>
      </c>
      <c r="AB136" s="40">
        <v>46327</v>
      </c>
      <c r="AC136" s="36" t="s">
        <v>2196</v>
      </c>
      <c r="AD136" s="36" t="str">
        <f>VLOOKUP(D136,Oficial!A:C,3,0)</f>
        <v>Arrastre</v>
      </c>
    </row>
    <row r="137" spans="1:30" x14ac:dyDescent="0.25">
      <c r="A137" s="36" t="s">
        <v>27</v>
      </c>
      <c r="B137" s="36" t="s">
        <v>148</v>
      </c>
      <c r="C137" s="36" t="s">
        <v>28</v>
      </c>
      <c r="D137" s="36" t="s">
        <v>148</v>
      </c>
      <c r="E137" s="36" t="s">
        <v>30</v>
      </c>
      <c r="F137" s="36" t="s">
        <v>31</v>
      </c>
      <c r="G137" s="37" t="s">
        <v>149</v>
      </c>
      <c r="H137" s="36" t="s">
        <v>150</v>
      </c>
      <c r="I137" s="36" t="s">
        <v>151</v>
      </c>
      <c r="J137" s="36">
        <v>1</v>
      </c>
      <c r="K137" s="36" t="s">
        <v>152</v>
      </c>
      <c r="L137" s="36">
        <v>1</v>
      </c>
      <c r="M137" s="36">
        <v>1</v>
      </c>
      <c r="N137" s="38">
        <v>236000000</v>
      </c>
      <c r="O137" s="41">
        <v>9833334</v>
      </c>
      <c r="P137" s="36">
        <v>24</v>
      </c>
      <c r="Q137" s="36" t="s">
        <v>73</v>
      </c>
      <c r="R137" s="36" t="s">
        <v>153</v>
      </c>
      <c r="S137" s="36" t="s">
        <v>154</v>
      </c>
      <c r="T137" s="36" t="s">
        <v>155</v>
      </c>
      <c r="U137" s="36" t="s">
        <v>156</v>
      </c>
      <c r="V137" s="40">
        <v>45474</v>
      </c>
      <c r="W137" s="40">
        <v>45478</v>
      </c>
      <c r="X137" s="36">
        <v>23</v>
      </c>
      <c r="Y137" s="36" t="s">
        <v>158</v>
      </c>
      <c r="Z137" s="36">
        <v>1</v>
      </c>
      <c r="AA137" s="36">
        <v>9833341</v>
      </c>
      <c r="AB137" s="40">
        <v>46357</v>
      </c>
      <c r="AC137" s="36" t="s">
        <v>2196</v>
      </c>
      <c r="AD137" s="36" t="str">
        <f>VLOOKUP(D137,Oficial!A:C,3,0)</f>
        <v>Arrastre</v>
      </c>
    </row>
    <row r="138" spans="1:30" x14ac:dyDescent="0.25">
      <c r="A138" s="36" t="s">
        <v>27</v>
      </c>
      <c r="B138" s="36" t="s">
        <v>148</v>
      </c>
      <c r="C138" s="36" t="s">
        <v>28</v>
      </c>
      <c r="D138" s="36" t="s">
        <v>148</v>
      </c>
      <c r="E138" s="36" t="s">
        <v>30</v>
      </c>
      <c r="F138" s="36" t="s">
        <v>31</v>
      </c>
      <c r="G138" s="37" t="s">
        <v>149</v>
      </c>
      <c r="H138" s="36" t="s">
        <v>150</v>
      </c>
      <c r="I138" s="36" t="s">
        <v>151</v>
      </c>
      <c r="J138" s="36">
        <v>1</v>
      </c>
      <c r="K138" s="36" t="s">
        <v>152</v>
      </c>
      <c r="L138" s="36">
        <v>1</v>
      </c>
      <c r="M138" s="36">
        <v>1</v>
      </c>
      <c r="N138" s="38">
        <v>236000000</v>
      </c>
      <c r="O138" s="41">
        <v>9833333</v>
      </c>
      <c r="P138" s="36">
        <v>24</v>
      </c>
      <c r="Q138" s="36" t="s">
        <v>73</v>
      </c>
      <c r="R138" s="36" t="s">
        <v>153</v>
      </c>
      <c r="S138" s="36" t="s">
        <v>154</v>
      </c>
      <c r="T138" s="36" t="s">
        <v>155</v>
      </c>
      <c r="U138" s="36" t="s">
        <v>156</v>
      </c>
      <c r="V138" s="40">
        <v>45474</v>
      </c>
      <c r="W138" s="40">
        <v>45478</v>
      </c>
      <c r="X138" s="36">
        <v>23</v>
      </c>
      <c r="Y138" s="36" t="s">
        <v>158</v>
      </c>
      <c r="Z138" s="36">
        <v>1</v>
      </c>
      <c r="AA138" s="36">
        <v>9833333</v>
      </c>
      <c r="AB138" s="40">
        <v>46235</v>
      </c>
      <c r="AC138" s="36" t="s">
        <v>2196</v>
      </c>
      <c r="AD138" s="36" t="str">
        <f>VLOOKUP(D138,Oficial!A:C,3,0)</f>
        <v>Arrastre</v>
      </c>
    </row>
    <row r="139" spans="1:30" x14ac:dyDescent="0.25">
      <c r="A139" s="36" t="s">
        <v>27</v>
      </c>
      <c r="B139" s="36" t="s">
        <v>148</v>
      </c>
      <c r="C139" s="36" t="s">
        <v>28</v>
      </c>
      <c r="D139" s="36" t="s">
        <v>148</v>
      </c>
      <c r="E139" s="36" t="s">
        <v>30</v>
      </c>
      <c r="F139" s="36" t="s">
        <v>31</v>
      </c>
      <c r="G139" s="37" t="s">
        <v>149</v>
      </c>
      <c r="H139" s="36" t="s">
        <v>150</v>
      </c>
      <c r="I139" s="36" t="s">
        <v>151</v>
      </c>
      <c r="J139" s="36">
        <v>1</v>
      </c>
      <c r="K139" s="36" t="s">
        <v>152</v>
      </c>
      <c r="L139" s="36">
        <v>1</v>
      </c>
      <c r="M139" s="36">
        <v>1</v>
      </c>
      <c r="N139" s="38">
        <v>236000000</v>
      </c>
      <c r="O139" s="41">
        <v>9833333</v>
      </c>
      <c r="P139" s="36">
        <v>24</v>
      </c>
      <c r="Q139" s="36" t="s">
        <v>73</v>
      </c>
      <c r="R139" s="36" t="s">
        <v>153</v>
      </c>
      <c r="S139" s="36" t="s">
        <v>154</v>
      </c>
      <c r="T139" s="36" t="s">
        <v>155</v>
      </c>
      <c r="U139" s="36" t="s">
        <v>156</v>
      </c>
      <c r="V139" s="40">
        <v>45474</v>
      </c>
      <c r="W139" s="40">
        <v>45478</v>
      </c>
      <c r="X139" s="36">
        <v>23</v>
      </c>
      <c r="Y139" s="36" t="s">
        <v>162</v>
      </c>
      <c r="Z139" s="36">
        <v>1</v>
      </c>
      <c r="AA139" s="36">
        <v>9833333</v>
      </c>
      <c r="AB139" s="40">
        <v>46266</v>
      </c>
      <c r="AC139" s="36" t="s">
        <v>2196</v>
      </c>
      <c r="AD139" s="36" t="str">
        <f>VLOOKUP(D139,Oficial!A:C,3,0)</f>
        <v>Arrastre</v>
      </c>
    </row>
    <row r="140" spans="1:30" x14ac:dyDescent="0.25">
      <c r="A140" s="36" t="s">
        <v>27</v>
      </c>
      <c r="B140" s="36" t="s">
        <v>148</v>
      </c>
      <c r="C140" s="36" t="s">
        <v>28</v>
      </c>
      <c r="D140" s="36" t="s">
        <v>148</v>
      </c>
      <c r="E140" s="36" t="s">
        <v>30</v>
      </c>
      <c r="F140" s="36" t="s">
        <v>31</v>
      </c>
      <c r="G140" s="37" t="s">
        <v>149</v>
      </c>
      <c r="H140" s="36" t="s">
        <v>150</v>
      </c>
      <c r="I140" s="36" t="s">
        <v>151</v>
      </c>
      <c r="J140" s="36">
        <v>1</v>
      </c>
      <c r="K140" s="36" t="s">
        <v>152</v>
      </c>
      <c r="L140" s="36">
        <v>1</v>
      </c>
      <c r="M140" s="36">
        <v>1</v>
      </c>
      <c r="N140" s="38">
        <v>236000000</v>
      </c>
      <c r="O140" s="41">
        <v>9833333</v>
      </c>
      <c r="P140" s="36">
        <v>24</v>
      </c>
      <c r="Q140" s="36" t="s">
        <v>73</v>
      </c>
      <c r="R140" s="36" t="s">
        <v>153</v>
      </c>
      <c r="S140" s="36" t="s">
        <v>154</v>
      </c>
      <c r="T140" s="36" t="s">
        <v>155</v>
      </c>
      <c r="U140" s="36" t="s">
        <v>156</v>
      </c>
      <c r="V140" s="40">
        <v>45474</v>
      </c>
      <c r="W140" s="40">
        <v>45478</v>
      </c>
      <c r="X140" s="36">
        <v>23</v>
      </c>
      <c r="Y140" s="36" t="s">
        <v>159</v>
      </c>
      <c r="Z140" s="36">
        <v>1</v>
      </c>
      <c r="AA140" s="36">
        <v>9833333</v>
      </c>
      <c r="AB140" s="40">
        <v>46023</v>
      </c>
      <c r="AC140" s="36" t="s">
        <v>2196</v>
      </c>
      <c r="AD140" s="36" t="str">
        <f>VLOOKUP(D140,Oficial!A:C,3,0)</f>
        <v>Arrastre</v>
      </c>
    </row>
    <row r="141" spans="1:30" x14ac:dyDescent="0.25">
      <c r="A141" s="36" t="s">
        <v>27</v>
      </c>
      <c r="B141" s="36" t="s">
        <v>148</v>
      </c>
      <c r="C141" s="36" t="s">
        <v>28</v>
      </c>
      <c r="D141" s="36" t="s">
        <v>148</v>
      </c>
      <c r="E141" s="36" t="s">
        <v>30</v>
      </c>
      <c r="F141" s="36" t="s">
        <v>31</v>
      </c>
      <c r="G141" s="37" t="s">
        <v>149</v>
      </c>
      <c r="H141" s="36" t="s">
        <v>150</v>
      </c>
      <c r="I141" s="36" t="s">
        <v>151</v>
      </c>
      <c r="J141" s="36">
        <v>1</v>
      </c>
      <c r="K141" s="36" t="s">
        <v>152</v>
      </c>
      <c r="L141" s="36">
        <v>1</v>
      </c>
      <c r="M141" s="36">
        <v>1</v>
      </c>
      <c r="N141" s="38">
        <v>236000000</v>
      </c>
      <c r="O141" s="41">
        <v>9833333</v>
      </c>
      <c r="P141" s="36">
        <v>24</v>
      </c>
      <c r="Q141" s="36" t="s">
        <v>73</v>
      </c>
      <c r="R141" s="36" t="s">
        <v>153</v>
      </c>
      <c r="S141" s="36" t="s">
        <v>154</v>
      </c>
      <c r="T141" s="36" t="s">
        <v>155</v>
      </c>
      <c r="U141" s="36" t="s">
        <v>156</v>
      </c>
      <c r="V141" s="40">
        <v>45474</v>
      </c>
      <c r="W141" s="40">
        <v>45478</v>
      </c>
      <c r="X141" s="36">
        <v>23</v>
      </c>
      <c r="Y141" s="36" t="s">
        <v>161</v>
      </c>
      <c r="Z141" s="36">
        <v>1</v>
      </c>
      <c r="AA141" s="36">
        <v>9833333</v>
      </c>
      <c r="AB141" s="40">
        <v>46143</v>
      </c>
      <c r="AC141" s="36" t="s">
        <v>2196</v>
      </c>
      <c r="AD141" s="36" t="str">
        <f>VLOOKUP(D141,Oficial!A:C,3,0)</f>
        <v>Arrastre</v>
      </c>
    </row>
    <row r="142" spans="1:30" x14ac:dyDescent="0.25">
      <c r="A142" s="36" t="s">
        <v>27</v>
      </c>
      <c r="B142" s="36" t="s">
        <v>148</v>
      </c>
      <c r="C142" s="36" t="s">
        <v>28</v>
      </c>
      <c r="D142" s="36" t="s">
        <v>148</v>
      </c>
      <c r="E142" s="36" t="s">
        <v>30</v>
      </c>
      <c r="F142" s="36" t="s">
        <v>31</v>
      </c>
      <c r="G142" s="37" t="s">
        <v>149</v>
      </c>
      <c r="H142" s="36" t="s">
        <v>150</v>
      </c>
      <c r="I142" s="36" t="s">
        <v>151</v>
      </c>
      <c r="J142" s="36">
        <v>1</v>
      </c>
      <c r="K142" s="36" t="s">
        <v>152</v>
      </c>
      <c r="L142" s="36">
        <v>1</v>
      </c>
      <c r="M142" s="36">
        <v>1</v>
      </c>
      <c r="N142" s="38">
        <v>236000000</v>
      </c>
      <c r="O142" s="41">
        <v>9833333</v>
      </c>
      <c r="P142" s="36">
        <v>24</v>
      </c>
      <c r="Q142" s="36" t="s">
        <v>73</v>
      </c>
      <c r="R142" s="36" t="s">
        <v>153</v>
      </c>
      <c r="S142" s="36" t="s">
        <v>154</v>
      </c>
      <c r="T142" s="36" t="s">
        <v>155</v>
      </c>
      <c r="U142" s="36" t="s">
        <v>156</v>
      </c>
      <c r="V142" s="40">
        <v>45474</v>
      </c>
      <c r="W142" s="40">
        <v>45478</v>
      </c>
      <c r="X142" s="36">
        <v>23</v>
      </c>
      <c r="Y142" s="36" t="s">
        <v>164</v>
      </c>
      <c r="Z142" s="36">
        <v>1</v>
      </c>
      <c r="AA142" s="36">
        <v>9833333</v>
      </c>
      <c r="AB142" s="40">
        <v>46204</v>
      </c>
      <c r="AC142" s="36" t="s">
        <v>2196</v>
      </c>
      <c r="AD142" s="36" t="str">
        <f>VLOOKUP(D142,Oficial!A:C,3,0)</f>
        <v>Arrastre</v>
      </c>
    </row>
    <row r="143" spans="1:30" x14ac:dyDescent="0.25">
      <c r="A143" s="36" t="s">
        <v>27</v>
      </c>
      <c r="B143" s="36" t="s">
        <v>148</v>
      </c>
      <c r="C143" s="36" t="s">
        <v>28</v>
      </c>
      <c r="D143" s="36" t="s">
        <v>148</v>
      </c>
      <c r="E143" s="36" t="s">
        <v>30</v>
      </c>
      <c r="F143" s="36" t="s">
        <v>31</v>
      </c>
      <c r="G143" s="37" t="s">
        <v>149</v>
      </c>
      <c r="H143" s="36" t="s">
        <v>150</v>
      </c>
      <c r="I143" s="36" t="s">
        <v>151</v>
      </c>
      <c r="J143" s="36">
        <v>1</v>
      </c>
      <c r="K143" s="36" t="s">
        <v>152</v>
      </c>
      <c r="L143" s="36">
        <v>1</v>
      </c>
      <c r="M143" s="36">
        <v>1</v>
      </c>
      <c r="N143" s="38">
        <v>236000000</v>
      </c>
      <c r="O143" s="41">
        <v>9833333</v>
      </c>
      <c r="P143" s="36">
        <v>24</v>
      </c>
      <c r="Q143" s="36" t="s">
        <v>73</v>
      </c>
      <c r="R143" s="36" t="s">
        <v>153</v>
      </c>
      <c r="S143" s="36" t="s">
        <v>154</v>
      </c>
      <c r="T143" s="36" t="s">
        <v>155</v>
      </c>
      <c r="U143" s="36" t="s">
        <v>156</v>
      </c>
      <c r="V143" s="40">
        <v>45474</v>
      </c>
      <c r="W143" s="40">
        <v>45478</v>
      </c>
      <c r="X143" s="36">
        <v>23</v>
      </c>
      <c r="Y143" s="36" t="s">
        <v>162</v>
      </c>
      <c r="Z143" s="36">
        <v>1</v>
      </c>
      <c r="AA143" s="36">
        <v>9833333</v>
      </c>
      <c r="AB143" s="40">
        <v>46296</v>
      </c>
      <c r="AC143" s="36" t="s">
        <v>2196</v>
      </c>
      <c r="AD143" s="36" t="str">
        <f>VLOOKUP(D143,Oficial!A:C,3,0)</f>
        <v>Arrastre</v>
      </c>
    </row>
    <row r="144" spans="1:30" x14ac:dyDescent="0.25">
      <c r="A144" s="36" t="s">
        <v>27</v>
      </c>
      <c r="B144" s="36" t="s">
        <v>148</v>
      </c>
      <c r="C144" s="36" t="s">
        <v>28</v>
      </c>
      <c r="D144" s="36" t="s">
        <v>148</v>
      </c>
      <c r="E144" s="36" t="s">
        <v>30</v>
      </c>
      <c r="F144" s="36" t="s">
        <v>31</v>
      </c>
      <c r="G144" s="37" t="s">
        <v>149</v>
      </c>
      <c r="H144" s="36" t="s">
        <v>150</v>
      </c>
      <c r="I144" s="36" t="s">
        <v>151</v>
      </c>
      <c r="J144" s="36">
        <v>1</v>
      </c>
      <c r="K144" s="36" t="s">
        <v>152</v>
      </c>
      <c r="L144" s="36">
        <v>1</v>
      </c>
      <c r="M144" s="36">
        <v>1</v>
      </c>
      <c r="N144" s="38">
        <v>236000000</v>
      </c>
      <c r="O144" s="41">
        <v>9833333</v>
      </c>
      <c r="P144" s="36">
        <v>24</v>
      </c>
      <c r="Q144" s="36" t="s">
        <v>73</v>
      </c>
      <c r="R144" s="36" t="s">
        <v>153</v>
      </c>
      <c r="S144" s="36" t="s">
        <v>154</v>
      </c>
      <c r="T144" s="36" t="s">
        <v>155</v>
      </c>
      <c r="U144" s="36" t="s">
        <v>156</v>
      </c>
      <c r="V144" s="40">
        <v>45474</v>
      </c>
      <c r="W144" s="40">
        <v>45478</v>
      </c>
      <c r="X144" s="36">
        <v>23</v>
      </c>
      <c r="Y144" s="36" t="s">
        <v>162</v>
      </c>
      <c r="Z144" s="36">
        <v>1</v>
      </c>
      <c r="AA144" s="36">
        <v>9833333</v>
      </c>
      <c r="AB144" s="40">
        <v>46054</v>
      </c>
      <c r="AC144" s="36" t="s">
        <v>2196</v>
      </c>
      <c r="AD144" s="36" t="str">
        <f>VLOOKUP(D144,Oficial!A:C,3,0)</f>
        <v>Arrastre</v>
      </c>
    </row>
    <row r="145" spans="1:30" x14ac:dyDescent="0.25">
      <c r="A145" s="36" t="s">
        <v>27</v>
      </c>
      <c r="B145" s="36" t="s">
        <v>148</v>
      </c>
      <c r="C145" s="36" t="s">
        <v>28</v>
      </c>
      <c r="D145" s="36" t="s">
        <v>148</v>
      </c>
      <c r="E145" s="36" t="s">
        <v>30</v>
      </c>
      <c r="F145" s="36" t="s">
        <v>31</v>
      </c>
      <c r="G145" s="37" t="s">
        <v>149</v>
      </c>
      <c r="H145" s="36" t="s">
        <v>150</v>
      </c>
      <c r="I145" s="36" t="s">
        <v>151</v>
      </c>
      <c r="J145" s="36">
        <v>1</v>
      </c>
      <c r="K145" s="36" t="s">
        <v>152</v>
      </c>
      <c r="L145" s="36">
        <v>1</v>
      </c>
      <c r="M145" s="36">
        <v>1</v>
      </c>
      <c r="N145" s="38">
        <v>236000000</v>
      </c>
      <c r="O145" s="41">
        <v>9833340</v>
      </c>
      <c r="P145" s="36">
        <v>24</v>
      </c>
      <c r="Q145" s="36" t="s">
        <v>73</v>
      </c>
      <c r="R145" s="36" t="s">
        <v>153</v>
      </c>
      <c r="S145" s="36" t="s">
        <v>154</v>
      </c>
      <c r="T145" s="36" t="s">
        <v>155</v>
      </c>
      <c r="U145" s="36" t="s">
        <v>156</v>
      </c>
      <c r="V145" s="40">
        <v>45474</v>
      </c>
      <c r="W145" s="40">
        <v>45478</v>
      </c>
      <c r="X145" s="36">
        <v>23</v>
      </c>
      <c r="Y145" s="36" t="s">
        <v>163</v>
      </c>
      <c r="Z145" s="36">
        <v>1</v>
      </c>
      <c r="AA145" s="36">
        <v>9833341</v>
      </c>
      <c r="AB145" s="40">
        <v>46357</v>
      </c>
      <c r="AC145" s="36" t="s">
        <v>2196</v>
      </c>
      <c r="AD145" s="36" t="str">
        <f>VLOOKUP(D145,Oficial!A:C,3,0)</f>
        <v>Arrastre</v>
      </c>
    </row>
    <row r="146" spans="1:30" x14ac:dyDescent="0.25">
      <c r="A146" s="36" t="s">
        <v>27</v>
      </c>
      <c r="B146" s="36" t="s">
        <v>165</v>
      </c>
      <c r="C146" s="36" t="s">
        <v>28</v>
      </c>
      <c r="D146" s="36" t="s">
        <v>165</v>
      </c>
      <c r="E146" s="36" t="s">
        <v>30</v>
      </c>
      <c r="F146" s="36" t="s">
        <v>31</v>
      </c>
      <c r="G146" s="37" t="s">
        <v>166</v>
      </c>
      <c r="H146" s="36" t="s">
        <v>167</v>
      </c>
      <c r="I146" s="36" t="s">
        <v>168</v>
      </c>
      <c r="J146" s="36">
        <v>1</v>
      </c>
      <c r="K146" s="36" t="s">
        <v>62</v>
      </c>
      <c r="L146" s="36">
        <v>1</v>
      </c>
      <c r="M146" s="36">
        <v>1</v>
      </c>
      <c r="N146" s="38">
        <v>20000000</v>
      </c>
      <c r="O146" s="42">
        <v>833333</v>
      </c>
      <c r="P146" s="36">
        <v>24</v>
      </c>
      <c r="Q146" s="36" t="s">
        <v>73</v>
      </c>
      <c r="R146" s="36" t="s">
        <v>169</v>
      </c>
      <c r="S146" s="36" t="s">
        <v>65</v>
      </c>
      <c r="T146" s="36" t="s">
        <v>66</v>
      </c>
      <c r="U146" s="36" t="s">
        <v>67</v>
      </c>
      <c r="V146" s="40">
        <v>45444</v>
      </c>
      <c r="W146" s="40">
        <v>45478</v>
      </c>
      <c r="X146" s="36">
        <v>16</v>
      </c>
      <c r="Y146" s="36" t="s">
        <v>175</v>
      </c>
      <c r="Z146" s="36">
        <v>1</v>
      </c>
      <c r="AA146" s="36">
        <v>833333</v>
      </c>
      <c r="AB146" s="40">
        <v>46204</v>
      </c>
      <c r="AC146" s="36" t="s">
        <v>2196</v>
      </c>
      <c r="AD146" s="36" t="str">
        <f>VLOOKUP(D146,Oficial!A:C,3,0)</f>
        <v>Arrastre</v>
      </c>
    </row>
    <row r="147" spans="1:30" x14ac:dyDescent="0.25">
      <c r="A147" s="36" t="s">
        <v>27</v>
      </c>
      <c r="B147" s="36" t="s">
        <v>165</v>
      </c>
      <c r="C147" s="36" t="s">
        <v>28</v>
      </c>
      <c r="D147" s="36" t="s">
        <v>165</v>
      </c>
      <c r="E147" s="36" t="s">
        <v>30</v>
      </c>
      <c r="F147" s="36" t="s">
        <v>31</v>
      </c>
      <c r="G147" s="37" t="s">
        <v>166</v>
      </c>
      <c r="H147" s="36" t="s">
        <v>167</v>
      </c>
      <c r="I147" s="36" t="s">
        <v>168</v>
      </c>
      <c r="J147" s="36">
        <v>1</v>
      </c>
      <c r="K147" s="36" t="s">
        <v>62</v>
      </c>
      <c r="L147" s="36">
        <v>1</v>
      </c>
      <c r="M147" s="36">
        <v>1</v>
      </c>
      <c r="N147" s="38">
        <v>20000000</v>
      </c>
      <c r="O147" s="42">
        <v>833333</v>
      </c>
      <c r="P147" s="36">
        <v>24</v>
      </c>
      <c r="Q147" s="36" t="s">
        <v>73</v>
      </c>
      <c r="R147" s="36" t="s">
        <v>169</v>
      </c>
      <c r="S147" s="36" t="s">
        <v>65</v>
      </c>
      <c r="T147" s="36" t="s">
        <v>66</v>
      </c>
      <c r="U147" s="36" t="s">
        <v>67</v>
      </c>
      <c r="V147" s="40">
        <v>45444</v>
      </c>
      <c r="W147" s="40">
        <v>45478</v>
      </c>
      <c r="X147" s="36">
        <v>16</v>
      </c>
      <c r="Y147" s="36" t="s">
        <v>174</v>
      </c>
      <c r="Z147" s="36">
        <v>1</v>
      </c>
      <c r="AA147" s="36">
        <v>833333</v>
      </c>
      <c r="AB147" s="40">
        <v>46174</v>
      </c>
      <c r="AC147" s="36" t="s">
        <v>2196</v>
      </c>
      <c r="AD147" s="36" t="str">
        <f>VLOOKUP(D147,Oficial!A:C,3,0)</f>
        <v>Arrastre</v>
      </c>
    </row>
    <row r="148" spans="1:30" x14ac:dyDescent="0.25">
      <c r="A148" s="36" t="s">
        <v>27</v>
      </c>
      <c r="B148" s="36" t="s">
        <v>165</v>
      </c>
      <c r="C148" s="36" t="s">
        <v>28</v>
      </c>
      <c r="D148" s="36" t="s">
        <v>165</v>
      </c>
      <c r="E148" s="36" t="s">
        <v>30</v>
      </c>
      <c r="F148" s="36" t="s">
        <v>31</v>
      </c>
      <c r="G148" s="37" t="s">
        <v>166</v>
      </c>
      <c r="H148" s="36" t="s">
        <v>167</v>
      </c>
      <c r="I148" s="36" t="s">
        <v>168</v>
      </c>
      <c r="J148" s="36">
        <v>1</v>
      </c>
      <c r="K148" s="36" t="s">
        <v>62</v>
      </c>
      <c r="L148" s="36">
        <v>1</v>
      </c>
      <c r="M148" s="36">
        <v>1</v>
      </c>
      <c r="N148" s="38">
        <v>20000000</v>
      </c>
      <c r="O148" s="42">
        <v>833333</v>
      </c>
      <c r="P148" s="36">
        <v>24</v>
      </c>
      <c r="Q148" s="36" t="s">
        <v>73</v>
      </c>
      <c r="R148" s="36" t="s">
        <v>169</v>
      </c>
      <c r="S148" s="36" t="s">
        <v>65</v>
      </c>
      <c r="T148" s="36" t="s">
        <v>66</v>
      </c>
      <c r="U148" s="36" t="s">
        <v>67</v>
      </c>
      <c r="V148" s="40">
        <v>45444</v>
      </c>
      <c r="W148" s="40">
        <v>45478</v>
      </c>
      <c r="X148" s="36">
        <v>16</v>
      </c>
      <c r="Y148" s="36" t="s">
        <v>171</v>
      </c>
      <c r="Z148" s="36">
        <v>1</v>
      </c>
      <c r="AA148" s="36">
        <v>833333</v>
      </c>
      <c r="AB148" s="40">
        <v>46082</v>
      </c>
      <c r="AC148" s="36" t="s">
        <v>2196</v>
      </c>
      <c r="AD148" s="36" t="str">
        <f>VLOOKUP(D148,Oficial!A:C,3,0)</f>
        <v>Arrastre</v>
      </c>
    </row>
    <row r="149" spans="1:30" x14ac:dyDescent="0.25">
      <c r="A149" s="36" t="s">
        <v>27</v>
      </c>
      <c r="B149" s="36" t="s">
        <v>165</v>
      </c>
      <c r="C149" s="36" t="s">
        <v>28</v>
      </c>
      <c r="D149" s="36" t="s">
        <v>165</v>
      </c>
      <c r="E149" s="36" t="s">
        <v>30</v>
      </c>
      <c r="F149" s="36" t="s">
        <v>31</v>
      </c>
      <c r="G149" s="37" t="s">
        <v>166</v>
      </c>
      <c r="H149" s="36" t="s">
        <v>167</v>
      </c>
      <c r="I149" s="36" t="s">
        <v>168</v>
      </c>
      <c r="J149" s="36">
        <v>1</v>
      </c>
      <c r="K149" s="36" t="s">
        <v>62</v>
      </c>
      <c r="L149" s="36">
        <v>1</v>
      </c>
      <c r="M149" s="36">
        <v>1</v>
      </c>
      <c r="N149" s="38">
        <v>20000000</v>
      </c>
      <c r="O149" s="42">
        <v>833333</v>
      </c>
      <c r="P149" s="36">
        <v>24</v>
      </c>
      <c r="Q149" s="36" t="s">
        <v>73</v>
      </c>
      <c r="R149" s="36" t="s">
        <v>169</v>
      </c>
      <c r="S149" s="36" t="s">
        <v>65</v>
      </c>
      <c r="T149" s="36" t="s">
        <v>66</v>
      </c>
      <c r="U149" s="36" t="s">
        <v>67</v>
      </c>
      <c r="V149" s="40">
        <v>45444</v>
      </c>
      <c r="W149" s="40">
        <v>45478</v>
      </c>
      <c r="X149" s="36">
        <v>16</v>
      </c>
      <c r="Y149" s="36" t="s">
        <v>170</v>
      </c>
      <c r="Z149" s="36">
        <v>1</v>
      </c>
      <c r="AA149" s="36">
        <v>833333</v>
      </c>
      <c r="AB149" s="40">
        <v>46174</v>
      </c>
      <c r="AC149" s="36" t="s">
        <v>2196</v>
      </c>
      <c r="AD149" s="36" t="str">
        <f>VLOOKUP(D149,Oficial!A:C,3,0)</f>
        <v>Arrastre</v>
      </c>
    </row>
    <row r="150" spans="1:30" x14ac:dyDescent="0.25">
      <c r="A150" s="36" t="s">
        <v>27</v>
      </c>
      <c r="B150" s="36" t="s">
        <v>165</v>
      </c>
      <c r="C150" s="36" t="s">
        <v>28</v>
      </c>
      <c r="D150" s="36" t="s">
        <v>165</v>
      </c>
      <c r="E150" s="36" t="s">
        <v>30</v>
      </c>
      <c r="F150" s="36" t="s">
        <v>31</v>
      </c>
      <c r="G150" s="37" t="s">
        <v>166</v>
      </c>
      <c r="H150" s="36" t="s">
        <v>167</v>
      </c>
      <c r="I150" s="36" t="s">
        <v>168</v>
      </c>
      <c r="J150" s="36">
        <v>1</v>
      </c>
      <c r="K150" s="36" t="s">
        <v>62</v>
      </c>
      <c r="L150" s="36">
        <v>1</v>
      </c>
      <c r="M150" s="36">
        <v>1</v>
      </c>
      <c r="N150" s="38">
        <v>20000000</v>
      </c>
      <c r="O150" s="42">
        <v>833333</v>
      </c>
      <c r="P150" s="36">
        <v>24</v>
      </c>
      <c r="Q150" s="36" t="s">
        <v>73</v>
      </c>
      <c r="R150" s="36" t="s">
        <v>169</v>
      </c>
      <c r="S150" s="36" t="s">
        <v>65</v>
      </c>
      <c r="T150" s="36" t="s">
        <v>66</v>
      </c>
      <c r="U150" s="36" t="s">
        <v>67</v>
      </c>
      <c r="V150" s="40">
        <v>45444</v>
      </c>
      <c r="W150" s="40">
        <v>45478</v>
      </c>
      <c r="X150" s="36">
        <v>16</v>
      </c>
      <c r="Y150" s="36" t="s">
        <v>176</v>
      </c>
      <c r="Z150" s="36">
        <v>1</v>
      </c>
      <c r="AA150" s="36">
        <v>833333</v>
      </c>
      <c r="AB150" s="40">
        <v>46266</v>
      </c>
      <c r="AC150" s="36" t="s">
        <v>2196</v>
      </c>
      <c r="AD150" s="36" t="str">
        <f>VLOOKUP(D150,Oficial!A:C,3,0)</f>
        <v>Arrastre</v>
      </c>
    </row>
    <row r="151" spans="1:30" x14ac:dyDescent="0.25">
      <c r="A151" s="36" t="s">
        <v>27</v>
      </c>
      <c r="B151" s="36" t="s">
        <v>165</v>
      </c>
      <c r="C151" s="36" t="s">
        <v>28</v>
      </c>
      <c r="D151" s="36" t="s">
        <v>165</v>
      </c>
      <c r="E151" s="36" t="s">
        <v>30</v>
      </c>
      <c r="F151" s="36" t="s">
        <v>31</v>
      </c>
      <c r="G151" s="37" t="s">
        <v>166</v>
      </c>
      <c r="H151" s="36" t="s">
        <v>167</v>
      </c>
      <c r="I151" s="36" t="s">
        <v>168</v>
      </c>
      <c r="J151" s="36">
        <v>1</v>
      </c>
      <c r="K151" s="36" t="s">
        <v>62</v>
      </c>
      <c r="L151" s="36">
        <v>1</v>
      </c>
      <c r="M151" s="36">
        <v>1</v>
      </c>
      <c r="N151" s="38">
        <v>20000000</v>
      </c>
      <c r="O151" s="42">
        <v>833334</v>
      </c>
      <c r="P151" s="36">
        <v>24</v>
      </c>
      <c r="Q151" s="36" t="s">
        <v>73</v>
      </c>
      <c r="R151" s="36" t="s">
        <v>169</v>
      </c>
      <c r="S151" s="36" t="s">
        <v>65</v>
      </c>
      <c r="T151" s="36" t="s">
        <v>66</v>
      </c>
      <c r="U151" s="36" t="s">
        <v>67</v>
      </c>
      <c r="V151" s="40">
        <v>45444</v>
      </c>
      <c r="W151" s="40">
        <v>45478</v>
      </c>
      <c r="X151" s="36">
        <v>16</v>
      </c>
      <c r="Y151" s="36" t="s">
        <v>174</v>
      </c>
      <c r="Z151" s="36">
        <v>1</v>
      </c>
      <c r="AA151" s="36">
        <v>833341</v>
      </c>
      <c r="AB151" s="40">
        <v>46357</v>
      </c>
      <c r="AC151" s="36" t="s">
        <v>2196</v>
      </c>
      <c r="AD151" s="36" t="str">
        <f>VLOOKUP(D151,Oficial!A:C,3,0)</f>
        <v>Arrastre</v>
      </c>
    </row>
    <row r="152" spans="1:30" x14ac:dyDescent="0.25">
      <c r="A152" s="36" t="s">
        <v>27</v>
      </c>
      <c r="B152" s="36" t="s">
        <v>165</v>
      </c>
      <c r="C152" s="36" t="s">
        <v>28</v>
      </c>
      <c r="D152" s="36" t="s">
        <v>165</v>
      </c>
      <c r="E152" s="36" t="s">
        <v>30</v>
      </c>
      <c r="F152" s="36" t="s">
        <v>31</v>
      </c>
      <c r="G152" s="37" t="s">
        <v>166</v>
      </c>
      <c r="H152" s="36" t="s">
        <v>167</v>
      </c>
      <c r="I152" s="36" t="s">
        <v>168</v>
      </c>
      <c r="J152" s="36">
        <v>1</v>
      </c>
      <c r="K152" s="36" t="s">
        <v>62</v>
      </c>
      <c r="L152" s="36">
        <v>1</v>
      </c>
      <c r="M152" s="36">
        <v>1</v>
      </c>
      <c r="N152" s="38">
        <v>20000000</v>
      </c>
      <c r="O152" s="42">
        <v>833333</v>
      </c>
      <c r="P152" s="36">
        <v>24</v>
      </c>
      <c r="Q152" s="36" t="s">
        <v>73</v>
      </c>
      <c r="R152" s="36" t="s">
        <v>169</v>
      </c>
      <c r="S152" s="36" t="s">
        <v>65</v>
      </c>
      <c r="T152" s="36" t="s">
        <v>66</v>
      </c>
      <c r="U152" s="36" t="s">
        <v>67</v>
      </c>
      <c r="V152" s="40">
        <v>45444</v>
      </c>
      <c r="W152" s="40">
        <v>45478</v>
      </c>
      <c r="X152" s="36">
        <v>16</v>
      </c>
      <c r="Y152" s="36" t="s">
        <v>172</v>
      </c>
      <c r="Z152" s="36">
        <v>1</v>
      </c>
      <c r="AA152" s="36">
        <v>833333</v>
      </c>
      <c r="AB152" s="40">
        <v>46023</v>
      </c>
      <c r="AC152" s="36" t="s">
        <v>2196</v>
      </c>
      <c r="AD152" s="36" t="str">
        <f>VLOOKUP(D152,Oficial!A:C,3,0)</f>
        <v>Arrastre</v>
      </c>
    </row>
    <row r="153" spans="1:30" x14ac:dyDescent="0.25">
      <c r="A153" s="36" t="s">
        <v>27</v>
      </c>
      <c r="B153" s="36" t="s">
        <v>165</v>
      </c>
      <c r="C153" s="36" t="s">
        <v>28</v>
      </c>
      <c r="D153" s="36" t="s">
        <v>165</v>
      </c>
      <c r="E153" s="36" t="s">
        <v>30</v>
      </c>
      <c r="F153" s="36" t="s">
        <v>31</v>
      </c>
      <c r="G153" s="37" t="s">
        <v>166</v>
      </c>
      <c r="H153" s="36" t="s">
        <v>167</v>
      </c>
      <c r="I153" s="36" t="s">
        <v>168</v>
      </c>
      <c r="J153" s="36">
        <v>1</v>
      </c>
      <c r="K153" s="36" t="s">
        <v>62</v>
      </c>
      <c r="L153" s="36">
        <v>1</v>
      </c>
      <c r="M153" s="36">
        <v>1</v>
      </c>
      <c r="N153" s="38">
        <v>20000000</v>
      </c>
      <c r="O153" s="42">
        <v>833333</v>
      </c>
      <c r="P153" s="36">
        <v>24</v>
      </c>
      <c r="Q153" s="36" t="s">
        <v>73</v>
      </c>
      <c r="R153" s="36" t="s">
        <v>169</v>
      </c>
      <c r="S153" s="36" t="s">
        <v>65</v>
      </c>
      <c r="T153" s="36" t="s">
        <v>66</v>
      </c>
      <c r="U153" s="36" t="s">
        <v>67</v>
      </c>
      <c r="V153" s="40">
        <v>45444</v>
      </c>
      <c r="W153" s="40">
        <v>45478</v>
      </c>
      <c r="X153" s="36">
        <v>16</v>
      </c>
      <c r="Y153" s="36" t="s">
        <v>172</v>
      </c>
      <c r="Z153" s="36">
        <v>1</v>
      </c>
      <c r="AA153" s="36">
        <v>833333</v>
      </c>
      <c r="AB153" s="40">
        <v>46327</v>
      </c>
      <c r="AC153" s="36" t="s">
        <v>2196</v>
      </c>
      <c r="AD153" s="36" t="str">
        <f>VLOOKUP(D153,Oficial!A:C,3,0)</f>
        <v>Arrastre</v>
      </c>
    </row>
    <row r="154" spans="1:30" x14ac:dyDescent="0.25">
      <c r="A154" s="36" t="s">
        <v>27</v>
      </c>
      <c r="B154" s="36" t="s">
        <v>165</v>
      </c>
      <c r="C154" s="36" t="s">
        <v>28</v>
      </c>
      <c r="D154" s="36" t="s">
        <v>165</v>
      </c>
      <c r="E154" s="36" t="s">
        <v>30</v>
      </c>
      <c r="F154" s="36" t="s">
        <v>31</v>
      </c>
      <c r="G154" s="37" t="s">
        <v>166</v>
      </c>
      <c r="H154" s="36" t="s">
        <v>167</v>
      </c>
      <c r="I154" s="36" t="s">
        <v>168</v>
      </c>
      <c r="J154" s="36">
        <v>1</v>
      </c>
      <c r="K154" s="36" t="s">
        <v>62</v>
      </c>
      <c r="L154" s="36">
        <v>1</v>
      </c>
      <c r="M154" s="36">
        <v>1</v>
      </c>
      <c r="N154" s="38">
        <v>20000000</v>
      </c>
      <c r="O154" s="42">
        <v>833340</v>
      </c>
      <c r="P154" s="36">
        <v>24</v>
      </c>
      <c r="Q154" s="36" t="s">
        <v>73</v>
      </c>
      <c r="R154" s="36" t="s">
        <v>169</v>
      </c>
      <c r="S154" s="36" t="s">
        <v>65</v>
      </c>
      <c r="T154" s="36" t="s">
        <v>66</v>
      </c>
      <c r="U154" s="36" t="s">
        <v>67</v>
      </c>
      <c r="V154" s="40">
        <v>45444</v>
      </c>
      <c r="W154" s="40">
        <v>45478</v>
      </c>
      <c r="X154" s="36">
        <v>16</v>
      </c>
      <c r="Y154" s="36" t="s">
        <v>170</v>
      </c>
      <c r="Z154" s="36">
        <v>1</v>
      </c>
      <c r="AA154" s="36">
        <v>833341</v>
      </c>
      <c r="AB154" s="40">
        <v>46357</v>
      </c>
      <c r="AC154" s="36" t="s">
        <v>2196</v>
      </c>
      <c r="AD154" s="36" t="str">
        <f>VLOOKUP(D154,Oficial!A:C,3,0)</f>
        <v>Arrastre</v>
      </c>
    </row>
    <row r="155" spans="1:30" x14ac:dyDescent="0.25">
      <c r="A155" s="36" t="s">
        <v>27</v>
      </c>
      <c r="B155" s="36" t="s">
        <v>165</v>
      </c>
      <c r="C155" s="36" t="s">
        <v>28</v>
      </c>
      <c r="D155" s="36" t="s">
        <v>165</v>
      </c>
      <c r="E155" s="36" t="s">
        <v>30</v>
      </c>
      <c r="F155" s="36" t="s">
        <v>31</v>
      </c>
      <c r="G155" s="37" t="s">
        <v>166</v>
      </c>
      <c r="H155" s="36" t="s">
        <v>167</v>
      </c>
      <c r="I155" s="36" t="s">
        <v>168</v>
      </c>
      <c r="J155" s="36">
        <v>1</v>
      </c>
      <c r="K155" s="36" t="s">
        <v>62</v>
      </c>
      <c r="L155" s="36">
        <v>1</v>
      </c>
      <c r="M155" s="36">
        <v>1</v>
      </c>
      <c r="N155" s="38">
        <v>20000000</v>
      </c>
      <c r="O155" s="42">
        <v>833333</v>
      </c>
      <c r="P155" s="36">
        <v>24</v>
      </c>
      <c r="Q155" s="36" t="s">
        <v>73</v>
      </c>
      <c r="R155" s="36" t="s">
        <v>169</v>
      </c>
      <c r="S155" s="36" t="s">
        <v>65</v>
      </c>
      <c r="T155" s="36" t="s">
        <v>66</v>
      </c>
      <c r="U155" s="36" t="s">
        <v>67</v>
      </c>
      <c r="V155" s="40">
        <v>45444</v>
      </c>
      <c r="W155" s="40">
        <v>45478</v>
      </c>
      <c r="X155" s="36">
        <v>16</v>
      </c>
      <c r="Y155" s="36" t="s">
        <v>173</v>
      </c>
      <c r="Z155" s="36">
        <v>1</v>
      </c>
      <c r="AA155" s="36">
        <v>833333</v>
      </c>
      <c r="AB155" s="40">
        <v>46296</v>
      </c>
      <c r="AC155" s="36" t="s">
        <v>2196</v>
      </c>
      <c r="AD155" s="36" t="str">
        <f>VLOOKUP(D155,Oficial!A:C,3,0)</f>
        <v>Arrastre</v>
      </c>
    </row>
    <row r="156" spans="1:30" x14ac:dyDescent="0.25">
      <c r="A156" s="36" t="s">
        <v>27</v>
      </c>
      <c r="B156" s="36" t="s">
        <v>165</v>
      </c>
      <c r="C156" s="36" t="s">
        <v>28</v>
      </c>
      <c r="D156" s="36" t="s">
        <v>165</v>
      </c>
      <c r="E156" s="36" t="s">
        <v>30</v>
      </c>
      <c r="F156" s="36" t="s">
        <v>31</v>
      </c>
      <c r="G156" s="37" t="s">
        <v>166</v>
      </c>
      <c r="H156" s="36" t="s">
        <v>167</v>
      </c>
      <c r="I156" s="36" t="s">
        <v>168</v>
      </c>
      <c r="J156" s="36">
        <v>1</v>
      </c>
      <c r="K156" s="36" t="s">
        <v>62</v>
      </c>
      <c r="L156" s="36">
        <v>1</v>
      </c>
      <c r="M156" s="36">
        <v>1</v>
      </c>
      <c r="N156" s="38">
        <v>20000000</v>
      </c>
      <c r="O156" s="42">
        <v>833333</v>
      </c>
      <c r="P156" s="36">
        <v>24</v>
      </c>
      <c r="Q156" s="36" t="s">
        <v>73</v>
      </c>
      <c r="R156" s="36" t="s">
        <v>169</v>
      </c>
      <c r="S156" s="36" t="s">
        <v>65</v>
      </c>
      <c r="T156" s="36" t="s">
        <v>66</v>
      </c>
      <c r="U156" s="36" t="s">
        <v>67</v>
      </c>
      <c r="V156" s="40">
        <v>45444</v>
      </c>
      <c r="W156" s="40">
        <v>45478</v>
      </c>
      <c r="X156" s="36">
        <v>16</v>
      </c>
      <c r="Y156" s="36" t="s">
        <v>173</v>
      </c>
      <c r="Z156" s="36">
        <v>1</v>
      </c>
      <c r="AA156" s="36">
        <v>833333</v>
      </c>
      <c r="AB156" s="40">
        <v>46143</v>
      </c>
      <c r="AC156" s="36" t="s">
        <v>2196</v>
      </c>
      <c r="AD156" s="36" t="str">
        <f>VLOOKUP(D156,Oficial!A:C,3,0)</f>
        <v>Arrastre</v>
      </c>
    </row>
    <row r="157" spans="1:30" x14ac:dyDescent="0.25">
      <c r="A157" s="36" t="s">
        <v>27</v>
      </c>
      <c r="B157" s="36" t="s">
        <v>165</v>
      </c>
      <c r="C157" s="36" t="s">
        <v>28</v>
      </c>
      <c r="D157" s="36" t="s">
        <v>165</v>
      </c>
      <c r="E157" s="36" t="s">
        <v>30</v>
      </c>
      <c r="F157" s="36" t="s">
        <v>31</v>
      </c>
      <c r="G157" s="37" t="s">
        <v>166</v>
      </c>
      <c r="H157" s="36" t="s">
        <v>167</v>
      </c>
      <c r="I157" s="36" t="s">
        <v>168</v>
      </c>
      <c r="J157" s="36">
        <v>1</v>
      </c>
      <c r="K157" s="36" t="s">
        <v>62</v>
      </c>
      <c r="L157" s="36">
        <v>1</v>
      </c>
      <c r="M157" s="36">
        <v>1</v>
      </c>
      <c r="N157" s="38">
        <v>20000000</v>
      </c>
      <c r="O157" s="42">
        <v>833333</v>
      </c>
      <c r="P157" s="36">
        <v>24</v>
      </c>
      <c r="Q157" s="36" t="s">
        <v>73</v>
      </c>
      <c r="R157" s="36" t="s">
        <v>169</v>
      </c>
      <c r="S157" s="36" t="s">
        <v>65</v>
      </c>
      <c r="T157" s="36" t="s">
        <v>66</v>
      </c>
      <c r="U157" s="36" t="s">
        <v>67</v>
      </c>
      <c r="V157" s="40">
        <v>45444</v>
      </c>
      <c r="W157" s="40">
        <v>45478</v>
      </c>
      <c r="X157" s="36">
        <v>16</v>
      </c>
      <c r="Y157" s="36" t="s">
        <v>175</v>
      </c>
      <c r="Z157" s="36">
        <v>1</v>
      </c>
      <c r="AA157" s="36">
        <v>833333</v>
      </c>
      <c r="AB157" s="40">
        <v>46082</v>
      </c>
      <c r="AC157" s="36" t="s">
        <v>2196</v>
      </c>
      <c r="AD157" s="36" t="str">
        <f>VLOOKUP(D157,Oficial!A:C,3,0)</f>
        <v>Arrastre</v>
      </c>
    </row>
    <row r="158" spans="1:30" x14ac:dyDescent="0.25">
      <c r="A158" s="36" t="s">
        <v>27</v>
      </c>
      <c r="B158" s="36" t="s">
        <v>177</v>
      </c>
      <c r="C158" s="36" t="s">
        <v>28</v>
      </c>
      <c r="D158" s="36" t="s">
        <v>177</v>
      </c>
      <c r="E158" s="36" t="s">
        <v>30</v>
      </c>
      <c r="F158" s="36" t="s">
        <v>31</v>
      </c>
      <c r="G158" s="37" t="s">
        <v>178</v>
      </c>
      <c r="H158" s="36" t="s">
        <v>179</v>
      </c>
      <c r="I158" s="36" t="s">
        <v>180</v>
      </c>
      <c r="J158" s="36">
        <v>1</v>
      </c>
      <c r="K158" s="36" t="s">
        <v>181</v>
      </c>
      <c r="L158" s="36">
        <v>1</v>
      </c>
      <c r="M158" s="36">
        <v>1</v>
      </c>
      <c r="N158" s="38">
        <v>1810393810</v>
      </c>
      <c r="O158" s="44">
        <v>75433075</v>
      </c>
      <c r="P158" s="36">
        <v>24</v>
      </c>
      <c r="Q158" s="36" t="s">
        <v>73</v>
      </c>
      <c r="R158" s="36" t="s">
        <v>182</v>
      </c>
      <c r="S158" s="36" t="s">
        <v>183</v>
      </c>
      <c r="T158" s="36" t="s">
        <v>184</v>
      </c>
      <c r="U158" s="36" t="s">
        <v>185</v>
      </c>
      <c r="V158" s="40">
        <v>45444</v>
      </c>
      <c r="W158" s="40">
        <v>45478</v>
      </c>
      <c r="X158" s="36">
        <v>46</v>
      </c>
      <c r="Y158" s="36" t="s">
        <v>186</v>
      </c>
      <c r="Z158" s="36">
        <v>1</v>
      </c>
      <c r="AA158" s="36">
        <v>75433075</v>
      </c>
      <c r="AB158" s="40">
        <v>46235</v>
      </c>
      <c r="AC158" s="36" t="s">
        <v>2196</v>
      </c>
      <c r="AD158" s="36" t="str">
        <f>VLOOKUP(D158,Oficial!A:C,3,0)</f>
        <v>Arrastre</v>
      </c>
    </row>
    <row r="159" spans="1:30" x14ac:dyDescent="0.25">
      <c r="A159" s="36" t="s">
        <v>27</v>
      </c>
      <c r="B159" s="36" t="s">
        <v>177</v>
      </c>
      <c r="C159" s="36" t="s">
        <v>28</v>
      </c>
      <c r="D159" s="36" t="s">
        <v>177</v>
      </c>
      <c r="E159" s="36" t="s">
        <v>30</v>
      </c>
      <c r="F159" s="36" t="s">
        <v>31</v>
      </c>
      <c r="G159" s="37" t="s">
        <v>178</v>
      </c>
      <c r="H159" s="36" t="s">
        <v>179</v>
      </c>
      <c r="I159" s="36" t="s">
        <v>180</v>
      </c>
      <c r="J159" s="36">
        <v>1</v>
      </c>
      <c r="K159" s="36" t="s">
        <v>181</v>
      </c>
      <c r="L159" s="36">
        <v>1</v>
      </c>
      <c r="M159" s="36">
        <v>1</v>
      </c>
      <c r="N159" s="38">
        <v>1810393810</v>
      </c>
      <c r="O159" s="44">
        <v>75433075</v>
      </c>
      <c r="P159" s="36">
        <v>24</v>
      </c>
      <c r="Q159" s="36" t="s">
        <v>73</v>
      </c>
      <c r="R159" s="36" t="s">
        <v>182</v>
      </c>
      <c r="S159" s="36" t="s">
        <v>183</v>
      </c>
      <c r="T159" s="36" t="s">
        <v>184</v>
      </c>
      <c r="U159" s="36" t="s">
        <v>185</v>
      </c>
      <c r="V159" s="40">
        <v>45444</v>
      </c>
      <c r="W159" s="40">
        <v>45478</v>
      </c>
      <c r="X159" s="36">
        <v>46</v>
      </c>
      <c r="Y159" s="36" t="s">
        <v>186</v>
      </c>
      <c r="Z159" s="36">
        <v>1</v>
      </c>
      <c r="AA159" s="36">
        <v>75433075</v>
      </c>
      <c r="AB159" s="40">
        <v>46327</v>
      </c>
      <c r="AC159" s="36" t="s">
        <v>2196</v>
      </c>
      <c r="AD159" s="36" t="str">
        <f>VLOOKUP(D159,Oficial!A:C,3,0)</f>
        <v>Arrastre</v>
      </c>
    </row>
    <row r="160" spans="1:30" x14ac:dyDescent="0.25">
      <c r="A160" s="36" t="s">
        <v>27</v>
      </c>
      <c r="B160" s="36" t="s">
        <v>177</v>
      </c>
      <c r="C160" s="36" t="s">
        <v>28</v>
      </c>
      <c r="D160" s="36" t="s">
        <v>177</v>
      </c>
      <c r="E160" s="36" t="s">
        <v>30</v>
      </c>
      <c r="F160" s="36" t="s">
        <v>31</v>
      </c>
      <c r="G160" s="37" t="s">
        <v>178</v>
      </c>
      <c r="H160" s="36" t="s">
        <v>179</v>
      </c>
      <c r="I160" s="36" t="s">
        <v>180</v>
      </c>
      <c r="J160" s="36">
        <v>1</v>
      </c>
      <c r="K160" s="36" t="s">
        <v>181</v>
      </c>
      <c r="L160" s="36">
        <v>1</v>
      </c>
      <c r="M160" s="36">
        <v>1</v>
      </c>
      <c r="N160" s="38">
        <v>1810393810</v>
      </c>
      <c r="O160" s="44">
        <v>75433075</v>
      </c>
      <c r="P160" s="36">
        <v>24</v>
      </c>
      <c r="Q160" s="36" t="s">
        <v>73</v>
      </c>
      <c r="R160" s="36" t="s">
        <v>182</v>
      </c>
      <c r="S160" s="36" t="s">
        <v>183</v>
      </c>
      <c r="T160" s="36" t="s">
        <v>184</v>
      </c>
      <c r="U160" s="36" t="s">
        <v>185</v>
      </c>
      <c r="V160" s="40">
        <v>45444</v>
      </c>
      <c r="W160" s="40">
        <v>45478</v>
      </c>
      <c r="X160" s="36">
        <v>46</v>
      </c>
      <c r="Y160" s="36" t="s">
        <v>186</v>
      </c>
      <c r="Z160" s="36">
        <v>1</v>
      </c>
      <c r="AA160" s="36">
        <v>75433075</v>
      </c>
      <c r="AB160" s="40">
        <v>46082</v>
      </c>
      <c r="AC160" s="36" t="s">
        <v>2196</v>
      </c>
      <c r="AD160" s="36" t="str">
        <f>VLOOKUP(D160,Oficial!A:C,3,0)</f>
        <v>Arrastre</v>
      </c>
    </row>
    <row r="161" spans="1:30" x14ac:dyDescent="0.25">
      <c r="A161" s="36" t="s">
        <v>27</v>
      </c>
      <c r="B161" s="36" t="s">
        <v>177</v>
      </c>
      <c r="C161" s="36" t="s">
        <v>28</v>
      </c>
      <c r="D161" s="36" t="s">
        <v>177</v>
      </c>
      <c r="E161" s="36" t="s">
        <v>30</v>
      </c>
      <c r="F161" s="36" t="s">
        <v>31</v>
      </c>
      <c r="G161" s="37" t="s">
        <v>178</v>
      </c>
      <c r="H161" s="36" t="s">
        <v>179</v>
      </c>
      <c r="I161" s="36" t="s">
        <v>180</v>
      </c>
      <c r="J161" s="36">
        <v>1</v>
      </c>
      <c r="K161" s="36" t="s">
        <v>181</v>
      </c>
      <c r="L161" s="36">
        <v>1</v>
      </c>
      <c r="M161" s="36">
        <v>1</v>
      </c>
      <c r="N161" s="38">
        <v>1810393810</v>
      </c>
      <c r="O161" s="44">
        <v>75433075</v>
      </c>
      <c r="P161" s="36">
        <v>24</v>
      </c>
      <c r="Q161" s="36" t="s">
        <v>73</v>
      </c>
      <c r="R161" s="36" t="s">
        <v>182</v>
      </c>
      <c r="S161" s="36" t="s">
        <v>183</v>
      </c>
      <c r="T161" s="36" t="s">
        <v>184</v>
      </c>
      <c r="U161" s="36" t="s">
        <v>185</v>
      </c>
      <c r="V161" s="40">
        <v>45444</v>
      </c>
      <c r="W161" s="40">
        <v>45478</v>
      </c>
      <c r="X161" s="36">
        <v>46</v>
      </c>
      <c r="Y161" s="36" t="s">
        <v>186</v>
      </c>
      <c r="Z161" s="36">
        <v>1</v>
      </c>
      <c r="AA161" s="36">
        <v>75433075</v>
      </c>
      <c r="AB161" s="40">
        <v>46023</v>
      </c>
      <c r="AC161" s="36" t="s">
        <v>2196</v>
      </c>
      <c r="AD161" s="36" t="str">
        <f>VLOOKUP(D161,Oficial!A:C,3,0)</f>
        <v>Arrastre</v>
      </c>
    </row>
    <row r="162" spans="1:30" x14ac:dyDescent="0.25">
      <c r="A162" s="36" t="s">
        <v>27</v>
      </c>
      <c r="B162" s="36" t="s">
        <v>177</v>
      </c>
      <c r="C162" s="36" t="s">
        <v>28</v>
      </c>
      <c r="D162" s="36" t="s">
        <v>177</v>
      </c>
      <c r="E162" s="36" t="s">
        <v>30</v>
      </c>
      <c r="F162" s="36" t="s">
        <v>31</v>
      </c>
      <c r="G162" s="37" t="s">
        <v>178</v>
      </c>
      <c r="H162" s="36" t="s">
        <v>179</v>
      </c>
      <c r="I162" s="36" t="s">
        <v>180</v>
      </c>
      <c r="J162" s="36">
        <v>1</v>
      </c>
      <c r="K162" s="36" t="s">
        <v>181</v>
      </c>
      <c r="L162" s="36">
        <v>1</v>
      </c>
      <c r="M162" s="36">
        <v>1</v>
      </c>
      <c r="N162" s="38">
        <v>1810393810</v>
      </c>
      <c r="O162" s="44">
        <v>75433075</v>
      </c>
      <c r="P162" s="36">
        <v>24</v>
      </c>
      <c r="Q162" s="36" t="s">
        <v>73</v>
      </c>
      <c r="R162" s="36" t="s">
        <v>182</v>
      </c>
      <c r="S162" s="36" t="s">
        <v>183</v>
      </c>
      <c r="T162" s="36" t="s">
        <v>184</v>
      </c>
      <c r="U162" s="36" t="s">
        <v>185</v>
      </c>
      <c r="V162" s="40">
        <v>45444</v>
      </c>
      <c r="W162" s="40">
        <v>45478</v>
      </c>
      <c r="X162" s="36">
        <v>46</v>
      </c>
      <c r="Y162" s="36" t="s">
        <v>187</v>
      </c>
      <c r="Z162" s="36">
        <v>1</v>
      </c>
      <c r="AA162" s="36">
        <v>75433075</v>
      </c>
      <c r="AB162" s="40">
        <v>46023</v>
      </c>
      <c r="AC162" s="36" t="s">
        <v>2196</v>
      </c>
      <c r="AD162" s="36" t="str">
        <f>VLOOKUP(D162,Oficial!A:C,3,0)</f>
        <v>Arrastre</v>
      </c>
    </row>
    <row r="163" spans="1:30" x14ac:dyDescent="0.25">
      <c r="A163" s="36" t="s">
        <v>27</v>
      </c>
      <c r="B163" s="36" t="s">
        <v>177</v>
      </c>
      <c r="C163" s="36" t="s">
        <v>28</v>
      </c>
      <c r="D163" s="36" t="s">
        <v>177</v>
      </c>
      <c r="E163" s="36" t="s">
        <v>30</v>
      </c>
      <c r="F163" s="36" t="s">
        <v>31</v>
      </c>
      <c r="G163" s="37" t="s">
        <v>178</v>
      </c>
      <c r="H163" s="36" t="s">
        <v>179</v>
      </c>
      <c r="I163" s="36" t="s">
        <v>180</v>
      </c>
      <c r="J163" s="36">
        <v>1</v>
      </c>
      <c r="K163" s="36" t="s">
        <v>181</v>
      </c>
      <c r="L163" s="36">
        <v>1</v>
      </c>
      <c r="M163" s="36">
        <v>1</v>
      </c>
      <c r="N163" s="38">
        <v>1810393810</v>
      </c>
      <c r="O163" s="44">
        <v>75433075</v>
      </c>
      <c r="P163" s="36">
        <v>24</v>
      </c>
      <c r="Q163" s="36" t="s">
        <v>73</v>
      </c>
      <c r="R163" s="36" t="s">
        <v>182</v>
      </c>
      <c r="S163" s="36" t="s">
        <v>183</v>
      </c>
      <c r="T163" s="36" t="s">
        <v>184</v>
      </c>
      <c r="U163" s="36" t="s">
        <v>185</v>
      </c>
      <c r="V163" s="40">
        <v>45444</v>
      </c>
      <c r="W163" s="40">
        <v>45478</v>
      </c>
      <c r="X163" s="36">
        <v>46</v>
      </c>
      <c r="Y163" s="36" t="s">
        <v>188</v>
      </c>
      <c r="Z163" s="36">
        <v>1</v>
      </c>
      <c r="AA163" s="36">
        <v>75433075</v>
      </c>
      <c r="AB163" s="40">
        <v>46143</v>
      </c>
      <c r="AC163" s="36" t="s">
        <v>2196</v>
      </c>
      <c r="AD163" s="36" t="str">
        <f>VLOOKUP(D163,Oficial!A:C,3,0)</f>
        <v>Arrastre</v>
      </c>
    </row>
    <row r="164" spans="1:30" x14ac:dyDescent="0.25">
      <c r="A164" s="36" t="s">
        <v>27</v>
      </c>
      <c r="B164" s="36" t="s">
        <v>177</v>
      </c>
      <c r="C164" s="36" t="s">
        <v>28</v>
      </c>
      <c r="D164" s="36" t="s">
        <v>177</v>
      </c>
      <c r="E164" s="36" t="s">
        <v>30</v>
      </c>
      <c r="F164" s="36" t="s">
        <v>31</v>
      </c>
      <c r="G164" s="37" t="s">
        <v>178</v>
      </c>
      <c r="H164" s="36" t="s">
        <v>179</v>
      </c>
      <c r="I164" s="36" t="s">
        <v>180</v>
      </c>
      <c r="J164" s="36">
        <v>1</v>
      </c>
      <c r="K164" s="36" t="s">
        <v>181</v>
      </c>
      <c r="L164" s="36">
        <v>1</v>
      </c>
      <c r="M164" s="36">
        <v>1</v>
      </c>
      <c r="N164" s="38">
        <v>1810393810</v>
      </c>
      <c r="O164" s="44">
        <v>75433075</v>
      </c>
      <c r="P164" s="36">
        <v>24</v>
      </c>
      <c r="Q164" s="36" t="s">
        <v>73</v>
      </c>
      <c r="R164" s="36" t="s">
        <v>182</v>
      </c>
      <c r="S164" s="36" t="s">
        <v>183</v>
      </c>
      <c r="T164" s="36" t="s">
        <v>184</v>
      </c>
      <c r="U164" s="36" t="s">
        <v>185</v>
      </c>
      <c r="V164" s="40">
        <v>45444</v>
      </c>
      <c r="W164" s="40">
        <v>45478</v>
      </c>
      <c r="X164" s="36">
        <v>46</v>
      </c>
      <c r="Y164" s="36" t="s">
        <v>186</v>
      </c>
      <c r="Z164" s="36">
        <v>1</v>
      </c>
      <c r="AA164" s="36">
        <v>75433075</v>
      </c>
      <c r="AB164" s="40">
        <v>46204</v>
      </c>
      <c r="AC164" s="36" t="s">
        <v>2196</v>
      </c>
      <c r="AD164" s="36" t="str">
        <f>VLOOKUP(D164,Oficial!A:C,3,0)</f>
        <v>Arrastre</v>
      </c>
    </row>
    <row r="165" spans="1:30" x14ac:dyDescent="0.25">
      <c r="A165" s="36" t="s">
        <v>27</v>
      </c>
      <c r="B165" s="36" t="s">
        <v>177</v>
      </c>
      <c r="C165" s="36" t="s">
        <v>28</v>
      </c>
      <c r="D165" s="36" t="s">
        <v>177</v>
      </c>
      <c r="E165" s="36" t="s">
        <v>30</v>
      </c>
      <c r="F165" s="36" t="s">
        <v>31</v>
      </c>
      <c r="G165" s="37" t="s">
        <v>178</v>
      </c>
      <c r="H165" s="36" t="s">
        <v>179</v>
      </c>
      <c r="I165" s="36" t="s">
        <v>180</v>
      </c>
      <c r="J165" s="36">
        <v>1</v>
      </c>
      <c r="K165" s="36" t="s">
        <v>181</v>
      </c>
      <c r="L165" s="36">
        <v>1</v>
      </c>
      <c r="M165" s="36">
        <v>1</v>
      </c>
      <c r="N165" s="38">
        <v>1810393810</v>
      </c>
      <c r="O165" s="44">
        <v>75433075</v>
      </c>
      <c r="P165" s="36">
        <v>24</v>
      </c>
      <c r="Q165" s="36" t="s">
        <v>73</v>
      </c>
      <c r="R165" s="36" t="s">
        <v>182</v>
      </c>
      <c r="S165" s="36" t="s">
        <v>183</v>
      </c>
      <c r="T165" s="36" t="s">
        <v>184</v>
      </c>
      <c r="U165" s="36" t="s">
        <v>185</v>
      </c>
      <c r="V165" s="40">
        <v>45444</v>
      </c>
      <c r="W165" s="40">
        <v>45478</v>
      </c>
      <c r="X165" s="36">
        <v>46</v>
      </c>
      <c r="Y165" s="36" t="s">
        <v>188</v>
      </c>
      <c r="Z165" s="36">
        <v>1</v>
      </c>
      <c r="AA165" s="36">
        <v>75433075</v>
      </c>
      <c r="AB165" s="40">
        <v>46327</v>
      </c>
      <c r="AC165" s="36" t="s">
        <v>2196</v>
      </c>
      <c r="AD165" s="36" t="str">
        <f>VLOOKUP(D165,Oficial!A:C,3,0)</f>
        <v>Arrastre</v>
      </c>
    </row>
    <row r="166" spans="1:30" x14ac:dyDescent="0.25">
      <c r="A166" s="36" t="s">
        <v>27</v>
      </c>
      <c r="B166" s="36" t="s">
        <v>177</v>
      </c>
      <c r="C166" s="36" t="s">
        <v>28</v>
      </c>
      <c r="D166" s="36" t="s">
        <v>177</v>
      </c>
      <c r="E166" s="36" t="s">
        <v>30</v>
      </c>
      <c r="F166" s="36" t="s">
        <v>31</v>
      </c>
      <c r="G166" s="37" t="s">
        <v>178</v>
      </c>
      <c r="H166" s="36" t="s">
        <v>179</v>
      </c>
      <c r="I166" s="36" t="s">
        <v>180</v>
      </c>
      <c r="J166" s="36">
        <v>1</v>
      </c>
      <c r="K166" s="36" t="s">
        <v>181</v>
      </c>
      <c r="L166" s="36">
        <v>1</v>
      </c>
      <c r="M166" s="36">
        <v>1</v>
      </c>
      <c r="N166" s="38">
        <v>1810393810</v>
      </c>
      <c r="O166" s="44">
        <v>75433075</v>
      </c>
      <c r="P166" s="36">
        <v>24</v>
      </c>
      <c r="Q166" s="36" t="s">
        <v>73</v>
      </c>
      <c r="R166" s="36" t="s">
        <v>182</v>
      </c>
      <c r="S166" s="36" t="s">
        <v>183</v>
      </c>
      <c r="T166" s="36" t="s">
        <v>184</v>
      </c>
      <c r="U166" s="36" t="s">
        <v>185</v>
      </c>
      <c r="V166" s="40">
        <v>45444</v>
      </c>
      <c r="W166" s="40">
        <v>45478</v>
      </c>
      <c r="X166" s="36">
        <v>46</v>
      </c>
      <c r="Y166" s="36" t="s">
        <v>188</v>
      </c>
      <c r="Z166" s="36">
        <v>1</v>
      </c>
      <c r="AA166" s="36">
        <v>75433075</v>
      </c>
      <c r="AB166" s="40">
        <v>46174</v>
      </c>
      <c r="AC166" s="36" t="s">
        <v>2196</v>
      </c>
      <c r="AD166" s="36" t="str">
        <f>VLOOKUP(D166,Oficial!A:C,3,0)</f>
        <v>Arrastre</v>
      </c>
    </row>
    <row r="167" spans="1:30" x14ac:dyDescent="0.25">
      <c r="A167" s="36" t="s">
        <v>27</v>
      </c>
      <c r="B167" s="36" t="s">
        <v>177</v>
      </c>
      <c r="C167" s="36" t="s">
        <v>28</v>
      </c>
      <c r="D167" s="36" t="s">
        <v>177</v>
      </c>
      <c r="E167" s="36" t="s">
        <v>30</v>
      </c>
      <c r="F167" s="36" t="s">
        <v>31</v>
      </c>
      <c r="G167" s="37" t="s">
        <v>178</v>
      </c>
      <c r="H167" s="36" t="s">
        <v>179</v>
      </c>
      <c r="I167" s="36" t="s">
        <v>180</v>
      </c>
      <c r="J167" s="36">
        <v>1</v>
      </c>
      <c r="K167" s="36" t="s">
        <v>181</v>
      </c>
      <c r="L167" s="36">
        <v>1</v>
      </c>
      <c r="M167" s="36">
        <v>1</v>
      </c>
      <c r="N167" s="38">
        <v>1810393810</v>
      </c>
      <c r="O167" s="44">
        <v>75433075</v>
      </c>
      <c r="P167" s="36">
        <v>24</v>
      </c>
      <c r="Q167" s="36" t="s">
        <v>73</v>
      </c>
      <c r="R167" s="36" t="s">
        <v>182</v>
      </c>
      <c r="S167" s="36" t="s">
        <v>183</v>
      </c>
      <c r="T167" s="36" t="s">
        <v>184</v>
      </c>
      <c r="U167" s="36" t="s">
        <v>185</v>
      </c>
      <c r="V167" s="40">
        <v>45444</v>
      </c>
      <c r="W167" s="40">
        <v>45478</v>
      </c>
      <c r="X167" s="36">
        <v>46</v>
      </c>
      <c r="Y167" s="36" t="s">
        <v>189</v>
      </c>
      <c r="Z167" s="36">
        <v>1</v>
      </c>
      <c r="AA167" s="36">
        <v>75433075</v>
      </c>
      <c r="AB167" s="40">
        <v>46174</v>
      </c>
      <c r="AC167" s="36" t="s">
        <v>2196</v>
      </c>
      <c r="AD167" s="36" t="str">
        <f>VLOOKUP(D167,Oficial!A:C,3,0)</f>
        <v>Arrastre</v>
      </c>
    </row>
    <row r="168" spans="1:30" x14ac:dyDescent="0.25">
      <c r="A168" s="36" t="s">
        <v>27</v>
      </c>
      <c r="B168" s="36" t="s">
        <v>177</v>
      </c>
      <c r="C168" s="36" t="s">
        <v>28</v>
      </c>
      <c r="D168" s="36" t="s">
        <v>177</v>
      </c>
      <c r="E168" s="36" t="s">
        <v>30</v>
      </c>
      <c r="F168" s="36" t="s">
        <v>31</v>
      </c>
      <c r="G168" s="37" t="s">
        <v>178</v>
      </c>
      <c r="H168" s="36" t="s">
        <v>179</v>
      </c>
      <c r="I168" s="36" t="s">
        <v>180</v>
      </c>
      <c r="J168" s="36">
        <v>1</v>
      </c>
      <c r="K168" s="36" t="s">
        <v>181</v>
      </c>
      <c r="L168" s="36">
        <v>1</v>
      </c>
      <c r="M168" s="36">
        <v>1</v>
      </c>
      <c r="N168" s="38">
        <v>1810393810</v>
      </c>
      <c r="O168" s="44">
        <v>75433075</v>
      </c>
      <c r="P168" s="36">
        <v>24</v>
      </c>
      <c r="Q168" s="36" t="s">
        <v>73</v>
      </c>
      <c r="R168" s="36" t="s">
        <v>182</v>
      </c>
      <c r="S168" s="36" t="s">
        <v>183</v>
      </c>
      <c r="T168" s="36" t="s">
        <v>184</v>
      </c>
      <c r="U168" s="36" t="s">
        <v>185</v>
      </c>
      <c r="V168" s="40">
        <v>45444</v>
      </c>
      <c r="W168" s="40">
        <v>45478</v>
      </c>
      <c r="X168" s="36">
        <v>46</v>
      </c>
      <c r="Y168" s="36" t="s">
        <v>186</v>
      </c>
      <c r="Z168" s="36">
        <v>1</v>
      </c>
      <c r="AA168" s="36">
        <v>75433075</v>
      </c>
      <c r="AB168" s="40">
        <v>46113</v>
      </c>
      <c r="AC168" s="36" t="s">
        <v>2196</v>
      </c>
      <c r="AD168" s="36" t="str">
        <f>VLOOKUP(D168,Oficial!A:C,3,0)</f>
        <v>Arrastre</v>
      </c>
    </row>
    <row r="169" spans="1:30" x14ac:dyDescent="0.25">
      <c r="A169" s="36" t="s">
        <v>27</v>
      </c>
      <c r="B169" s="36" t="s">
        <v>177</v>
      </c>
      <c r="C169" s="36" t="s">
        <v>28</v>
      </c>
      <c r="D169" s="36" t="s">
        <v>177</v>
      </c>
      <c r="E169" s="36" t="s">
        <v>30</v>
      </c>
      <c r="F169" s="36" t="s">
        <v>31</v>
      </c>
      <c r="G169" s="37" t="s">
        <v>178</v>
      </c>
      <c r="H169" s="36" t="s">
        <v>179</v>
      </c>
      <c r="I169" s="36" t="s">
        <v>180</v>
      </c>
      <c r="J169" s="36">
        <v>1</v>
      </c>
      <c r="K169" s="36" t="s">
        <v>181</v>
      </c>
      <c r="L169" s="36">
        <v>1</v>
      </c>
      <c r="M169" s="36">
        <v>1</v>
      </c>
      <c r="N169" s="38">
        <v>1810393810</v>
      </c>
      <c r="O169" s="44">
        <v>75433085</v>
      </c>
      <c r="P169" s="36">
        <v>24</v>
      </c>
      <c r="Q169" s="36" t="s">
        <v>73</v>
      </c>
      <c r="R169" s="36" t="s">
        <v>182</v>
      </c>
      <c r="S169" s="36" t="s">
        <v>183</v>
      </c>
      <c r="T169" s="36" t="s">
        <v>184</v>
      </c>
      <c r="U169" s="36" t="s">
        <v>185</v>
      </c>
      <c r="V169" s="40">
        <v>45444</v>
      </c>
      <c r="W169" s="40">
        <v>45478</v>
      </c>
      <c r="X169" s="36">
        <v>46</v>
      </c>
      <c r="Y169" s="36" t="s">
        <v>190</v>
      </c>
      <c r="Z169" s="36">
        <v>1</v>
      </c>
      <c r="AA169" s="36">
        <v>75433075</v>
      </c>
      <c r="AB169" s="40">
        <v>46204</v>
      </c>
      <c r="AC169" s="36" t="s">
        <v>2196</v>
      </c>
      <c r="AD169" s="36" t="str">
        <f>VLOOKUP(D169,Oficial!A:C,3,0)</f>
        <v>Arrastre</v>
      </c>
    </row>
    <row r="170" spans="1:30" x14ac:dyDescent="0.25">
      <c r="A170" s="36" t="s">
        <v>27</v>
      </c>
      <c r="B170" s="36" t="s">
        <v>191</v>
      </c>
      <c r="C170" s="36" t="s">
        <v>28</v>
      </c>
      <c r="D170" s="36" t="s">
        <v>191</v>
      </c>
      <c r="E170" s="36" t="s">
        <v>30</v>
      </c>
      <c r="F170" s="36" t="s">
        <v>31</v>
      </c>
      <c r="G170" s="37" t="s">
        <v>192</v>
      </c>
      <c r="H170" s="36" t="s">
        <v>193</v>
      </c>
      <c r="I170" s="36" t="s">
        <v>194</v>
      </c>
      <c r="J170" s="36">
        <v>2</v>
      </c>
      <c r="K170" s="36" t="s">
        <v>195</v>
      </c>
      <c r="L170" s="36">
        <v>4</v>
      </c>
      <c r="M170" s="36">
        <v>159</v>
      </c>
      <c r="N170" s="38">
        <v>2096280</v>
      </c>
      <c r="O170" s="45">
        <v>9258570</v>
      </c>
      <c r="P170" s="36">
        <v>32</v>
      </c>
      <c r="Q170" s="36" t="s">
        <v>196</v>
      </c>
      <c r="R170" s="36" t="s">
        <v>197</v>
      </c>
      <c r="S170" s="36" t="s">
        <v>198</v>
      </c>
      <c r="T170" s="36" t="s">
        <v>199</v>
      </c>
      <c r="U170" s="36" t="s">
        <v>200</v>
      </c>
      <c r="V170" s="40">
        <v>45992</v>
      </c>
      <c r="W170" s="40">
        <v>45889</v>
      </c>
      <c r="X170" s="36">
        <v>0</v>
      </c>
      <c r="Y170" s="36"/>
      <c r="Z170" s="36">
        <v>1</v>
      </c>
      <c r="AA170" s="36">
        <v>9258570</v>
      </c>
      <c r="AB170" s="40">
        <v>46235</v>
      </c>
      <c r="AC170" s="36" t="s">
        <v>2196</v>
      </c>
      <c r="AD170" s="36" t="str">
        <f>VLOOKUP(D170,Oficial!A:C,3,0)</f>
        <v>Arrastre</v>
      </c>
    </row>
    <row r="171" spans="1:30" x14ac:dyDescent="0.25">
      <c r="A171" s="36" t="s">
        <v>27</v>
      </c>
      <c r="B171" s="36" t="s">
        <v>191</v>
      </c>
      <c r="C171" s="36" t="s">
        <v>28</v>
      </c>
      <c r="D171" s="36" t="s">
        <v>191</v>
      </c>
      <c r="E171" s="36" t="s">
        <v>30</v>
      </c>
      <c r="F171" s="36" t="s">
        <v>31</v>
      </c>
      <c r="G171" s="37" t="s">
        <v>192</v>
      </c>
      <c r="H171" s="36" t="s">
        <v>201</v>
      </c>
      <c r="I171" s="36" t="s">
        <v>194</v>
      </c>
      <c r="J171" s="36">
        <v>2</v>
      </c>
      <c r="K171" s="36" t="s">
        <v>195</v>
      </c>
      <c r="L171" s="36">
        <v>4</v>
      </c>
      <c r="M171" s="36">
        <v>159</v>
      </c>
      <c r="N171" s="38">
        <v>2096280</v>
      </c>
      <c r="O171" s="45">
        <v>9258570</v>
      </c>
      <c r="P171" s="36">
        <v>1</v>
      </c>
      <c r="Q171" s="36" t="s">
        <v>196</v>
      </c>
      <c r="R171" s="36" t="s">
        <v>197</v>
      </c>
      <c r="S171" s="36" t="s">
        <v>198</v>
      </c>
      <c r="T171" s="36" t="s">
        <v>199</v>
      </c>
      <c r="U171" s="36" t="s">
        <v>200</v>
      </c>
      <c r="V171" s="40">
        <v>45870</v>
      </c>
      <c r="W171" s="40">
        <v>45889</v>
      </c>
      <c r="X171" s="36">
        <v>0</v>
      </c>
      <c r="Y171" s="36"/>
      <c r="Z171" s="36">
        <v>1</v>
      </c>
      <c r="AA171" s="36">
        <v>9258570</v>
      </c>
      <c r="AB171" s="40">
        <v>46174</v>
      </c>
      <c r="AC171" s="36" t="s">
        <v>2196</v>
      </c>
      <c r="AD171" s="36" t="str">
        <f>VLOOKUP(D171,Oficial!A:C,3,0)</f>
        <v>Arrastre</v>
      </c>
    </row>
    <row r="172" spans="1:30" x14ac:dyDescent="0.25">
      <c r="A172" s="36" t="s">
        <v>27</v>
      </c>
      <c r="B172" s="36" t="s">
        <v>191</v>
      </c>
      <c r="C172" s="36" t="s">
        <v>28</v>
      </c>
      <c r="D172" s="36" t="s">
        <v>191</v>
      </c>
      <c r="E172" s="36" t="s">
        <v>30</v>
      </c>
      <c r="F172" s="36" t="s">
        <v>31</v>
      </c>
      <c r="G172" s="37" t="s">
        <v>192</v>
      </c>
      <c r="H172" s="36" t="s">
        <v>193</v>
      </c>
      <c r="I172" s="36" t="s">
        <v>194</v>
      </c>
      <c r="J172" s="36">
        <v>2</v>
      </c>
      <c r="K172" s="36" t="s">
        <v>195</v>
      </c>
      <c r="L172" s="36">
        <v>4</v>
      </c>
      <c r="M172" s="36">
        <v>159</v>
      </c>
      <c r="N172" s="38">
        <v>2096280</v>
      </c>
      <c r="O172" s="45">
        <v>9258570</v>
      </c>
      <c r="P172" s="36">
        <v>32</v>
      </c>
      <c r="Q172" s="36" t="s">
        <v>196</v>
      </c>
      <c r="R172" s="36" t="s">
        <v>197</v>
      </c>
      <c r="S172" s="36" t="s">
        <v>198</v>
      </c>
      <c r="T172" s="36" t="s">
        <v>199</v>
      </c>
      <c r="U172" s="36" t="s">
        <v>200</v>
      </c>
      <c r="V172" s="40">
        <v>45992</v>
      </c>
      <c r="W172" s="40">
        <v>45889</v>
      </c>
      <c r="X172" s="36">
        <v>0</v>
      </c>
      <c r="Y172" s="36"/>
      <c r="Z172" s="36">
        <v>1</v>
      </c>
      <c r="AA172" s="36">
        <v>9258570</v>
      </c>
      <c r="AB172" s="40">
        <v>46204</v>
      </c>
      <c r="AC172" s="36" t="s">
        <v>2196</v>
      </c>
      <c r="AD172" s="36" t="str">
        <f>VLOOKUP(D172,Oficial!A:C,3,0)</f>
        <v>Arrastre</v>
      </c>
    </row>
    <row r="173" spans="1:30" x14ac:dyDescent="0.25">
      <c r="A173" s="36" t="s">
        <v>27</v>
      </c>
      <c r="B173" s="36" t="s">
        <v>191</v>
      </c>
      <c r="C173" s="36" t="s">
        <v>28</v>
      </c>
      <c r="D173" s="36" t="s">
        <v>191</v>
      </c>
      <c r="E173" s="36" t="s">
        <v>30</v>
      </c>
      <c r="F173" s="36" t="s">
        <v>31</v>
      </c>
      <c r="G173" s="37" t="s">
        <v>192</v>
      </c>
      <c r="H173" s="36" t="s">
        <v>193</v>
      </c>
      <c r="I173" s="36" t="s">
        <v>194</v>
      </c>
      <c r="J173" s="36">
        <v>2</v>
      </c>
      <c r="K173" s="36" t="s">
        <v>195</v>
      </c>
      <c r="L173" s="36">
        <v>4</v>
      </c>
      <c r="M173" s="36">
        <v>159</v>
      </c>
      <c r="N173" s="38">
        <v>2096280</v>
      </c>
      <c r="O173" s="45">
        <v>9258570</v>
      </c>
      <c r="P173" s="36">
        <v>32</v>
      </c>
      <c r="Q173" s="36" t="s">
        <v>196</v>
      </c>
      <c r="R173" s="36" t="s">
        <v>197</v>
      </c>
      <c r="S173" s="36" t="s">
        <v>198</v>
      </c>
      <c r="T173" s="36" t="s">
        <v>199</v>
      </c>
      <c r="U173" s="36" t="s">
        <v>200</v>
      </c>
      <c r="V173" s="40">
        <v>45992</v>
      </c>
      <c r="W173" s="40">
        <v>45889</v>
      </c>
      <c r="X173" s="36">
        <v>0</v>
      </c>
      <c r="Y173" s="36"/>
      <c r="Z173" s="36">
        <v>1</v>
      </c>
      <c r="AA173" s="36">
        <v>9258570</v>
      </c>
      <c r="AB173" s="40">
        <v>46023</v>
      </c>
      <c r="AC173" s="36" t="s">
        <v>2196</v>
      </c>
      <c r="AD173" s="36" t="str">
        <f>VLOOKUP(D173,Oficial!A:C,3,0)</f>
        <v>Arrastre</v>
      </c>
    </row>
    <row r="174" spans="1:30" x14ac:dyDescent="0.25">
      <c r="A174" s="36" t="s">
        <v>27</v>
      </c>
      <c r="B174" s="36" t="s">
        <v>191</v>
      </c>
      <c r="C174" s="36" t="s">
        <v>28</v>
      </c>
      <c r="D174" s="36" t="s">
        <v>191</v>
      </c>
      <c r="E174" s="36" t="s">
        <v>30</v>
      </c>
      <c r="F174" s="36" t="s">
        <v>31</v>
      </c>
      <c r="G174" s="37" t="s">
        <v>192</v>
      </c>
      <c r="H174" s="36" t="s">
        <v>201</v>
      </c>
      <c r="I174" s="36" t="s">
        <v>194</v>
      </c>
      <c r="J174" s="36">
        <v>2</v>
      </c>
      <c r="K174" s="36" t="s">
        <v>195</v>
      </c>
      <c r="L174" s="36">
        <v>4</v>
      </c>
      <c r="M174" s="36">
        <v>159</v>
      </c>
      <c r="N174" s="38">
        <v>2096280</v>
      </c>
      <c r="O174" s="45">
        <v>9258570</v>
      </c>
      <c r="P174" s="36">
        <v>1</v>
      </c>
      <c r="Q174" s="36" t="s">
        <v>196</v>
      </c>
      <c r="R174" s="36" t="s">
        <v>197</v>
      </c>
      <c r="S174" s="36" t="s">
        <v>198</v>
      </c>
      <c r="T174" s="36" t="s">
        <v>199</v>
      </c>
      <c r="U174" s="36" t="s">
        <v>200</v>
      </c>
      <c r="V174" s="40">
        <v>45870</v>
      </c>
      <c r="W174" s="40">
        <v>45889</v>
      </c>
      <c r="X174" s="36">
        <v>0</v>
      </c>
      <c r="Y174" s="36"/>
      <c r="Z174" s="36">
        <v>1</v>
      </c>
      <c r="AA174" s="36">
        <v>9258570</v>
      </c>
      <c r="AB174" s="40">
        <v>46023</v>
      </c>
      <c r="AC174" s="36" t="s">
        <v>2196</v>
      </c>
      <c r="AD174" s="36" t="str">
        <f>VLOOKUP(D174,Oficial!A:C,3,0)</f>
        <v>Arrastre</v>
      </c>
    </row>
    <row r="175" spans="1:30" x14ac:dyDescent="0.25">
      <c r="A175" s="36" t="s">
        <v>27</v>
      </c>
      <c r="B175" s="36" t="s">
        <v>191</v>
      </c>
      <c r="C175" s="36" t="s">
        <v>28</v>
      </c>
      <c r="D175" s="36" t="s">
        <v>191</v>
      </c>
      <c r="E175" s="36" t="s">
        <v>30</v>
      </c>
      <c r="F175" s="36" t="s">
        <v>31</v>
      </c>
      <c r="G175" s="37" t="s">
        <v>192</v>
      </c>
      <c r="H175" s="36" t="s">
        <v>201</v>
      </c>
      <c r="I175" s="36" t="s">
        <v>194</v>
      </c>
      <c r="J175" s="36">
        <v>2</v>
      </c>
      <c r="K175" s="36" t="s">
        <v>195</v>
      </c>
      <c r="L175" s="36">
        <v>4</v>
      </c>
      <c r="M175" s="36">
        <v>159</v>
      </c>
      <c r="N175" s="38">
        <v>2096280</v>
      </c>
      <c r="O175" s="45">
        <v>9258570</v>
      </c>
      <c r="P175" s="36">
        <v>1</v>
      </c>
      <c r="Q175" s="36" t="s">
        <v>196</v>
      </c>
      <c r="R175" s="36" t="s">
        <v>197</v>
      </c>
      <c r="S175" s="36" t="s">
        <v>198</v>
      </c>
      <c r="T175" s="36" t="s">
        <v>199</v>
      </c>
      <c r="U175" s="36" t="s">
        <v>200</v>
      </c>
      <c r="V175" s="40">
        <v>45870</v>
      </c>
      <c r="W175" s="40">
        <v>45889</v>
      </c>
      <c r="X175" s="36">
        <v>0</v>
      </c>
      <c r="Y175" s="36"/>
      <c r="Z175" s="36">
        <v>1</v>
      </c>
      <c r="AA175" s="36">
        <v>9258570</v>
      </c>
      <c r="AB175" s="40">
        <v>46143</v>
      </c>
      <c r="AC175" s="36" t="s">
        <v>2196</v>
      </c>
      <c r="AD175" s="36" t="str">
        <f>VLOOKUP(D175,Oficial!A:C,3,0)</f>
        <v>Arrastre</v>
      </c>
    </row>
    <row r="176" spans="1:30" x14ac:dyDescent="0.25">
      <c r="A176" s="36" t="s">
        <v>27</v>
      </c>
      <c r="B176" s="36" t="s">
        <v>191</v>
      </c>
      <c r="C176" s="36" t="s">
        <v>28</v>
      </c>
      <c r="D176" s="36" t="s">
        <v>191</v>
      </c>
      <c r="E176" s="36" t="s">
        <v>30</v>
      </c>
      <c r="F176" s="36" t="s">
        <v>31</v>
      </c>
      <c r="G176" s="37" t="s">
        <v>192</v>
      </c>
      <c r="H176" s="36" t="s">
        <v>201</v>
      </c>
      <c r="I176" s="36" t="s">
        <v>194</v>
      </c>
      <c r="J176" s="36">
        <v>2</v>
      </c>
      <c r="K176" s="36" t="s">
        <v>195</v>
      </c>
      <c r="L176" s="36">
        <v>4</v>
      </c>
      <c r="M176" s="36">
        <v>159</v>
      </c>
      <c r="N176" s="38">
        <v>2096280</v>
      </c>
      <c r="O176" s="45">
        <v>9258570</v>
      </c>
      <c r="P176" s="36">
        <v>1</v>
      </c>
      <c r="Q176" s="36" t="s">
        <v>196</v>
      </c>
      <c r="R176" s="36" t="s">
        <v>197</v>
      </c>
      <c r="S176" s="36" t="s">
        <v>198</v>
      </c>
      <c r="T176" s="36" t="s">
        <v>199</v>
      </c>
      <c r="U176" s="36" t="s">
        <v>200</v>
      </c>
      <c r="V176" s="40">
        <v>45870</v>
      </c>
      <c r="W176" s="40">
        <v>45889</v>
      </c>
      <c r="X176" s="36">
        <v>0</v>
      </c>
      <c r="Y176" s="36"/>
      <c r="Z176" s="36">
        <v>1</v>
      </c>
      <c r="AA176" s="36">
        <v>9258570</v>
      </c>
      <c r="AB176" s="40">
        <v>46113</v>
      </c>
      <c r="AC176" s="36" t="s">
        <v>2196</v>
      </c>
      <c r="AD176" s="36" t="str">
        <f>VLOOKUP(D176,Oficial!A:C,3,0)</f>
        <v>Arrastre</v>
      </c>
    </row>
    <row r="177" spans="1:30" x14ac:dyDescent="0.25">
      <c r="A177" s="36" t="s">
        <v>27</v>
      </c>
      <c r="B177" s="36" t="s">
        <v>191</v>
      </c>
      <c r="C177" s="36" t="s">
        <v>28</v>
      </c>
      <c r="D177" s="36" t="s">
        <v>191</v>
      </c>
      <c r="E177" s="36" t="s">
        <v>30</v>
      </c>
      <c r="F177" s="36" t="s">
        <v>31</v>
      </c>
      <c r="G177" s="37" t="s">
        <v>192</v>
      </c>
      <c r="H177" s="36" t="s">
        <v>201</v>
      </c>
      <c r="I177" s="36" t="s">
        <v>194</v>
      </c>
      <c r="J177" s="36">
        <v>2</v>
      </c>
      <c r="K177" s="36" t="s">
        <v>195</v>
      </c>
      <c r="L177" s="36">
        <v>4</v>
      </c>
      <c r="M177" s="36">
        <v>159</v>
      </c>
      <c r="N177" s="38">
        <v>2096280</v>
      </c>
      <c r="O177" s="45">
        <v>9258570</v>
      </c>
      <c r="P177" s="36">
        <v>1</v>
      </c>
      <c r="Q177" s="36" t="s">
        <v>196</v>
      </c>
      <c r="R177" s="36" t="s">
        <v>197</v>
      </c>
      <c r="S177" s="36" t="s">
        <v>198</v>
      </c>
      <c r="T177" s="36" t="s">
        <v>199</v>
      </c>
      <c r="U177" s="36" t="s">
        <v>200</v>
      </c>
      <c r="V177" s="40">
        <v>45870</v>
      </c>
      <c r="W177" s="40">
        <v>45889</v>
      </c>
      <c r="X177" s="36">
        <v>0</v>
      </c>
      <c r="Y177" s="36"/>
      <c r="Z177" s="36">
        <v>1</v>
      </c>
      <c r="AA177" s="36">
        <v>9258570</v>
      </c>
      <c r="AB177" s="40">
        <v>46357</v>
      </c>
      <c r="AC177" s="36" t="s">
        <v>2196</v>
      </c>
      <c r="AD177" s="36" t="str">
        <f>VLOOKUP(D177,Oficial!A:C,3,0)</f>
        <v>Arrastre</v>
      </c>
    </row>
    <row r="178" spans="1:30" x14ac:dyDescent="0.25">
      <c r="A178" s="36" t="s">
        <v>27</v>
      </c>
      <c r="B178" s="36" t="s">
        <v>191</v>
      </c>
      <c r="C178" s="36" t="s">
        <v>28</v>
      </c>
      <c r="D178" s="36" t="s">
        <v>191</v>
      </c>
      <c r="E178" s="36" t="s">
        <v>30</v>
      </c>
      <c r="F178" s="36" t="s">
        <v>31</v>
      </c>
      <c r="G178" s="37" t="s">
        <v>192</v>
      </c>
      <c r="H178" s="36" t="s">
        <v>201</v>
      </c>
      <c r="I178" s="36" t="s">
        <v>194</v>
      </c>
      <c r="J178" s="36">
        <v>2</v>
      </c>
      <c r="K178" s="36" t="s">
        <v>195</v>
      </c>
      <c r="L178" s="36">
        <v>4</v>
      </c>
      <c r="M178" s="36">
        <v>159</v>
      </c>
      <c r="N178" s="38">
        <v>2096280</v>
      </c>
      <c r="O178" s="45">
        <v>9258570</v>
      </c>
      <c r="P178" s="36">
        <v>1</v>
      </c>
      <c r="Q178" s="36" t="s">
        <v>196</v>
      </c>
      <c r="R178" s="36" t="s">
        <v>197</v>
      </c>
      <c r="S178" s="36" t="s">
        <v>198</v>
      </c>
      <c r="T178" s="36" t="s">
        <v>199</v>
      </c>
      <c r="U178" s="36" t="s">
        <v>200</v>
      </c>
      <c r="V178" s="40">
        <v>45870</v>
      </c>
      <c r="W178" s="40">
        <v>45889</v>
      </c>
      <c r="X178" s="36">
        <v>0</v>
      </c>
      <c r="Y178" s="36"/>
      <c r="Z178" s="36">
        <v>1</v>
      </c>
      <c r="AA178" s="36">
        <v>9258570</v>
      </c>
      <c r="AB178" s="40">
        <v>46082</v>
      </c>
      <c r="AC178" s="36" t="s">
        <v>2196</v>
      </c>
      <c r="AD178" s="36" t="str">
        <f>VLOOKUP(D178,Oficial!A:C,3,0)</f>
        <v>Arrastre</v>
      </c>
    </row>
    <row r="179" spans="1:30" x14ac:dyDescent="0.25">
      <c r="A179" s="36" t="s">
        <v>27</v>
      </c>
      <c r="B179" s="36" t="s">
        <v>191</v>
      </c>
      <c r="C179" s="36" t="s">
        <v>28</v>
      </c>
      <c r="D179" s="36" t="s">
        <v>191</v>
      </c>
      <c r="E179" s="36" t="s">
        <v>30</v>
      </c>
      <c r="F179" s="36" t="s">
        <v>31</v>
      </c>
      <c r="G179" s="37" t="s">
        <v>192</v>
      </c>
      <c r="H179" s="36" t="s">
        <v>201</v>
      </c>
      <c r="I179" s="36" t="s">
        <v>194</v>
      </c>
      <c r="J179" s="36">
        <v>2</v>
      </c>
      <c r="K179" s="36" t="s">
        <v>195</v>
      </c>
      <c r="L179" s="36">
        <v>4</v>
      </c>
      <c r="M179" s="36">
        <v>159</v>
      </c>
      <c r="N179" s="38">
        <v>2096280</v>
      </c>
      <c r="O179" s="45">
        <v>9258570</v>
      </c>
      <c r="P179" s="36">
        <v>1</v>
      </c>
      <c r="Q179" s="36" t="s">
        <v>196</v>
      </c>
      <c r="R179" s="36" t="s">
        <v>197</v>
      </c>
      <c r="S179" s="36" t="s">
        <v>198</v>
      </c>
      <c r="T179" s="36" t="s">
        <v>199</v>
      </c>
      <c r="U179" s="36" t="s">
        <v>200</v>
      </c>
      <c r="V179" s="40">
        <v>45870</v>
      </c>
      <c r="W179" s="40">
        <v>45889</v>
      </c>
      <c r="X179" s="36">
        <v>0</v>
      </c>
      <c r="Y179" s="36"/>
      <c r="Z179" s="36">
        <v>1</v>
      </c>
      <c r="AA179" s="36">
        <v>9258570</v>
      </c>
      <c r="AB179" s="40">
        <v>46054</v>
      </c>
      <c r="AC179" s="36" t="s">
        <v>2196</v>
      </c>
      <c r="AD179" s="36" t="str">
        <f>VLOOKUP(D179,Oficial!A:C,3,0)</f>
        <v>Arrastre</v>
      </c>
    </row>
    <row r="180" spans="1:30" x14ac:dyDescent="0.25">
      <c r="A180" s="36" t="s">
        <v>27</v>
      </c>
      <c r="B180" s="36" t="s">
        <v>191</v>
      </c>
      <c r="C180" s="36" t="s">
        <v>28</v>
      </c>
      <c r="D180" s="36" t="s">
        <v>191</v>
      </c>
      <c r="E180" s="36" t="s">
        <v>30</v>
      </c>
      <c r="F180" s="36" t="s">
        <v>31</v>
      </c>
      <c r="G180" s="37" t="s">
        <v>192</v>
      </c>
      <c r="H180" s="36" t="s">
        <v>193</v>
      </c>
      <c r="I180" s="36" t="s">
        <v>194</v>
      </c>
      <c r="J180" s="36">
        <v>2</v>
      </c>
      <c r="K180" s="36" t="s">
        <v>195</v>
      </c>
      <c r="L180" s="36">
        <v>4</v>
      </c>
      <c r="M180" s="36">
        <v>159</v>
      </c>
      <c r="N180" s="38">
        <v>2096280</v>
      </c>
      <c r="O180" s="45">
        <v>9258570</v>
      </c>
      <c r="P180" s="36">
        <v>32</v>
      </c>
      <c r="Q180" s="36" t="s">
        <v>196</v>
      </c>
      <c r="R180" s="36" t="s">
        <v>197</v>
      </c>
      <c r="S180" s="36" t="s">
        <v>198</v>
      </c>
      <c r="T180" s="36" t="s">
        <v>199</v>
      </c>
      <c r="U180" s="36" t="s">
        <v>200</v>
      </c>
      <c r="V180" s="40">
        <v>45992</v>
      </c>
      <c r="W180" s="40">
        <v>45889</v>
      </c>
      <c r="X180" s="36">
        <v>0</v>
      </c>
      <c r="Y180" s="36"/>
      <c r="Z180" s="36">
        <v>1</v>
      </c>
      <c r="AA180" s="36">
        <v>9258570</v>
      </c>
      <c r="AB180" s="40">
        <v>46266</v>
      </c>
      <c r="AC180" s="36" t="s">
        <v>2196</v>
      </c>
      <c r="AD180" s="36" t="str">
        <f>VLOOKUP(D180,Oficial!A:C,3,0)</f>
        <v>Arrastre</v>
      </c>
    </row>
    <row r="181" spans="1:30" x14ac:dyDescent="0.25">
      <c r="A181" s="36" t="s">
        <v>27</v>
      </c>
      <c r="B181" s="36" t="s">
        <v>191</v>
      </c>
      <c r="C181" s="36" t="s">
        <v>28</v>
      </c>
      <c r="D181" s="36" t="s">
        <v>191</v>
      </c>
      <c r="E181" s="36" t="s">
        <v>30</v>
      </c>
      <c r="F181" s="36" t="s">
        <v>31</v>
      </c>
      <c r="G181" s="37" t="s">
        <v>192</v>
      </c>
      <c r="H181" s="36" t="s">
        <v>201</v>
      </c>
      <c r="I181" s="36" t="s">
        <v>194</v>
      </c>
      <c r="J181" s="36">
        <v>2</v>
      </c>
      <c r="K181" s="36" t="s">
        <v>195</v>
      </c>
      <c r="L181" s="36">
        <v>4</v>
      </c>
      <c r="M181" s="36">
        <v>159</v>
      </c>
      <c r="N181" s="38">
        <v>2096280</v>
      </c>
      <c r="O181" s="45">
        <v>9258570</v>
      </c>
      <c r="P181" s="36">
        <v>1</v>
      </c>
      <c r="Q181" s="36" t="s">
        <v>196</v>
      </c>
      <c r="R181" s="36" t="s">
        <v>197</v>
      </c>
      <c r="S181" s="36" t="s">
        <v>198</v>
      </c>
      <c r="T181" s="36" t="s">
        <v>199</v>
      </c>
      <c r="U181" s="36" t="s">
        <v>200</v>
      </c>
      <c r="V181" s="40">
        <v>45870</v>
      </c>
      <c r="W181" s="40">
        <v>45889</v>
      </c>
      <c r="X181" s="36">
        <v>0</v>
      </c>
      <c r="Y181" s="36"/>
      <c r="Z181" s="36">
        <v>1</v>
      </c>
      <c r="AA181" s="36">
        <v>9258570</v>
      </c>
      <c r="AB181" s="40">
        <v>46327</v>
      </c>
      <c r="AC181" s="36" t="s">
        <v>2196</v>
      </c>
      <c r="AD181" s="36" t="str">
        <f>VLOOKUP(D181,Oficial!A:C,3,0)</f>
        <v>Arrastre</v>
      </c>
    </row>
    <row r="182" spans="1:30" x14ac:dyDescent="0.25">
      <c r="A182" s="36" t="s">
        <v>27</v>
      </c>
      <c r="B182" s="36" t="s">
        <v>202</v>
      </c>
      <c r="C182" s="36" t="s">
        <v>28</v>
      </c>
      <c r="D182" s="36" t="s">
        <v>202</v>
      </c>
      <c r="E182" s="36" t="s">
        <v>30</v>
      </c>
      <c r="F182" s="36" t="s">
        <v>31</v>
      </c>
      <c r="G182" s="37" t="s">
        <v>129</v>
      </c>
      <c r="H182" s="36" t="s">
        <v>203</v>
      </c>
      <c r="I182" s="36" t="s">
        <v>204</v>
      </c>
      <c r="J182" s="36">
        <v>2</v>
      </c>
      <c r="K182" s="36" t="s">
        <v>205</v>
      </c>
      <c r="L182" s="36">
        <v>4</v>
      </c>
      <c r="M182" s="36">
        <v>54</v>
      </c>
      <c r="N182" s="38">
        <v>1953705</v>
      </c>
      <c r="O182" s="44">
        <v>5861115</v>
      </c>
      <c r="P182" s="36">
        <v>18</v>
      </c>
      <c r="Q182" s="36" t="s">
        <v>206</v>
      </c>
      <c r="R182" s="36" t="s">
        <v>182</v>
      </c>
      <c r="S182" s="36" t="s">
        <v>207</v>
      </c>
      <c r="T182" s="36" t="s">
        <v>208</v>
      </c>
      <c r="U182" s="36" t="s">
        <v>185</v>
      </c>
      <c r="V182" s="40">
        <v>45658</v>
      </c>
      <c r="W182" s="40">
        <v>45889</v>
      </c>
      <c r="X182" s="36">
        <v>16</v>
      </c>
      <c r="Y182" s="36" t="s">
        <v>209</v>
      </c>
      <c r="Z182" s="36">
        <v>1</v>
      </c>
      <c r="AA182" s="36">
        <v>5861115</v>
      </c>
      <c r="AB182" s="40">
        <v>46023</v>
      </c>
      <c r="AC182" s="36" t="s">
        <v>2196</v>
      </c>
      <c r="AD182" s="36" t="str">
        <f>VLOOKUP(D182,Oficial!A:C,3,0)</f>
        <v>Arrastre</v>
      </c>
    </row>
    <row r="183" spans="1:30" x14ac:dyDescent="0.25">
      <c r="A183" s="36" t="s">
        <v>27</v>
      </c>
      <c r="B183" s="36" t="s">
        <v>202</v>
      </c>
      <c r="C183" s="36" t="s">
        <v>28</v>
      </c>
      <c r="D183" s="36" t="s">
        <v>202</v>
      </c>
      <c r="E183" s="36" t="s">
        <v>30</v>
      </c>
      <c r="F183" s="36" t="s">
        <v>31</v>
      </c>
      <c r="G183" s="37" t="s">
        <v>129</v>
      </c>
      <c r="H183" s="36" t="s">
        <v>203</v>
      </c>
      <c r="I183" s="36" t="s">
        <v>204</v>
      </c>
      <c r="J183" s="36">
        <v>2</v>
      </c>
      <c r="K183" s="36" t="s">
        <v>205</v>
      </c>
      <c r="L183" s="36">
        <v>4</v>
      </c>
      <c r="M183" s="36">
        <v>54</v>
      </c>
      <c r="N183" s="38">
        <v>1953705</v>
      </c>
      <c r="O183" s="44">
        <v>5861115</v>
      </c>
      <c r="P183" s="36">
        <v>18</v>
      </c>
      <c r="Q183" s="36" t="s">
        <v>206</v>
      </c>
      <c r="R183" s="36" t="s">
        <v>182</v>
      </c>
      <c r="S183" s="36" t="s">
        <v>207</v>
      </c>
      <c r="T183" s="36" t="s">
        <v>208</v>
      </c>
      <c r="U183" s="36" t="s">
        <v>185</v>
      </c>
      <c r="V183" s="40">
        <v>45658</v>
      </c>
      <c r="W183" s="40">
        <v>45889</v>
      </c>
      <c r="X183" s="36">
        <v>16</v>
      </c>
      <c r="Y183" s="36" t="s">
        <v>210</v>
      </c>
      <c r="Z183" s="36">
        <v>1</v>
      </c>
      <c r="AA183" s="36">
        <v>5861115</v>
      </c>
      <c r="AB183" s="40">
        <v>46023</v>
      </c>
      <c r="AC183" s="36" t="s">
        <v>2196</v>
      </c>
      <c r="AD183" s="36" t="str">
        <f>VLOOKUP(D183,Oficial!A:C,3,0)</f>
        <v>Arrastre</v>
      </c>
    </row>
    <row r="184" spans="1:30" x14ac:dyDescent="0.25">
      <c r="A184" s="36" t="s">
        <v>27</v>
      </c>
      <c r="B184" s="36" t="s">
        <v>202</v>
      </c>
      <c r="C184" s="36" t="s">
        <v>28</v>
      </c>
      <c r="D184" s="36" t="s">
        <v>202</v>
      </c>
      <c r="E184" s="36" t="s">
        <v>30</v>
      </c>
      <c r="F184" s="36" t="s">
        <v>31</v>
      </c>
      <c r="G184" s="37" t="s">
        <v>129</v>
      </c>
      <c r="H184" s="36" t="s">
        <v>203</v>
      </c>
      <c r="I184" s="36" t="s">
        <v>204</v>
      </c>
      <c r="J184" s="36">
        <v>2</v>
      </c>
      <c r="K184" s="36" t="s">
        <v>205</v>
      </c>
      <c r="L184" s="36">
        <v>4</v>
      </c>
      <c r="M184" s="36">
        <v>54</v>
      </c>
      <c r="N184" s="38">
        <v>1953705</v>
      </c>
      <c r="O184" s="44">
        <v>5861115</v>
      </c>
      <c r="P184" s="36">
        <v>18</v>
      </c>
      <c r="Q184" s="36" t="s">
        <v>206</v>
      </c>
      <c r="R184" s="36" t="s">
        <v>182</v>
      </c>
      <c r="S184" s="36" t="s">
        <v>207</v>
      </c>
      <c r="T184" s="36" t="s">
        <v>208</v>
      </c>
      <c r="U184" s="36" t="s">
        <v>185</v>
      </c>
      <c r="V184" s="40">
        <v>45658</v>
      </c>
      <c r="W184" s="40">
        <v>45889</v>
      </c>
      <c r="X184" s="36">
        <v>16</v>
      </c>
      <c r="Y184" s="36" t="s">
        <v>211</v>
      </c>
      <c r="Z184" s="36">
        <v>1</v>
      </c>
      <c r="AA184" s="36">
        <v>5861115</v>
      </c>
      <c r="AB184" s="40">
        <v>46023</v>
      </c>
      <c r="AC184" s="36" t="s">
        <v>2196</v>
      </c>
      <c r="AD184" s="36" t="str">
        <f>VLOOKUP(D184,Oficial!A:C,3,0)</f>
        <v>Arrastre</v>
      </c>
    </row>
    <row r="185" spans="1:30" x14ac:dyDescent="0.25">
      <c r="A185" s="36" t="s">
        <v>27</v>
      </c>
      <c r="B185" s="36" t="s">
        <v>202</v>
      </c>
      <c r="C185" s="36" t="s">
        <v>28</v>
      </c>
      <c r="D185" s="36" t="s">
        <v>202</v>
      </c>
      <c r="E185" s="36" t="s">
        <v>30</v>
      </c>
      <c r="F185" s="36" t="s">
        <v>31</v>
      </c>
      <c r="G185" s="37" t="s">
        <v>129</v>
      </c>
      <c r="H185" s="36" t="s">
        <v>203</v>
      </c>
      <c r="I185" s="36" t="s">
        <v>204</v>
      </c>
      <c r="J185" s="36">
        <v>2</v>
      </c>
      <c r="K185" s="36" t="s">
        <v>205</v>
      </c>
      <c r="L185" s="36">
        <v>4</v>
      </c>
      <c r="M185" s="36">
        <v>54</v>
      </c>
      <c r="N185" s="38">
        <v>1953705</v>
      </c>
      <c r="O185" s="44">
        <v>5861115</v>
      </c>
      <c r="P185" s="36">
        <v>18</v>
      </c>
      <c r="Q185" s="36" t="s">
        <v>206</v>
      </c>
      <c r="R185" s="36" t="s">
        <v>182</v>
      </c>
      <c r="S185" s="36" t="s">
        <v>207</v>
      </c>
      <c r="T185" s="36" t="s">
        <v>208</v>
      </c>
      <c r="U185" s="36" t="s">
        <v>185</v>
      </c>
      <c r="V185" s="40">
        <v>45658</v>
      </c>
      <c r="W185" s="40">
        <v>45889</v>
      </c>
      <c r="X185" s="36">
        <v>16</v>
      </c>
      <c r="Y185" s="36" t="s">
        <v>209</v>
      </c>
      <c r="Z185" s="36">
        <v>1</v>
      </c>
      <c r="AA185" s="36">
        <v>5861115</v>
      </c>
      <c r="AB185" s="40">
        <v>46143</v>
      </c>
      <c r="AC185" s="36" t="s">
        <v>2196</v>
      </c>
      <c r="AD185" s="36" t="str">
        <f>VLOOKUP(D185,Oficial!A:C,3,0)</f>
        <v>Arrastre</v>
      </c>
    </row>
    <row r="186" spans="1:30" x14ac:dyDescent="0.25">
      <c r="A186" s="36" t="s">
        <v>27</v>
      </c>
      <c r="B186" s="36" t="s">
        <v>202</v>
      </c>
      <c r="C186" s="36" t="s">
        <v>28</v>
      </c>
      <c r="D186" s="36" t="s">
        <v>202</v>
      </c>
      <c r="E186" s="36" t="s">
        <v>30</v>
      </c>
      <c r="F186" s="36" t="s">
        <v>31</v>
      </c>
      <c r="G186" s="37" t="s">
        <v>129</v>
      </c>
      <c r="H186" s="36" t="s">
        <v>203</v>
      </c>
      <c r="I186" s="36" t="s">
        <v>204</v>
      </c>
      <c r="J186" s="36">
        <v>2</v>
      </c>
      <c r="K186" s="36" t="s">
        <v>205</v>
      </c>
      <c r="L186" s="36">
        <v>4</v>
      </c>
      <c r="M186" s="36">
        <v>54</v>
      </c>
      <c r="N186" s="38">
        <v>1953705</v>
      </c>
      <c r="O186" s="44">
        <v>5861115</v>
      </c>
      <c r="P186" s="36">
        <v>18</v>
      </c>
      <c r="Q186" s="36" t="s">
        <v>206</v>
      </c>
      <c r="R186" s="36" t="s">
        <v>182</v>
      </c>
      <c r="S186" s="36" t="s">
        <v>207</v>
      </c>
      <c r="T186" s="36" t="s">
        <v>208</v>
      </c>
      <c r="U186" s="36" t="s">
        <v>185</v>
      </c>
      <c r="V186" s="40">
        <v>45658</v>
      </c>
      <c r="W186" s="40">
        <v>45889</v>
      </c>
      <c r="X186" s="36">
        <v>16</v>
      </c>
      <c r="Y186" s="36" t="s">
        <v>211</v>
      </c>
      <c r="Z186" s="36">
        <v>1</v>
      </c>
      <c r="AA186" s="36">
        <v>5861115</v>
      </c>
      <c r="AB186" s="40">
        <v>46054</v>
      </c>
      <c r="AC186" s="36" t="s">
        <v>2196</v>
      </c>
      <c r="AD186" s="36" t="str">
        <f>VLOOKUP(D186,Oficial!A:C,3,0)</f>
        <v>Arrastre</v>
      </c>
    </row>
    <row r="187" spans="1:30" x14ac:dyDescent="0.25">
      <c r="A187" s="36" t="s">
        <v>27</v>
      </c>
      <c r="B187" s="36" t="s">
        <v>202</v>
      </c>
      <c r="C187" s="36" t="s">
        <v>28</v>
      </c>
      <c r="D187" s="36" t="s">
        <v>202</v>
      </c>
      <c r="E187" s="36" t="s">
        <v>30</v>
      </c>
      <c r="F187" s="36" t="s">
        <v>31</v>
      </c>
      <c r="G187" s="37" t="s">
        <v>129</v>
      </c>
      <c r="H187" s="36" t="s">
        <v>203</v>
      </c>
      <c r="I187" s="36" t="s">
        <v>204</v>
      </c>
      <c r="J187" s="36">
        <v>2</v>
      </c>
      <c r="K187" s="36" t="s">
        <v>205</v>
      </c>
      <c r="L187" s="36">
        <v>4</v>
      </c>
      <c r="M187" s="36">
        <v>54</v>
      </c>
      <c r="N187" s="38">
        <v>1953705</v>
      </c>
      <c r="O187" s="44">
        <v>5861115</v>
      </c>
      <c r="P187" s="36">
        <v>18</v>
      </c>
      <c r="Q187" s="36" t="s">
        <v>206</v>
      </c>
      <c r="R187" s="36" t="s">
        <v>182</v>
      </c>
      <c r="S187" s="36" t="s">
        <v>207</v>
      </c>
      <c r="T187" s="36" t="s">
        <v>208</v>
      </c>
      <c r="U187" s="36" t="s">
        <v>185</v>
      </c>
      <c r="V187" s="40">
        <v>45658</v>
      </c>
      <c r="W187" s="40">
        <v>45889</v>
      </c>
      <c r="X187" s="36">
        <v>16</v>
      </c>
      <c r="Y187" s="36" t="s">
        <v>212</v>
      </c>
      <c r="Z187" s="36">
        <v>1</v>
      </c>
      <c r="AA187" s="36">
        <v>5861115</v>
      </c>
      <c r="AB187" s="40">
        <v>46357</v>
      </c>
      <c r="AC187" s="36" t="s">
        <v>2196</v>
      </c>
      <c r="AD187" s="36" t="str">
        <f>VLOOKUP(D187,Oficial!A:C,3,0)</f>
        <v>Arrastre</v>
      </c>
    </row>
    <row r="188" spans="1:30" x14ac:dyDescent="0.25">
      <c r="A188" s="36" t="s">
        <v>27</v>
      </c>
      <c r="B188" s="36" t="s">
        <v>202</v>
      </c>
      <c r="C188" s="36" t="s">
        <v>28</v>
      </c>
      <c r="D188" s="36" t="s">
        <v>202</v>
      </c>
      <c r="E188" s="36" t="s">
        <v>30</v>
      </c>
      <c r="F188" s="36" t="s">
        <v>31</v>
      </c>
      <c r="G188" s="37" t="s">
        <v>129</v>
      </c>
      <c r="H188" s="36" t="s">
        <v>203</v>
      </c>
      <c r="I188" s="36" t="s">
        <v>204</v>
      </c>
      <c r="J188" s="36">
        <v>2</v>
      </c>
      <c r="K188" s="36" t="s">
        <v>205</v>
      </c>
      <c r="L188" s="36">
        <v>4</v>
      </c>
      <c r="M188" s="36">
        <v>54</v>
      </c>
      <c r="N188" s="38">
        <v>1953705</v>
      </c>
      <c r="O188" s="44">
        <v>5861115</v>
      </c>
      <c r="P188" s="36">
        <v>18</v>
      </c>
      <c r="Q188" s="36" t="s">
        <v>206</v>
      </c>
      <c r="R188" s="36" t="s">
        <v>182</v>
      </c>
      <c r="S188" s="36" t="s">
        <v>207</v>
      </c>
      <c r="T188" s="36" t="s">
        <v>208</v>
      </c>
      <c r="U188" s="36" t="s">
        <v>185</v>
      </c>
      <c r="V188" s="40">
        <v>45658</v>
      </c>
      <c r="W188" s="40">
        <v>45889</v>
      </c>
      <c r="X188" s="36">
        <v>16</v>
      </c>
      <c r="Y188" s="36" t="s">
        <v>209</v>
      </c>
      <c r="Z188" s="36">
        <v>1</v>
      </c>
      <c r="AA188" s="36">
        <v>5861115</v>
      </c>
      <c r="AB188" s="40">
        <v>46113</v>
      </c>
      <c r="AC188" s="36" t="s">
        <v>2196</v>
      </c>
      <c r="AD188" s="36" t="str">
        <f>VLOOKUP(D188,Oficial!A:C,3,0)</f>
        <v>Arrastre</v>
      </c>
    </row>
    <row r="189" spans="1:30" x14ac:dyDescent="0.25">
      <c r="A189" s="36" t="s">
        <v>27</v>
      </c>
      <c r="B189" s="36" t="s">
        <v>202</v>
      </c>
      <c r="C189" s="36" t="s">
        <v>28</v>
      </c>
      <c r="D189" s="36" t="s">
        <v>202</v>
      </c>
      <c r="E189" s="36" t="s">
        <v>30</v>
      </c>
      <c r="F189" s="36" t="s">
        <v>31</v>
      </c>
      <c r="G189" s="37" t="s">
        <v>129</v>
      </c>
      <c r="H189" s="36" t="s">
        <v>203</v>
      </c>
      <c r="I189" s="36" t="s">
        <v>204</v>
      </c>
      <c r="J189" s="36">
        <v>2</v>
      </c>
      <c r="K189" s="36" t="s">
        <v>205</v>
      </c>
      <c r="L189" s="36">
        <v>4</v>
      </c>
      <c r="M189" s="36">
        <v>54</v>
      </c>
      <c r="N189" s="38">
        <v>1953705</v>
      </c>
      <c r="O189" s="44">
        <v>5861115</v>
      </c>
      <c r="P189" s="36">
        <v>18</v>
      </c>
      <c r="Q189" s="36" t="s">
        <v>206</v>
      </c>
      <c r="R189" s="36" t="s">
        <v>182</v>
      </c>
      <c r="S189" s="36" t="s">
        <v>207</v>
      </c>
      <c r="T189" s="36" t="s">
        <v>208</v>
      </c>
      <c r="U189" s="36" t="s">
        <v>185</v>
      </c>
      <c r="V189" s="40">
        <v>45658</v>
      </c>
      <c r="W189" s="40">
        <v>45889</v>
      </c>
      <c r="X189" s="36">
        <v>16</v>
      </c>
      <c r="Y189" s="36" t="s">
        <v>209</v>
      </c>
      <c r="Z189" s="36">
        <v>1</v>
      </c>
      <c r="AA189" s="36">
        <v>5861115</v>
      </c>
      <c r="AB189" s="40">
        <v>46054</v>
      </c>
      <c r="AC189" s="36" t="s">
        <v>2196</v>
      </c>
      <c r="AD189" s="36" t="str">
        <f>VLOOKUP(D189,Oficial!A:C,3,0)</f>
        <v>Arrastre</v>
      </c>
    </row>
    <row r="190" spans="1:30" x14ac:dyDescent="0.25">
      <c r="A190" s="36" t="s">
        <v>27</v>
      </c>
      <c r="B190" s="36" t="s">
        <v>202</v>
      </c>
      <c r="C190" s="36" t="s">
        <v>28</v>
      </c>
      <c r="D190" s="36" t="s">
        <v>202</v>
      </c>
      <c r="E190" s="36" t="s">
        <v>30</v>
      </c>
      <c r="F190" s="36" t="s">
        <v>31</v>
      </c>
      <c r="G190" s="37" t="s">
        <v>129</v>
      </c>
      <c r="H190" s="36" t="s">
        <v>203</v>
      </c>
      <c r="I190" s="36" t="s">
        <v>204</v>
      </c>
      <c r="J190" s="36">
        <v>2</v>
      </c>
      <c r="K190" s="36" t="s">
        <v>205</v>
      </c>
      <c r="L190" s="36">
        <v>4</v>
      </c>
      <c r="M190" s="36">
        <v>54</v>
      </c>
      <c r="N190" s="38">
        <v>1953705</v>
      </c>
      <c r="O190" s="44">
        <v>5861115</v>
      </c>
      <c r="P190" s="36">
        <v>18</v>
      </c>
      <c r="Q190" s="36" t="s">
        <v>206</v>
      </c>
      <c r="R190" s="36" t="s">
        <v>182</v>
      </c>
      <c r="S190" s="36" t="s">
        <v>207</v>
      </c>
      <c r="T190" s="36" t="s">
        <v>208</v>
      </c>
      <c r="U190" s="36" t="s">
        <v>185</v>
      </c>
      <c r="V190" s="40">
        <v>45658</v>
      </c>
      <c r="W190" s="40">
        <v>45889</v>
      </c>
      <c r="X190" s="36">
        <v>16</v>
      </c>
      <c r="Y190" s="36" t="s">
        <v>213</v>
      </c>
      <c r="Z190" s="36">
        <v>1</v>
      </c>
      <c r="AA190" s="36">
        <v>5861115</v>
      </c>
      <c r="AB190" s="40">
        <v>46054</v>
      </c>
      <c r="AC190" s="36" t="s">
        <v>2196</v>
      </c>
      <c r="AD190" s="36" t="str">
        <f>VLOOKUP(D190,Oficial!A:C,3,0)</f>
        <v>Arrastre</v>
      </c>
    </row>
    <row r="191" spans="1:30" x14ac:dyDescent="0.25">
      <c r="A191" s="36" t="s">
        <v>27</v>
      </c>
      <c r="B191" s="36" t="s">
        <v>202</v>
      </c>
      <c r="C191" s="36" t="s">
        <v>28</v>
      </c>
      <c r="D191" s="36" t="s">
        <v>202</v>
      </c>
      <c r="E191" s="36" t="s">
        <v>30</v>
      </c>
      <c r="F191" s="36" t="s">
        <v>31</v>
      </c>
      <c r="G191" s="37" t="s">
        <v>129</v>
      </c>
      <c r="H191" s="36" t="s">
        <v>203</v>
      </c>
      <c r="I191" s="36" t="s">
        <v>204</v>
      </c>
      <c r="J191" s="36">
        <v>2</v>
      </c>
      <c r="K191" s="36" t="s">
        <v>205</v>
      </c>
      <c r="L191" s="36">
        <v>4</v>
      </c>
      <c r="M191" s="36">
        <v>54</v>
      </c>
      <c r="N191" s="38">
        <v>1953705</v>
      </c>
      <c r="O191" s="44">
        <v>5861115</v>
      </c>
      <c r="P191" s="36">
        <v>18</v>
      </c>
      <c r="Q191" s="36" t="s">
        <v>206</v>
      </c>
      <c r="R191" s="36" t="s">
        <v>182</v>
      </c>
      <c r="S191" s="36" t="s">
        <v>207</v>
      </c>
      <c r="T191" s="36" t="s">
        <v>208</v>
      </c>
      <c r="U191" s="36" t="s">
        <v>185</v>
      </c>
      <c r="V191" s="40">
        <v>45658</v>
      </c>
      <c r="W191" s="40">
        <v>45889</v>
      </c>
      <c r="X191" s="36">
        <v>16</v>
      </c>
      <c r="Y191" s="36" t="s">
        <v>211</v>
      </c>
      <c r="Z191" s="36">
        <v>1</v>
      </c>
      <c r="AA191" s="36">
        <v>5861115</v>
      </c>
      <c r="AB191" s="40">
        <v>46143</v>
      </c>
      <c r="AC191" s="36" t="s">
        <v>2196</v>
      </c>
      <c r="AD191" s="36" t="str">
        <f>VLOOKUP(D191,Oficial!A:C,3,0)</f>
        <v>Arrastre</v>
      </c>
    </row>
    <row r="192" spans="1:30" x14ac:dyDescent="0.25">
      <c r="A192" s="36" t="s">
        <v>27</v>
      </c>
      <c r="B192" s="36" t="s">
        <v>202</v>
      </c>
      <c r="C192" s="36" t="s">
        <v>28</v>
      </c>
      <c r="D192" s="36" t="s">
        <v>202</v>
      </c>
      <c r="E192" s="36" t="s">
        <v>30</v>
      </c>
      <c r="F192" s="36" t="s">
        <v>31</v>
      </c>
      <c r="G192" s="37" t="s">
        <v>129</v>
      </c>
      <c r="H192" s="36" t="s">
        <v>203</v>
      </c>
      <c r="I192" s="36" t="s">
        <v>204</v>
      </c>
      <c r="J192" s="36">
        <v>2</v>
      </c>
      <c r="K192" s="36" t="s">
        <v>205</v>
      </c>
      <c r="L192" s="36">
        <v>4</v>
      </c>
      <c r="M192" s="36">
        <v>54</v>
      </c>
      <c r="N192" s="38">
        <v>1953705</v>
      </c>
      <c r="O192" s="44">
        <v>5861115</v>
      </c>
      <c r="P192" s="36">
        <v>18</v>
      </c>
      <c r="Q192" s="36" t="s">
        <v>206</v>
      </c>
      <c r="R192" s="36" t="s">
        <v>182</v>
      </c>
      <c r="S192" s="36" t="s">
        <v>207</v>
      </c>
      <c r="T192" s="36" t="s">
        <v>208</v>
      </c>
      <c r="U192" s="36" t="s">
        <v>185</v>
      </c>
      <c r="V192" s="40">
        <v>45658</v>
      </c>
      <c r="W192" s="40">
        <v>45889</v>
      </c>
      <c r="X192" s="36">
        <v>16</v>
      </c>
      <c r="Y192" s="36" t="s">
        <v>209</v>
      </c>
      <c r="Z192" s="36">
        <v>1</v>
      </c>
      <c r="AA192" s="36">
        <v>5861115</v>
      </c>
      <c r="AB192" s="40">
        <v>46174</v>
      </c>
      <c r="AC192" s="36" t="s">
        <v>2196</v>
      </c>
      <c r="AD192" s="36" t="str">
        <f>VLOOKUP(D192,Oficial!A:C,3,0)</f>
        <v>Arrastre</v>
      </c>
    </row>
    <row r="193" spans="1:30" x14ac:dyDescent="0.25">
      <c r="A193" s="36" t="s">
        <v>27</v>
      </c>
      <c r="B193" s="36" t="s">
        <v>202</v>
      </c>
      <c r="C193" s="36" t="s">
        <v>28</v>
      </c>
      <c r="D193" s="36" t="s">
        <v>202</v>
      </c>
      <c r="E193" s="36" t="s">
        <v>30</v>
      </c>
      <c r="F193" s="36" t="s">
        <v>31</v>
      </c>
      <c r="G193" s="37" t="s">
        <v>129</v>
      </c>
      <c r="H193" s="36" t="s">
        <v>203</v>
      </c>
      <c r="I193" s="36" t="s">
        <v>204</v>
      </c>
      <c r="J193" s="36">
        <v>2</v>
      </c>
      <c r="K193" s="36" t="s">
        <v>205</v>
      </c>
      <c r="L193" s="36">
        <v>4</v>
      </c>
      <c r="M193" s="36">
        <v>54</v>
      </c>
      <c r="N193" s="38">
        <v>1953705</v>
      </c>
      <c r="O193" s="44">
        <v>5861115</v>
      </c>
      <c r="P193" s="36">
        <v>18</v>
      </c>
      <c r="Q193" s="36" t="s">
        <v>206</v>
      </c>
      <c r="R193" s="36" t="s">
        <v>182</v>
      </c>
      <c r="S193" s="36" t="s">
        <v>207</v>
      </c>
      <c r="T193" s="36" t="s">
        <v>208</v>
      </c>
      <c r="U193" s="36" t="s">
        <v>185</v>
      </c>
      <c r="V193" s="40">
        <v>45658</v>
      </c>
      <c r="W193" s="40">
        <v>45889</v>
      </c>
      <c r="X193" s="36">
        <v>16</v>
      </c>
      <c r="Y193" s="36" t="s">
        <v>211</v>
      </c>
      <c r="Z193" s="36">
        <v>1</v>
      </c>
      <c r="AA193" s="36">
        <v>5861115</v>
      </c>
      <c r="AB193" s="40">
        <v>46357</v>
      </c>
      <c r="AC193" s="36" t="s">
        <v>2196</v>
      </c>
      <c r="AD193" s="36" t="str">
        <f>VLOOKUP(D193,Oficial!A:C,3,0)</f>
        <v>Arrastre</v>
      </c>
    </row>
    <row r="194" spans="1:30" x14ac:dyDescent="0.25">
      <c r="A194" s="36" t="s">
        <v>27</v>
      </c>
      <c r="B194" s="36" t="s">
        <v>214</v>
      </c>
      <c r="C194" s="36" t="s">
        <v>28</v>
      </c>
      <c r="D194" s="36" t="s">
        <v>214</v>
      </c>
      <c r="E194" s="36" t="s">
        <v>30</v>
      </c>
      <c r="F194" s="36" t="s">
        <v>31</v>
      </c>
      <c r="G194" s="37" t="s">
        <v>215</v>
      </c>
      <c r="H194" s="36" t="s">
        <v>216</v>
      </c>
      <c r="I194" s="36" t="s">
        <v>217</v>
      </c>
      <c r="J194" s="36">
        <v>2</v>
      </c>
      <c r="K194" s="36" t="s">
        <v>121</v>
      </c>
      <c r="L194" s="36">
        <v>4</v>
      </c>
      <c r="M194" s="36">
        <v>1</v>
      </c>
      <c r="N194" s="38">
        <v>12500000</v>
      </c>
      <c r="O194" s="42">
        <v>520341</v>
      </c>
      <c r="P194" s="36">
        <v>24</v>
      </c>
      <c r="Q194" s="36" t="s">
        <v>73</v>
      </c>
      <c r="R194" s="36" t="s">
        <v>218</v>
      </c>
      <c r="S194" s="36" t="s">
        <v>219</v>
      </c>
      <c r="T194" s="36" t="s">
        <v>220</v>
      </c>
      <c r="U194" s="36" t="s">
        <v>221</v>
      </c>
      <c r="V194" s="40">
        <v>45658</v>
      </c>
      <c r="W194" s="40">
        <v>45889</v>
      </c>
      <c r="X194" s="36">
        <v>0</v>
      </c>
      <c r="Y194" s="36"/>
      <c r="Z194" s="36">
        <v>1</v>
      </c>
      <c r="AA194" s="36">
        <v>520341</v>
      </c>
      <c r="AB194" s="40">
        <v>46235</v>
      </c>
      <c r="AC194" s="36" t="s">
        <v>2196</v>
      </c>
      <c r="AD194" s="36" t="str">
        <f>VLOOKUP(D194,Oficial!A:C,3,0)</f>
        <v>Arrastre</v>
      </c>
    </row>
    <row r="195" spans="1:30" x14ac:dyDescent="0.25">
      <c r="A195" s="36" t="s">
        <v>27</v>
      </c>
      <c r="B195" s="36" t="s">
        <v>214</v>
      </c>
      <c r="C195" s="36" t="s">
        <v>28</v>
      </c>
      <c r="D195" s="36" t="s">
        <v>214</v>
      </c>
      <c r="E195" s="36" t="s">
        <v>30</v>
      </c>
      <c r="F195" s="36" t="s">
        <v>31</v>
      </c>
      <c r="G195" s="37" t="s">
        <v>215</v>
      </c>
      <c r="H195" s="36" t="s">
        <v>216</v>
      </c>
      <c r="I195" s="36" t="s">
        <v>217</v>
      </c>
      <c r="J195" s="36">
        <v>2</v>
      </c>
      <c r="K195" s="36" t="s">
        <v>121</v>
      </c>
      <c r="L195" s="36">
        <v>4</v>
      </c>
      <c r="M195" s="36">
        <v>1</v>
      </c>
      <c r="N195" s="38">
        <v>12500000</v>
      </c>
      <c r="O195" s="42">
        <v>520333</v>
      </c>
      <c r="P195" s="36">
        <v>24</v>
      </c>
      <c r="Q195" s="36" t="s">
        <v>73</v>
      </c>
      <c r="R195" s="36" t="s">
        <v>218</v>
      </c>
      <c r="S195" s="36" t="s">
        <v>219</v>
      </c>
      <c r="T195" s="36" t="s">
        <v>220</v>
      </c>
      <c r="U195" s="36" t="s">
        <v>221</v>
      </c>
      <c r="V195" s="40">
        <v>45658</v>
      </c>
      <c r="W195" s="40">
        <v>45889</v>
      </c>
      <c r="X195" s="36">
        <v>0</v>
      </c>
      <c r="Y195" s="36"/>
      <c r="Z195" s="36">
        <v>1</v>
      </c>
      <c r="AA195" s="36">
        <v>520333</v>
      </c>
      <c r="AB195" s="40">
        <v>46143</v>
      </c>
      <c r="AC195" s="36" t="s">
        <v>2196</v>
      </c>
      <c r="AD195" s="36" t="str">
        <f>VLOOKUP(D195,Oficial!A:C,3,0)</f>
        <v>Arrastre</v>
      </c>
    </row>
    <row r="196" spans="1:30" x14ac:dyDescent="0.25">
      <c r="A196" s="36" t="s">
        <v>27</v>
      </c>
      <c r="B196" s="36" t="s">
        <v>214</v>
      </c>
      <c r="C196" s="36" t="s">
        <v>28</v>
      </c>
      <c r="D196" s="36" t="s">
        <v>214</v>
      </c>
      <c r="E196" s="36" t="s">
        <v>30</v>
      </c>
      <c r="F196" s="36" t="s">
        <v>31</v>
      </c>
      <c r="G196" s="37" t="s">
        <v>215</v>
      </c>
      <c r="H196" s="36" t="s">
        <v>216</v>
      </c>
      <c r="I196" s="36" t="s">
        <v>217</v>
      </c>
      <c r="J196" s="36">
        <v>2</v>
      </c>
      <c r="K196" s="36" t="s">
        <v>121</v>
      </c>
      <c r="L196" s="36">
        <v>4</v>
      </c>
      <c r="M196" s="36">
        <v>1</v>
      </c>
      <c r="N196" s="38">
        <v>12500000</v>
      </c>
      <c r="O196" s="42">
        <v>530333</v>
      </c>
      <c r="P196" s="36">
        <v>24</v>
      </c>
      <c r="Q196" s="36" t="s">
        <v>73</v>
      </c>
      <c r="R196" s="36" t="s">
        <v>218</v>
      </c>
      <c r="S196" s="36" t="s">
        <v>219</v>
      </c>
      <c r="T196" s="36" t="s">
        <v>220</v>
      </c>
      <c r="U196" s="36" t="s">
        <v>221</v>
      </c>
      <c r="V196" s="40">
        <v>45658</v>
      </c>
      <c r="W196" s="40">
        <v>45889</v>
      </c>
      <c r="X196" s="36">
        <v>0</v>
      </c>
      <c r="Y196" s="36"/>
      <c r="Z196" s="36">
        <v>1</v>
      </c>
      <c r="AA196" s="36">
        <v>530333</v>
      </c>
      <c r="AB196" s="40">
        <v>46357</v>
      </c>
      <c r="AC196" s="36" t="s">
        <v>2196</v>
      </c>
      <c r="AD196" s="36" t="str">
        <f>VLOOKUP(D196,Oficial!A:C,3,0)</f>
        <v>Arrastre</v>
      </c>
    </row>
    <row r="197" spans="1:30" x14ac:dyDescent="0.25">
      <c r="A197" s="36" t="s">
        <v>27</v>
      </c>
      <c r="B197" s="36" t="s">
        <v>214</v>
      </c>
      <c r="C197" s="36" t="s">
        <v>28</v>
      </c>
      <c r="D197" s="36" t="s">
        <v>214</v>
      </c>
      <c r="E197" s="36" t="s">
        <v>30</v>
      </c>
      <c r="F197" s="36" t="s">
        <v>31</v>
      </c>
      <c r="G197" s="37" t="s">
        <v>215</v>
      </c>
      <c r="H197" s="36" t="s">
        <v>216</v>
      </c>
      <c r="I197" s="36" t="s">
        <v>217</v>
      </c>
      <c r="J197" s="36">
        <v>2</v>
      </c>
      <c r="K197" s="36" t="s">
        <v>121</v>
      </c>
      <c r="L197" s="36">
        <v>4</v>
      </c>
      <c r="M197" s="36">
        <v>1</v>
      </c>
      <c r="N197" s="38">
        <v>12500000</v>
      </c>
      <c r="O197" s="42">
        <v>520333</v>
      </c>
      <c r="P197" s="36">
        <v>24</v>
      </c>
      <c r="Q197" s="36" t="s">
        <v>73</v>
      </c>
      <c r="R197" s="36" t="s">
        <v>218</v>
      </c>
      <c r="S197" s="36" t="s">
        <v>219</v>
      </c>
      <c r="T197" s="36" t="s">
        <v>220</v>
      </c>
      <c r="U197" s="36" t="s">
        <v>221</v>
      </c>
      <c r="V197" s="40">
        <v>45658</v>
      </c>
      <c r="W197" s="40">
        <v>45889</v>
      </c>
      <c r="X197" s="36">
        <v>0</v>
      </c>
      <c r="Y197" s="36"/>
      <c r="Z197" s="36">
        <v>1</v>
      </c>
      <c r="AA197" s="36">
        <v>520333</v>
      </c>
      <c r="AB197" s="40">
        <v>46082</v>
      </c>
      <c r="AC197" s="36" t="s">
        <v>2196</v>
      </c>
      <c r="AD197" s="36" t="str">
        <f>VLOOKUP(D197,Oficial!A:C,3,0)</f>
        <v>Arrastre</v>
      </c>
    </row>
    <row r="198" spans="1:30" x14ac:dyDescent="0.25">
      <c r="A198" s="36" t="s">
        <v>27</v>
      </c>
      <c r="B198" s="36" t="s">
        <v>214</v>
      </c>
      <c r="C198" s="36" t="s">
        <v>28</v>
      </c>
      <c r="D198" s="36" t="s">
        <v>214</v>
      </c>
      <c r="E198" s="36" t="s">
        <v>30</v>
      </c>
      <c r="F198" s="36" t="s">
        <v>31</v>
      </c>
      <c r="G198" s="37" t="s">
        <v>215</v>
      </c>
      <c r="H198" s="36" t="s">
        <v>216</v>
      </c>
      <c r="I198" s="36" t="s">
        <v>217</v>
      </c>
      <c r="J198" s="36">
        <v>2</v>
      </c>
      <c r="K198" s="36" t="s">
        <v>121</v>
      </c>
      <c r="L198" s="36">
        <v>4</v>
      </c>
      <c r="M198" s="36">
        <v>1</v>
      </c>
      <c r="N198" s="38">
        <v>12500000</v>
      </c>
      <c r="O198" s="42">
        <v>520333</v>
      </c>
      <c r="P198" s="36">
        <v>24</v>
      </c>
      <c r="Q198" s="36" t="s">
        <v>73</v>
      </c>
      <c r="R198" s="36" t="s">
        <v>218</v>
      </c>
      <c r="S198" s="36" t="s">
        <v>219</v>
      </c>
      <c r="T198" s="36" t="s">
        <v>220</v>
      </c>
      <c r="U198" s="36" t="s">
        <v>221</v>
      </c>
      <c r="V198" s="40">
        <v>45658</v>
      </c>
      <c r="W198" s="40">
        <v>45889</v>
      </c>
      <c r="X198" s="36">
        <v>0</v>
      </c>
      <c r="Y198" s="36"/>
      <c r="Z198" s="36">
        <v>1</v>
      </c>
      <c r="AA198" s="36">
        <v>520333</v>
      </c>
      <c r="AB198" s="40">
        <v>46054</v>
      </c>
      <c r="AC198" s="36" t="s">
        <v>2196</v>
      </c>
      <c r="AD198" s="36" t="str">
        <f>VLOOKUP(D198,Oficial!A:C,3,0)</f>
        <v>Arrastre</v>
      </c>
    </row>
    <row r="199" spans="1:30" x14ac:dyDescent="0.25">
      <c r="A199" s="36" t="s">
        <v>27</v>
      </c>
      <c r="B199" s="36" t="s">
        <v>214</v>
      </c>
      <c r="C199" s="36" t="s">
        <v>28</v>
      </c>
      <c r="D199" s="36" t="s">
        <v>214</v>
      </c>
      <c r="E199" s="36" t="s">
        <v>30</v>
      </c>
      <c r="F199" s="36" t="s">
        <v>31</v>
      </c>
      <c r="G199" s="37" t="s">
        <v>215</v>
      </c>
      <c r="H199" s="36" t="s">
        <v>216</v>
      </c>
      <c r="I199" s="36" t="s">
        <v>217</v>
      </c>
      <c r="J199" s="36">
        <v>2</v>
      </c>
      <c r="K199" s="36" t="s">
        <v>121</v>
      </c>
      <c r="L199" s="36">
        <v>4</v>
      </c>
      <c r="M199" s="36">
        <v>1</v>
      </c>
      <c r="N199" s="38">
        <v>12500000</v>
      </c>
      <c r="O199" s="42">
        <v>521333</v>
      </c>
      <c r="P199" s="36">
        <v>24</v>
      </c>
      <c r="Q199" s="36" t="s">
        <v>73</v>
      </c>
      <c r="R199" s="36" t="s">
        <v>218</v>
      </c>
      <c r="S199" s="36" t="s">
        <v>219</v>
      </c>
      <c r="T199" s="36" t="s">
        <v>220</v>
      </c>
      <c r="U199" s="36" t="s">
        <v>221</v>
      </c>
      <c r="V199" s="40">
        <v>45658</v>
      </c>
      <c r="W199" s="40">
        <v>45889</v>
      </c>
      <c r="X199" s="36">
        <v>0</v>
      </c>
      <c r="Y199" s="36"/>
      <c r="Z199" s="36">
        <v>1</v>
      </c>
      <c r="AA199" s="36">
        <v>521333</v>
      </c>
      <c r="AB199" s="40">
        <v>46327</v>
      </c>
      <c r="AC199" s="36" t="s">
        <v>2196</v>
      </c>
      <c r="AD199" s="36" t="str">
        <f>VLOOKUP(D199,Oficial!A:C,3,0)</f>
        <v>Arrastre</v>
      </c>
    </row>
    <row r="200" spans="1:30" x14ac:dyDescent="0.25">
      <c r="A200" s="36" t="s">
        <v>27</v>
      </c>
      <c r="B200" s="36" t="s">
        <v>214</v>
      </c>
      <c r="C200" s="36" t="s">
        <v>28</v>
      </c>
      <c r="D200" s="36" t="s">
        <v>214</v>
      </c>
      <c r="E200" s="36" t="s">
        <v>30</v>
      </c>
      <c r="F200" s="36" t="s">
        <v>31</v>
      </c>
      <c r="G200" s="37" t="s">
        <v>215</v>
      </c>
      <c r="H200" s="36" t="s">
        <v>216</v>
      </c>
      <c r="I200" s="36" t="s">
        <v>217</v>
      </c>
      <c r="J200" s="36">
        <v>2</v>
      </c>
      <c r="K200" s="36" t="s">
        <v>121</v>
      </c>
      <c r="L200" s="36">
        <v>4</v>
      </c>
      <c r="M200" s="36">
        <v>1</v>
      </c>
      <c r="N200" s="38">
        <v>12500000</v>
      </c>
      <c r="O200" s="42">
        <v>520333</v>
      </c>
      <c r="P200" s="36">
        <v>24</v>
      </c>
      <c r="Q200" s="36" t="s">
        <v>73</v>
      </c>
      <c r="R200" s="36" t="s">
        <v>218</v>
      </c>
      <c r="S200" s="36" t="s">
        <v>219</v>
      </c>
      <c r="T200" s="36" t="s">
        <v>220</v>
      </c>
      <c r="U200" s="36" t="s">
        <v>221</v>
      </c>
      <c r="V200" s="40">
        <v>45658</v>
      </c>
      <c r="W200" s="40">
        <v>45889</v>
      </c>
      <c r="X200" s="36">
        <v>0</v>
      </c>
      <c r="Y200" s="36"/>
      <c r="Z200" s="36">
        <v>1</v>
      </c>
      <c r="AA200" s="36">
        <v>520333</v>
      </c>
      <c r="AB200" s="40">
        <v>46023</v>
      </c>
      <c r="AC200" s="36" t="s">
        <v>2196</v>
      </c>
      <c r="AD200" s="36" t="str">
        <f>VLOOKUP(D200,Oficial!A:C,3,0)</f>
        <v>Arrastre</v>
      </c>
    </row>
    <row r="201" spans="1:30" x14ac:dyDescent="0.25">
      <c r="A201" s="36" t="s">
        <v>27</v>
      </c>
      <c r="B201" s="36" t="s">
        <v>214</v>
      </c>
      <c r="C201" s="36" t="s">
        <v>28</v>
      </c>
      <c r="D201" s="36" t="s">
        <v>214</v>
      </c>
      <c r="E201" s="36" t="s">
        <v>30</v>
      </c>
      <c r="F201" s="36" t="s">
        <v>31</v>
      </c>
      <c r="G201" s="37" t="s">
        <v>215</v>
      </c>
      <c r="H201" s="36" t="s">
        <v>216</v>
      </c>
      <c r="I201" s="36" t="s">
        <v>217</v>
      </c>
      <c r="J201" s="36">
        <v>2</v>
      </c>
      <c r="K201" s="36" t="s">
        <v>121</v>
      </c>
      <c r="L201" s="36">
        <v>4</v>
      </c>
      <c r="M201" s="36">
        <v>1</v>
      </c>
      <c r="N201" s="38">
        <v>12500000</v>
      </c>
      <c r="O201" s="42">
        <v>520333</v>
      </c>
      <c r="P201" s="36">
        <v>24</v>
      </c>
      <c r="Q201" s="36" t="s">
        <v>73</v>
      </c>
      <c r="R201" s="36" t="s">
        <v>218</v>
      </c>
      <c r="S201" s="36" t="s">
        <v>219</v>
      </c>
      <c r="T201" s="36" t="s">
        <v>220</v>
      </c>
      <c r="U201" s="36" t="s">
        <v>221</v>
      </c>
      <c r="V201" s="40">
        <v>45658</v>
      </c>
      <c r="W201" s="40">
        <v>45889</v>
      </c>
      <c r="X201" s="36">
        <v>0</v>
      </c>
      <c r="Y201" s="36"/>
      <c r="Z201" s="36">
        <v>1</v>
      </c>
      <c r="AA201" s="36">
        <v>520333</v>
      </c>
      <c r="AB201" s="40">
        <v>46174</v>
      </c>
      <c r="AC201" s="36" t="s">
        <v>2196</v>
      </c>
      <c r="AD201" s="36" t="str">
        <f>VLOOKUP(D201,Oficial!A:C,3,0)</f>
        <v>Arrastre</v>
      </c>
    </row>
    <row r="202" spans="1:30" x14ac:dyDescent="0.25">
      <c r="A202" s="36" t="s">
        <v>27</v>
      </c>
      <c r="B202" s="36" t="s">
        <v>214</v>
      </c>
      <c r="C202" s="36" t="s">
        <v>28</v>
      </c>
      <c r="D202" s="36" t="s">
        <v>214</v>
      </c>
      <c r="E202" s="36" t="s">
        <v>30</v>
      </c>
      <c r="F202" s="36" t="s">
        <v>31</v>
      </c>
      <c r="G202" s="37" t="s">
        <v>215</v>
      </c>
      <c r="H202" s="36" t="s">
        <v>216</v>
      </c>
      <c r="I202" s="36" t="s">
        <v>217</v>
      </c>
      <c r="J202" s="36">
        <v>2</v>
      </c>
      <c r="K202" s="36" t="s">
        <v>121</v>
      </c>
      <c r="L202" s="36">
        <v>4</v>
      </c>
      <c r="M202" s="36">
        <v>1</v>
      </c>
      <c r="N202" s="38">
        <v>12500000</v>
      </c>
      <c r="O202" s="42">
        <v>520333</v>
      </c>
      <c r="P202" s="36">
        <v>24</v>
      </c>
      <c r="Q202" s="36" t="s">
        <v>73</v>
      </c>
      <c r="R202" s="36" t="s">
        <v>218</v>
      </c>
      <c r="S202" s="36" t="s">
        <v>219</v>
      </c>
      <c r="T202" s="36" t="s">
        <v>220</v>
      </c>
      <c r="U202" s="36" t="s">
        <v>221</v>
      </c>
      <c r="V202" s="40">
        <v>45658</v>
      </c>
      <c r="W202" s="40">
        <v>45889</v>
      </c>
      <c r="X202" s="36">
        <v>0</v>
      </c>
      <c r="Y202" s="36"/>
      <c r="Z202" s="36">
        <v>1</v>
      </c>
      <c r="AA202" s="36">
        <v>520333</v>
      </c>
      <c r="AB202" s="40">
        <v>46113</v>
      </c>
      <c r="AC202" s="36" t="s">
        <v>2196</v>
      </c>
      <c r="AD202" s="36" t="str">
        <f>VLOOKUP(D202,Oficial!A:C,3,0)</f>
        <v>Arrastre</v>
      </c>
    </row>
    <row r="203" spans="1:30" x14ac:dyDescent="0.25">
      <c r="A203" s="36" t="s">
        <v>27</v>
      </c>
      <c r="B203" s="36" t="s">
        <v>214</v>
      </c>
      <c r="C203" s="36" t="s">
        <v>28</v>
      </c>
      <c r="D203" s="36" t="s">
        <v>214</v>
      </c>
      <c r="E203" s="36" t="s">
        <v>30</v>
      </c>
      <c r="F203" s="36" t="s">
        <v>31</v>
      </c>
      <c r="G203" s="37" t="s">
        <v>215</v>
      </c>
      <c r="H203" s="36" t="s">
        <v>216</v>
      </c>
      <c r="I203" s="36" t="s">
        <v>217</v>
      </c>
      <c r="J203" s="36">
        <v>2</v>
      </c>
      <c r="K203" s="36" t="s">
        <v>121</v>
      </c>
      <c r="L203" s="36">
        <v>4</v>
      </c>
      <c r="M203" s="36">
        <v>1</v>
      </c>
      <c r="N203" s="38">
        <v>12500000</v>
      </c>
      <c r="O203" s="42">
        <v>520333</v>
      </c>
      <c r="P203" s="36">
        <v>24</v>
      </c>
      <c r="Q203" s="36" t="s">
        <v>73</v>
      </c>
      <c r="R203" s="36" t="s">
        <v>218</v>
      </c>
      <c r="S203" s="36" t="s">
        <v>219</v>
      </c>
      <c r="T203" s="36" t="s">
        <v>220</v>
      </c>
      <c r="U203" s="36" t="s">
        <v>221</v>
      </c>
      <c r="V203" s="40">
        <v>45658</v>
      </c>
      <c r="W203" s="40">
        <v>45889</v>
      </c>
      <c r="X203" s="36">
        <v>0</v>
      </c>
      <c r="Y203" s="36"/>
      <c r="Z203" s="36">
        <v>1</v>
      </c>
      <c r="AA203" s="36">
        <v>520333</v>
      </c>
      <c r="AB203" s="40">
        <v>46204</v>
      </c>
      <c r="AC203" s="36" t="s">
        <v>2196</v>
      </c>
      <c r="AD203" s="36" t="str">
        <f>VLOOKUP(D203,Oficial!A:C,3,0)</f>
        <v>Arrastre</v>
      </c>
    </row>
    <row r="204" spans="1:30" x14ac:dyDescent="0.25">
      <c r="A204" s="36" t="s">
        <v>27</v>
      </c>
      <c r="B204" s="36" t="s">
        <v>214</v>
      </c>
      <c r="C204" s="36" t="s">
        <v>28</v>
      </c>
      <c r="D204" s="36" t="s">
        <v>214</v>
      </c>
      <c r="E204" s="36" t="s">
        <v>30</v>
      </c>
      <c r="F204" s="36" t="s">
        <v>31</v>
      </c>
      <c r="G204" s="37" t="s">
        <v>215</v>
      </c>
      <c r="H204" s="36" t="s">
        <v>216</v>
      </c>
      <c r="I204" s="36" t="s">
        <v>217</v>
      </c>
      <c r="J204" s="36">
        <v>2</v>
      </c>
      <c r="K204" s="36" t="s">
        <v>121</v>
      </c>
      <c r="L204" s="36">
        <v>4</v>
      </c>
      <c r="M204" s="36">
        <v>1</v>
      </c>
      <c r="N204" s="38">
        <v>12500000</v>
      </c>
      <c r="O204" s="42">
        <v>520833</v>
      </c>
      <c r="P204" s="36">
        <v>24</v>
      </c>
      <c r="Q204" s="36" t="s">
        <v>73</v>
      </c>
      <c r="R204" s="36" t="s">
        <v>218</v>
      </c>
      <c r="S204" s="36" t="s">
        <v>219</v>
      </c>
      <c r="T204" s="36" t="s">
        <v>220</v>
      </c>
      <c r="U204" s="36" t="s">
        <v>221</v>
      </c>
      <c r="V204" s="40">
        <v>45658</v>
      </c>
      <c r="W204" s="40">
        <v>45889</v>
      </c>
      <c r="X204" s="36">
        <v>0</v>
      </c>
      <c r="Y204" s="36"/>
      <c r="Z204" s="36">
        <v>1</v>
      </c>
      <c r="AA204" s="36">
        <v>520833</v>
      </c>
      <c r="AB204" s="40">
        <v>46266</v>
      </c>
      <c r="AC204" s="36" t="s">
        <v>2196</v>
      </c>
      <c r="AD204" s="36" t="str">
        <f>VLOOKUP(D204,Oficial!A:C,3,0)</f>
        <v>Arrastre</v>
      </c>
    </row>
    <row r="205" spans="1:30" x14ac:dyDescent="0.25">
      <c r="A205" s="36" t="s">
        <v>27</v>
      </c>
      <c r="B205" s="36" t="s">
        <v>214</v>
      </c>
      <c r="C205" s="36" t="s">
        <v>28</v>
      </c>
      <c r="D205" s="36" t="s">
        <v>214</v>
      </c>
      <c r="E205" s="36" t="s">
        <v>30</v>
      </c>
      <c r="F205" s="36" t="s">
        <v>31</v>
      </c>
      <c r="G205" s="37" t="s">
        <v>215</v>
      </c>
      <c r="H205" s="36" t="s">
        <v>216</v>
      </c>
      <c r="I205" s="36" t="s">
        <v>217</v>
      </c>
      <c r="J205" s="36">
        <v>2</v>
      </c>
      <c r="K205" s="36" t="s">
        <v>121</v>
      </c>
      <c r="L205" s="36">
        <v>4</v>
      </c>
      <c r="M205" s="36">
        <v>1</v>
      </c>
      <c r="N205" s="38">
        <v>12500000</v>
      </c>
      <c r="O205" s="42">
        <v>520333</v>
      </c>
      <c r="P205" s="36">
        <v>24</v>
      </c>
      <c r="Q205" s="36" t="s">
        <v>73</v>
      </c>
      <c r="R205" s="36" t="s">
        <v>218</v>
      </c>
      <c r="S205" s="36" t="s">
        <v>219</v>
      </c>
      <c r="T205" s="36" t="s">
        <v>220</v>
      </c>
      <c r="U205" s="36" t="s">
        <v>221</v>
      </c>
      <c r="V205" s="40">
        <v>45658</v>
      </c>
      <c r="W205" s="40">
        <v>45889</v>
      </c>
      <c r="X205" s="36">
        <v>0</v>
      </c>
      <c r="Y205" s="36"/>
      <c r="Z205" s="36">
        <v>1</v>
      </c>
      <c r="AA205" s="36">
        <v>520333</v>
      </c>
      <c r="AB205" s="40">
        <v>46296</v>
      </c>
      <c r="AC205" s="36" t="s">
        <v>2196</v>
      </c>
      <c r="AD205" s="36" t="str">
        <f>VLOOKUP(D205,Oficial!A:C,3,0)</f>
        <v>Arrastre</v>
      </c>
    </row>
    <row r="206" spans="1:30" x14ac:dyDescent="0.25">
      <c r="A206" s="36" t="s">
        <v>27</v>
      </c>
      <c r="B206" s="36" t="s">
        <v>222</v>
      </c>
      <c r="C206" s="36" t="s">
        <v>28</v>
      </c>
      <c r="D206" s="36" t="s">
        <v>222</v>
      </c>
      <c r="E206" s="36" t="s">
        <v>30</v>
      </c>
      <c r="F206" s="36" t="s">
        <v>31</v>
      </c>
      <c r="G206" s="37" t="s">
        <v>223</v>
      </c>
      <c r="H206" s="36" t="s">
        <v>224</v>
      </c>
      <c r="I206" s="36" t="s">
        <v>225</v>
      </c>
      <c r="J206" s="36">
        <v>2</v>
      </c>
      <c r="K206" s="36" t="s">
        <v>226</v>
      </c>
      <c r="L206" s="36">
        <v>4</v>
      </c>
      <c r="M206" s="36">
        <v>3</v>
      </c>
      <c r="N206" s="38">
        <v>32076748</v>
      </c>
      <c r="O206" s="41">
        <v>4009593</v>
      </c>
      <c r="P206" s="36">
        <v>24</v>
      </c>
      <c r="Q206" s="36" t="s">
        <v>73</v>
      </c>
      <c r="R206" s="36" t="s">
        <v>227</v>
      </c>
      <c r="S206" s="36" t="s">
        <v>228</v>
      </c>
      <c r="T206" s="36" t="s">
        <v>229</v>
      </c>
      <c r="U206" s="36" t="s">
        <v>230</v>
      </c>
      <c r="V206" s="40">
        <v>45658</v>
      </c>
      <c r="W206" s="40">
        <v>45889</v>
      </c>
      <c r="X206" s="36">
        <v>11</v>
      </c>
      <c r="Y206" s="36" t="s">
        <v>233</v>
      </c>
      <c r="Z206" s="36">
        <v>1</v>
      </c>
      <c r="AA206" s="36">
        <v>4009593</v>
      </c>
      <c r="AB206" s="40">
        <v>46054</v>
      </c>
      <c r="AC206" s="36" t="s">
        <v>2196</v>
      </c>
      <c r="AD206" s="36" t="str">
        <f>VLOOKUP(D206,Oficial!A:C,3,0)</f>
        <v>Arrastre</v>
      </c>
    </row>
    <row r="207" spans="1:30" x14ac:dyDescent="0.25">
      <c r="A207" s="36" t="s">
        <v>27</v>
      </c>
      <c r="B207" s="36" t="s">
        <v>222</v>
      </c>
      <c r="C207" s="36" t="s">
        <v>28</v>
      </c>
      <c r="D207" s="36" t="s">
        <v>222</v>
      </c>
      <c r="E207" s="36" t="s">
        <v>30</v>
      </c>
      <c r="F207" s="36" t="s">
        <v>31</v>
      </c>
      <c r="G207" s="37" t="s">
        <v>223</v>
      </c>
      <c r="H207" s="36" t="s">
        <v>224</v>
      </c>
      <c r="I207" s="36" t="s">
        <v>225</v>
      </c>
      <c r="J207" s="36">
        <v>2</v>
      </c>
      <c r="K207" s="36" t="s">
        <v>226</v>
      </c>
      <c r="L207" s="36">
        <v>4</v>
      </c>
      <c r="M207" s="36">
        <v>3</v>
      </c>
      <c r="N207" s="38">
        <v>32076748</v>
      </c>
      <c r="O207" s="41">
        <v>4009593</v>
      </c>
      <c r="P207" s="36">
        <v>24</v>
      </c>
      <c r="Q207" s="36" t="s">
        <v>73</v>
      </c>
      <c r="R207" s="36" t="s">
        <v>227</v>
      </c>
      <c r="S207" s="36" t="s">
        <v>228</v>
      </c>
      <c r="T207" s="36" t="s">
        <v>229</v>
      </c>
      <c r="U207" s="36" t="s">
        <v>230</v>
      </c>
      <c r="V207" s="40">
        <v>45658</v>
      </c>
      <c r="W207" s="40">
        <v>45889</v>
      </c>
      <c r="X207" s="36">
        <v>11</v>
      </c>
      <c r="Y207" s="36" t="s">
        <v>233</v>
      </c>
      <c r="Z207" s="36">
        <v>1</v>
      </c>
      <c r="AA207" s="36">
        <v>4009593</v>
      </c>
      <c r="AB207" s="40">
        <v>46204</v>
      </c>
      <c r="AC207" s="36" t="s">
        <v>2196</v>
      </c>
      <c r="AD207" s="36" t="str">
        <f>VLOOKUP(D207,Oficial!A:C,3,0)</f>
        <v>Arrastre</v>
      </c>
    </row>
    <row r="208" spans="1:30" x14ac:dyDescent="0.25">
      <c r="A208" s="36" t="s">
        <v>27</v>
      </c>
      <c r="B208" s="36" t="s">
        <v>222</v>
      </c>
      <c r="C208" s="36" t="s">
        <v>28</v>
      </c>
      <c r="D208" s="36" t="s">
        <v>222</v>
      </c>
      <c r="E208" s="36" t="s">
        <v>30</v>
      </c>
      <c r="F208" s="36" t="s">
        <v>31</v>
      </c>
      <c r="G208" s="37" t="s">
        <v>223</v>
      </c>
      <c r="H208" s="36" t="s">
        <v>224</v>
      </c>
      <c r="I208" s="36" t="s">
        <v>225</v>
      </c>
      <c r="J208" s="36">
        <v>2</v>
      </c>
      <c r="K208" s="36" t="s">
        <v>226</v>
      </c>
      <c r="L208" s="36">
        <v>4</v>
      </c>
      <c r="M208" s="36">
        <v>3</v>
      </c>
      <c r="N208" s="38">
        <v>32076748</v>
      </c>
      <c r="O208" s="41">
        <v>4009593</v>
      </c>
      <c r="P208" s="36">
        <v>24</v>
      </c>
      <c r="Q208" s="36" t="s">
        <v>73</v>
      </c>
      <c r="R208" s="36" t="s">
        <v>227</v>
      </c>
      <c r="S208" s="36" t="s">
        <v>228</v>
      </c>
      <c r="T208" s="36" t="s">
        <v>229</v>
      </c>
      <c r="U208" s="36" t="s">
        <v>230</v>
      </c>
      <c r="V208" s="40">
        <v>45658</v>
      </c>
      <c r="W208" s="40">
        <v>45889</v>
      </c>
      <c r="X208" s="36">
        <v>11</v>
      </c>
      <c r="Y208" s="36" t="s">
        <v>231</v>
      </c>
      <c r="Z208" s="36">
        <v>1</v>
      </c>
      <c r="AA208" s="36">
        <v>4009593</v>
      </c>
      <c r="AB208" s="40">
        <v>46204</v>
      </c>
      <c r="AC208" s="36" t="s">
        <v>2196</v>
      </c>
      <c r="AD208" s="36" t="str">
        <f>VLOOKUP(D208,Oficial!A:C,3,0)</f>
        <v>Arrastre</v>
      </c>
    </row>
    <row r="209" spans="1:30" x14ac:dyDescent="0.25">
      <c r="A209" s="36" t="s">
        <v>27</v>
      </c>
      <c r="B209" s="36" t="s">
        <v>222</v>
      </c>
      <c r="C209" s="36" t="s">
        <v>28</v>
      </c>
      <c r="D209" s="36" t="s">
        <v>222</v>
      </c>
      <c r="E209" s="36" t="s">
        <v>30</v>
      </c>
      <c r="F209" s="36" t="s">
        <v>31</v>
      </c>
      <c r="G209" s="37" t="s">
        <v>223</v>
      </c>
      <c r="H209" s="36" t="s">
        <v>224</v>
      </c>
      <c r="I209" s="36" t="s">
        <v>225</v>
      </c>
      <c r="J209" s="36">
        <v>2</v>
      </c>
      <c r="K209" s="36" t="s">
        <v>226</v>
      </c>
      <c r="L209" s="36">
        <v>4</v>
      </c>
      <c r="M209" s="36">
        <v>3</v>
      </c>
      <c r="N209" s="38">
        <v>32076748</v>
      </c>
      <c r="O209" s="41">
        <v>4009593</v>
      </c>
      <c r="P209" s="36">
        <v>24</v>
      </c>
      <c r="Q209" s="36" t="s">
        <v>73</v>
      </c>
      <c r="R209" s="36" t="s">
        <v>227</v>
      </c>
      <c r="S209" s="36" t="s">
        <v>228</v>
      </c>
      <c r="T209" s="36" t="s">
        <v>229</v>
      </c>
      <c r="U209" s="36" t="s">
        <v>230</v>
      </c>
      <c r="V209" s="40">
        <v>45658</v>
      </c>
      <c r="W209" s="40">
        <v>45889</v>
      </c>
      <c r="X209" s="36">
        <v>11</v>
      </c>
      <c r="Y209" s="36" t="s">
        <v>235</v>
      </c>
      <c r="Z209" s="36">
        <v>1</v>
      </c>
      <c r="AA209" s="36">
        <v>4009593</v>
      </c>
      <c r="AB209" s="40">
        <v>46143</v>
      </c>
      <c r="AC209" s="36" t="s">
        <v>2196</v>
      </c>
      <c r="AD209" s="36" t="str">
        <f>VLOOKUP(D209,Oficial!A:C,3,0)</f>
        <v>Arrastre</v>
      </c>
    </row>
    <row r="210" spans="1:30" x14ac:dyDescent="0.25">
      <c r="A210" s="36" t="s">
        <v>27</v>
      </c>
      <c r="B210" s="36" t="s">
        <v>222</v>
      </c>
      <c r="C210" s="36" t="s">
        <v>28</v>
      </c>
      <c r="D210" s="36" t="s">
        <v>222</v>
      </c>
      <c r="E210" s="36" t="s">
        <v>30</v>
      </c>
      <c r="F210" s="36" t="s">
        <v>31</v>
      </c>
      <c r="G210" s="37" t="s">
        <v>223</v>
      </c>
      <c r="H210" s="36" t="s">
        <v>224</v>
      </c>
      <c r="I210" s="36" t="s">
        <v>225</v>
      </c>
      <c r="J210" s="36">
        <v>2</v>
      </c>
      <c r="K210" s="36" t="s">
        <v>226</v>
      </c>
      <c r="L210" s="36">
        <v>4</v>
      </c>
      <c r="M210" s="36">
        <v>3</v>
      </c>
      <c r="N210" s="38">
        <v>32076748</v>
      </c>
      <c r="O210" s="41">
        <v>4009593</v>
      </c>
      <c r="P210" s="36">
        <v>24</v>
      </c>
      <c r="Q210" s="36" t="s">
        <v>73</v>
      </c>
      <c r="R210" s="36" t="s">
        <v>227</v>
      </c>
      <c r="S210" s="36" t="s">
        <v>228</v>
      </c>
      <c r="T210" s="36" t="s">
        <v>229</v>
      </c>
      <c r="U210" s="36" t="s">
        <v>230</v>
      </c>
      <c r="V210" s="40">
        <v>45658</v>
      </c>
      <c r="W210" s="40">
        <v>45889</v>
      </c>
      <c r="X210" s="36">
        <v>11</v>
      </c>
      <c r="Y210" s="36" t="s">
        <v>236</v>
      </c>
      <c r="Z210" s="36">
        <v>1</v>
      </c>
      <c r="AA210" s="36">
        <v>4009593</v>
      </c>
      <c r="AB210" s="40">
        <v>46296</v>
      </c>
      <c r="AC210" s="36" t="s">
        <v>2196</v>
      </c>
      <c r="AD210" s="36" t="str">
        <f>VLOOKUP(D210,Oficial!A:C,3,0)</f>
        <v>Arrastre</v>
      </c>
    </row>
    <row r="211" spans="1:30" x14ac:dyDescent="0.25">
      <c r="A211" s="36" t="s">
        <v>27</v>
      </c>
      <c r="B211" s="36" t="s">
        <v>222</v>
      </c>
      <c r="C211" s="36" t="s">
        <v>28</v>
      </c>
      <c r="D211" s="36" t="s">
        <v>222</v>
      </c>
      <c r="E211" s="36" t="s">
        <v>30</v>
      </c>
      <c r="F211" s="36" t="s">
        <v>31</v>
      </c>
      <c r="G211" s="37" t="s">
        <v>223</v>
      </c>
      <c r="H211" s="36" t="s">
        <v>224</v>
      </c>
      <c r="I211" s="36" t="s">
        <v>225</v>
      </c>
      <c r="J211" s="36">
        <v>2</v>
      </c>
      <c r="K211" s="36" t="s">
        <v>226</v>
      </c>
      <c r="L211" s="36">
        <v>4</v>
      </c>
      <c r="M211" s="36">
        <v>3</v>
      </c>
      <c r="N211" s="38">
        <v>32076748</v>
      </c>
      <c r="O211" s="41">
        <v>4009593</v>
      </c>
      <c r="P211" s="36">
        <v>24</v>
      </c>
      <c r="Q211" s="36" t="s">
        <v>73</v>
      </c>
      <c r="R211" s="36" t="s">
        <v>227</v>
      </c>
      <c r="S211" s="36" t="s">
        <v>228</v>
      </c>
      <c r="T211" s="36" t="s">
        <v>229</v>
      </c>
      <c r="U211" s="36" t="s">
        <v>230</v>
      </c>
      <c r="V211" s="40">
        <v>45658</v>
      </c>
      <c r="W211" s="40">
        <v>45889</v>
      </c>
      <c r="X211" s="36">
        <v>11</v>
      </c>
      <c r="Y211" s="36" t="s">
        <v>234</v>
      </c>
      <c r="Z211" s="36">
        <v>1</v>
      </c>
      <c r="AA211" s="36">
        <v>4009593</v>
      </c>
      <c r="AB211" s="40">
        <v>46266</v>
      </c>
      <c r="AC211" s="36" t="s">
        <v>2196</v>
      </c>
      <c r="AD211" s="36" t="str">
        <f>VLOOKUP(D211,Oficial!A:C,3,0)</f>
        <v>Arrastre</v>
      </c>
    </row>
    <row r="212" spans="1:30" x14ac:dyDescent="0.25">
      <c r="A212" s="36" t="s">
        <v>27</v>
      </c>
      <c r="B212" s="36" t="s">
        <v>222</v>
      </c>
      <c r="C212" s="36" t="s">
        <v>28</v>
      </c>
      <c r="D212" s="36" t="s">
        <v>222</v>
      </c>
      <c r="E212" s="36" t="s">
        <v>30</v>
      </c>
      <c r="F212" s="36" t="s">
        <v>31</v>
      </c>
      <c r="G212" s="37" t="s">
        <v>223</v>
      </c>
      <c r="H212" s="36" t="s">
        <v>224</v>
      </c>
      <c r="I212" s="36" t="s">
        <v>225</v>
      </c>
      <c r="J212" s="36">
        <v>2</v>
      </c>
      <c r="K212" s="36" t="s">
        <v>226</v>
      </c>
      <c r="L212" s="36">
        <v>4</v>
      </c>
      <c r="M212" s="36">
        <v>3</v>
      </c>
      <c r="N212" s="38">
        <v>32076748</v>
      </c>
      <c r="O212" s="41">
        <v>4009593</v>
      </c>
      <c r="P212" s="36">
        <v>24</v>
      </c>
      <c r="Q212" s="36" t="s">
        <v>73</v>
      </c>
      <c r="R212" s="36" t="s">
        <v>227</v>
      </c>
      <c r="S212" s="36" t="s">
        <v>228</v>
      </c>
      <c r="T212" s="36" t="s">
        <v>229</v>
      </c>
      <c r="U212" s="36" t="s">
        <v>230</v>
      </c>
      <c r="V212" s="40">
        <v>45658</v>
      </c>
      <c r="W212" s="40">
        <v>45889</v>
      </c>
      <c r="X212" s="36">
        <v>11</v>
      </c>
      <c r="Y212" s="36" t="s">
        <v>236</v>
      </c>
      <c r="Z212" s="36">
        <v>1</v>
      </c>
      <c r="AA212" s="36">
        <v>4009593</v>
      </c>
      <c r="AB212" s="40">
        <v>46143</v>
      </c>
      <c r="AC212" s="36" t="s">
        <v>2196</v>
      </c>
      <c r="AD212" s="36" t="str">
        <f>VLOOKUP(D212,Oficial!A:C,3,0)</f>
        <v>Arrastre</v>
      </c>
    </row>
    <row r="213" spans="1:30" x14ac:dyDescent="0.25">
      <c r="A213" s="36" t="s">
        <v>27</v>
      </c>
      <c r="B213" s="36" t="s">
        <v>222</v>
      </c>
      <c r="C213" s="36" t="s">
        <v>28</v>
      </c>
      <c r="D213" s="36" t="s">
        <v>222</v>
      </c>
      <c r="E213" s="36" t="s">
        <v>30</v>
      </c>
      <c r="F213" s="36" t="s">
        <v>31</v>
      </c>
      <c r="G213" s="37" t="s">
        <v>223</v>
      </c>
      <c r="H213" s="36" t="s">
        <v>224</v>
      </c>
      <c r="I213" s="36" t="s">
        <v>225</v>
      </c>
      <c r="J213" s="36">
        <v>2</v>
      </c>
      <c r="K213" s="36" t="s">
        <v>226</v>
      </c>
      <c r="L213" s="36">
        <v>4</v>
      </c>
      <c r="M213" s="36">
        <v>3</v>
      </c>
      <c r="N213" s="38">
        <v>32076748</v>
      </c>
      <c r="O213" s="41">
        <v>4009593</v>
      </c>
      <c r="P213" s="36">
        <v>24</v>
      </c>
      <c r="Q213" s="36" t="s">
        <v>73</v>
      </c>
      <c r="R213" s="36" t="s">
        <v>227</v>
      </c>
      <c r="S213" s="36" t="s">
        <v>228</v>
      </c>
      <c r="T213" s="36" t="s">
        <v>229</v>
      </c>
      <c r="U213" s="36" t="s">
        <v>230</v>
      </c>
      <c r="V213" s="40">
        <v>45658</v>
      </c>
      <c r="W213" s="40">
        <v>45889</v>
      </c>
      <c r="X213" s="36">
        <v>11</v>
      </c>
      <c r="Y213" s="36" t="s">
        <v>235</v>
      </c>
      <c r="Z213" s="36">
        <v>1</v>
      </c>
      <c r="AA213" s="36">
        <v>4009593</v>
      </c>
      <c r="AB213" s="40">
        <v>46204</v>
      </c>
      <c r="AC213" s="36" t="s">
        <v>2196</v>
      </c>
      <c r="AD213" s="36" t="str">
        <f>VLOOKUP(D213,Oficial!A:C,3,0)</f>
        <v>Arrastre</v>
      </c>
    </row>
    <row r="214" spans="1:30" x14ac:dyDescent="0.25">
      <c r="A214" s="36" t="s">
        <v>27</v>
      </c>
      <c r="B214" s="36" t="s">
        <v>222</v>
      </c>
      <c r="C214" s="36" t="s">
        <v>28</v>
      </c>
      <c r="D214" s="36" t="s">
        <v>222</v>
      </c>
      <c r="E214" s="36" t="s">
        <v>30</v>
      </c>
      <c r="F214" s="36" t="s">
        <v>31</v>
      </c>
      <c r="G214" s="37" t="s">
        <v>223</v>
      </c>
      <c r="H214" s="36" t="s">
        <v>224</v>
      </c>
      <c r="I214" s="36" t="s">
        <v>225</v>
      </c>
      <c r="J214" s="36">
        <v>2</v>
      </c>
      <c r="K214" s="36" t="s">
        <v>226</v>
      </c>
      <c r="L214" s="36">
        <v>4</v>
      </c>
      <c r="M214" s="36">
        <v>3</v>
      </c>
      <c r="N214" s="38">
        <v>32076748</v>
      </c>
      <c r="O214" s="41">
        <v>4009593</v>
      </c>
      <c r="P214" s="36">
        <v>24</v>
      </c>
      <c r="Q214" s="36" t="s">
        <v>73</v>
      </c>
      <c r="R214" s="36" t="s">
        <v>227</v>
      </c>
      <c r="S214" s="36" t="s">
        <v>228</v>
      </c>
      <c r="T214" s="36" t="s">
        <v>229</v>
      </c>
      <c r="U214" s="36" t="s">
        <v>230</v>
      </c>
      <c r="V214" s="40">
        <v>45658</v>
      </c>
      <c r="W214" s="40">
        <v>45889</v>
      </c>
      <c r="X214" s="36">
        <v>11</v>
      </c>
      <c r="Y214" s="36" t="s">
        <v>232</v>
      </c>
      <c r="Z214" s="36">
        <v>1</v>
      </c>
      <c r="AA214" s="36">
        <v>4009593</v>
      </c>
      <c r="AB214" s="40">
        <v>46327</v>
      </c>
      <c r="AC214" s="36" t="s">
        <v>2196</v>
      </c>
      <c r="AD214" s="36" t="str">
        <f>VLOOKUP(D214,Oficial!A:C,3,0)</f>
        <v>Arrastre</v>
      </c>
    </row>
    <row r="215" spans="1:30" x14ac:dyDescent="0.25">
      <c r="A215" s="36" t="s">
        <v>27</v>
      </c>
      <c r="B215" s="36" t="s">
        <v>222</v>
      </c>
      <c r="C215" s="36" t="s">
        <v>28</v>
      </c>
      <c r="D215" s="36" t="s">
        <v>222</v>
      </c>
      <c r="E215" s="36" t="s">
        <v>30</v>
      </c>
      <c r="F215" s="36" t="s">
        <v>31</v>
      </c>
      <c r="G215" s="37" t="s">
        <v>223</v>
      </c>
      <c r="H215" s="36" t="s">
        <v>224</v>
      </c>
      <c r="I215" s="36" t="s">
        <v>225</v>
      </c>
      <c r="J215" s="36">
        <v>2</v>
      </c>
      <c r="K215" s="36" t="s">
        <v>226</v>
      </c>
      <c r="L215" s="36">
        <v>4</v>
      </c>
      <c r="M215" s="36">
        <v>3</v>
      </c>
      <c r="N215" s="38">
        <v>32076748</v>
      </c>
      <c r="O215" s="41">
        <v>4009593</v>
      </c>
      <c r="P215" s="36">
        <v>24</v>
      </c>
      <c r="Q215" s="36" t="s">
        <v>73</v>
      </c>
      <c r="R215" s="36" t="s">
        <v>227</v>
      </c>
      <c r="S215" s="36" t="s">
        <v>228</v>
      </c>
      <c r="T215" s="36" t="s">
        <v>229</v>
      </c>
      <c r="U215" s="36" t="s">
        <v>230</v>
      </c>
      <c r="V215" s="40">
        <v>45658</v>
      </c>
      <c r="W215" s="40">
        <v>45889</v>
      </c>
      <c r="X215" s="36">
        <v>11</v>
      </c>
      <c r="Y215" s="36" t="s">
        <v>237</v>
      </c>
      <c r="Z215" s="36">
        <v>1</v>
      </c>
      <c r="AA215" s="36">
        <v>4009593</v>
      </c>
      <c r="AB215" s="40">
        <v>46174</v>
      </c>
      <c r="AC215" s="36" t="s">
        <v>2196</v>
      </c>
      <c r="AD215" s="36" t="str">
        <f>VLOOKUP(D215,Oficial!A:C,3,0)</f>
        <v>Arrastre</v>
      </c>
    </row>
    <row r="216" spans="1:30" x14ac:dyDescent="0.25">
      <c r="A216" s="36" t="s">
        <v>27</v>
      </c>
      <c r="B216" s="36" t="s">
        <v>222</v>
      </c>
      <c r="C216" s="36" t="s">
        <v>28</v>
      </c>
      <c r="D216" s="36" t="s">
        <v>222</v>
      </c>
      <c r="E216" s="36" t="s">
        <v>30</v>
      </c>
      <c r="F216" s="36" t="s">
        <v>31</v>
      </c>
      <c r="G216" s="37" t="s">
        <v>223</v>
      </c>
      <c r="H216" s="36" t="s">
        <v>224</v>
      </c>
      <c r="I216" s="36" t="s">
        <v>225</v>
      </c>
      <c r="J216" s="36">
        <v>2</v>
      </c>
      <c r="K216" s="36" t="s">
        <v>226</v>
      </c>
      <c r="L216" s="36">
        <v>4</v>
      </c>
      <c r="M216" s="36">
        <v>3</v>
      </c>
      <c r="N216" s="38">
        <v>32076748</v>
      </c>
      <c r="O216" s="41">
        <v>4009593</v>
      </c>
      <c r="P216" s="36">
        <v>24</v>
      </c>
      <c r="Q216" s="36" t="s">
        <v>73</v>
      </c>
      <c r="R216" s="36" t="s">
        <v>227</v>
      </c>
      <c r="S216" s="36" t="s">
        <v>228</v>
      </c>
      <c r="T216" s="36" t="s">
        <v>229</v>
      </c>
      <c r="U216" s="36" t="s">
        <v>230</v>
      </c>
      <c r="V216" s="40">
        <v>45658</v>
      </c>
      <c r="W216" s="40">
        <v>45889</v>
      </c>
      <c r="X216" s="36">
        <v>11</v>
      </c>
      <c r="Y216" s="36" t="s">
        <v>234</v>
      </c>
      <c r="Z216" s="36">
        <v>1</v>
      </c>
      <c r="AA216" s="36">
        <v>4009593</v>
      </c>
      <c r="AB216" s="40">
        <v>46023</v>
      </c>
      <c r="AC216" s="36" t="s">
        <v>2196</v>
      </c>
      <c r="AD216" s="36" t="str">
        <f>VLOOKUP(D216,Oficial!A:C,3,0)</f>
        <v>Arrastre</v>
      </c>
    </row>
    <row r="217" spans="1:30" x14ac:dyDescent="0.25">
      <c r="A217" s="36" t="s">
        <v>27</v>
      </c>
      <c r="B217" s="36" t="s">
        <v>222</v>
      </c>
      <c r="C217" s="36" t="s">
        <v>28</v>
      </c>
      <c r="D217" s="36" t="s">
        <v>222</v>
      </c>
      <c r="E217" s="36" t="s">
        <v>30</v>
      </c>
      <c r="F217" s="36" t="s">
        <v>31</v>
      </c>
      <c r="G217" s="37" t="s">
        <v>223</v>
      </c>
      <c r="H217" s="36" t="s">
        <v>224</v>
      </c>
      <c r="I217" s="36" t="s">
        <v>225</v>
      </c>
      <c r="J217" s="36">
        <v>2</v>
      </c>
      <c r="K217" s="36" t="s">
        <v>226</v>
      </c>
      <c r="L217" s="36">
        <v>4</v>
      </c>
      <c r="M217" s="36">
        <v>3</v>
      </c>
      <c r="N217" s="38">
        <v>32076748</v>
      </c>
      <c r="O217" s="41">
        <v>4009605</v>
      </c>
      <c r="P217" s="36">
        <v>24</v>
      </c>
      <c r="Q217" s="36" t="s">
        <v>73</v>
      </c>
      <c r="R217" s="36" t="s">
        <v>227</v>
      </c>
      <c r="S217" s="36" t="s">
        <v>228</v>
      </c>
      <c r="T217" s="36" t="s">
        <v>229</v>
      </c>
      <c r="U217" s="36" t="s">
        <v>230</v>
      </c>
      <c r="V217" s="40">
        <v>45658</v>
      </c>
      <c r="W217" s="40">
        <v>45889</v>
      </c>
      <c r="X217" s="36">
        <v>11</v>
      </c>
      <c r="Y217" s="36" t="s">
        <v>236</v>
      </c>
      <c r="Z217" s="36">
        <v>1</v>
      </c>
      <c r="AA217" s="36">
        <v>4009605</v>
      </c>
      <c r="AB217" s="40">
        <v>46357</v>
      </c>
      <c r="AC217" s="36" t="s">
        <v>2196</v>
      </c>
      <c r="AD217" s="36" t="str">
        <f>VLOOKUP(D217,Oficial!A:C,3,0)</f>
        <v>Arrastre</v>
      </c>
    </row>
    <row r="218" spans="1:30" x14ac:dyDescent="0.25">
      <c r="A218" s="36" t="s">
        <v>27</v>
      </c>
      <c r="B218" s="36" t="s">
        <v>238</v>
      </c>
      <c r="C218" s="36" t="s">
        <v>28</v>
      </c>
      <c r="D218" s="36" t="s">
        <v>238</v>
      </c>
      <c r="E218" s="36" t="s">
        <v>30</v>
      </c>
      <c r="F218" s="36" t="s">
        <v>31</v>
      </c>
      <c r="G218" s="37" t="s">
        <v>223</v>
      </c>
      <c r="H218" s="36" t="s">
        <v>239</v>
      </c>
      <c r="I218" s="36" t="s">
        <v>240</v>
      </c>
      <c r="J218" s="36">
        <v>2</v>
      </c>
      <c r="K218" s="36" t="s">
        <v>226</v>
      </c>
      <c r="L218" s="36">
        <v>4</v>
      </c>
      <c r="M218" s="36">
        <v>12</v>
      </c>
      <c r="N218" s="38">
        <v>39525850</v>
      </c>
      <c r="O218" s="44">
        <v>19762925</v>
      </c>
      <c r="P218" s="36">
        <v>24</v>
      </c>
      <c r="Q218" s="36" t="s">
        <v>73</v>
      </c>
      <c r="R218" s="36" t="s">
        <v>227</v>
      </c>
      <c r="S218" s="36" t="s">
        <v>228</v>
      </c>
      <c r="T218" s="36" t="s">
        <v>229</v>
      </c>
      <c r="U218" s="36" t="s">
        <v>230</v>
      </c>
      <c r="V218" s="40">
        <v>45658</v>
      </c>
      <c r="W218" s="40">
        <v>45889</v>
      </c>
      <c r="X218" s="36">
        <v>12</v>
      </c>
      <c r="Y218" s="36" t="s">
        <v>241</v>
      </c>
      <c r="Z218" s="36">
        <v>1</v>
      </c>
      <c r="AA218" s="36">
        <v>19762925</v>
      </c>
      <c r="AB218" s="40">
        <v>46143</v>
      </c>
      <c r="AC218" s="36" t="s">
        <v>2196</v>
      </c>
      <c r="AD218" s="36" t="str">
        <f>VLOOKUP(D218,Oficial!A:C,3,0)</f>
        <v>Arrastre</v>
      </c>
    </row>
    <row r="219" spans="1:30" x14ac:dyDescent="0.25">
      <c r="A219" s="36" t="s">
        <v>27</v>
      </c>
      <c r="B219" s="36" t="s">
        <v>238</v>
      </c>
      <c r="C219" s="36" t="s">
        <v>28</v>
      </c>
      <c r="D219" s="36" t="s">
        <v>238</v>
      </c>
      <c r="E219" s="36" t="s">
        <v>30</v>
      </c>
      <c r="F219" s="36" t="s">
        <v>31</v>
      </c>
      <c r="G219" s="37" t="s">
        <v>223</v>
      </c>
      <c r="H219" s="36" t="s">
        <v>239</v>
      </c>
      <c r="I219" s="36" t="s">
        <v>240</v>
      </c>
      <c r="J219" s="36">
        <v>2</v>
      </c>
      <c r="K219" s="36" t="s">
        <v>226</v>
      </c>
      <c r="L219" s="36">
        <v>4</v>
      </c>
      <c r="M219" s="36">
        <v>12</v>
      </c>
      <c r="N219" s="38">
        <v>39525850</v>
      </c>
      <c r="O219" s="44">
        <v>19762925</v>
      </c>
      <c r="P219" s="36">
        <v>24</v>
      </c>
      <c r="Q219" s="36" t="s">
        <v>73</v>
      </c>
      <c r="R219" s="36" t="s">
        <v>227</v>
      </c>
      <c r="S219" s="36" t="s">
        <v>228</v>
      </c>
      <c r="T219" s="36" t="s">
        <v>229</v>
      </c>
      <c r="U219" s="36" t="s">
        <v>230</v>
      </c>
      <c r="V219" s="40">
        <v>45658</v>
      </c>
      <c r="W219" s="40">
        <v>45889</v>
      </c>
      <c r="X219" s="36">
        <v>12</v>
      </c>
      <c r="Y219" s="36" t="s">
        <v>241</v>
      </c>
      <c r="Z219" s="36">
        <v>1</v>
      </c>
      <c r="AA219" s="36">
        <v>19762925</v>
      </c>
      <c r="AB219" s="40">
        <v>46113</v>
      </c>
      <c r="AC219" s="36" t="s">
        <v>2196</v>
      </c>
      <c r="AD219" s="36" t="str">
        <f>VLOOKUP(D219,Oficial!A:C,3,0)</f>
        <v>Arrastre</v>
      </c>
    </row>
    <row r="220" spans="1:30" x14ac:dyDescent="0.25">
      <c r="A220" s="36" t="s">
        <v>27</v>
      </c>
      <c r="B220" s="36" t="s">
        <v>238</v>
      </c>
      <c r="C220" s="36" t="s">
        <v>28</v>
      </c>
      <c r="D220" s="36" t="s">
        <v>238</v>
      </c>
      <c r="E220" s="36" t="s">
        <v>30</v>
      </c>
      <c r="F220" s="36" t="s">
        <v>31</v>
      </c>
      <c r="G220" s="37" t="s">
        <v>223</v>
      </c>
      <c r="H220" s="36" t="s">
        <v>239</v>
      </c>
      <c r="I220" s="36" t="s">
        <v>240</v>
      </c>
      <c r="J220" s="36">
        <v>2</v>
      </c>
      <c r="K220" s="36" t="s">
        <v>226</v>
      </c>
      <c r="L220" s="36">
        <v>4</v>
      </c>
      <c r="M220" s="36">
        <v>12</v>
      </c>
      <c r="N220" s="38">
        <v>39525850</v>
      </c>
      <c r="O220" s="44">
        <v>19762925</v>
      </c>
      <c r="P220" s="36">
        <v>24</v>
      </c>
      <c r="Q220" s="36" t="s">
        <v>73</v>
      </c>
      <c r="R220" s="36" t="s">
        <v>227</v>
      </c>
      <c r="S220" s="36" t="s">
        <v>228</v>
      </c>
      <c r="T220" s="36" t="s">
        <v>229</v>
      </c>
      <c r="U220" s="36" t="s">
        <v>230</v>
      </c>
      <c r="V220" s="40">
        <v>45658</v>
      </c>
      <c r="W220" s="40">
        <v>45889</v>
      </c>
      <c r="X220" s="36">
        <v>12</v>
      </c>
      <c r="Y220" s="36" t="s">
        <v>242</v>
      </c>
      <c r="Z220" s="36">
        <v>1</v>
      </c>
      <c r="AA220" s="36">
        <v>19762925</v>
      </c>
      <c r="AB220" s="40">
        <v>46266</v>
      </c>
      <c r="AC220" s="36" t="s">
        <v>2196</v>
      </c>
      <c r="AD220" s="36" t="str">
        <f>VLOOKUP(D220,Oficial!A:C,3,0)</f>
        <v>Arrastre</v>
      </c>
    </row>
    <row r="221" spans="1:30" x14ac:dyDescent="0.25">
      <c r="A221" s="36" t="s">
        <v>27</v>
      </c>
      <c r="B221" s="36" t="s">
        <v>238</v>
      </c>
      <c r="C221" s="36" t="s">
        <v>28</v>
      </c>
      <c r="D221" s="36" t="s">
        <v>238</v>
      </c>
      <c r="E221" s="36" t="s">
        <v>30</v>
      </c>
      <c r="F221" s="36" t="s">
        <v>31</v>
      </c>
      <c r="G221" s="37" t="s">
        <v>223</v>
      </c>
      <c r="H221" s="36" t="s">
        <v>239</v>
      </c>
      <c r="I221" s="36" t="s">
        <v>240</v>
      </c>
      <c r="J221" s="36">
        <v>2</v>
      </c>
      <c r="K221" s="36" t="s">
        <v>226</v>
      </c>
      <c r="L221" s="36">
        <v>4</v>
      </c>
      <c r="M221" s="36">
        <v>12</v>
      </c>
      <c r="N221" s="38">
        <v>39525850</v>
      </c>
      <c r="O221" s="44">
        <v>19762925</v>
      </c>
      <c r="P221" s="36">
        <v>24</v>
      </c>
      <c r="Q221" s="36" t="s">
        <v>73</v>
      </c>
      <c r="R221" s="36" t="s">
        <v>227</v>
      </c>
      <c r="S221" s="36" t="s">
        <v>228</v>
      </c>
      <c r="T221" s="36" t="s">
        <v>229</v>
      </c>
      <c r="U221" s="36" t="s">
        <v>230</v>
      </c>
      <c r="V221" s="40">
        <v>45658</v>
      </c>
      <c r="W221" s="40">
        <v>45889</v>
      </c>
      <c r="X221" s="36">
        <v>12</v>
      </c>
      <c r="Y221" s="36" t="s">
        <v>243</v>
      </c>
      <c r="Z221" s="36">
        <v>1</v>
      </c>
      <c r="AA221" s="36">
        <v>19762925</v>
      </c>
      <c r="AB221" s="40">
        <v>46113</v>
      </c>
      <c r="AC221" s="36" t="s">
        <v>2196</v>
      </c>
      <c r="AD221" s="36" t="str">
        <f>VLOOKUP(D221,Oficial!A:C,3,0)</f>
        <v>Arrastre</v>
      </c>
    </row>
    <row r="222" spans="1:30" x14ac:dyDescent="0.25">
      <c r="A222" s="36" t="s">
        <v>27</v>
      </c>
      <c r="B222" s="36" t="s">
        <v>238</v>
      </c>
      <c r="C222" s="36" t="s">
        <v>28</v>
      </c>
      <c r="D222" s="36" t="s">
        <v>238</v>
      </c>
      <c r="E222" s="36" t="s">
        <v>30</v>
      </c>
      <c r="F222" s="36" t="s">
        <v>31</v>
      </c>
      <c r="G222" s="37" t="s">
        <v>223</v>
      </c>
      <c r="H222" s="36" t="s">
        <v>239</v>
      </c>
      <c r="I222" s="36" t="s">
        <v>240</v>
      </c>
      <c r="J222" s="36">
        <v>2</v>
      </c>
      <c r="K222" s="36" t="s">
        <v>226</v>
      </c>
      <c r="L222" s="36">
        <v>4</v>
      </c>
      <c r="M222" s="36">
        <v>12</v>
      </c>
      <c r="N222" s="38">
        <v>39525850</v>
      </c>
      <c r="O222" s="44">
        <v>19762925</v>
      </c>
      <c r="P222" s="36">
        <v>24</v>
      </c>
      <c r="Q222" s="36" t="s">
        <v>73</v>
      </c>
      <c r="R222" s="36" t="s">
        <v>227</v>
      </c>
      <c r="S222" s="36" t="s">
        <v>228</v>
      </c>
      <c r="T222" s="36" t="s">
        <v>229</v>
      </c>
      <c r="U222" s="36" t="s">
        <v>230</v>
      </c>
      <c r="V222" s="40">
        <v>45658</v>
      </c>
      <c r="W222" s="40">
        <v>45889</v>
      </c>
      <c r="X222" s="36">
        <v>12</v>
      </c>
      <c r="Y222" s="36" t="s">
        <v>242</v>
      </c>
      <c r="Z222" s="36">
        <v>1</v>
      </c>
      <c r="AA222" s="36">
        <v>19762925</v>
      </c>
      <c r="AB222" s="40">
        <v>46174</v>
      </c>
      <c r="AC222" s="36" t="s">
        <v>2196</v>
      </c>
      <c r="AD222" s="36" t="str">
        <f>VLOOKUP(D222,Oficial!A:C,3,0)</f>
        <v>Arrastre</v>
      </c>
    </row>
    <row r="223" spans="1:30" x14ac:dyDescent="0.25">
      <c r="A223" s="36" t="s">
        <v>27</v>
      </c>
      <c r="B223" s="36" t="s">
        <v>238</v>
      </c>
      <c r="C223" s="36" t="s">
        <v>28</v>
      </c>
      <c r="D223" s="36" t="s">
        <v>238</v>
      </c>
      <c r="E223" s="36" t="s">
        <v>30</v>
      </c>
      <c r="F223" s="36" t="s">
        <v>31</v>
      </c>
      <c r="G223" s="37" t="s">
        <v>223</v>
      </c>
      <c r="H223" s="36" t="s">
        <v>239</v>
      </c>
      <c r="I223" s="36" t="s">
        <v>240</v>
      </c>
      <c r="J223" s="36">
        <v>2</v>
      </c>
      <c r="K223" s="36" t="s">
        <v>226</v>
      </c>
      <c r="L223" s="36">
        <v>4</v>
      </c>
      <c r="M223" s="36">
        <v>12</v>
      </c>
      <c r="N223" s="38">
        <v>39525850</v>
      </c>
      <c r="O223" s="44">
        <v>19762925</v>
      </c>
      <c r="P223" s="36">
        <v>24</v>
      </c>
      <c r="Q223" s="36" t="s">
        <v>73</v>
      </c>
      <c r="R223" s="36" t="s">
        <v>227</v>
      </c>
      <c r="S223" s="36" t="s">
        <v>228</v>
      </c>
      <c r="T223" s="36" t="s">
        <v>229</v>
      </c>
      <c r="U223" s="36" t="s">
        <v>230</v>
      </c>
      <c r="V223" s="40">
        <v>45658</v>
      </c>
      <c r="W223" s="40">
        <v>45889</v>
      </c>
      <c r="X223" s="36">
        <v>12</v>
      </c>
      <c r="Y223" s="36" t="s">
        <v>243</v>
      </c>
      <c r="Z223" s="36">
        <v>1</v>
      </c>
      <c r="AA223" s="36">
        <v>19762925</v>
      </c>
      <c r="AB223" s="40">
        <v>46357</v>
      </c>
      <c r="AC223" s="36" t="s">
        <v>2196</v>
      </c>
      <c r="AD223" s="36" t="str">
        <f>VLOOKUP(D223,Oficial!A:C,3,0)</f>
        <v>Arrastre</v>
      </c>
    </row>
    <row r="224" spans="1:30" x14ac:dyDescent="0.25">
      <c r="A224" s="36" t="s">
        <v>27</v>
      </c>
      <c r="B224" s="36" t="s">
        <v>238</v>
      </c>
      <c r="C224" s="36" t="s">
        <v>28</v>
      </c>
      <c r="D224" s="36" t="s">
        <v>238</v>
      </c>
      <c r="E224" s="36" t="s">
        <v>30</v>
      </c>
      <c r="F224" s="36" t="s">
        <v>31</v>
      </c>
      <c r="G224" s="37" t="s">
        <v>223</v>
      </c>
      <c r="H224" s="36" t="s">
        <v>239</v>
      </c>
      <c r="I224" s="36" t="s">
        <v>240</v>
      </c>
      <c r="J224" s="36">
        <v>2</v>
      </c>
      <c r="K224" s="36" t="s">
        <v>226</v>
      </c>
      <c r="L224" s="36">
        <v>4</v>
      </c>
      <c r="M224" s="36">
        <v>12</v>
      </c>
      <c r="N224" s="38">
        <v>39525850</v>
      </c>
      <c r="O224" s="44">
        <v>19762925</v>
      </c>
      <c r="P224" s="36">
        <v>24</v>
      </c>
      <c r="Q224" s="36" t="s">
        <v>73</v>
      </c>
      <c r="R224" s="36" t="s">
        <v>227</v>
      </c>
      <c r="S224" s="36" t="s">
        <v>228</v>
      </c>
      <c r="T224" s="36" t="s">
        <v>229</v>
      </c>
      <c r="U224" s="36" t="s">
        <v>230</v>
      </c>
      <c r="V224" s="40">
        <v>45658</v>
      </c>
      <c r="W224" s="40">
        <v>45889</v>
      </c>
      <c r="X224" s="36">
        <v>12</v>
      </c>
      <c r="Y224" s="36" t="s">
        <v>242</v>
      </c>
      <c r="Z224" s="36">
        <v>1</v>
      </c>
      <c r="AA224" s="36">
        <v>19762925</v>
      </c>
      <c r="AB224" s="40">
        <v>46082</v>
      </c>
      <c r="AC224" s="36" t="s">
        <v>2196</v>
      </c>
      <c r="AD224" s="36" t="str">
        <f>VLOOKUP(D224,Oficial!A:C,3,0)</f>
        <v>Arrastre</v>
      </c>
    </row>
    <row r="225" spans="1:30" x14ac:dyDescent="0.25">
      <c r="A225" s="36" t="s">
        <v>27</v>
      </c>
      <c r="B225" s="36" t="s">
        <v>238</v>
      </c>
      <c r="C225" s="36" t="s">
        <v>28</v>
      </c>
      <c r="D225" s="36" t="s">
        <v>238</v>
      </c>
      <c r="E225" s="36" t="s">
        <v>30</v>
      </c>
      <c r="F225" s="36" t="s">
        <v>31</v>
      </c>
      <c r="G225" s="37" t="s">
        <v>223</v>
      </c>
      <c r="H225" s="36" t="s">
        <v>239</v>
      </c>
      <c r="I225" s="36" t="s">
        <v>240</v>
      </c>
      <c r="J225" s="36">
        <v>2</v>
      </c>
      <c r="K225" s="36" t="s">
        <v>226</v>
      </c>
      <c r="L225" s="36">
        <v>4</v>
      </c>
      <c r="M225" s="36">
        <v>12</v>
      </c>
      <c r="N225" s="38">
        <v>39525850</v>
      </c>
      <c r="O225" s="44">
        <v>19762925</v>
      </c>
      <c r="P225" s="36">
        <v>24</v>
      </c>
      <c r="Q225" s="36" t="s">
        <v>73</v>
      </c>
      <c r="R225" s="36" t="s">
        <v>227</v>
      </c>
      <c r="S225" s="36" t="s">
        <v>228</v>
      </c>
      <c r="T225" s="36" t="s">
        <v>229</v>
      </c>
      <c r="U225" s="36" t="s">
        <v>230</v>
      </c>
      <c r="V225" s="40">
        <v>45658</v>
      </c>
      <c r="W225" s="40">
        <v>45889</v>
      </c>
      <c r="X225" s="36">
        <v>12</v>
      </c>
      <c r="Y225" s="36" t="s">
        <v>242</v>
      </c>
      <c r="Z225" s="36">
        <v>1</v>
      </c>
      <c r="AA225" s="36">
        <v>19762925</v>
      </c>
      <c r="AB225" s="40">
        <v>46357</v>
      </c>
      <c r="AC225" s="36" t="s">
        <v>2196</v>
      </c>
      <c r="AD225" s="36" t="str">
        <f>VLOOKUP(D225,Oficial!A:C,3,0)</f>
        <v>Arrastre</v>
      </c>
    </row>
    <row r="226" spans="1:30" x14ac:dyDescent="0.25">
      <c r="A226" s="36" t="s">
        <v>27</v>
      </c>
      <c r="B226" s="36" t="s">
        <v>238</v>
      </c>
      <c r="C226" s="36" t="s">
        <v>28</v>
      </c>
      <c r="D226" s="36" t="s">
        <v>238</v>
      </c>
      <c r="E226" s="36" t="s">
        <v>30</v>
      </c>
      <c r="F226" s="36" t="s">
        <v>31</v>
      </c>
      <c r="G226" s="37" t="s">
        <v>223</v>
      </c>
      <c r="H226" s="36" t="s">
        <v>239</v>
      </c>
      <c r="I226" s="36" t="s">
        <v>240</v>
      </c>
      <c r="J226" s="36">
        <v>2</v>
      </c>
      <c r="K226" s="36" t="s">
        <v>226</v>
      </c>
      <c r="L226" s="36">
        <v>4</v>
      </c>
      <c r="M226" s="36">
        <v>12</v>
      </c>
      <c r="N226" s="38">
        <v>39525850</v>
      </c>
      <c r="O226" s="44">
        <v>19762925</v>
      </c>
      <c r="P226" s="36">
        <v>24</v>
      </c>
      <c r="Q226" s="36" t="s">
        <v>73</v>
      </c>
      <c r="R226" s="36" t="s">
        <v>227</v>
      </c>
      <c r="S226" s="36" t="s">
        <v>228</v>
      </c>
      <c r="T226" s="36" t="s">
        <v>229</v>
      </c>
      <c r="U226" s="36" t="s">
        <v>230</v>
      </c>
      <c r="V226" s="40">
        <v>45658</v>
      </c>
      <c r="W226" s="40">
        <v>45889</v>
      </c>
      <c r="X226" s="36">
        <v>12</v>
      </c>
      <c r="Y226" s="36" t="s">
        <v>242</v>
      </c>
      <c r="Z226" s="36">
        <v>1</v>
      </c>
      <c r="AA226" s="36">
        <v>19762925</v>
      </c>
      <c r="AB226" s="40">
        <v>46143</v>
      </c>
      <c r="AC226" s="36" t="s">
        <v>2196</v>
      </c>
      <c r="AD226" s="36" t="str">
        <f>VLOOKUP(D226,Oficial!A:C,3,0)</f>
        <v>Arrastre</v>
      </c>
    </row>
    <row r="227" spans="1:30" x14ac:dyDescent="0.25">
      <c r="A227" s="36" t="s">
        <v>27</v>
      </c>
      <c r="B227" s="36" t="s">
        <v>238</v>
      </c>
      <c r="C227" s="36" t="s">
        <v>28</v>
      </c>
      <c r="D227" s="36" t="s">
        <v>238</v>
      </c>
      <c r="E227" s="36" t="s">
        <v>30</v>
      </c>
      <c r="F227" s="36" t="s">
        <v>31</v>
      </c>
      <c r="G227" s="37" t="s">
        <v>223</v>
      </c>
      <c r="H227" s="36" t="s">
        <v>239</v>
      </c>
      <c r="I227" s="36" t="s">
        <v>240</v>
      </c>
      <c r="J227" s="36">
        <v>2</v>
      </c>
      <c r="K227" s="36" t="s">
        <v>226</v>
      </c>
      <c r="L227" s="36">
        <v>4</v>
      </c>
      <c r="M227" s="36">
        <v>12</v>
      </c>
      <c r="N227" s="38">
        <v>39525850</v>
      </c>
      <c r="O227" s="44">
        <v>19762925</v>
      </c>
      <c r="P227" s="36">
        <v>24</v>
      </c>
      <c r="Q227" s="36" t="s">
        <v>73</v>
      </c>
      <c r="R227" s="36" t="s">
        <v>227</v>
      </c>
      <c r="S227" s="36" t="s">
        <v>228</v>
      </c>
      <c r="T227" s="36" t="s">
        <v>229</v>
      </c>
      <c r="U227" s="36" t="s">
        <v>230</v>
      </c>
      <c r="V227" s="40">
        <v>45658</v>
      </c>
      <c r="W227" s="40">
        <v>45889</v>
      </c>
      <c r="X227" s="36">
        <v>12</v>
      </c>
      <c r="Y227" s="36" t="s">
        <v>241</v>
      </c>
      <c r="Z227" s="36">
        <v>1</v>
      </c>
      <c r="AA227" s="36">
        <v>19762925</v>
      </c>
      <c r="AB227" s="40">
        <v>46082</v>
      </c>
      <c r="AC227" s="36" t="s">
        <v>2196</v>
      </c>
      <c r="AD227" s="36" t="str">
        <f>VLOOKUP(D227,Oficial!A:C,3,0)</f>
        <v>Arrastre</v>
      </c>
    </row>
    <row r="228" spans="1:30" x14ac:dyDescent="0.25">
      <c r="A228" s="36" t="s">
        <v>27</v>
      </c>
      <c r="B228" s="36" t="s">
        <v>238</v>
      </c>
      <c r="C228" s="36" t="s">
        <v>28</v>
      </c>
      <c r="D228" s="36" t="s">
        <v>238</v>
      </c>
      <c r="E228" s="36" t="s">
        <v>30</v>
      </c>
      <c r="F228" s="36" t="s">
        <v>31</v>
      </c>
      <c r="G228" s="37" t="s">
        <v>223</v>
      </c>
      <c r="H228" s="36" t="s">
        <v>239</v>
      </c>
      <c r="I228" s="36" t="s">
        <v>240</v>
      </c>
      <c r="J228" s="36">
        <v>2</v>
      </c>
      <c r="K228" s="36" t="s">
        <v>226</v>
      </c>
      <c r="L228" s="36">
        <v>4</v>
      </c>
      <c r="M228" s="36">
        <v>12</v>
      </c>
      <c r="N228" s="38">
        <v>39525850</v>
      </c>
      <c r="O228" s="44">
        <v>19762925</v>
      </c>
      <c r="P228" s="36">
        <v>24</v>
      </c>
      <c r="Q228" s="36" t="s">
        <v>73</v>
      </c>
      <c r="R228" s="36" t="s">
        <v>227</v>
      </c>
      <c r="S228" s="36" t="s">
        <v>228</v>
      </c>
      <c r="T228" s="36" t="s">
        <v>229</v>
      </c>
      <c r="U228" s="36" t="s">
        <v>230</v>
      </c>
      <c r="V228" s="40">
        <v>45658</v>
      </c>
      <c r="W228" s="40">
        <v>45889</v>
      </c>
      <c r="X228" s="36">
        <v>12</v>
      </c>
      <c r="Y228" s="36" t="s">
        <v>242</v>
      </c>
      <c r="Z228" s="36">
        <v>1</v>
      </c>
      <c r="AA228" s="36">
        <v>19762925</v>
      </c>
      <c r="AB228" s="40">
        <v>46113</v>
      </c>
      <c r="AC228" s="36" t="s">
        <v>2196</v>
      </c>
      <c r="AD228" s="36" t="str">
        <f>VLOOKUP(D228,Oficial!A:C,3,0)</f>
        <v>Arrastre</v>
      </c>
    </row>
    <row r="229" spans="1:30" x14ac:dyDescent="0.25">
      <c r="A229" s="36" t="s">
        <v>27</v>
      </c>
      <c r="B229" s="36" t="s">
        <v>238</v>
      </c>
      <c r="C229" s="36" t="s">
        <v>28</v>
      </c>
      <c r="D229" s="36" t="s">
        <v>238</v>
      </c>
      <c r="E229" s="36" t="s">
        <v>30</v>
      </c>
      <c r="F229" s="36" t="s">
        <v>31</v>
      </c>
      <c r="G229" s="37" t="s">
        <v>223</v>
      </c>
      <c r="H229" s="36" t="s">
        <v>239</v>
      </c>
      <c r="I229" s="36" t="s">
        <v>240</v>
      </c>
      <c r="J229" s="36">
        <v>2</v>
      </c>
      <c r="K229" s="36" t="s">
        <v>226</v>
      </c>
      <c r="L229" s="36">
        <v>4</v>
      </c>
      <c r="M229" s="36">
        <v>12</v>
      </c>
      <c r="N229" s="38">
        <v>39525850</v>
      </c>
      <c r="O229" s="44">
        <v>19762925</v>
      </c>
      <c r="P229" s="36">
        <v>24</v>
      </c>
      <c r="Q229" s="36" t="s">
        <v>73</v>
      </c>
      <c r="R229" s="36" t="s">
        <v>227</v>
      </c>
      <c r="S229" s="36" t="s">
        <v>228</v>
      </c>
      <c r="T229" s="36" t="s">
        <v>229</v>
      </c>
      <c r="U229" s="36" t="s">
        <v>230</v>
      </c>
      <c r="V229" s="40">
        <v>45658</v>
      </c>
      <c r="W229" s="40">
        <v>45889</v>
      </c>
      <c r="X229" s="36">
        <v>12</v>
      </c>
      <c r="Y229" s="36" t="s">
        <v>243</v>
      </c>
      <c r="Z229" s="36">
        <v>1</v>
      </c>
      <c r="AA229" s="36">
        <v>19762925</v>
      </c>
      <c r="AB229" s="40">
        <v>46204</v>
      </c>
      <c r="AC229" s="36" t="s">
        <v>2196</v>
      </c>
      <c r="AD229" s="36" t="str">
        <f>VLOOKUP(D229,Oficial!A:C,3,0)</f>
        <v>Arrastre</v>
      </c>
    </row>
    <row r="230" spans="1:30" x14ac:dyDescent="0.25">
      <c r="A230" s="36" t="s">
        <v>27</v>
      </c>
      <c r="B230" s="36" t="s">
        <v>244</v>
      </c>
      <c r="C230" s="36" t="s">
        <v>28</v>
      </c>
      <c r="D230" s="36" t="s">
        <v>244</v>
      </c>
      <c r="E230" s="36" t="s">
        <v>30</v>
      </c>
      <c r="F230" s="36" t="s">
        <v>31</v>
      </c>
      <c r="G230" s="37" t="s">
        <v>223</v>
      </c>
      <c r="H230" s="36" t="s">
        <v>245</v>
      </c>
      <c r="I230" s="36" t="s">
        <v>246</v>
      </c>
      <c r="J230" s="36">
        <v>2</v>
      </c>
      <c r="K230" s="36" t="s">
        <v>226</v>
      </c>
      <c r="L230" s="36">
        <v>4</v>
      </c>
      <c r="M230" s="36">
        <v>10</v>
      </c>
      <c r="N230" s="38">
        <v>56940000</v>
      </c>
      <c r="O230" s="46">
        <v>23725000</v>
      </c>
      <c r="P230" s="36">
        <v>24</v>
      </c>
      <c r="Q230" s="36" t="s">
        <v>73</v>
      </c>
      <c r="R230" s="36" t="s">
        <v>227</v>
      </c>
      <c r="S230" s="36" t="s">
        <v>228</v>
      </c>
      <c r="T230" s="36" t="s">
        <v>229</v>
      </c>
      <c r="U230" s="36" t="s">
        <v>230</v>
      </c>
      <c r="V230" s="40">
        <v>45658</v>
      </c>
      <c r="W230" s="40">
        <v>45889</v>
      </c>
      <c r="X230" s="36">
        <v>10</v>
      </c>
      <c r="Y230" s="36" t="s">
        <v>247</v>
      </c>
      <c r="Z230" s="36">
        <v>1</v>
      </c>
      <c r="AA230" s="36">
        <v>23725000</v>
      </c>
      <c r="AB230" s="40">
        <v>46082</v>
      </c>
      <c r="AC230" s="36" t="s">
        <v>2196</v>
      </c>
      <c r="AD230" s="36" t="str">
        <f>VLOOKUP(D230,Oficial!A:C,3,0)</f>
        <v>Arrastre</v>
      </c>
    </row>
    <row r="231" spans="1:30" x14ac:dyDescent="0.25">
      <c r="A231" s="36" t="s">
        <v>27</v>
      </c>
      <c r="B231" s="36" t="s">
        <v>244</v>
      </c>
      <c r="C231" s="36" t="s">
        <v>28</v>
      </c>
      <c r="D231" s="36" t="s">
        <v>244</v>
      </c>
      <c r="E231" s="36" t="s">
        <v>30</v>
      </c>
      <c r="F231" s="36" t="s">
        <v>31</v>
      </c>
      <c r="G231" s="37" t="s">
        <v>223</v>
      </c>
      <c r="H231" s="36" t="s">
        <v>245</v>
      </c>
      <c r="I231" s="36" t="s">
        <v>246</v>
      </c>
      <c r="J231" s="36">
        <v>2</v>
      </c>
      <c r="K231" s="36" t="s">
        <v>226</v>
      </c>
      <c r="L231" s="36">
        <v>4</v>
      </c>
      <c r="M231" s="36">
        <v>10</v>
      </c>
      <c r="N231" s="38">
        <v>56940000</v>
      </c>
      <c r="O231" s="46">
        <v>23725000</v>
      </c>
      <c r="P231" s="36">
        <v>24</v>
      </c>
      <c r="Q231" s="36" t="s">
        <v>73</v>
      </c>
      <c r="R231" s="36" t="s">
        <v>227</v>
      </c>
      <c r="S231" s="36" t="s">
        <v>228</v>
      </c>
      <c r="T231" s="36" t="s">
        <v>229</v>
      </c>
      <c r="U231" s="36" t="s">
        <v>230</v>
      </c>
      <c r="V231" s="40">
        <v>45658</v>
      </c>
      <c r="W231" s="40">
        <v>45889</v>
      </c>
      <c r="X231" s="36">
        <v>10</v>
      </c>
      <c r="Y231" s="36" t="s">
        <v>247</v>
      </c>
      <c r="Z231" s="36">
        <v>1</v>
      </c>
      <c r="AA231" s="36">
        <v>23725000</v>
      </c>
      <c r="AB231" s="40">
        <v>46327</v>
      </c>
      <c r="AC231" s="36" t="s">
        <v>2196</v>
      </c>
      <c r="AD231" s="36" t="str">
        <f>VLOOKUP(D231,Oficial!A:C,3,0)</f>
        <v>Arrastre</v>
      </c>
    </row>
    <row r="232" spans="1:30" x14ac:dyDescent="0.25">
      <c r="A232" s="36" t="s">
        <v>27</v>
      </c>
      <c r="B232" s="36" t="s">
        <v>244</v>
      </c>
      <c r="C232" s="36" t="s">
        <v>28</v>
      </c>
      <c r="D232" s="36" t="s">
        <v>244</v>
      </c>
      <c r="E232" s="36" t="s">
        <v>30</v>
      </c>
      <c r="F232" s="36" t="s">
        <v>31</v>
      </c>
      <c r="G232" s="37" t="s">
        <v>223</v>
      </c>
      <c r="H232" s="36" t="s">
        <v>245</v>
      </c>
      <c r="I232" s="36" t="s">
        <v>246</v>
      </c>
      <c r="J232" s="36">
        <v>2</v>
      </c>
      <c r="K232" s="36" t="s">
        <v>226</v>
      </c>
      <c r="L232" s="36">
        <v>4</v>
      </c>
      <c r="M232" s="36">
        <v>10</v>
      </c>
      <c r="N232" s="38">
        <v>56940000</v>
      </c>
      <c r="O232" s="46">
        <v>23725000</v>
      </c>
      <c r="P232" s="36">
        <v>24</v>
      </c>
      <c r="Q232" s="36" t="s">
        <v>73</v>
      </c>
      <c r="R232" s="36" t="s">
        <v>227</v>
      </c>
      <c r="S232" s="36" t="s">
        <v>228</v>
      </c>
      <c r="T232" s="36" t="s">
        <v>229</v>
      </c>
      <c r="U232" s="36" t="s">
        <v>230</v>
      </c>
      <c r="V232" s="40">
        <v>45658</v>
      </c>
      <c r="W232" s="40">
        <v>45889</v>
      </c>
      <c r="X232" s="36">
        <v>10</v>
      </c>
      <c r="Y232" s="36" t="s">
        <v>248</v>
      </c>
      <c r="Z232" s="36">
        <v>1</v>
      </c>
      <c r="AA232" s="36">
        <v>23725000</v>
      </c>
      <c r="AB232" s="40">
        <v>46082</v>
      </c>
      <c r="AC232" s="36" t="s">
        <v>2196</v>
      </c>
      <c r="AD232" s="36" t="str">
        <f>VLOOKUP(D232,Oficial!A:C,3,0)</f>
        <v>Arrastre</v>
      </c>
    </row>
    <row r="233" spans="1:30" x14ac:dyDescent="0.25">
      <c r="A233" s="36" t="s">
        <v>27</v>
      </c>
      <c r="B233" s="36" t="s">
        <v>244</v>
      </c>
      <c r="C233" s="36" t="s">
        <v>28</v>
      </c>
      <c r="D233" s="36" t="s">
        <v>244</v>
      </c>
      <c r="E233" s="36" t="s">
        <v>30</v>
      </c>
      <c r="F233" s="36" t="s">
        <v>31</v>
      </c>
      <c r="G233" s="37" t="s">
        <v>223</v>
      </c>
      <c r="H233" s="36" t="s">
        <v>245</v>
      </c>
      <c r="I233" s="36" t="s">
        <v>246</v>
      </c>
      <c r="J233" s="36">
        <v>2</v>
      </c>
      <c r="K233" s="36" t="s">
        <v>226</v>
      </c>
      <c r="L233" s="36">
        <v>4</v>
      </c>
      <c r="M233" s="36">
        <v>10</v>
      </c>
      <c r="N233" s="38">
        <v>56940000</v>
      </c>
      <c r="O233" s="46">
        <v>23725000</v>
      </c>
      <c r="P233" s="36">
        <v>24</v>
      </c>
      <c r="Q233" s="36" t="s">
        <v>73</v>
      </c>
      <c r="R233" s="36" t="s">
        <v>227</v>
      </c>
      <c r="S233" s="36" t="s">
        <v>228</v>
      </c>
      <c r="T233" s="36" t="s">
        <v>229</v>
      </c>
      <c r="U233" s="36" t="s">
        <v>230</v>
      </c>
      <c r="V233" s="40">
        <v>45658</v>
      </c>
      <c r="W233" s="40">
        <v>45889</v>
      </c>
      <c r="X233" s="36">
        <v>10</v>
      </c>
      <c r="Y233" s="36" t="s">
        <v>249</v>
      </c>
      <c r="Z233" s="36">
        <v>1</v>
      </c>
      <c r="AA233" s="36">
        <v>23725000</v>
      </c>
      <c r="AB233" s="40">
        <v>46113</v>
      </c>
      <c r="AC233" s="36" t="s">
        <v>2196</v>
      </c>
      <c r="AD233" s="36" t="str">
        <f>VLOOKUP(D233,Oficial!A:C,3,0)</f>
        <v>Arrastre</v>
      </c>
    </row>
    <row r="234" spans="1:30" x14ac:dyDescent="0.25">
      <c r="A234" s="36" t="s">
        <v>27</v>
      </c>
      <c r="B234" s="36" t="s">
        <v>244</v>
      </c>
      <c r="C234" s="36" t="s">
        <v>28</v>
      </c>
      <c r="D234" s="36" t="s">
        <v>244</v>
      </c>
      <c r="E234" s="36" t="s">
        <v>30</v>
      </c>
      <c r="F234" s="36" t="s">
        <v>31</v>
      </c>
      <c r="G234" s="37" t="s">
        <v>223</v>
      </c>
      <c r="H234" s="36" t="s">
        <v>245</v>
      </c>
      <c r="I234" s="36" t="s">
        <v>246</v>
      </c>
      <c r="J234" s="36">
        <v>2</v>
      </c>
      <c r="K234" s="36" t="s">
        <v>226</v>
      </c>
      <c r="L234" s="36">
        <v>4</v>
      </c>
      <c r="M234" s="36">
        <v>10</v>
      </c>
      <c r="N234" s="38">
        <v>56940000</v>
      </c>
      <c r="O234" s="46">
        <v>23725000</v>
      </c>
      <c r="P234" s="36">
        <v>24</v>
      </c>
      <c r="Q234" s="36" t="s">
        <v>73</v>
      </c>
      <c r="R234" s="36" t="s">
        <v>227</v>
      </c>
      <c r="S234" s="36" t="s">
        <v>228</v>
      </c>
      <c r="T234" s="36" t="s">
        <v>229</v>
      </c>
      <c r="U234" s="36" t="s">
        <v>230</v>
      </c>
      <c r="V234" s="40">
        <v>45658</v>
      </c>
      <c r="W234" s="40">
        <v>45889</v>
      </c>
      <c r="X234" s="36">
        <v>10</v>
      </c>
      <c r="Y234" s="36" t="s">
        <v>248</v>
      </c>
      <c r="Z234" s="36">
        <v>1</v>
      </c>
      <c r="AA234" s="36">
        <v>23725000</v>
      </c>
      <c r="AB234" s="40">
        <v>46113</v>
      </c>
      <c r="AC234" s="36" t="s">
        <v>2196</v>
      </c>
      <c r="AD234" s="36" t="str">
        <f>VLOOKUP(D234,Oficial!A:C,3,0)</f>
        <v>Arrastre</v>
      </c>
    </row>
    <row r="235" spans="1:30" x14ac:dyDescent="0.25">
      <c r="A235" s="36" t="s">
        <v>27</v>
      </c>
      <c r="B235" s="36" t="s">
        <v>244</v>
      </c>
      <c r="C235" s="36" t="s">
        <v>28</v>
      </c>
      <c r="D235" s="36" t="s">
        <v>244</v>
      </c>
      <c r="E235" s="36" t="s">
        <v>30</v>
      </c>
      <c r="F235" s="36" t="s">
        <v>31</v>
      </c>
      <c r="G235" s="37" t="s">
        <v>223</v>
      </c>
      <c r="H235" s="36" t="s">
        <v>245</v>
      </c>
      <c r="I235" s="36" t="s">
        <v>246</v>
      </c>
      <c r="J235" s="36">
        <v>2</v>
      </c>
      <c r="K235" s="36" t="s">
        <v>226</v>
      </c>
      <c r="L235" s="36">
        <v>4</v>
      </c>
      <c r="M235" s="36">
        <v>10</v>
      </c>
      <c r="N235" s="38">
        <v>56940000</v>
      </c>
      <c r="O235" s="46">
        <v>23725000</v>
      </c>
      <c r="P235" s="36">
        <v>24</v>
      </c>
      <c r="Q235" s="36" t="s">
        <v>73</v>
      </c>
      <c r="R235" s="36" t="s">
        <v>227</v>
      </c>
      <c r="S235" s="36" t="s">
        <v>228</v>
      </c>
      <c r="T235" s="36" t="s">
        <v>229</v>
      </c>
      <c r="U235" s="36" t="s">
        <v>230</v>
      </c>
      <c r="V235" s="40">
        <v>45658</v>
      </c>
      <c r="W235" s="40">
        <v>45889</v>
      </c>
      <c r="X235" s="36">
        <v>10</v>
      </c>
      <c r="Y235" s="36" t="s">
        <v>249</v>
      </c>
      <c r="Z235" s="36">
        <v>1</v>
      </c>
      <c r="AA235" s="36">
        <v>23725000</v>
      </c>
      <c r="AB235" s="40">
        <v>46023</v>
      </c>
      <c r="AC235" s="36" t="s">
        <v>2196</v>
      </c>
      <c r="AD235" s="36" t="str">
        <f>VLOOKUP(D235,Oficial!A:C,3,0)</f>
        <v>Arrastre</v>
      </c>
    </row>
    <row r="236" spans="1:30" x14ac:dyDescent="0.25">
      <c r="A236" s="36" t="s">
        <v>27</v>
      </c>
      <c r="B236" s="36" t="s">
        <v>244</v>
      </c>
      <c r="C236" s="36" t="s">
        <v>28</v>
      </c>
      <c r="D236" s="36" t="s">
        <v>244</v>
      </c>
      <c r="E236" s="36" t="s">
        <v>30</v>
      </c>
      <c r="F236" s="36" t="s">
        <v>31</v>
      </c>
      <c r="G236" s="37" t="s">
        <v>223</v>
      </c>
      <c r="H236" s="36" t="s">
        <v>245</v>
      </c>
      <c r="I236" s="36" t="s">
        <v>246</v>
      </c>
      <c r="J236" s="36">
        <v>2</v>
      </c>
      <c r="K236" s="36" t="s">
        <v>226</v>
      </c>
      <c r="L236" s="36">
        <v>4</v>
      </c>
      <c r="M236" s="36">
        <v>10</v>
      </c>
      <c r="N236" s="38">
        <v>56940000</v>
      </c>
      <c r="O236" s="46">
        <v>23725000</v>
      </c>
      <c r="P236" s="36">
        <v>24</v>
      </c>
      <c r="Q236" s="36" t="s">
        <v>73</v>
      </c>
      <c r="R236" s="36" t="s">
        <v>227</v>
      </c>
      <c r="S236" s="36" t="s">
        <v>228</v>
      </c>
      <c r="T236" s="36" t="s">
        <v>229</v>
      </c>
      <c r="U236" s="36" t="s">
        <v>230</v>
      </c>
      <c r="V236" s="40">
        <v>45658</v>
      </c>
      <c r="W236" s="40">
        <v>45889</v>
      </c>
      <c r="X236" s="36">
        <v>10</v>
      </c>
      <c r="Y236" s="36" t="s">
        <v>249</v>
      </c>
      <c r="Z236" s="36">
        <v>1</v>
      </c>
      <c r="AA236" s="36">
        <v>23725000</v>
      </c>
      <c r="AB236" s="40">
        <v>46204</v>
      </c>
      <c r="AC236" s="36" t="s">
        <v>2196</v>
      </c>
      <c r="AD236" s="36" t="str">
        <f>VLOOKUP(D236,Oficial!A:C,3,0)</f>
        <v>Arrastre</v>
      </c>
    </row>
    <row r="237" spans="1:30" x14ac:dyDescent="0.25">
      <c r="A237" s="36" t="s">
        <v>27</v>
      </c>
      <c r="B237" s="36" t="s">
        <v>244</v>
      </c>
      <c r="C237" s="36" t="s">
        <v>28</v>
      </c>
      <c r="D237" s="36" t="s">
        <v>244</v>
      </c>
      <c r="E237" s="36" t="s">
        <v>30</v>
      </c>
      <c r="F237" s="36" t="s">
        <v>31</v>
      </c>
      <c r="G237" s="37" t="s">
        <v>223</v>
      </c>
      <c r="H237" s="36" t="s">
        <v>245</v>
      </c>
      <c r="I237" s="36" t="s">
        <v>246</v>
      </c>
      <c r="J237" s="36">
        <v>2</v>
      </c>
      <c r="K237" s="36" t="s">
        <v>226</v>
      </c>
      <c r="L237" s="36">
        <v>4</v>
      </c>
      <c r="M237" s="36">
        <v>10</v>
      </c>
      <c r="N237" s="38">
        <v>56940000</v>
      </c>
      <c r="O237" s="46">
        <v>23725000</v>
      </c>
      <c r="P237" s="36">
        <v>24</v>
      </c>
      <c r="Q237" s="36" t="s">
        <v>73</v>
      </c>
      <c r="R237" s="36" t="s">
        <v>227</v>
      </c>
      <c r="S237" s="36" t="s">
        <v>228</v>
      </c>
      <c r="T237" s="36" t="s">
        <v>229</v>
      </c>
      <c r="U237" s="36" t="s">
        <v>230</v>
      </c>
      <c r="V237" s="40">
        <v>45658</v>
      </c>
      <c r="W237" s="40">
        <v>45889</v>
      </c>
      <c r="X237" s="36">
        <v>10</v>
      </c>
      <c r="Y237" s="36" t="s">
        <v>249</v>
      </c>
      <c r="Z237" s="36">
        <v>1</v>
      </c>
      <c r="AA237" s="36">
        <v>23725000</v>
      </c>
      <c r="AB237" s="40">
        <v>46054</v>
      </c>
      <c r="AC237" s="36" t="s">
        <v>2196</v>
      </c>
      <c r="AD237" s="36" t="str">
        <f>VLOOKUP(D237,Oficial!A:C,3,0)</f>
        <v>Arrastre</v>
      </c>
    </row>
    <row r="238" spans="1:30" x14ac:dyDescent="0.25">
      <c r="A238" s="36" t="s">
        <v>27</v>
      </c>
      <c r="B238" s="36" t="s">
        <v>244</v>
      </c>
      <c r="C238" s="36" t="s">
        <v>28</v>
      </c>
      <c r="D238" s="36" t="s">
        <v>244</v>
      </c>
      <c r="E238" s="36" t="s">
        <v>30</v>
      </c>
      <c r="F238" s="36" t="s">
        <v>31</v>
      </c>
      <c r="G238" s="37" t="s">
        <v>223</v>
      </c>
      <c r="H238" s="36" t="s">
        <v>245</v>
      </c>
      <c r="I238" s="36" t="s">
        <v>246</v>
      </c>
      <c r="J238" s="36">
        <v>2</v>
      </c>
      <c r="K238" s="36" t="s">
        <v>226</v>
      </c>
      <c r="L238" s="36">
        <v>4</v>
      </c>
      <c r="M238" s="36">
        <v>10</v>
      </c>
      <c r="N238" s="38">
        <v>56940000</v>
      </c>
      <c r="O238" s="46">
        <v>23725000</v>
      </c>
      <c r="P238" s="36">
        <v>24</v>
      </c>
      <c r="Q238" s="36" t="s">
        <v>73</v>
      </c>
      <c r="R238" s="36" t="s">
        <v>227</v>
      </c>
      <c r="S238" s="36" t="s">
        <v>228</v>
      </c>
      <c r="T238" s="36" t="s">
        <v>229</v>
      </c>
      <c r="U238" s="36" t="s">
        <v>230</v>
      </c>
      <c r="V238" s="40">
        <v>45658</v>
      </c>
      <c r="W238" s="40">
        <v>45889</v>
      </c>
      <c r="X238" s="36">
        <v>10</v>
      </c>
      <c r="Y238" s="36" t="s">
        <v>247</v>
      </c>
      <c r="Z238" s="36">
        <v>1</v>
      </c>
      <c r="AA238" s="36">
        <v>23725000</v>
      </c>
      <c r="AB238" s="40">
        <v>46204</v>
      </c>
      <c r="AC238" s="36" t="s">
        <v>2196</v>
      </c>
      <c r="AD238" s="36" t="str">
        <f>VLOOKUP(D238,Oficial!A:C,3,0)</f>
        <v>Arrastre</v>
      </c>
    </row>
    <row r="239" spans="1:30" x14ac:dyDescent="0.25">
      <c r="A239" s="36" t="s">
        <v>27</v>
      </c>
      <c r="B239" s="36" t="s">
        <v>244</v>
      </c>
      <c r="C239" s="36" t="s">
        <v>28</v>
      </c>
      <c r="D239" s="36" t="s">
        <v>244</v>
      </c>
      <c r="E239" s="36" t="s">
        <v>30</v>
      </c>
      <c r="F239" s="36" t="s">
        <v>31</v>
      </c>
      <c r="G239" s="37" t="s">
        <v>223</v>
      </c>
      <c r="H239" s="36" t="s">
        <v>245</v>
      </c>
      <c r="I239" s="36" t="s">
        <v>246</v>
      </c>
      <c r="J239" s="36">
        <v>2</v>
      </c>
      <c r="K239" s="36" t="s">
        <v>226</v>
      </c>
      <c r="L239" s="36">
        <v>4</v>
      </c>
      <c r="M239" s="36">
        <v>10</v>
      </c>
      <c r="N239" s="38">
        <v>56940000</v>
      </c>
      <c r="O239" s="46">
        <v>23725000</v>
      </c>
      <c r="P239" s="36">
        <v>24</v>
      </c>
      <c r="Q239" s="36" t="s">
        <v>73</v>
      </c>
      <c r="R239" s="36" t="s">
        <v>227</v>
      </c>
      <c r="S239" s="36" t="s">
        <v>228</v>
      </c>
      <c r="T239" s="36" t="s">
        <v>229</v>
      </c>
      <c r="U239" s="36" t="s">
        <v>230</v>
      </c>
      <c r="V239" s="40">
        <v>45658</v>
      </c>
      <c r="W239" s="40">
        <v>45889</v>
      </c>
      <c r="X239" s="36">
        <v>10</v>
      </c>
      <c r="Y239" s="36" t="s">
        <v>249</v>
      </c>
      <c r="Z239" s="36">
        <v>1</v>
      </c>
      <c r="AA239" s="36">
        <v>23725000</v>
      </c>
      <c r="AB239" s="40">
        <v>46143</v>
      </c>
      <c r="AC239" s="36" t="s">
        <v>2196</v>
      </c>
      <c r="AD239" s="36" t="str">
        <f>VLOOKUP(D239,Oficial!A:C,3,0)</f>
        <v>Arrastre</v>
      </c>
    </row>
    <row r="240" spans="1:30" x14ac:dyDescent="0.25">
      <c r="A240" s="36" t="s">
        <v>27</v>
      </c>
      <c r="B240" s="36" t="s">
        <v>244</v>
      </c>
      <c r="C240" s="36" t="s">
        <v>28</v>
      </c>
      <c r="D240" s="36" t="s">
        <v>244</v>
      </c>
      <c r="E240" s="36" t="s">
        <v>30</v>
      </c>
      <c r="F240" s="36" t="s">
        <v>31</v>
      </c>
      <c r="G240" s="37" t="s">
        <v>223</v>
      </c>
      <c r="H240" s="36" t="s">
        <v>245</v>
      </c>
      <c r="I240" s="36" t="s">
        <v>246</v>
      </c>
      <c r="J240" s="36">
        <v>2</v>
      </c>
      <c r="K240" s="36" t="s">
        <v>226</v>
      </c>
      <c r="L240" s="36">
        <v>4</v>
      </c>
      <c r="M240" s="36">
        <v>10</v>
      </c>
      <c r="N240" s="38">
        <v>56940000</v>
      </c>
      <c r="O240" s="46">
        <v>23725000</v>
      </c>
      <c r="P240" s="36">
        <v>24</v>
      </c>
      <c r="Q240" s="36" t="s">
        <v>73</v>
      </c>
      <c r="R240" s="36" t="s">
        <v>227</v>
      </c>
      <c r="S240" s="36" t="s">
        <v>228</v>
      </c>
      <c r="T240" s="36" t="s">
        <v>229</v>
      </c>
      <c r="U240" s="36" t="s">
        <v>230</v>
      </c>
      <c r="V240" s="40">
        <v>45658</v>
      </c>
      <c r="W240" s="40">
        <v>45889</v>
      </c>
      <c r="X240" s="36">
        <v>10</v>
      </c>
      <c r="Y240" s="36" t="s">
        <v>247</v>
      </c>
      <c r="Z240" s="36">
        <v>1</v>
      </c>
      <c r="AA240" s="36">
        <v>23725000</v>
      </c>
      <c r="AB240" s="40">
        <v>46113</v>
      </c>
      <c r="AC240" s="36" t="s">
        <v>2196</v>
      </c>
      <c r="AD240" s="36" t="str">
        <f>VLOOKUP(D240,Oficial!A:C,3,0)</f>
        <v>Arrastre</v>
      </c>
    </row>
    <row r="241" spans="1:30" x14ac:dyDescent="0.25">
      <c r="A241" s="36" t="s">
        <v>27</v>
      </c>
      <c r="B241" s="36" t="s">
        <v>244</v>
      </c>
      <c r="C241" s="36" t="s">
        <v>28</v>
      </c>
      <c r="D241" s="36" t="s">
        <v>244</v>
      </c>
      <c r="E241" s="36" t="s">
        <v>30</v>
      </c>
      <c r="F241" s="36" t="s">
        <v>31</v>
      </c>
      <c r="G241" s="37" t="s">
        <v>223</v>
      </c>
      <c r="H241" s="36" t="s">
        <v>245</v>
      </c>
      <c r="I241" s="36" t="s">
        <v>246</v>
      </c>
      <c r="J241" s="36">
        <v>2</v>
      </c>
      <c r="K241" s="36" t="s">
        <v>226</v>
      </c>
      <c r="L241" s="36">
        <v>4</v>
      </c>
      <c r="M241" s="36">
        <v>10</v>
      </c>
      <c r="N241" s="38">
        <v>56940000</v>
      </c>
      <c r="O241" s="46">
        <v>23725000</v>
      </c>
      <c r="P241" s="36">
        <v>24</v>
      </c>
      <c r="Q241" s="36" t="s">
        <v>73</v>
      </c>
      <c r="R241" s="36" t="s">
        <v>227</v>
      </c>
      <c r="S241" s="36" t="s">
        <v>228</v>
      </c>
      <c r="T241" s="36" t="s">
        <v>229</v>
      </c>
      <c r="U241" s="36" t="s">
        <v>230</v>
      </c>
      <c r="V241" s="40">
        <v>45658</v>
      </c>
      <c r="W241" s="40">
        <v>45889</v>
      </c>
      <c r="X241" s="36">
        <v>10</v>
      </c>
      <c r="Y241" s="36" t="s">
        <v>250</v>
      </c>
      <c r="Z241" s="36">
        <v>1</v>
      </c>
      <c r="AA241" s="36">
        <v>23725000</v>
      </c>
      <c r="AB241" s="40">
        <v>46054</v>
      </c>
      <c r="AC241" s="36" t="s">
        <v>2196</v>
      </c>
      <c r="AD241" s="36" t="str">
        <f>VLOOKUP(D241,Oficial!A:C,3,0)</f>
        <v>Arrastre</v>
      </c>
    </row>
    <row r="242" spans="1:30" x14ac:dyDescent="0.25">
      <c r="A242" s="36" t="s">
        <v>27</v>
      </c>
      <c r="B242" s="36" t="s">
        <v>251</v>
      </c>
      <c r="C242" s="36" t="s">
        <v>28</v>
      </c>
      <c r="D242" s="36" t="s">
        <v>251</v>
      </c>
      <c r="E242" s="36" t="s">
        <v>30</v>
      </c>
      <c r="F242" s="36" t="s">
        <v>31</v>
      </c>
      <c r="G242" s="37" t="s">
        <v>252</v>
      </c>
      <c r="H242" s="36" t="s">
        <v>253</v>
      </c>
      <c r="I242" s="36" t="s">
        <v>254</v>
      </c>
      <c r="J242" s="36">
        <v>14</v>
      </c>
      <c r="K242" s="36" t="s">
        <v>255</v>
      </c>
      <c r="L242" s="36">
        <v>4</v>
      </c>
      <c r="M242" s="36">
        <v>100</v>
      </c>
      <c r="N242" s="38">
        <v>416000</v>
      </c>
      <c r="O242" s="39">
        <v>10400000</v>
      </c>
      <c r="P242" s="36">
        <v>7</v>
      </c>
      <c r="Q242" s="36" t="s">
        <v>256</v>
      </c>
      <c r="R242" s="36" t="s">
        <v>257</v>
      </c>
      <c r="S242" s="36" t="s">
        <v>258</v>
      </c>
      <c r="T242" s="36" t="s">
        <v>259</v>
      </c>
      <c r="U242" s="36" t="s">
        <v>260</v>
      </c>
      <c r="V242" s="40">
        <v>45717</v>
      </c>
      <c r="W242" s="40">
        <v>45889</v>
      </c>
      <c r="X242" s="36">
        <v>0</v>
      </c>
      <c r="Y242" s="36"/>
      <c r="Z242" s="36">
        <v>1</v>
      </c>
      <c r="AA242" s="36">
        <v>10400000</v>
      </c>
      <c r="AB242" s="40">
        <v>46357</v>
      </c>
      <c r="AC242" s="36" t="s">
        <v>2196</v>
      </c>
      <c r="AD242" s="36" t="str">
        <f>VLOOKUP(D242,Oficial!A:C,3,0)</f>
        <v>Arrastre</v>
      </c>
    </row>
    <row r="243" spans="1:30" x14ac:dyDescent="0.25">
      <c r="A243" s="36" t="s">
        <v>27</v>
      </c>
      <c r="B243" s="36" t="s">
        <v>251</v>
      </c>
      <c r="C243" s="36" t="s">
        <v>28</v>
      </c>
      <c r="D243" s="36" t="s">
        <v>251</v>
      </c>
      <c r="E243" s="36" t="s">
        <v>30</v>
      </c>
      <c r="F243" s="36" t="s">
        <v>31</v>
      </c>
      <c r="G243" s="37" t="s">
        <v>252</v>
      </c>
      <c r="H243" s="36" t="s">
        <v>253</v>
      </c>
      <c r="I243" s="36" t="s">
        <v>254</v>
      </c>
      <c r="J243" s="36">
        <v>14</v>
      </c>
      <c r="K243" s="36" t="s">
        <v>255</v>
      </c>
      <c r="L243" s="36">
        <v>4</v>
      </c>
      <c r="M243" s="36">
        <v>100</v>
      </c>
      <c r="N243" s="38">
        <v>416000</v>
      </c>
      <c r="O243" s="39">
        <v>10400000</v>
      </c>
      <c r="P243" s="36">
        <v>7</v>
      </c>
      <c r="Q243" s="36" t="s">
        <v>256</v>
      </c>
      <c r="R243" s="36" t="s">
        <v>257</v>
      </c>
      <c r="S243" s="36" t="s">
        <v>258</v>
      </c>
      <c r="T243" s="36" t="s">
        <v>259</v>
      </c>
      <c r="U243" s="36" t="s">
        <v>260</v>
      </c>
      <c r="V243" s="40">
        <v>45717</v>
      </c>
      <c r="W243" s="40">
        <v>45889</v>
      </c>
      <c r="X243" s="36">
        <v>0</v>
      </c>
      <c r="Y243" s="36"/>
      <c r="Z243" s="36">
        <v>1</v>
      </c>
      <c r="AA243" s="36">
        <v>10400000</v>
      </c>
      <c r="AB243" s="40">
        <v>46174</v>
      </c>
      <c r="AC243" s="36" t="s">
        <v>2196</v>
      </c>
      <c r="AD243" s="36" t="str">
        <f>VLOOKUP(D243,Oficial!A:C,3,0)</f>
        <v>Arrastre</v>
      </c>
    </row>
    <row r="244" spans="1:30" x14ac:dyDescent="0.25">
      <c r="A244" s="36" t="s">
        <v>27</v>
      </c>
      <c r="B244" s="36" t="s">
        <v>251</v>
      </c>
      <c r="C244" s="36" t="s">
        <v>28</v>
      </c>
      <c r="D244" s="36" t="s">
        <v>251</v>
      </c>
      <c r="E244" s="36" t="s">
        <v>30</v>
      </c>
      <c r="F244" s="36" t="s">
        <v>31</v>
      </c>
      <c r="G244" s="37" t="s">
        <v>252</v>
      </c>
      <c r="H244" s="36" t="s">
        <v>253</v>
      </c>
      <c r="I244" s="36" t="s">
        <v>254</v>
      </c>
      <c r="J244" s="36">
        <v>14</v>
      </c>
      <c r="K244" s="36" t="s">
        <v>261</v>
      </c>
      <c r="L244" s="36">
        <v>4</v>
      </c>
      <c r="M244" s="36">
        <v>100</v>
      </c>
      <c r="N244" s="38">
        <v>1438000</v>
      </c>
      <c r="O244" s="39">
        <v>35950000</v>
      </c>
      <c r="P244" s="36">
        <v>4</v>
      </c>
      <c r="Q244" s="36" t="s">
        <v>262</v>
      </c>
      <c r="R244" s="36" t="s">
        <v>257</v>
      </c>
      <c r="S244" s="36" t="s">
        <v>258</v>
      </c>
      <c r="T244" s="36" t="s">
        <v>259</v>
      </c>
      <c r="U244" s="36" t="s">
        <v>260</v>
      </c>
      <c r="V244" s="40">
        <v>45717</v>
      </c>
      <c r="W244" s="40">
        <v>45889</v>
      </c>
      <c r="X244" s="36">
        <v>0</v>
      </c>
      <c r="Y244" s="36"/>
      <c r="Z244" s="36">
        <v>1</v>
      </c>
      <c r="AA244" s="36">
        <v>35950000</v>
      </c>
      <c r="AB244" s="40">
        <v>46082</v>
      </c>
      <c r="AC244" s="36" t="s">
        <v>2196</v>
      </c>
      <c r="AD244" s="36" t="str">
        <f>VLOOKUP(D244,Oficial!A:C,3,0)</f>
        <v>Arrastre</v>
      </c>
    </row>
    <row r="245" spans="1:30" x14ac:dyDescent="0.25">
      <c r="A245" s="36" t="s">
        <v>27</v>
      </c>
      <c r="B245" s="36" t="s">
        <v>251</v>
      </c>
      <c r="C245" s="36" t="s">
        <v>28</v>
      </c>
      <c r="D245" s="36" t="s">
        <v>251</v>
      </c>
      <c r="E245" s="36" t="s">
        <v>30</v>
      </c>
      <c r="F245" s="36" t="s">
        <v>31</v>
      </c>
      <c r="G245" s="37" t="s">
        <v>252</v>
      </c>
      <c r="H245" s="36" t="s">
        <v>253</v>
      </c>
      <c r="I245" s="36" t="s">
        <v>254</v>
      </c>
      <c r="J245" s="36">
        <v>14</v>
      </c>
      <c r="K245" s="36" t="s">
        <v>261</v>
      </c>
      <c r="L245" s="36">
        <v>4</v>
      </c>
      <c r="M245" s="36">
        <v>100</v>
      </c>
      <c r="N245" s="38">
        <v>1438000</v>
      </c>
      <c r="O245" s="39">
        <v>35950000</v>
      </c>
      <c r="P245" s="36">
        <v>4</v>
      </c>
      <c r="Q245" s="36" t="s">
        <v>262</v>
      </c>
      <c r="R245" s="36" t="s">
        <v>257</v>
      </c>
      <c r="S245" s="36" t="s">
        <v>258</v>
      </c>
      <c r="T245" s="36" t="s">
        <v>259</v>
      </c>
      <c r="U245" s="36" t="s">
        <v>260</v>
      </c>
      <c r="V245" s="40">
        <v>45717</v>
      </c>
      <c r="W245" s="40">
        <v>45889</v>
      </c>
      <c r="X245" s="36">
        <v>0</v>
      </c>
      <c r="Y245" s="36"/>
      <c r="Z245" s="36">
        <v>1</v>
      </c>
      <c r="AA245" s="36">
        <v>35950000</v>
      </c>
      <c r="AB245" s="40">
        <v>46357</v>
      </c>
      <c r="AC245" s="36" t="s">
        <v>2196</v>
      </c>
      <c r="AD245" s="36" t="str">
        <f>VLOOKUP(D245,Oficial!A:C,3,0)</f>
        <v>Arrastre</v>
      </c>
    </row>
    <row r="246" spans="1:30" x14ac:dyDescent="0.25">
      <c r="A246" s="36" t="s">
        <v>27</v>
      </c>
      <c r="B246" s="36" t="s">
        <v>251</v>
      </c>
      <c r="C246" s="36" t="s">
        <v>28</v>
      </c>
      <c r="D246" s="36" t="s">
        <v>251</v>
      </c>
      <c r="E246" s="36" t="s">
        <v>30</v>
      </c>
      <c r="F246" s="36" t="s">
        <v>31</v>
      </c>
      <c r="G246" s="37" t="s">
        <v>252</v>
      </c>
      <c r="H246" s="36" t="s">
        <v>253</v>
      </c>
      <c r="I246" s="36" t="s">
        <v>254</v>
      </c>
      <c r="J246" s="36">
        <v>14</v>
      </c>
      <c r="K246" s="36" t="s">
        <v>263</v>
      </c>
      <c r="L246" s="36">
        <v>4</v>
      </c>
      <c r="M246" s="36">
        <v>100</v>
      </c>
      <c r="N246" s="38">
        <v>140000</v>
      </c>
      <c r="O246" s="39">
        <v>7000000</v>
      </c>
      <c r="P246" s="36">
        <v>2</v>
      </c>
      <c r="Q246" s="36" t="s">
        <v>264</v>
      </c>
      <c r="R246" s="36" t="s">
        <v>257</v>
      </c>
      <c r="S246" s="36" t="s">
        <v>258</v>
      </c>
      <c r="T246" s="36" t="s">
        <v>259</v>
      </c>
      <c r="U246" s="36" t="s">
        <v>260</v>
      </c>
      <c r="V246" s="40">
        <v>45717</v>
      </c>
      <c r="W246" s="40">
        <v>45889</v>
      </c>
      <c r="X246" s="36">
        <v>0</v>
      </c>
      <c r="Y246" s="36"/>
      <c r="Z246" s="36">
        <v>1</v>
      </c>
      <c r="AA246" s="36">
        <v>7000000</v>
      </c>
      <c r="AB246" s="40">
        <v>46296</v>
      </c>
      <c r="AC246" s="36" t="s">
        <v>2196</v>
      </c>
      <c r="AD246" s="36" t="str">
        <f>VLOOKUP(D246,Oficial!A:C,3,0)</f>
        <v>Arrastre</v>
      </c>
    </row>
    <row r="247" spans="1:30" x14ac:dyDescent="0.25">
      <c r="A247" s="36" t="s">
        <v>27</v>
      </c>
      <c r="B247" s="36" t="s">
        <v>251</v>
      </c>
      <c r="C247" s="36" t="s">
        <v>28</v>
      </c>
      <c r="D247" s="36" t="s">
        <v>251</v>
      </c>
      <c r="E247" s="36" t="s">
        <v>30</v>
      </c>
      <c r="F247" s="36" t="s">
        <v>31</v>
      </c>
      <c r="G247" s="37" t="s">
        <v>252</v>
      </c>
      <c r="H247" s="36" t="s">
        <v>253</v>
      </c>
      <c r="I247" s="36" t="s">
        <v>254</v>
      </c>
      <c r="J247" s="36">
        <v>14</v>
      </c>
      <c r="K247" s="36" t="s">
        <v>265</v>
      </c>
      <c r="L247" s="36">
        <v>4</v>
      </c>
      <c r="M247" s="36">
        <v>100</v>
      </c>
      <c r="N247" s="38">
        <v>903000</v>
      </c>
      <c r="O247" s="39">
        <v>45150000</v>
      </c>
      <c r="P247" s="36">
        <v>2</v>
      </c>
      <c r="Q247" s="36" t="s">
        <v>266</v>
      </c>
      <c r="R247" s="36" t="s">
        <v>257</v>
      </c>
      <c r="S247" s="36" t="s">
        <v>258</v>
      </c>
      <c r="T247" s="36" t="s">
        <v>259</v>
      </c>
      <c r="U247" s="36" t="s">
        <v>260</v>
      </c>
      <c r="V247" s="40">
        <v>45717</v>
      </c>
      <c r="W247" s="40">
        <v>45889</v>
      </c>
      <c r="X247" s="36">
        <v>0</v>
      </c>
      <c r="Y247" s="36"/>
      <c r="Z247" s="36">
        <v>1</v>
      </c>
      <c r="AA247" s="36">
        <v>45150000</v>
      </c>
      <c r="AB247" s="40">
        <v>46204</v>
      </c>
      <c r="AC247" s="36" t="s">
        <v>2196</v>
      </c>
      <c r="AD247" s="36" t="str">
        <f>VLOOKUP(D247,Oficial!A:C,3,0)</f>
        <v>Arrastre</v>
      </c>
    </row>
    <row r="248" spans="1:30" x14ac:dyDescent="0.25">
      <c r="A248" s="36" t="s">
        <v>27</v>
      </c>
      <c r="B248" s="36" t="s">
        <v>251</v>
      </c>
      <c r="C248" s="36" t="s">
        <v>28</v>
      </c>
      <c r="D248" s="36" t="s">
        <v>251</v>
      </c>
      <c r="E248" s="36" t="s">
        <v>30</v>
      </c>
      <c r="F248" s="36" t="s">
        <v>31</v>
      </c>
      <c r="G248" s="37" t="s">
        <v>252</v>
      </c>
      <c r="H248" s="36" t="s">
        <v>253</v>
      </c>
      <c r="I248" s="36" t="s">
        <v>254</v>
      </c>
      <c r="J248" s="36">
        <v>14</v>
      </c>
      <c r="K248" s="36" t="s">
        <v>267</v>
      </c>
      <c r="L248" s="36">
        <v>4</v>
      </c>
      <c r="M248" s="36">
        <v>100</v>
      </c>
      <c r="N248" s="38">
        <v>496400</v>
      </c>
      <c r="O248" s="39">
        <v>12410000</v>
      </c>
      <c r="P248" s="36">
        <v>4</v>
      </c>
      <c r="Q248" s="36" t="s">
        <v>268</v>
      </c>
      <c r="R248" s="36" t="s">
        <v>257</v>
      </c>
      <c r="S248" s="36" t="s">
        <v>258</v>
      </c>
      <c r="T248" s="36" t="s">
        <v>259</v>
      </c>
      <c r="U248" s="36" t="s">
        <v>260</v>
      </c>
      <c r="V248" s="40">
        <v>45717</v>
      </c>
      <c r="W248" s="40">
        <v>45889</v>
      </c>
      <c r="X248" s="36">
        <v>0</v>
      </c>
      <c r="Y248" s="36"/>
      <c r="Z248" s="36">
        <v>1</v>
      </c>
      <c r="AA248" s="36">
        <v>12410000</v>
      </c>
      <c r="AB248" s="40">
        <v>46082</v>
      </c>
      <c r="AC248" s="36" t="s">
        <v>2196</v>
      </c>
      <c r="AD248" s="36" t="str">
        <f>VLOOKUP(D248,Oficial!A:C,3,0)</f>
        <v>Arrastre</v>
      </c>
    </row>
    <row r="249" spans="1:30" x14ac:dyDescent="0.25">
      <c r="A249" s="36" t="s">
        <v>27</v>
      </c>
      <c r="B249" s="36" t="s">
        <v>251</v>
      </c>
      <c r="C249" s="36" t="s">
        <v>28</v>
      </c>
      <c r="D249" s="36" t="s">
        <v>251</v>
      </c>
      <c r="E249" s="36" t="s">
        <v>30</v>
      </c>
      <c r="F249" s="36" t="s">
        <v>31</v>
      </c>
      <c r="G249" s="37" t="s">
        <v>252</v>
      </c>
      <c r="H249" s="36" t="s">
        <v>253</v>
      </c>
      <c r="I249" s="36" t="s">
        <v>254</v>
      </c>
      <c r="J249" s="36">
        <v>14</v>
      </c>
      <c r="K249" s="36" t="s">
        <v>267</v>
      </c>
      <c r="L249" s="36">
        <v>4</v>
      </c>
      <c r="M249" s="36">
        <v>100</v>
      </c>
      <c r="N249" s="38">
        <v>496400</v>
      </c>
      <c r="O249" s="39">
        <v>12410000</v>
      </c>
      <c r="P249" s="36">
        <v>4</v>
      </c>
      <c r="Q249" s="36" t="s">
        <v>268</v>
      </c>
      <c r="R249" s="36" t="s">
        <v>257</v>
      </c>
      <c r="S249" s="36" t="s">
        <v>258</v>
      </c>
      <c r="T249" s="36" t="s">
        <v>259</v>
      </c>
      <c r="U249" s="36" t="s">
        <v>260</v>
      </c>
      <c r="V249" s="40">
        <v>45717</v>
      </c>
      <c r="W249" s="40">
        <v>45889</v>
      </c>
      <c r="X249" s="36">
        <v>0</v>
      </c>
      <c r="Y249" s="36"/>
      <c r="Z249" s="36">
        <v>1</v>
      </c>
      <c r="AA249" s="36">
        <v>12410000</v>
      </c>
      <c r="AB249" s="40">
        <v>46266</v>
      </c>
      <c r="AC249" s="36" t="s">
        <v>2196</v>
      </c>
      <c r="AD249" s="36" t="str">
        <f>VLOOKUP(D249,Oficial!A:C,3,0)</f>
        <v>Arrastre</v>
      </c>
    </row>
    <row r="250" spans="1:30" x14ac:dyDescent="0.25">
      <c r="A250" s="36" t="s">
        <v>27</v>
      </c>
      <c r="B250" s="36" t="s">
        <v>251</v>
      </c>
      <c r="C250" s="36" t="s">
        <v>28</v>
      </c>
      <c r="D250" s="36" t="s">
        <v>251</v>
      </c>
      <c r="E250" s="36" t="s">
        <v>30</v>
      </c>
      <c r="F250" s="36" t="s">
        <v>31</v>
      </c>
      <c r="G250" s="37" t="s">
        <v>252</v>
      </c>
      <c r="H250" s="36" t="s">
        <v>253</v>
      </c>
      <c r="I250" s="36" t="s">
        <v>254</v>
      </c>
      <c r="J250" s="36">
        <v>14</v>
      </c>
      <c r="K250" s="36" t="s">
        <v>269</v>
      </c>
      <c r="L250" s="36">
        <v>4</v>
      </c>
      <c r="M250" s="36">
        <v>100</v>
      </c>
      <c r="N250" s="38">
        <v>464000</v>
      </c>
      <c r="O250" s="39">
        <v>7733333</v>
      </c>
      <c r="P250" s="36">
        <v>6</v>
      </c>
      <c r="Q250" s="36" t="s">
        <v>270</v>
      </c>
      <c r="R250" s="36" t="s">
        <v>257</v>
      </c>
      <c r="S250" s="36" t="s">
        <v>258</v>
      </c>
      <c r="T250" s="36" t="s">
        <v>259</v>
      </c>
      <c r="U250" s="36" t="s">
        <v>260</v>
      </c>
      <c r="V250" s="40">
        <v>45717</v>
      </c>
      <c r="W250" s="40">
        <v>45889</v>
      </c>
      <c r="X250" s="36">
        <v>0</v>
      </c>
      <c r="Y250" s="36"/>
      <c r="Z250" s="36">
        <v>1</v>
      </c>
      <c r="AA250" s="36">
        <v>7733333</v>
      </c>
      <c r="AB250" s="40">
        <v>46174</v>
      </c>
      <c r="AC250" s="36" t="s">
        <v>2196</v>
      </c>
      <c r="AD250" s="36" t="str">
        <f>VLOOKUP(D250,Oficial!A:C,3,0)</f>
        <v>Arrastre</v>
      </c>
    </row>
    <row r="251" spans="1:30" x14ac:dyDescent="0.25">
      <c r="A251" s="36" t="s">
        <v>27</v>
      </c>
      <c r="B251" s="36" t="s">
        <v>251</v>
      </c>
      <c r="C251" s="36" t="s">
        <v>28</v>
      </c>
      <c r="D251" s="36" t="s">
        <v>251</v>
      </c>
      <c r="E251" s="36" t="s">
        <v>30</v>
      </c>
      <c r="F251" s="36" t="s">
        <v>31</v>
      </c>
      <c r="G251" s="37" t="s">
        <v>252</v>
      </c>
      <c r="H251" s="36" t="s">
        <v>253</v>
      </c>
      <c r="I251" s="36" t="s">
        <v>254</v>
      </c>
      <c r="J251" s="36">
        <v>14</v>
      </c>
      <c r="K251" s="36" t="s">
        <v>269</v>
      </c>
      <c r="L251" s="36">
        <v>4</v>
      </c>
      <c r="M251" s="36">
        <v>100</v>
      </c>
      <c r="N251" s="38">
        <v>464000</v>
      </c>
      <c r="O251" s="39">
        <v>7733335</v>
      </c>
      <c r="P251" s="36">
        <v>6</v>
      </c>
      <c r="Q251" s="36" t="s">
        <v>270</v>
      </c>
      <c r="R251" s="36" t="s">
        <v>257</v>
      </c>
      <c r="S251" s="36" t="s">
        <v>258</v>
      </c>
      <c r="T251" s="36" t="s">
        <v>259</v>
      </c>
      <c r="U251" s="36" t="s">
        <v>260</v>
      </c>
      <c r="V251" s="40">
        <v>45717</v>
      </c>
      <c r="W251" s="40">
        <v>45889</v>
      </c>
      <c r="X251" s="36">
        <v>0</v>
      </c>
      <c r="Y251" s="36"/>
      <c r="Z251" s="36">
        <v>1</v>
      </c>
      <c r="AA251" s="36">
        <v>7733335</v>
      </c>
      <c r="AB251" s="40">
        <v>46357</v>
      </c>
      <c r="AC251" s="36" t="s">
        <v>2196</v>
      </c>
      <c r="AD251" s="36" t="str">
        <f>VLOOKUP(D251,Oficial!A:C,3,0)</f>
        <v>Arrastre</v>
      </c>
    </row>
    <row r="252" spans="1:30" x14ac:dyDescent="0.25">
      <c r="A252" s="36" t="s">
        <v>27</v>
      </c>
      <c r="B252" s="36" t="s">
        <v>251</v>
      </c>
      <c r="C252" s="36" t="s">
        <v>28</v>
      </c>
      <c r="D252" s="36" t="s">
        <v>251</v>
      </c>
      <c r="E252" s="36" t="s">
        <v>30</v>
      </c>
      <c r="F252" s="36" t="s">
        <v>31</v>
      </c>
      <c r="G252" s="37" t="s">
        <v>252</v>
      </c>
      <c r="H252" s="36" t="s">
        <v>253</v>
      </c>
      <c r="I252" s="36" t="s">
        <v>254</v>
      </c>
      <c r="J252" s="36">
        <v>14</v>
      </c>
      <c r="K252" s="36" t="s">
        <v>269</v>
      </c>
      <c r="L252" s="36">
        <v>4</v>
      </c>
      <c r="M252" s="36">
        <v>100</v>
      </c>
      <c r="N252" s="38">
        <v>464000</v>
      </c>
      <c r="O252" s="39">
        <v>7733333</v>
      </c>
      <c r="P252" s="36">
        <v>6</v>
      </c>
      <c r="Q252" s="36" t="s">
        <v>270</v>
      </c>
      <c r="R252" s="36" t="s">
        <v>257</v>
      </c>
      <c r="S252" s="36" t="s">
        <v>258</v>
      </c>
      <c r="T252" s="36" t="s">
        <v>259</v>
      </c>
      <c r="U252" s="36" t="s">
        <v>260</v>
      </c>
      <c r="V252" s="40">
        <v>45717</v>
      </c>
      <c r="W252" s="40">
        <v>45889</v>
      </c>
      <c r="X252" s="36">
        <v>0</v>
      </c>
      <c r="Y252" s="36"/>
      <c r="Z252" s="36">
        <v>1</v>
      </c>
      <c r="AA252" s="36">
        <v>7733333</v>
      </c>
      <c r="AB252" s="40">
        <v>46327</v>
      </c>
      <c r="AC252" s="36" t="s">
        <v>2196</v>
      </c>
      <c r="AD252" s="36" t="str">
        <f>VLOOKUP(D252,Oficial!A:C,3,0)</f>
        <v>Arrastre</v>
      </c>
    </row>
    <row r="253" spans="1:30" x14ac:dyDescent="0.25">
      <c r="A253" s="36" t="s">
        <v>27</v>
      </c>
      <c r="B253" s="36" t="s">
        <v>251</v>
      </c>
      <c r="C253" s="36" t="s">
        <v>28</v>
      </c>
      <c r="D253" s="36" t="s">
        <v>251</v>
      </c>
      <c r="E253" s="36" t="s">
        <v>30</v>
      </c>
      <c r="F253" s="36" t="s">
        <v>31</v>
      </c>
      <c r="G253" s="37" t="s">
        <v>252</v>
      </c>
      <c r="H253" s="36" t="s">
        <v>253</v>
      </c>
      <c r="I253" s="36" t="s">
        <v>254</v>
      </c>
      <c r="J253" s="36">
        <v>14</v>
      </c>
      <c r="K253" s="36" t="s">
        <v>271</v>
      </c>
      <c r="L253" s="36">
        <v>4</v>
      </c>
      <c r="M253" s="36">
        <v>100</v>
      </c>
      <c r="N253" s="38">
        <v>1630000</v>
      </c>
      <c r="O253" s="39">
        <v>40750000</v>
      </c>
      <c r="P253" s="36">
        <v>4</v>
      </c>
      <c r="Q253" s="36" t="s">
        <v>256</v>
      </c>
      <c r="R253" s="36" t="s">
        <v>257</v>
      </c>
      <c r="S253" s="36" t="s">
        <v>258</v>
      </c>
      <c r="T253" s="36" t="s">
        <v>259</v>
      </c>
      <c r="U253" s="36" t="s">
        <v>260</v>
      </c>
      <c r="V253" s="40">
        <v>45717</v>
      </c>
      <c r="W253" s="40">
        <v>45889</v>
      </c>
      <c r="X253" s="36">
        <v>0</v>
      </c>
      <c r="Y253" s="36"/>
      <c r="Z253" s="36">
        <v>1</v>
      </c>
      <c r="AA253" s="36">
        <v>40750000</v>
      </c>
      <c r="AB253" s="40">
        <v>46357</v>
      </c>
      <c r="AC253" s="36" t="s">
        <v>2196</v>
      </c>
      <c r="AD253" s="36" t="str">
        <f>VLOOKUP(D253,Oficial!A:C,3,0)</f>
        <v>Arrastre</v>
      </c>
    </row>
    <row r="254" spans="1:30" x14ac:dyDescent="0.25">
      <c r="A254" s="36" t="s">
        <v>27</v>
      </c>
      <c r="B254" s="36" t="s">
        <v>251</v>
      </c>
      <c r="C254" s="36" t="s">
        <v>28</v>
      </c>
      <c r="D254" s="36" t="s">
        <v>251</v>
      </c>
      <c r="E254" s="36" t="s">
        <v>30</v>
      </c>
      <c r="F254" s="36" t="s">
        <v>31</v>
      </c>
      <c r="G254" s="37" t="s">
        <v>252</v>
      </c>
      <c r="H254" s="36" t="s">
        <v>253</v>
      </c>
      <c r="I254" s="36" t="s">
        <v>254</v>
      </c>
      <c r="J254" s="36">
        <v>14</v>
      </c>
      <c r="K254" s="36" t="s">
        <v>271</v>
      </c>
      <c r="L254" s="36">
        <v>4</v>
      </c>
      <c r="M254" s="36">
        <v>100</v>
      </c>
      <c r="N254" s="38">
        <v>1630000</v>
      </c>
      <c r="O254" s="39">
        <v>40750000</v>
      </c>
      <c r="P254" s="36">
        <v>4</v>
      </c>
      <c r="Q254" s="36" t="s">
        <v>256</v>
      </c>
      <c r="R254" s="36" t="s">
        <v>257</v>
      </c>
      <c r="S254" s="36" t="s">
        <v>258</v>
      </c>
      <c r="T254" s="36" t="s">
        <v>259</v>
      </c>
      <c r="U254" s="36" t="s">
        <v>260</v>
      </c>
      <c r="V254" s="40">
        <v>45717</v>
      </c>
      <c r="W254" s="40">
        <v>45889</v>
      </c>
      <c r="X254" s="36">
        <v>0</v>
      </c>
      <c r="Y254" s="36"/>
      <c r="Z254" s="36">
        <v>1</v>
      </c>
      <c r="AA254" s="36">
        <v>40750000</v>
      </c>
      <c r="AB254" s="40">
        <v>46174</v>
      </c>
      <c r="AC254" s="36" t="s">
        <v>2196</v>
      </c>
      <c r="AD254" s="36" t="str">
        <f>VLOOKUP(D254,Oficial!A:C,3,0)</f>
        <v>Arrastre</v>
      </c>
    </row>
    <row r="255" spans="1:30" x14ac:dyDescent="0.25">
      <c r="A255" s="36" t="s">
        <v>27</v>
      </c>
      <c r="B255" s="36" t="s">
        <v>251</v>
      </c>
      <c r="C255" s="36" t="s">
        <v>28</v>
      </c>
      <c r="D255" s="36" t="s">
        <v>251</v>
      </c>
      <c r="E255" s="36" t="s">
        <v>30</v>
      </c>
      <c r="F255" s="36" t="s">
        <v>31</v>
      </c>
      <c r="G255" s="37" t="s">
        <v>252</v>
      </c>
      <c r="H255" s="36" t="s">
        <v>253</v>
      </c>
      <c r="I255" s="36" t="s">
        <v>254</v>
      </c>
      <c r="J255" s="36">
        <v>14</v>
      </c>
      <c r="K255" s="36" t="s">
        <v>272</v>
      </c>
      <c r="L255" s="36">
        <v>4</v>
      </c>
      <c r="M255" s="36">
        <v>100</v>
      </c>
      <c r="N255" s="38">
        <v>279000</v>
      </c>
      <c r="O255" s="39">
        <v>3487500</v>
      </c>
      <c r="P255" s="36">
        <v>8</v>
      </c>
      <c r="Q255" s="36" t="s">
        <v>273</v>
      </c>
      <c r="R255" s="36" t="s">
        <v>257</v>
      </c>
      <c r="S255" s="36" t="s">
        <v>258</v>
      </c>
      <c r="T255" s="36" t="s">
        <v>259</v>
      </c>
      <c r="U255" s="36" t="s">
        <v>260</v>
      </c>
      <c r="V255" s="40">
        <v>45717</v>
      </c>
      <c r="W255" s="40">
        <v>45889</v>
      </c>
      <c r="X255" s="36">
        <v>1</v>
      </c>
      <c r="Y255" s="36" t="s">
        <v>274</v>
      </c>
      <c r="Z255" s="36">
        <v>1</v>
      </c>
      <c r="AA255" s="36">
        <v>3487500</v>
      </c>
      <c r="AB255" s="40">
        <v>46235</v>
      </c>
      <c r="AC255" s="36" t="s">
        <v>2196</v>
      </c>
      <c r="AD255" s="36" t="str">
        <f>VLOOKUP(D255,Oficial!A:C,3,0)</f>
        <v>Arrastre</v>
      </c>
    </row>
    <row r="256" spans="1:30" x14ac:dyDescent="0.25">
      <c r="A256" s="36" t="s">
        <v>27</v>
      </c>
      <c r="B256" s="36" t="s">
        <v>251</v>
      </c>
      <c r="C256" s="36" t="s">
        <v>28</v>
      </c>
      <c r="D256" s="36" t="s">
        <v>251</v>
      </c>
      <c r="E256" s="36" t="s">
        <v>30</v>
      </c>
      <c r="F256" s="36" t="s">
        <v>31</v>
      </c>
      <c r="G256" s="37" t="s">
        <v>252</v>
      </c>
      <c r="H256" s="36" t="s">
        <v>253</v>
      </c>
      <c r="I256" s="36" t="s">
        <v>254</v>
      </c>
      <c r="J256" s="36">
        <v>14</v>
      </c>
      <c r="K256" s="36" t="s">
        <v>272</v>
      </c>
      <c r="L256" s="36">
        <v>4</v>
      </c>
      <c r="M256" s="36">
        <v>100</v>
      </c>
      <c r="N256" s="38">
        <v>279000</v>
      </c>
      <c r="O256" s="39">
        <v>3487500</v>
      </c>
      <c r="P256" s="36">
        <v>8</v>
      </c>
      <c r="Q256" s="36" t="s">
        <v>273</v>
      </c>
      <c r="R256" s="36" t="s">
        <v>257</v>
      </c>
      <c r="S256" s="36" t="s">
        <v>258</v>
      </c>
      <c r="T256" s="36" t="s">
        <v>259</v>
      </c>
      <c r="U256" s="36" t="s">
        <v>260</v>
      </c>
      <c r="V256" s="40">
        <v>45717</v>
      </c>
      <c r="W256" s="40">
        <v>45889</v>
      </c>
      <c r="X256" s="36">
        <v>1</v>
      </c>
      <c r="Y256" s="36" t="s">
        <v>274</v>
      </c>
      <c r="Z256" s="36">
        <v>1</v>
      </c>
      <c r="AA256" s="36">
        <v>3487500</v>
      </c>
      <c r="AB256" s="40">
        <v>46143</v>
      </c>
      <c r="AC256" s="36" t="s">
        <v>2196</v>
      </c>
      <c r="AD256" s="36" t="str">
        <f>VLOOKUP(D256,Oficial!A:C,3,0)</f>
        <v>Arrastre</v>
      </c>
    </row>
    <row r="257" spans="1:30" x14ac:dyDescent="0.25">
      <c r="A257" s="36" t="s">
        <v>27</v>
      </c>
      <c r="B257" s="36" t="s">
        <v>251</v>
      </c>
      <c r="C257" s="36" t="s">
        <v>28</v>
      </c>
      <c r="D257" s="36" t="s">
        <v>251</v>
      </c>
      <c r="E257" s="36" t="s">
        <v>30</v>
      </c>
      <c r="F257" s="36" t="s">
        <v>31</v>
      </c>
      <c r="G257" s="37" t="s">
        <v>252</v>
      </c>
      <c r="H257" s="36" t="s">
        <v>253</v>
      </c>
      <c r="I257" s="36" t="s">
        <v>254</v>
      </c>
      <c r="J257" s="36">
        <v>14</v>
      </c>
      <c r="K257" s="36" t="s">
        <v>272</v>
      </c>
      <c r="L257" s="36">
        <v>4</v>
      </c>
      <c r="M257" s="36">
        <v>100</v>
      </c>
      <c r="N257" s="38">
        <v>279000</v>
      </c>
      <c r="O257" s="39">
        <v>3487500</v>
      </c>
      <c r="P257" s="36">
        <v>8</v>
      </c>
      <c r="Q257" s="36" t="s">
        <v>273</v>
      </c>
      <c r="R257" s="36" t="s">
        <v>257</v>
      </c>
      <c r="S257" s="36" t="s">
        <v>258</v>
      </c>
      <c r="T257" s="36" t="s">
        <v>259</v>
      </c>
      <c r="U257" s="36" t="s">
        <v>260</v>
      </c>
      <c r="V257" s="40">
        <v>45717</v>
      </c>
      <c r="W257" s="40">
        <v>45889</v>
      </c>
      <c r="X257" s="36">
        <v>1</v>
      </c>
      <c r="Y257" s="36" t="s">
        <v>274</v>
      </c>
      <c r="Z257" s="36">
        <v>1</v>
      </c>
      <c r="AA257" s="36">
        <v>3487500</v>
      </c>
      <c r="AB257" s="40">
        <v>46113</v>
      </c>
      <c r="AC257" s="36" t="s">
        <v>2196</v>
      </c>
      <c r="AD257" s="36" t="str">
        <f>VLOOKUP(D257,Oficial!A:C,3,0)</f>
        <v>Arrastre</v>
      </c>
    </row>
    <row r="258" spans="1:30" x14ac:dyDescent="0.25">
      <c r="A258" s="36" t="s">
        <v>27</v>
      </c>
      <c r="B258" s="36" t="s">
        <v>251</v>
      </c>
      <c r="C258" s="36" t="s">
        <v>28</v>
      </c>
      <c r="D258" s="36" t="s">
        <v>251</v>
      </c>
      <c r="E258" s="36" t="s">
        <v>30</v>
      </c>
      <c r="F258" s="36" t="s">
        <v>31</v>
      </c>
      <c r="G258" s="37" t="s">
        <v>252</v>
      </c>
      <c r="H258" s="36" t="s">
        <v>253</v>
      </c>
      <c r="I258" s="36" t="s">
        <v>254</v>
      </c>
      <c r="J258" s="36">
        <v>14</v>
      </c>
      <c r="K258" s="36" t="s">
        <v>272</v>
      </c>
      <c r="L258" s="36">
        <v>4</v>
      </c>
      <c r="M258" s="36">
        <v>100</v>
      </c>
      <c r="N258" s="38">
        <v>279000</v>
      </c>
      <c r="O258" s="39">
        <v>3487500</v>
      </c>
      <c r="P258" s="36">
        <v>8</v>
      </c>
      <c r="Q258" s="36" t="s">
        <v>273</v>
      </c>
      <c r="R258" s="36" t="s">
        <v>257</v>
      </c>
      <c r="S258" s="36" t="s">
        <v>258</v>
      </c>
      <c r="T258" s="36" t="s">
        <v>259</v>
      </c>
      <c r="U258" s="36" t="s">
        <v>260</v>
      </c>
      <c r="V258" s="40">
        <v>45717</v>
      </c>
      <c r="W258" s="40">
        <v>45889</v>
      </c>
      <c r="X258" s="36">
        <v>1</v>
      </c>
      <c r="Y258" s="36" t="s">
        <v>274</v>
      </c>
      <c r="Z258" s="36">
        <v>1</v>
      </c>
      <c r="AA258" s="36">
        <v>3487500</v>
      </c>
      <c r="AB258" s="40">
        <v>46296</v>
      </c>
      <c r="AC258" s="36" t="s">
        <v>2196</v>
      </c>
      <c r="AD258" s="36" t="str">
        <f>VLOOKUP(D258,Oficial!A:C,3,0)</f>
        <v>Arrastre</v>
      </c>
    </row>
    <row r="259" spans="1:30" x14ac:dyDescent="0.25">
      <c r="A259" s="36" t="s">
        <v>27</v>
      </c>
      <c r="B259" s="36" t="s">
        <v>251</v>
      </c>
      <c r="C259" s="36" t="s">
        <v>28</v>
      </c>
      <c r="D259" s="36" t="s">
        <v>251</v>
      </c>
      <c r="E259" s="36" t="s">
        <v>30</v>
      </c>
      <c r="F259" s="36" t="s">
        <v>31</v>
      </c>
      <c r="G259" s="37" t="s">
        <v>252</v>
      </c>
      <c r="H259" s="36" t="s">
        <v>253</v>
      </c>
      <c r="I259" s="36" t="s">
        <v>254</v>
      </c>
      <c r="J259" s="36">
        <v>14</v>
      </c>
      <c r="K259" s="36" t="s">
        <v>275</v>
      </c>
      <c r="L259" s="36">
        <v>4</v>
      </c>
      <c r="M259" s="36">
        <v>100</v>
      </c>
      <c r="N259" s="38">
        <v>916000</v>
      </c>
      <c r="O259" s="39">
        <v>11450000</v>
      </c>
      <c r="P259" s="36">
        <v>8</v>
      </c>
      <c r="Q259" s="36" t="s">
        <v>276</v>
      </c>
      <c r="R259" s="36" t="s">
        <v>257</v>
      </c>
      <c r="S259" s="36" t="s">
        <v>258</v>
      </c>
      <c r="T259" s="36" t="s">
        <v>259</v>
      </c>
      <c r="U259" s="36" t="s">
        <v>260</v>
      </c>
      <c r="V259" s="40">
        <v>45717</v>
      </c>
      <c r="W259" s="40">
        <v>45889</v>
      </c>
      <c r="X259" s="36">
        <v>0</v>
      </c>
      <c r="Y259" s="36"/>
      <c r="Z259" s="36">
        <v>1</v>
      </c>
      <c r="AA259" s="36">
        <v>11450000</v>
      </c>
      <c r="AB259" s="40">
        <v>46235</v>
      </c>
      <c r="AC259" s="36" t="s">
        <v>2196</v>
      </c>
      <c r="AD259" s="36" t="str">
        <f>VLOOKUP(D259,Oficial!A:C,3,0)</f>
        <v>Arrastre</v>
      </c>
    </row>
    <row r="260" spans="1:30" x14ac:dyDescent="0.25">
      <c r="A260" s="36" t="s">
        <v>27</v>
      </c>
      <c r="B260" s="36" t="s">
        <v>251</v>
      </c>
      <c r="C260" s="36" t="s">
        <v>28</v>
      </c>
      <c r="D260" s="36" t="s">
        <v>251</v>
      </c>
      <c r="E260" s="36" t="s">
        <v>30</v>
      </c>
      <c r="F260" s="36" t="s">
        <v>31</v>
      </c>
      <c r="G260" s="37" t="s">
        <v>252</v>
      </c>
      <c r="H260" s="36" t="s">
        <v>253</v>
      </c>
      <c r="I260" s="36" t="s">
        <v>254</v>
      </c>
      <c r="J260" s="36">
        <v>14</v>
      </c>
      <c r="K260" s="36" t="s">
        <v>275</v>
      </c>
      <c r="L260" s="36">
        <v>4</v>
      </c>
      <c r="M260" s="36">
        <v>100</v>
      </c>
      <c r="N260" s="38">
        <v>916000</v>
      </c>
      <c r="O260" s="39">
        <v>11450000</v>
      </c>
      <c r="P260" s="36">
        <v>8</v>
      </c>
      <c r="Q260" s="36" t="s">
        <v>276</v>
      </c>
      <c r="R260" s="36" t="s">
        <v>257</v>
      </c>
      <c r="S260" s="36" t="s">
        <v>258</v>
      </c>
      <c r="T260" s="36" t="s">
        <v>259</v>
      </c>
      <c r="U260" s="36" t="s">
        <v>260</v>
      </c>
      <c r="V260" s="40">
        <v>45717</v>
      </c>
      <c r="W260" s="40">
        <v>45889</v>
      </c>
      <c r="X260" s="36">
        <v>0</v>
      </c>
      <c r="Y260" s="36"/>
      <c r="Z260" s="36">
        <v>1</v>
      </c>
      <c r="AA260" s="36">
        <v>11450000</v>
      </c>
      <c r="AB260" s="40">
        <v>46054</v>
      </c>
      <c r="AC260" s="36" t="s">
        <v>2196</v>
      </c>
      <c r="AD260" s="36" t="str">
        <f>VLOOKUP(D260,Oficial!A:C,3,0)</f>
        <v>Arrastre</v>
      </c>
    </row>
    <row r="261" spans="1:30" x14ac:dyDescent="0.25">
      <c r="A261" s="36" t="s">
        <v>27</v>
      </c>
      <c r="B261" s="36" t="s">
        <v>251</v>
      </c>
      <c r="C261" s="36" t="s">
        <v>28</v>
      </c>
      <c r="D261" s="36" t="s">
        <v>251</v>
      </c>
      <c r="E261" s="36" t="s">
        <v>30</v>
      </c>
      <c r="F261" s="36" t="s">
        <v>31</v>
      </c>
      <c r="G261" s="37" t="s">
        <v>252</v>
      </c>
      <c r="H261" s="36" t="s">
        <v>253</v>
      </c>
      <c r="I261" s="36" t="s">
        <v>254</v>
      </c>
      <c r="J261" s="36">
        <v>14</v>
      </c>
      <c r="K261" s="36" t="s">
        <v>275</v>
      </c>
      <c r="L261" s="36">
        <v>4</v>
      </c>
      <c r="M261" s="36">
        <v>100</v>
      </c>
      <c r="N261" s="38">
        <v>916000</v>
      </c>
      <c r="O261" s="39">
        <v>11450000</v>
      </c>
      <c r="P261" s="36">
        <v>8</v>
      </c>
      <c r="Q261" s="36" t="s">
        <v>276</v>
      </c>
      <c r="R261" s="36" t="s">
        <v>257</v>
      </c>
      <c r="S261" s="36" t="s">
        <v>258</v>
      </c>
      <c r="T261" s="36" t="s">
        <v>259</v>
      </c>
      <c r="U261" s="36" t="s">
        <v>260</v>
      </c>
      <c r="V261" s="40">
        <v>45717</v>
      </c>
      <c r="W261" s="40">
        <v>45889</v>
      </c>
      <c r="X261" s="36">
        <v>0</v>
      </c>
      <c r="Y261" s="36"/>
      <c r="Z261" s="36">
        <v>1</v>
      </c>
      <c r="AA261" s="36">
        <v>11450000</v>
      </c>
      <c r="AB261" s="40">
        <v>46143</v>
      </c>
      <c r="AC261" s="36" t="s">
        <v>2196</v>
      </c>
      <c r="AD261" s="36" t="str">
        <f>VLOOKUP(D261,Oficial!A:C,3,0)</f>
        <v>Arrastre</v>
      </c>
    </row>
    <row r="262" spans="1:30" x14ac:dyDescent="0.25">
      <c r="A262" s="36" t="s">
        <v>27</v>
      </c>
      <c r="B262" s="36" t="s">
        <v>251</v>
      </c>
      <c r="C262" s="36" t="s">
        <v>28</v>
      </c>
      <c r="D262" s="36" t="s">
        <v>251</v>
      </c>
      <c r="E262" s="36" t="s">
        <v>30</v>
      </c>
      <c r="F262" s="36" t="s">
        <v>31</v>
      </c>
      <c r="G262" s="37" t="s">
        <v>252</v>
      </c>
      <c r="H262" s="36" t="s">
        <v>253</v>
      </c>
      <c r="I262" s="36" t="s">
        <v>254</v>
      </c>
      <c r="J262" s="36">
        <v>14</v>
      </c>
      <c r="K262" s="36" t="s">
        <v>275</v>
      </c>
      <c r="L262" s="36">
        <v>4</v>
      </c>
      <c r="M262" s="36">
        <v>100</v>
      </c>
      <c r="N262" s="38">
        <v>916000</v>
      </c>
      <c r="O262" s="39">
        <v>11450000</v>
      </c>
      <c r="P262" s="36">
        <v>8</v>
      </c>
      <c r="Q262" s="36" t="s">
        <v>276</v>
      </c>
      <c r="R262" s="36" t="s">
        <v>257</v>
      </c>
      <c r="S262" s="36" t="s">
        <v>258</v>
      </c>
      <c r="T262" s="36" t="s">
        <v>259</v>
      </c>
      <c r="U262" s="36" t="s">
        <v>260</v>
      </c>
      <c r="V262" s="40">
        <v>45717</v>
      </c>
      <c r="W262" s="40">
        <v>45889</v>
      </c>
      <c r="X262" s="36">
        <v>0</v>
      </c>
      <c r="Y262" s="36"/>
      <c r="Z262" s="36">
        <v>1</v>
      </c>
      <c r="AA262" s="36">
        <v>11450000</v>
      </c>
      <c r="AB262" s="40">
        <v>46327</v>
      </c>
      <c r="AC262" s="36" t="s">
        <v>2196</v>
      </c>
      <c r="AD262" s="36" t="str">
        <f>VLOOKUP(D262,Oficial!A:C,3,0)</f>
        <v>Arrastre</v>
      </c>
    </row>
    <row r="263" spans="1:30" x14ac:dyDescent="0.25">
      <c r="A263" s="36" t="s">
        <v>27</v>
      </c>
      <c r="B263" s="36" t="s">
        <v>251</v>
      </c>
      <c r="C263" s="36" t="s">
        <v>28</v>
      </c>
      <c r="D263" s="36" t="s">
        <v>251</v>
      </c>
      <c r="E263" s="36" t="s">
        <v>30</v>
      </c>
      <c r="F263" s="36" t="s">
        <v>31</v>
      </c>
      <c r="G263" s="37" t="s">
        <v>252</v>
      </c>
      <c r="H263" s="36" t="s">
        <v>253</v>
      </c>
      <c r="I263" s="36" t="s">
        <v>254</v>
      </c>
      <c r="J263" s="36">
        <v>14</v>
      </c>
      <c r="K263" s="36" t="s">
        <v>277</v>
      </c>
      <c r="L263" s="36">
        <v>4</v>
      </c>
      <c r="M263" s="36">
        <v>100</v>
      </c>
      <c r="N263" s="38">
        <v>425600</v>
      </c>
      <c r="O263" s="39">
        <v>1773333</v>
      </c>
      <c r="P263" s="36">
        <v>24</v>
      </c>
      <c r="Q263" s="36" t="s">
        <v>278</v>
      </c>
      <c r="R263" s="36" t="s">
        <v>257</v>
      </c>
      <c r="S263" s="36" t="s">
        <v>258</v>
      </c>
      <c r="T263" s="36" t="s">
        <v>259</v>
      </c>
      <c r="U263" s="36" t="s">
        <v>260</v>
      </c>
      <c r="V263" s="40">
        <v>45717</v>
      </c>
      <c r="W263" s="40">
        <v>45889</v>
      </c>
      <c r="X263" s="36">
        <v>2</v>
      </c>
      <c r="Y263" s="36" t="s">
        <v>279</v>
      </c>
      <c r="Z263" s="36">
        <v>1</v>
      </c>
      <c r="AA263" s="36">
        <v>1773333</v>
      </c>
      <c r="AB263" s="40">
        <v>46235</v>
      </c>
      <c r="AC263" s="36" t="s">
        <v>2196</v>
      </c>
      <c r="AD263" s="36" t="str">
        <f>VLOOKUP(D263,Oficial!A:C,3,0)</f>
        <v>Arrastre</v>
      </c>
    </row>
    <row r="264" spans="1:30" x14ac:dyDescent="0.25">
      <c r="A264" s="36" t="s">
        <v>27</v>
      </c>
      <c r="B264" s="36" t="s">
        <v>251</v>
      </c>
      <c r="C264" s="36" t="s">
        <v>28</v>
      </c>
      <c r="D264" s="36" t="s">
        <v>251</v>
      </c>
      <c r="E264" s="36" t="s">
        <v>30</v>
      </c>
      <c r="F264" s="36" t="s">
        <v>31</v>
      </c>
      <c r="G264" s="37" t="s">
        <v>252</v>
      </c>
      <c r="H264" s="36" t="s">
        <v>253</v>
      </c>
      <c r="I264" s="36" t="s">
        <v>254</v>
      </c>
      <c r="J264" s="36">
        <v>14</v>
      </c>
      <c r="K264" s="36" t="s">
        <v>277</v>
      </c>
      <c r="L264" s="36">
        <v>4</v>
      </c>
      <c r="M264" s="36">
        <v>100</v>
      </c>
      <c r="N264" s="38">
        <v>425600</v>
      </c>
      <c r="O264" s="39">
        <v>1773333</v>
      </c>
      <c r="P264" s="36">
        <v>24</v>
      </c>
      <c r="Q264" s="36" t="s">
        <v>278</v>
      </c>
      <c r="R264" s="36" t="s">
        <v>257</v>
      </c>
      <c r="S264" s="36" t="s">
        <v>258</v>
      </c>
      <c r="T264" s="36" t="s">
        <v>259</v>
      </c>
      <c r="U264" s="36" t="s">
        <v>260</v>
      </c>
      <c r="V264" s="40">
        <v>45717</v>
      </c>
      <c r="W264" s="40">
        <v>45889</v>
      </c>
      <c r="X264" s="36">
        <v>2</v>
      </c>
      <c r="Y264" s="36" t="s">
        <v>280</v>
      </c>
      <c r="Z264" s="36">
        <v>1</v>
      </c>
      <c r="AA264" s="36">
        <v>1773333</v>
      </c>
      <c r="AB264" s="40">
        <v>46023</v>
      </c>
      <c r="AC264" s="36" t="s">
        <v>2196</v>
      </c>
      <c r="AD264" s="36" t="str">
        <f>VLOOKUP(D264,Oficial!A:C,3,0)</f>
        <v>Arrastre</v>
      </c>
    </row>
    <row r="265" spans="1:30" x14ac:dyDescent="0.25">
      <c r="A265" s="36" t="s">
        <v>27</v>
      </c>
      <c r="B265" s="36" t="s">
        <v>251</v>
      </c>
      <c r="C265" s="36" t="s">
        <v>28</v>
      </c>
      <c r="D265" s="36" t="s">
        <v>251</v>
      </c>
      <c r="E265" s="36" t="s">
        <v>30</v>
      </c>
      <c r="F265" s="36" t="s">
        <v>31</v>
      </c>
      <c r="G265" s="37" t="s">
        <v>252</v>
      </c>
      <c r="H265" s="36" t="s">
        <v>253</v>
      </c>
      <c r="I265" s="36" t="s">
        <v>254</v>
      </c>
      <c r="J265" s="36">
        <v>14</v>
      </c>
      <c r="K265" s="36" t="s">
        <v>277</v>
      </c>
      <c r="L265" s="36">
        <v>4</v>
      </c>
      <c r="M265" s="36">
        <v>100</v>
      </c>
      <c r="N265" s="38">
        <v>425600</v>
      </c>
      <c r="O265" s="39">
        <v>1773333</v>
      </c>
      <c r="P265" s="36">
        <v>24</v>
      </c>
      <c r="Q265" s="36" t="s">
        <v>278</v>
      </c>
      <c r="R265" s="36" t="s">
        <v>257</v>
      </c>
      <c r="S265" s="36" t="s">
        <v>258</v>
      </c>
      <c r="T265" s="36" t="s">
        <v>259</v>
      </c>
      <c r="U265" s="36" t="s">
        <v>260</v>
      </c>
      <c r="V265" s="40">
        <v>45717</v>
      </c>
      <c r="W265" s="40">
        <v>45889</v>
      </c>
      <c r="X265" s="36">
        <v>2</v>
      </c>
      <c r="Y265" s="36" t="s">
        <v>280</v>
      </c>
      <c r="Z265" s="36">
        <v>1</v>
      </c>
      <c r="AA265" s="36">
        <v>1773333</v>
      </c>
      <c r="AB265" s="40">
        <v>46113</v>
      </c>
      <c r="AC265" s="36" t="s">
        <v>2196</v>
      </c>
      <c r="AD265" s="36" t="str">
        <f>VLOOKUP(D265,Oficial!A:C,3,0)</f>
        <v>Arrastre</v>
      </c>
    </row>
    <row r="266" spans="1:30" x14ac:dyDescent="0.25">
      <c r="A266" s="36" t="s">
        <v>27</v>
      </c>
      <c r="B266" s="36" t="s">
        <v>251</v>
      </c>
      <c r="C266" s="36" t="s">
        <v>28</v>
      </c>
      <c r="D266" s="36" t="s">
        <v>251</v>
      </c>
      <c r="E266" s="36" t="s">
        <v>30</v>
      </c>
      <c r="F266" s="36" t="s">
        <v>31</v>
      </c>
      <c r="G266" s="37" t="s">
        <v>252</v>
      </c>
      <c r="H266" s="36" t="s">
        <v>253</v>
      </c>
      <c r="I266" s="36" t="s">
        <v>254</v>
      </c>
      <c r="J266" s="36">
        <v>14</v>
      </c>
      <c r="K266" s="36" t="s">
        <v>277</v>
      </c>
      <c r="L266" s="36">
        <v>4</v>
      </c>
      <c r="M266" s="36">
        <v>100</v>
      </c>
      <c r="N266" s="38">
        <v>425600</v>
      </c>
      <c r="O266" s="39">
        <v>1773333</v>
      </c>
      <c r="P266" s="36">
        <v>24</v>
      </c>
      <c r="Q266" s="36" t="s">
        <v>278</v>
      </c>
      <c r="R266" s="36" t="s">
        <v>257</v>
      </c>
      <c r="S266" s="36" t="s">
        <v>258</v>
      </c>
      <c r="T266" s="36" t="s">
        <v>259</v>
      </c>
      <c r="U266" s="36" t="s">
        <v>260</v>
      </c>
      <c r="V266" s="40">
        <v>45717</v>
      </c>
      <c r="W266" s="40">
        <v>45889</v>
      </c>
      <c r="X266" s="36">
        <v>2</v>
      </c>
      <c r="Y266" s="36" t="s">
        <v>280</v>
      </c>
      <c r="Z266" s="36">
        <v>1</v>
      </c>
      <c r="AA266" s="36">
        <v>1773333</v>
      </c>
      <c r="AB266" s="40">
        <v>46054</v>
      </c>
      <c r="AC266" s="36" t="s">
        <v>2196</v>
      </c>
      <c r="AD266" s="36" t="str">
        <f>VLOOKUP(D266,Oficial!A:C,3,0)</f>
        <v>Arrastre</v>
      </c>
    </row>
    <row r="267" spans="1:30" x14ac:dyDescent="0.25">
      <c r="A267" s="36" t="s">
        <v>27</v>
      </c>
      <c r="B267" s="36" t="s">
        <v>251</v>
      </c>
      <c r="C267" s="36" t="s">
        <v>28</v>
      </c>
      <c r="D267" s="36" t="s">
        <v>251</v>
      </c>
      <c r="E267" s="36" t="s">
        <v>30</v>
      </c>
      <c r="F267" s="36" t="s">
        <v>31</v>
      </c>
      <c r="G267" s="37" t="s">
        <v>252</v>
      </c>
      <c r="H267" s="36" t="s">
        <v>253</v>
      </c>
      <c r="I267" s="36" t="s">
        <v>254</v>
      </c>
      <c r="J267" s="36">
        <v>14</v>
      </c>
      <c r="K267" s="36" t="s">
        <v>277</v>
      </c>
      <c r="L267" s="36">
        <v>4</v>
      </c>
      <c r="M267" s="36">
        <v>100</v>
      </c>
      <c r="N267" s="38">
        <v>425600</v>
      </c>
      <c r="O267" s="39">
        <v>1773333</v>
      </c>
      <c r="P267" s="36">
        <v>24</v>
      </c>
      <c r="Q267" s="36" t="s">
        <v>278</v>
      </c>
      <c r="R267" s="36" t="s">
        <v>257</v>
      </c>
      <c r="S267" s="36" t="s">
        <v>258</v>
      </c>
      <c r="T267" s="36" t="s">
        <v>259</v>
      </c>
      <c r="U267" s="36" t="s">
        <v>260</v>
      </c>
      <c r="V267" s="40">
        <v>45717</v>
      </c>
      <c r="W267" s="40">
        <v>45889</v>
      </c>
      <c r="X267" s="36">
        <v>2</v>
      </c>
      <c r="Y267" s="36" t="s">
        <v>280</v>
      </c>
      <c r="Z267" s="36">
        <v>1</v>
      </c>
      <c r="AA267" s="36">
        <v>1773333</v>
      </c>
      <c r="AB267" s="40">
        <v>46174</v>
      </c>
      <c r="AC267" s="36" t="s">
        <v>2196</v>
      </c>
      <c r="AD267" s="36" t="str">
        <f>VLOOKUP(D267,Oficial!A:C,3,0)</f>
        <v>Arrastre</v>
      </c>
    </row>
    <row r="268" spans="1:30" x14ac:dyDescent="0.25">
      <c r="A268" s="36" t="s">
        <v>27</v>
      </c>
      <c r="B268" s="36" t="s">
        <v>251</v>
      </c>
      <c r="C268" s="36" t="s">
        <v>28</v>
      </c>
      <c r="D268" s="36" t="s">
        <v>251</v>
      </c>
      <c r="E268" s="36" t="s">
        <v>30</v>
      </c>
      <c r="F268" s="36" t="s">
        <v>31</v>
      </c>
      <c r="G268" s="37" t="s">
        <v>252</v>
      </c>
      <c r="H268" s="36" t="s">
        <v>253</v>
      </c>
      <c r="I268" s="36" t="s">
        <v>254</v>
      </c>
      <c r="J268" s="36">
        <v>14</v>
      </c>
      <c r="K268" s="36" t="s">
        <v>277</v>
      </c>
      <c r="L268" s="36">
        <v>4</v>
      </c>
      <c r="M268" s="36">
        <v>100</v>
      </c>
      <c r="N268" s="38">
        <v>425600</v>
      </c>
      <c r="O268" s="39">
        <v>1773333</v>
      </c>
      <c r="P268" s="36">
        <v>24</v>
      </c>
      <c r="Q268" s="36" t="s">
        <v>278</v>
      </c>
      <c r="R268" s="36" t="s">
        <v>257</v>
      </c>
      <c r="S268" s="36" t="s">
        <v>258</v>
      </c>
      <c r="T268" s="36" t="s">
        <v>259</v>
      </c>
      <c r="U268" s="36" t="s">
        <v>260</v>
      </c>
      <c r="V268" s="40">
        <v>45717</v>
      </c>
      <c r="W268" s="40">
        <v>45889</v>
      </c>
      <c r="X268" s="36">
        <v>2</v>
      </c>
      <c r="Y268" s="36" t="s">
        <v>279</v>
      </c>
      <c r="Z268" s="36">
        <v>1</v>
      </c>
      <c r="AA268" s="36">
        <v>1773333</v>
      </c>
      <c r="AB268" s="40">
        <v>46082</v>
      </c>
      <c r="AC268" s="36" t="s">
        <v>2196</v>
      </c>
      <c r="AD268" s="36" t="str">
        <f>VLOOKUP(D268,Oficial!A:C,3,0)</f>
        <v>Arrastre</v>
      </c>
    </row>
    <row r="269" spans="1:30" x14ac:dyDescent="0.25">
      <c r="A269" s="36" t="s">
        <v>27</v>
      </c>
      <c r="B269" s="36" t="s">
        <v>251</v>
      </c>
      <c r="C269" s="36" t="s">
        <v>28</v>
      </c>
      <c r="D269" s="36" t="s">
        <v>251</v>
      </c>
      <c r="E269" s="36" t="s">
        <v>30</v>
      </c>
      <c r="F269" s="36" t="s">
        <v>31</v>
      </c>
      <c r="G269" s="37" t="s">
        <v>252</v>
      </c>
      <c r="H269" s="36" t="s">
        <v>253</v>
      </c>
      <c r="I269" s="36" t="s">
        <v>254</v>
      </c>
      <c r="J269" s="36">
        <v>14</v>
      </c>
      <c r="K269" s="36" t="s">
        <v>277</v>
      </c>
      <c r="L269" s="36">
        <v>4</v>
      </c>
      <c r="M269" s="36">
        <v>100</v>
      </c>
      <c r="N269" s="38">
        <v>425600</v>
      </c>
      <c r="O269" s="39">
        <v>1773333</v>
      </c>
      <c r="P269" s="36">
        <v>24</v>
      </c>
      <c r="Q269" s="36" t="s">
        <v>278</v>
      </c>
      <c r="R269" s="36" t="s">
        <v>257</v>
      </c>
      <c r="S269" s="36" t="s">
        <v>258</v>
      </c>
      <c r="T269" s="36" t="s">
        <v>259</v>
      </c>
      <c r="U269" s="36" t="s">
        <v>260</v>
      </c>
      <c r="V269" s="40">
        <v>45717</v>
      </c>
      <c r="W269" s="40">
        <v>45889</v>
      </c>
      <c r="X269" s="36">
        <v>2</v>
      </c>
      <c r="Y269" s="36" t="s">
        <v>279</v>
      </c>
      <c r="Z269" s="36">
        <v>1</v>
      </c>
      <c r="AA269" s="36">
        <v>1773333</v>
      </c>
      <c r="AB269" s="40">
        <v>46204</v>
      </c>
      <c r="AC269" s="36" t="s">
        <v>2196</v>
      </c>
      <c r="AD269" s="36" t="str">
        <f>VLOOKUP(D269,Oficial!A:C,3,0)</f>
        <v>Arrastre</v>
      </c>
    </row>
    <row r="270" spans="1:30" x14ac:dyDescent="0.25">
      <c r="A270" s="36" t="s">
        <v>27</v>
      </c>
      <c r="B270" s="36" t="s">
        <v>251</v>
      </c>
      <c r="C270" s="36" t="s">
        <v>28</v>
      </c>
      <c r="D270" s="36" t="s">
        <v>251</v>
      </c>
      <c r="E270" s="36" t="s">
        <v>30</v>
      </c>
      <c r="F270" s="36" t="s">
        <v>31</v>
      </c>
      <c r="G270" s="37" t="s">
        <v>252</v>
      </c>
      <c r="H270" s="36" t="s">
        <v>253</v>
      </c>
      <c r="I270" s="36" t="s">
        <v>254</v>
      </c>
      <c r="J270" s="36">
        <v>14</v>
      </c>
      <c r="K270" s="36" t="s">
        <v>277</v>
      </c>
      <c r="L270" s="36">
        <v>4</v>
      </c>
      <c r="M270" s="36">
        <v>100</v>
      </c>
      <c r="N270" s="38">
        <v>425600</v>
      </c>
      <c r="O270" s="39">
        <v>1773333</v>
      </c>
      <c r="P270" s="36">
        <v>24</v>
      </c>
      <c r="Q270" s="36" t="s">
        <v>278</v>
      </c>
      <c r="R270" s="36" t="s">
        <v>257</v>
      </c>
      <c r="S270" s="36" t="s">
        <v>258</v>
      </c>
      <c r="T270" s="36" t="s">
        <v>259</v>
      </c>
      <c r="U270" s="36" t="s">
        <v>260</v>
      </c>
      <c r="V270" s="40">
        <v>45717</v>
      </c>
      <c r="W270" s="40">
        <v>45889</v>
      </c>
      <c r="X270" s="36">
        <v>2</v>
      </c>
      <c r="Y270" s="36" t="s">
        <v>279</v>
      </c>
      <c r="Z270" s="36">
        <v>1</v>
      </c>
      <c r="AA270" s="36">
        <v>1773333</v>
      </c>
      <c r="AB270" s="40">
        <v>46023</v>
      </c>
      <c r="AC270" s="36" t="s">
        <v>2196</v>
      </c>
      <c r="AD270" s="36" t="str">
        <f>VLOOKUP(D270,Oficial!A:C,3,0)</f>
        <v>Arrastre</v>
      </c>
    </row>
    <row r="271" spans="1:30" x14ac:dyDescent="0.25">
      <c r="A271" s="36" t="s">
        <v>27</v>
      </c>
      <c r="B271" s="36" t="s">
        <v>251</v>
      </c>
      <c r="C271" s="36" t="s">
        <v>28</v>
      </c>
      <c r="D271" s="36" t="s">
        <v>251</v>
      </c>
      <c r="E271" s="36" t="s">
        <v>30</v>
      </c>
      <c r="F271" s="36" t="s">
        <v>31</v>
      </c>
      <c r="G271" s="37" t="s">
        <v>252</v>
      </c>
      <c r="H271" s="36" t="s">
        <v>253</v>
      </c>
      <c r="I271" s="36" t="s">
        <v>254</v>
      </c>
      <c r="J271" s="36">
        <v>14</v>
      </c>
      <c r="K271" s="36" t="s">
        <v>277</v>
      </c>
      <c r="L271" s="36">
        <v>4</v>
      </c>
      <c r="M271" s="36">
        <v>100</v>
      </c>
      <c r="N271" s="38">
        <v>425600</v>
      </c>
      <c r="O271" s="39">
        <v>1773333</v>
      </c>
      <c r="P271" s="36">
        <v>24</v>
      </c>
      <c r="Q271" s="36" t="s">
        <v>278</v>
      </c>
      <c r="R271" s="36" t="s">
        <v>257</v>
      </c>
      <c r="S271" s="36" t="s">
        <v>258</v>
      </c>
      <c r="T271" s="36" t="s">
        <v>259</v>
      </c>
      <c r="U271" s="36" t="s">
        <v>260</v>
      </c>
      <c r="V271" s="40">
        <v>45717</v>
      </c>
      <c r="W271" s="40">
        <v>45889</v>
      </c>
      <c r="X271" s="36">
        <v>2</v>
      </c>
      <c r="Y271" s="36" t="s">
        <v>279</v>
      </c>
      <c r="Z271" s="36">
        <v>1</v>
      </c>
      <c r="AA271" s="36">
        <v>1773333</v>
      </c>
      <c r="AB271" s="40">
        <v>46143</v>
      </c>
      <c r="AC271" s="36" t="s">
        <v>2196</v>
      </c>
      <c r="AD271" s="36" t="str">
        <f>VLOOKUP(D271,Oficial!A:C,3,0)</f>
        <v>Arrastre</v>
      </c>
    </row>
    <row r="272" spans="1:30" x14ac:dyDescent="0.25">
      <c r="A272" s="36" t="s">
        <v>27</v>
      </c>
      <c r="B272" s="36" t="s">
        <v>251</v>
      </c>
      <c r="C272" s="36" t="s">
        <v>28</v>
      </c>
      <c r="D272" s="36" t="s">
        <v>251</v>
      </c>
      <c r="E272" s="36" t="s">
        <v>30</v>
      </c>
      <c r="F272" s="36" t="s">
        <v>31</v>
      </c>
      <c r="G272" s="37" t="s">
        <v>252</v>
      </c>
      <c r="H272" s="36" t="s">
        <v>253</v>
      </c>
      <c r="I272" s="36" t="s">
        <v>254</v>
      </c>
      <c r="J272" s="36">
        <v>14</v>
      </c>
      <c r="K272" s="36" t="s">
        <v>277</v>
      </c>
      <c r="L272" s="36">
        <v>4</v>
      </c>
      <c r="M272" s="36">
        <v>100</v>
      </c>
      <c r="N272" s="38">
        <v>425600</v>
      </c>
      <c r="O272" s="39">
        <v>1773333</v>
      </c>
      <c r="P272" s="36">
        <v>24</v>
      </c>
      <c r="Q272" s="36" t="s">
        <v>278</v>
      </c>
      <c r="R272" s="36" t="s">
        <v>257</v>
      </c>
      <c r="S272" s="36" t="s">
        <v>258</v>
      </c>
      <c r="T272" s="36" t="s">
        <v>259</v>
      </c>
      <c r="U272" s="36" t="s">
        <v>260</v>
      </c>
      <c r="V272" s="40">
        <v>45717</v>
      </c>
      <c r="W272" s="40">
        <v>45889</v>
      </c>
      <c r="X272" s="36">
        <v>2</v>
      </c>
      <c r="Y272" s="36" t="s">
        <v>279</v>
      </c>
      <c r="Z272" s="36">
        <v>1</v>
      </c>
      <c r="AA272" s="36">
        <v>1773333</v>
      </c>
      <c r="AB272" s="40">
        <v>46174</v>
      </c>
      <c r="AC272" s="36" t="s">
        <v>2196</v>
      </c>
      <c r="AD272" s="36" t="str">
        <f>VLOOKUP(D272,Oficial!A:C,3,0)</f>
        <v>Arrastre</v>
      </c>
    </row>
    <row r="273" spans="1:30" x14ac:dyDescent="0.25">
      <c r="A273" s="36" t="s">
        <v>27</v>
      </c>
      <c r="B273" s="36" t="s">
        <v>251</v>
      </c>
      <c r="C273" s="36" t="s">
        <v>28</v>
      </c>
      <c r="D273" s="36" t="s">
        <v>251</v>
      </c>
      <c r="E273" s="36" t="s">
        <v>30</v>
      </c>
      <c r="F273" s="36" t="s">
        <v>31</v>
      </c>
      <c r="G273" s="37" t="s">
        <v>252</v>
      </c>
      <c r="H273" s="36" t="s">
        <v>253</v>
      </c>
      <c r="I273" s="36" t="s">
        <v>254</v>
      </c>
      <c r="J273" s="36">
        <v>14</v>
      </c>
      <c r="K273" s="36" t="s">
        <v>277</v>
      </c>
      <c r="L273" s="36">
        <v>4</v>
      </c>
      <c r="M273" s="36">
        <v>100</v>
      </c>
      <c r="N273" s="38">
        <v>425600</v>
      </c>
      <c r="O273" s="39">
        <v>1773333</v>
      </c>
      <c r="P273" s="36">
        <v>24</v>
      </c>
      <c r="Q273" s="36" t="s">
        <v>278</v>
      </c>
      <c r="R273" s="36" t="s">
        <v>257</v>
      </c>
      <c r="S273" s="36" t="s">
        <v>258</v>
      </c>
      <c r="T273" s="36" t="s">
        <v>259</v>
      </c>
      <c r="U273" s="36" t="s">
        <v>260</v>
      </c>
      <c r="V273" s="40">
        <v>45717</v>
      </c>
      <c r="W273" s="40">
        <v>45889</v>
      </c>
      <c r="X273" s="36">
        <v>2</v>
      </c>
      <c r="Y273" s="36" t="s">
        <v>279</v>
      </c>
      <c r="Z273" s="36">
        <v>1</v>
      </c>
      <c r="AA273" s="36">
        <v>1773333</v>
      </c>
      <c r="AB273" s="40">
        <v>46357</v>
      </c>
      <c r="AC273" s="36" t="s">
        <v>2196</v>
      </c>
      <c r="AD273" s="36" t="str">
        <f>VLOOKUP(D273,Oficial!A:C,3,0)</f>
        <v>Arrastre</v>
      </c>
    </row>
    <row r="274" spans="1:30" x14ac:dyDescent="0.25">
      <c r="A274" s="36" t="s">
        <v>27</v>
      </c>
      <c r="B274" s="36" t="s">
        <v>251</v>
      </c>
      <c r="C274" s="36" t="s">
        <v>28</v>
      </c>
      <c r="D274" s="36" t="s">
        <v>251</v>
      </c>
      <c r="E274" s="36" t="s">
        <v>30</v>
      </c>
      <c r="F274" s="36" t="s">
        <v>31</v>
      </c>
      <c r="G274" s="37" t="s">
        <v>252</v>
      </c>
      <c r="H274" s="36" t="s">
        <v>253</v>
      </c>
      <c r="I274" s="36" t="s">
        <v>254</v>
      </c>
      <c r="J274" s="36">
        <v>14</v>
      </c>
      <c r="K274" s="36" t="s">
        <v>277</v>
      </c>
      <c r="L274" s="36">
        <v>4</v>
      </c>
      <c r="M274" s="36">
        <v>100</v>
      </c>
      <c r="N274" s="38">
        <v>425600</v>
      </c>
      <c r="O274" s="39">
        <v>1773333</v>
      </c>
      <c r="P274" s="36">
        <v>24</v>
      </c>
      <c r="Q274" s="36" t="s">
        <v>278</v>
      </c>
      <c r="R274" s="36" t="s">
        <v>257</v>
      </c>
      <c r="S274" s="36" t="s">
        <v>258</v>
      </c>
      <c r="T274" s="36" t="s">
        <v>259</v>
      </c>
      <c r="U274" s="36" t="s">
        <v>260</v>
      </c>
      <c r="V274" s="40">
        <v>45717</v>
      </c>
      <c r="W274" s="40">
        <v>45889</v>
      </c>
      <c r="X274" s="36">
        <v>2</v>
      </c>
      <c r="Y274" s="36" t="s">
        <v>279</v>
      </c>
      <c r="Z274" s="36">
        <v>1</v>
      </c>
      <c r="AA274" s="36">
        <v>1773333</v>
      </c>
      <c r="AB274" s="40">
        <v>46113</v>
      </c>
      <c r="AC274" s="36" t="s">
        <v>2196</v>
      </c>
      <c r="AD274" s="36" t="str">
        <f>VLOOKUP(D274,Oficial!A:C,3,0)</f>
        <v>Arrastre</v>
      </c>
    </row>
    <row r="275" spans="1:30" x14ac:dyDescent="0.25">
      <c r="A275" s="36" t="s">
        <v>27</v>
      </c>
      <c r="B275" s="36" t="s">
        <v>251</v>
      </c>
      <c r="C275" s="36" t="s">
        <v>28</v>
      </c>
      <c r="D275" s="36" t="s">
        <v>251</v>
      </c>
      <c r="E275" s="36" t="s">
        <v>30</v>
      </c>
      <c r="F275" s="36" t="s">
        <v>31</v>
      </c>
      <c r="G275" s="37" t="s">
        <v>252</v>
      </c>
      <c r="H275" s="36" t="s">
        <v>253</v>
      </c>
      <c r="I275" s="36" t="s">
        <v>254</v>
      </c>
      <c r="J275" s="36">
        <v>14</v>
      </c>
      <c r="K275" s="36" t="s">
        <v>281</v>
      </c>
      <c r="L275" s="36">
        <v>4</v>
      </c>
      <c r="M275" s="36">
        <v>100</v>
      </c>
      <c r="N275" s="38">
        <v>4500</v>
      </c>
      <c r="O275" s="39">
        <v>225000</v>
      </c>
      <c r="P275" s="36">
        <v>2</v>
      </c>
      <c r="Q275" s="36" t="s">
        <v>282</v>
      </c>
      <c r="R275" s="36" t="s">
        <v>257</v>
      </c>
      <c r="S275" s="36" t="s">
        <v>258</v>
      </c>
      <c r="T275" s="36" t="s">
        <v>259</v>
      </c>
      <c r="U275" s="36" t="s">
        <v>260</v>
      </c>
      <c r="V275" s="40">
        <v>45809</v>
      </c>
      <c r="W275" s="40">
        <v>45889</v>
      </c>
      <c r="X275" s="36">
        <v>1</v>
      </c>
      <c r="Y275" s="36" t="s">
        <v>283</v>
      </c>
      <c r="Z275" s="36">
        <v>1</v>
      </c>
      <c r="AA275" s="36">
        <v>225000</v>
      </c>
      <c r="AB275" s="40">
        <v>46082</v>
      </c>
      <c r="AC275" s="36" t="s">
        <v>2196</v>
      </c>
      <c r="AD275" s="36" t="str">
        <f>VLOOKUP(D275,Oficial!A:C,3,0)</f>
        <v>Arrastre</v>
      </c>
    </row>
    <row r="276" spans="1:30" x14ac:dyDescent="0.25">
      <c r="A276" s="36" t="s">
        <v>27</v>
      </c>
      <c r="B276" s="36" t="s">
        <v>284</v>
      </c>
      <c r="C276" s="36" t="s">
        <v>28</v>
      </c>
      <c r="D276" s="36" t="s">
        <v>284</v>
      </c>
      <c r="E276" s="36" t="s">
        <v>45</v>
      </c>
      <c r="F276" s="36" t="s">
        <v>31</v>
      </c>
      <c r="G276" s="37" t="s">
        <v>285</v>
      </c>
      <c r="H276" s="36" t="s">
        <v>286</v>
      </c>
      <c r="I276" s="36" t="s">
        <v>287</v>
      </c>
      <c r="J276" s="36">
        <v>1</v>
      </c>
      <c r="K276" s="36" t="s">
        <v>288</v>
      </c>
      <c r="L276" s="36">
        <v>4</v>
      </c>
      <c r="M276" s="36">
        <v>1</v>
      </c>
      <c r="N276" s="38">
        <v>150000000</v>
      </c>
      <c r="O276" s="44">
        <v>6250000</v>
      </c>
      <c r="P276" s="36">
        <v>24</v>
      </c>
      <c r="Q276" s="36" t="s">
        <v>289</v>
      </c>
      <c r="R276" s="36" t="s">
        <v>290</v>
      </c>
      <c r="S276" s="36" t="s">
        <v>291</v>
      </c>
      <c r="T276" s="36" t="s">
        <v>292</v>
      </c>
      <c r="U276" s="36" t="s">
        <v>293</v>
      </c>
      <c r="V276" s="40">
        <v>45748</v>
      </c>
      <c r="W276" s="40">
        <v>45889</v>
      </c>
      <c r="X276" s="36">
        <v>12</v>
      </c>
      <c r="Y276" s="36" t="s">
        <v>294</v>
      </c>
      <c r="Z276" s="36">
        <v>1</v>
      </c>
      <c r="AA276" s="36">
        <v>6250000</v>
      </c>
      <c r="AB276" s="40">
        <v>46266</v>
      </c>
      <c r="AC276" s="36" t="s">
        <v>2196</v>
      </c>
      <c r="AD276" s="36" t="str">
        <f>VLOOKUP(D276,Oficial!A:C,3,0)</f>
        <v>Arrastre</v>
      </c>
    </row>
    <row r="277" spans="1:30" x14ac:dyDescent="0.25">
      <c r="A277" s="36" t="s">
        <v>27</v>
      </c>
      <c r="B277" s="36" t="s">
        <v>284</v>
      </c>
      <c r="C277" s="36" t="s">
        <v>28</v>
      </c>
      <c r="D277" s="36" t="s">
        <v>284</v>
      </c>
      <c r="E277" s="36" t="s">
        <v>45</v>
      </c>
      <c r="F277" s="36" t="s">
        <v>31</v>
      </c>
      <c r="G277" s="37" t="s">
        <v>285</v>
      </c>
      <c r="H277" s="36" t="s">
        <v>286</v>
      </c>
      <c r="I277" s="36" t="s">
        <v>287</v>
      </c>
      <c r="J277" s="36">
        <v>1</v>
      </c>
      <c r="K277" s="36" t="s">
        <v>288</v>
      </c>
      <c r="L277" s="36">
        <v>4</v>
      </c>
      <c r="M277" s="36">
        <v>1</v>
      </c>
      <c r="N277" s="38">
        <v>150000000</v>
      </c>
      <c r="O277" s="44">
        <v>6250000</v>
      </c>
      <c r="P277" s="36">
        <v>24</v>
      </c>
      <c r="Q277" s="36" t="s">
        <v>289</v>
      </c>
      <c r="R277" s="36" t="s">
        <v>290</v>
      </c>
      <c r="S277" s="36" t="s">
        <v>291</v>
      </c>
      <c r="T277" s="36" t="s">
        <v>292</v>
      </c>
      <c r="U277" s="36" t="s">
        <v>293</v>
      </c>
      <c r="V277" s="40">
        <v>45748</v>
      </c>
      <c r="W277" s="40">
        <v>45889</v>
      </c>
      <c r="X277" s="36">
        <v>12</v>
      </c>
      <c r="Y277" s="36" t="s">
        <v>295</v>
      </c>
      <c r="Z277" s="36">
        <v>1</v>
      </c>
      <c r="AA277" s="36">
        <v>6250000</v>
      </c>
      <c r="AB277" s="40">
        <v>46023</v>
      </c>
      <c r="AC277" s="36" t="s">
        <v>2196</v>
      </c>
      <c r="AD277" s="36" t="str">
        <f>VLOOKUP(D277,Oficial!A:C,3,0)</f>
        <v>Arrastre</v>
      </c>
    </row>
    <row r="278" spans="1:30" x14ac:dyDescent="0.25">
      <c r="A278" s="36" t="s">
        <v>27</v>
      </c>
      <c r="B278" s="36" t="s">
        <v>284</v>
      </c>
      <c r="C278" s="36" t="s">
        <v>28</v>
      </c>
      <c r="D278" s="36" t="s">
        <v>284</v>
      </c>
      <c r="E278" s="36" t="s">
        <v>45</v>
      </c>
      <c r="F278" s="36" t="s">
        <v>31</v>
      </c>
      <c r="G278" s="37" t="s">
        <v>285</v>
      </c>
      <c r="H278" s="36" t="s">
        <v>286</v>
      </c>
      <c r="I278" s="36" t="s">
        <v>287</v>
      </c>
      <c r="J278" s="36">
        <v>1</v>
      </c>
      <c r="K278" s="36" t="s">
        <v>288</v>
      </c>
      <c r="L278" s="36">
        <v>4</v>
      </c>
      <c r="M278" s="36">
        <v>1</v>
      </c>
      <c r="N278" s="38">
        <v>150000000</v>
      </c>
      <c r="O278" s="44">
        <v>6250000</v>
      </c>
      <c r="P278" s="36">
        <v>24</v>
      </c>
      <c r="Q278" s="36" t="s">
        <v>289</v>
      </c>
      <c r="R278" s="36" t="s">
        <v>290</v>
      </c>
      <c r="S278" s="36" t="s">
        <v>291</v>
      </c>
      <c r="T278" s="36" t="s">
        <v>292</v>
      </c>
      <c r="U278" s="36" t="s">
        <v>293</v>
      </c>
      <c r="V278" s="40">
        <v>45748</v>
      </c>
      <c r="W278" s="40">
        <v>45889</v>
      </c>
      <c r="X278" s="36">
        <v>12</v>
      </c>
      <c r="Y278" s="36" t="s">
        <v>295</v>
      </c>
      <c r="Z278" s="36">
        <v>1</v>
      </c>
      <c r="AA278" s="36">
        <v>6250000</v>
      </c>
      <c r="AB278" s="40">
        <v>46235</v>
      </c>
      <c r="AC278" s="36" t="s">
        <v>2196</v>
      </c>
      <c r="AD278" s="36" t="str">
        <f>VLOOKUP(D278,Oficial!A:C,3,0)</f>
        <v>Arrastre</v>
      </c>
    </row>
    <row r="279" spans="1:30" x14ac:dyDescent="0.25">
      <c r="A279" s="36" t="s">
        <v>27</v>
      </c>
      <c r="B279" s="36" t="s">
        <v>284</v>
      </c>
      <c r="C279" s="36" t="s">
        <v>28</v>
      </c>
      <c r="D279" s="36" t="s">
        <v>284</v>
      </c>
      <c r="E279" s="36" t="s">
        <v>45</v>
      </c>
      <c r="F279" s="36" t="s">
        <v>31</v>
      </c>
      <c r="G279" s="37" t="s">
        <v>285</v>
      </c>
      <c r="H279" s="36" t="s">
        <v>286</v>
      </c>
      <c r="I279" s="36" t="s">
        <v>287</v>
      </c>
      <c r="J279" s="36">
        <v>1</v>
      </c>
      <c r="K279" s="36" t="s">
        <v>288</v>
      </c>
      <c r="L279" s="36">
        <v>4</v>
      </c>
      <c r="M279" s="36">
        <v>1</v>
      </c>
      <c r="N279" s="38">
        <v>150000000</v>
      </c>
      <c r="O279" s="44">
        <v>6250000</v>
      </c>
      <c r="P279" s="36">
        <v>24</v>
      </c>
      <c r="Q279" s="36" t="s">
        <v>289</v>
      </c>
      <c r="R279" s="36" t="s">
        <v>290</v>
      </c>
      <c r="S279" s="36" t="s">
        <v>291</v>
      </c>
      <c r="T279" s="36" t="s">
        <v>292</v>
      </c>
      <c r="U279" s="36" t="s">
        <v>293</v>
      </c>
      <c r="V279" s="40">
        <v>45748</v>
      </c>
      <c r="W279" s="40">
        <v>45889</v>
      </c>
      <c r="X279" s="36">
        <v>12</v>
      </c>
      <c r="Y279" s="36" t="s">
        <v>295</v>
      </c>
      <c r="Z279" s="36">
        <v>1</v>
      </c>
      <c r="AA279" s="36">
        <v>6250000</v>
      </c>
      <c r="AB279" s="40">
        <v>46204</v>
      </c>
      <c r="AC279" s="36" t="s">
        <v>2196</v>
      </c>
      <c r="AD279" s="36" t="str">
        <f>VLOOKUP(D279,Oficial!A:C,3,0)</f>
        <v>Arrastre</v>
      </c>
    </row>
    <row r="280" spans="1:30" x14ac:dyDescent="0.25">
      <c r="A280" s="36" t="s">
        <v>27</v>
      </c>
      <c r="B280" s="36" t="s">
        <v>284</v>
      </c>
      <c r="C280" s="36" t="s">
        <v>28</v>
      </c>
      <c r="D280" s="36" t="s">
        <v>284</v>
      </c>
      <c r="E280" s="36" t="s">
        <v>45</v>
      </c>
      <c r="F280" s="36" t="s">
        <v>31</v>
      </c>
      <c r="G280" s="37" t="s">
        <v>285</v>
      </c>
      <c r="H280" s="36" t="s">
        <v>286</v>
      </c>
      <c r="I280" s="36" t="s">
        <v>287</v>
      </c>
      <c r="J280" s="36">
        <v>1</v>
      </c>
      <c r="K280" s="36" t="s">
        <v>288</v>
      </c>
      <c r="L280" s="36">
        <v>4</v>
      </c>
      <c r="M280" s="36">
        <v>1</v>
      </c>
      <c r="N280" s="38">
        <v>150000000</v>
      </c>
      <c r="O280" s="44">
        <v>6250000</v>
      </c>
      <c r="P280" s="36">
        <v>24</v>
      </c>
      <c r="Q280" s="36" t="s">
        <v>289</v>
      </c>
      <c r="R280" s="36" t="s">
        <v>290</v>
      </c>
      <c r="S280" s="36" t="s">
        <v>291</v>
      </c>
      <c r="T280" s="36" t="s">
        <v>292</v>
      </c>
      <c r="U280" s="36" t="s">
        <v>293</v>
      </c>
      <c r="V280" s="40">
        <v>45748</v>
      </c>
      <c r="W280" s="40">
        <v>45889</v>
      </c>
      <c r="X280" s="36">
        <v>12</v>
      </c>
      <c r="Y280" s="36" t="s">
        <v>295</v>
      </c>
      <c r="Z280" s="36">
        <v>1</v>
      </c>
      <c r="AA280" s="36">
        <v>6250000</v>
      </c>
      <c r="AB280" s="40">
        <v>46054</v>
      </c>
      <c r="AC280" s="36" t="s">
        <v>2196</v>
      </c>
      <c r="AD280" s="36" t="str">
        <f>VLOOKUP(D280,Oficial!A:C,3,0)</f>
        <v>Arrastre</v>
      </c>
    </row>
    <row r="281" spans="1:30" x14ac:dyDescent="0.25">
      <c r="A281" s="36" t="s">
        <v>27</v>
      </c>
      <c r="B281" s="36" t="s">
        <v>284</v>
      </c>
      <c r="C281" s="36" t="s">
        <v>28</v>
      </c>
      <c r="D281" s="36" t="s">
        <v>284</v>
      </c>
      <c r="E281" s="36" t="s">
        <v>45</v>
      </c>
      <c r="F281" s="36" t="s">
        <v>31</v>
      </c>
      <c r="G281" s="37" t="s">
        <v>285</v>
      </c>
      <c r="H281" s="36" t="s">
        <v>286</v>
      </c>
      <c r="I281" s="36" t="s">
        <v>287</v>
      </c>
      <c r="J281" s="36">
        <v>1</v>
      </c>
      <c r="K281" s="36" t="s">
        <v>288</v>
      </c>
      <c r="L281" s="36">
        <v>4</v>
      </c>
      <c r="M281" s="36">
        <v>1</v>
      </c>
      <c r="N281" s="38">
        <v>150000000</v>
      </c>
      <c r="O281" s="44">
        <v>6250000</v>
      </c>
      <c r="P281" s="36">
        <v>24</v>
      </c>
      <c r="Q281" s="36" t="s">
        <v>289</v>
      </c>
      <c r="R281" s="36" t="s">
        <v>290</v>
      </c>
      <c r="S281" s="36" t="s">
        <v>291</v>
      </c>
      <c r="T281" s="36" t="s">
        <v>292</v>
      </c>
      <c r="U281" s="36" t="s">
        <v>293</v>
      </c>
      <c r="V281" s="40">
        <v>45748</v>
      </c>
      <c r="W281" s="40">
        <v>45889</v>
      </c>
      <c r="X281" s="36">
        <v>12</v>
      </c>
      <c r="Y281" s="36" t="s">
        <v>295</v>
      </c>
      <c r="Z281" s="36">
        <v>1</v>
      </c>
      <c r="AA281" s="36">
        <v>6250000</v>
      </c>
      <c r="AB281" s="40">
        <v>46143</v>
      </c>
      <c r="AC281" s="36" t="s">
        <v>2196</v>
      </c>
      <c r="AD281" s="36" t="str">
        <f>VLOOKUP(D281,Oficial!A:C,3,0)</f>
        <v>Arrastre</v>
      </c>
    </row>
    <row r="282" spans="1:30" x14ac:dyDescent="0.25">
      <c r="A282" s="36" t="s">
        <v>27</v>
      </c>
      <c r="B282" s="36" t="s">
        <v>284</v>
      </c>
      <c r="C282" s="36" t="s">
        <v>28</v>
      </c>
      <c r="D282" s="36" t="s">
        <v>284</v>
      </c>
      <c r="E282" s="36" t="s">
        <v>45</v>
      </c>
      <c r="F282" s="36" t="s">
        <v>31</v>
      </c>
      <c r="G282" s="37" t="s">
        <v>285</v>
      </c>
      <c r="H282" s="36" t="s">
        <v>286</v>
      </c>
      <c r="I282" s="36" t="s">
        <v>287</v>
      </c>
      <c r="J282" s="36">
        <v>1</v>
      </c>
      <c r="K282" s="36" t="s">
        <v>288</v>
      </c>
      <c r="L282" s="36">
        <v>4</v>
      </c>
      <c r="M282" s="36">
        <v>1</v>
      </c>
      <c r="N282" s="38">
        <v>150000000</v>
      </c>
      <c r="O282" s="44">
        <v>6250000</v>
      </c>
      <c r="P282" s="36">
        <v>24</v>
      </c>
      <c r="Q282" s="36" t="s">
        <v>289</v>
      </c>
      <c r="R282" s="36" t="s">
        <v>290</v>
      </c>
      <c r="S282" s="36" t="s">
        <v>291</v>
      </c>
      <c r="T282" s="36" t="s">
        <v>292</v>
      </c>
      <c r="U282" s="36" t="s">
        <v>293</v>
      </c>
      <c r="V282" s="40">
        <v>45748</v>
      </c>
      <c r="W282" s="40">
        <v>45889</v>
      </c>
      <c r="X282" s="36">
        <v>12</v>
      </c>
      <c r="Y282" s="36" t="s">
        <v>295</v>
      </c>
      <c r="Z282" s="36">
        <v>1</v>
      </c>
      <c r="AA282" s="36">
        <v>6250000</v>
      </c>
      <c r="AB282" s="40">
        <v>46082</v>
      </c>
      <c r="AC282" s="36" t="s">
        <v>2196</v>
      </c>
      <c r="AD282" s="36" t="str">
        <f>VLOOKUP(D282,Oficial!A:C,3,0)</f>
        <v>Arrastre</v>
      </c>
    </row>
    <row r="283" spans="1:30" x14ac:dyDescent="0.25">
      <c r="A283" s="36" t="s">
        <v>27</v>
      </c>
      <c r="B283" s="36" t="s">
        <v>284</v>
      </c>
      <c r="C283" s="36" t="s">
        <v>28</v>
      </c>
      <c r="D283" s="36" t="s">
        <v>284</v>
      </c>
      <c r="E283" s="36" t="s">
        <v>45</v>
      </c>
      <c r="F283" s="36" t="s">
        <v>31</v>
      </c>
      <c r="G283" s="37" t="s">
        <v>285</v>
      </c>
      <c r="H283" s="36" t="s">
        <v>286</v>
      </c>
      <c r="I283" s="36" t="s">
        <v>287</v>
      </c>
      <c r="J283" s="36">
        <v>1</v>
      </c>
      <c r="K283" s="36" t="s">
        <v>288</v>
      </c>
      <c r="L283" s="36">
        <v>4</v>
      </c>
      <c r="M283" s="36">
        <v>1</v>
      </c>
      <c r="N283" s="38">
        <v>150000000</v>
      </c>
      <c r="O283" s="44">
        <v>6250000</v>
      </c>
      <c r="P283" s="36">
        <v>24</v>
      </c>
      <c r="Q283" s="36" t="s">
        <v>289</v>
      </c>
      <c r="R283" s="36" t="s">
        <v>290</v>
      </c>
      <c r="S283" s="36" t="s">
        <v>291</v>
      </c>
      <c r="T283" s="36" t="s">
        <v>292</v>
      </c>
      <c r="U283" s="36" t="s">
        <v>293</v>
      </c>
      <c r="V283" s="40">
        <v>45748</v>
      </c>
      <c r="W283" s="40">
        <v>45889</v>
      </c>
      <c r="X283" s="36">
        <v>12</v>
      </c>
      <c r="Y283" s="36" t="s">
        <v>296</v>
      </c>
      <c r="Z283" s="36">
        <v>1</v>
      </c>
      <c r="AA283" s="36">
        <v>6250000</v>
      </c>
      <c r="AB283" s="40">
        <v>46143</v>
      </c>
      <c r="AC283" s="36" t="s">
        <v>2196</v>
      </c>
      <c r="AD283" s="36" t="str">
        <f>VLOOKUP(D283,Oficial!A:C,3,0)</f>
        <v>Arrastre</v>
      </c>
    </row>
    <row r="284" spans="1:30" x14ac:dyDescent="0.25">
      <c r="A284" s="36" t="s">
        <v>27</v>
      </c>
      <c r="B284" s="36" t="s">
        <v>284</v>
      </c>
      <c r="C284" s="36" t="s">
        <v>28</v>
      </c>
      <c r="D284" s="36" t="s">
        <v>284</v>
      </c>
      <c r="E284" s="36" t="s">
        <v>45</v>
      </c>
      <c r="F284" s="36" t="s">
        <v>31</v>
      </c>
      <c r="G284" s="37" t="s">
        <v>285</v>
      </c>
      <c r="H284" s="36" t="s">
        <v>286</v>
      </c>
      <c r="I284" s="36" t="s">
        <v>287</v>
      </c>
      <c r="J284" s="36">
        <v>1</v>
      </c>
      <c r="K284" s="36" t="s">
        <v>288</v>
      </c>
      <c r="L284" s="36">
        <v>4</v>
      </c>
      <c r="M284" s="36">
        <v>1</v>
      </c>
      <c r="N284" s="38">
        <v>150000000</v>
      </c>
      <c r="O284" s="44">
        <v>6250000</v>
      </c>
      <c r="P284" s="36">
        <v>24</v>
      </c>
      <c r="Q284" s="36" t="s">
        <v>289</v>
      </c>
      <c r="R284" s="36" t="s">
        <v>290</v>
      </c>
      <c r="S284" s="36" t="s">
        <v>291</v>
      </c>
      <c r="T284" s="36" t="s">
        <v>292</v>
      </c>
      <c r="U284" s="36" t="s">
        <v>293</v>
      </c>
      <c r="V284" s="40">
        <v>45748</v>
      </c>
      <c r="W284" s="40">
        <v>45889</v>
      </c>
      <c r="X284" s="36">
        <v>12</v>
      </c>
      <c r="Y284" s="36" t="s">
        <v>297</v>
      </c>
      <c r="Z284" s="36">
        <v>1</v>
      </c>
      <c r="AA284" s="36">
        <v>6250000</v>
      </c>
      <c r="AB284" s="40">
        <v>46082</v>
      </c>
      <c r="AC284" s="36" t="s">
        <v>2196</v>
      </c>
      <c r="AD284" s="36" t="str">
        <f>VLOOKUP(D284,Oficial!A:C,3,0)</f>
        <v>Arrastre</v>
      </c>
    </row>
    <row r="285" spans="1:30" x14ac:dyDescent="0.25">
      <c r="A285" s="36" t="s">
        <v>27</v>
      </c>
      <c r="B285" s="36" t="s">
        <v>284</v>
      </c>
      <c r="C285" s="36" t="s">
        <v>28</v>
      </c>
      <c r="D285" s="36" t="s">
        <v>284</v>
      </c>
      <c r="E285" s="36" t="s">
        <v>45</v>
      </c>
      <c r="F285" s="36" t="s">
        <v>31</v>
      </c>
      <c r="G285" s="37" t="s">
        <v>285</v>
      </c>
      <c r="H285" s="36" t="s">
        <v>286</v>
      </c>
      <c r="I285" s="36" t="s">
        <v>287</v>
      </c>
      <c r="J285" s="36">
        <v>1</v>
      </c>
      <c r="K285" s="36" t="s">
        <v>288</v>
      </c>
      <c r="L285" s="36">
        <v>4</v>
      </c>
      <c r="M285" s="36">
        <v>1</v>
      </c>
      <c r="N285" s="38">
        <v>150000000</v>
      </c>
      <c r="O285" s="44">
        <v>6250000</v>
      </c>
      <c r="P285" s="36">
        <v>24</v>
      </c>
      <c r="Q285" s="36" t="s">
        <v>289</v>
      </c>
      <c r="R285" s="36" t="s">
        <v>290</v>
      </c>
      <c r="S285" s="36" t="s">
        <v>291</v>
      </c>
      <c r="T285" s="36" t="s">
        <v>292</v>
      </c>
      <c r="U285" s="36" t="s">
        <v>293</v>
      </c>
      <c r="V285" s="40">
        <v>45748</v>
      </c>
      <c r="W285" s="40">
        <v>45889</v>
      </c>
      <c r="X285" s="36">
        <v>12</v>
      </c>
      <c r="Y285" s="36" t="s">
        <v>294</v>
      </c>
      <c r="Z285" s="36">
        <v>1</v>
      </c>
      <c r="AA285" s="36">
        <v>6250000</v>
      </c>
      <c r="AB285" s="40">
        <v>46235</v>
      </c>
      <c r="AC285" s="36" t="s">
        <v>2196</v>
      </c>
      <c r="AD285" s="36" t="str">
        <f>VLOOKUP(D285,Oficial!A:C,3,0)</f>
        <v>Arrastre</v>
      </c>
    </row>
    <row r="286" spans="1:30" x14ac:dyDescent="0.25">
      <c r="A286" s="36" t="s">
        <v>27</v>
      </c>
      <c r="B286" s="36" t="s">
        <v>284</v>
      </c>
      <c r="C286" s="36" t="s">
        <v>28</v>
      </c>
      <c r="D286" s="36" t="s">
        <v>284</v>
      </c>
      <c r="E286" s="36" t="s">
        <v>45</v>
      </c>
      <c r="F286" s="36" t="s">
        <v>31</v>
      </c>
      <c r="G286" s="37" t="s">
        <v>285</v>
      </c>
      <c r="H286" s="36" t="s">
        <v>286</v>
      </c>
      <c r="I286" s="36" t="s">
        <v>287</v>
      </c>
      <c r="J286" s="36">
        <v>1</v>
      </c>
      <c r="K286" s="36" t="s">
        <v>288</v>
      </c>
      <c r="L286" s="36">
        <v>4</v>
      </c>
      <c r="M286" s="36">
        <v>1</v>
      </c>
      <c r="N286" s="38">
        <v>150000000</v>
      </c>
      <c r="O286" s="44">
        <v>6250000</v>
      </c>
      <c r="P286" s="36">
        <v>24</v>
      </c>
      <c r="Q286" s="36" t="s">
        <v>289</v>
      </c>
      <c r="R286" s="36" t="s">
        <v>290</v>
      </c>
      <c r="S286" s="36" t="s">
        <v>291</v>
      </c>
      <c r="T286" s="36" t="s">
        <v>292</v>
      </c>
      <c r="U286" s="36" t="s">
        <v>293</v>
      </c>
      <c r="V286" s="40">
        <v>45748</v>
      </c>
      <c r="W286" s="40">
        <v>45889</v>
      </c>
      <c r="X286" s="36">
        <v>12</v>
      </c>
      <c r="Y286" s="36" t="s">
        <v>294</v>
      </c>
      <c r="Z286" s="36">
        <v>1</v>
      </c>
      <c r="AA286" s="36">
        <v>6250000</v>
      </c>
      <c r="AB286" s="40">
        <v>46174</v>
      </c>
      <c r="AC286" s="36" t="s">
        <v>2196</v>
      </c>
      <c r="AD286" s="36" t="str">
        <f>VLOOKUP(D286,Oficial!A:C,3,0)</f>
        <v>Arrastre</v>
      </c>
    </row>
    <row r="287" spans="1:30" x14ac:dyDescent="0.25">
      <c r="A287" s="36" t="s">
        <v>27</v>
      </c>
      <c r="B287" s="36" t="s">
        <v>284</v>
      </c>
      <c r="C287" s="36" t="s">
        <v>28</v>
      </c>
      <c r="D287" s="36" t="s">
        <v>284</v>
      </c>
      <c r="E287" s="36" t="s">
        <v>45</v>
      </c>
      <c r="F287" s="36" t="s">
        <v>31</v>
      </c>
      <c r="G287" s="37" t="s">
        <v>285</v>
      </c>
      <c r="H287" s="36" t="s">
        <v>286</v>
      </c>
      <c r="I287" s="36" t="s">
        <v>287</v>
      </c>
      <c r="J287" s="36">
        <v>1</v>
      </c>
      <c r="K287" s="36" t="s">
        <v>288</v>
      </c>
      <c r="L287" s="36">
        <v>4</v>
      </c>
      <c r="M287" s="36">
        <v>1</v>
      </c>
      <c r="N287" s="38">
        <v>150000000</v>
      </c>
      <c r="O287" s="44">
        <v>6250000</v>
      </c>
      <c r="P287" s="36">
        <v>24</v>
      </c>
      <c r="Q287" s="36" t="s">
        <v>289</v>
      </c>
      <c r="R287" s="36" t="s">
        <v>290</v>
      </c>
      <c r="S287" s="36" t="s">
        <v>291</v>
      </c>
      <c r="T287" s="36" t="s">
        <v>292</v>
      </c>
      <c r="U287" s="36" t="s">
        <v>293</v>
      </c>
      <c r="V287" s="40">
        <v>45748</v>
      </c>
      <c r="W287" s="40">
        <v>45889</v>
      </c>
      <c r="X287" s="36">
        <v>12</v>
      </c>
      <c r="Y287" s="36" t="s">
        <v>295</v>
      </c>
      <c r="Z287" s="36">
        <v>1</v>
      </c>
      <c r="AA287" s="36">
        <v>6250000</v>
      </c>
      <c r="AB287" s="40">
        <v>46113</v>
      </c>
      <c r="AC287" s="36" t="s">
        <v>2196</v>
      </c>
      <c r="AD287" s="36" t="str">
        <f>VLOOKUP(D287,Oficial!A:C,3,0)</f>
        <v>Arrastre</v>
      </c>
    </row>
    <row r="288" spans="1:30" x14ac:dyDescent="0.25">
      <c r="A288" s="36" t="s">
        <v>27</v>
      </c>
      <c r="B288" s="36" t="s">
        <v>298</v>
      </c>
      <c r="C288" s="36" t="s">
        <v>28</v>
      </c>
      <c r="D288" s="36" t="s">
        <v>298</v>
      </c>
      <c r="E288" s="36" t="s">
        <v>30</v>
      </c>
      <c r="F288" s="36" t="s">
        <v>31</v>
      </c>
      <c r="G288" s="37" t="s">
        <v>299</v>
      </c>
      <c r="H288" s="36" t="s">
        <v>300</v>
      </c>
      <c r="I288" s="36" t="s">
        <v>301</v>
      </c>
      <c r="J288" s="36">
        <v>1</v>
      </c>
      <c r="K288" s="36" t="s">
        <v>205</v>
      </c>
      <c r="L288" s="36">
        <v>4</v>
      </c>
      <c r="M288" s="36">
        <v>1</v>
      </c>
      <c r="N288" s="38">
        <v>216000000</v>
      </c>
      <c r="O288" s="43">
        <v>12000000</v>
      </c>
      <c r="P288" s="36">
        <v>18</v>
      </c>
      <c r="Q288" s="36" t="s">
        <v>206</v>
      </c>
      <c r="R288" s="36" t="s">
        <v>182</v>
      </c>
      <c r="S288" s="36" t="s">
        <v>302</v>
      </c>
      <c r="T288" s="36" t="s">
        <v>303</v>
      </c>
      <c r="U288" s="36" t="s">
        <v>185</v>
      </c>
      <c r="V288" s="40">
        <v>45839</v>
      </c>
      <c r="W288" s="40">
        <v>45889</v>
      </c>
      <c r="X288" s="36">
        <v>0</v>
      </c>
      <c r="Y288" s="36"/>
      <c r="Z288" s="36">
        <v>1</v>
      </c>
      <c r="AA288" s="36">
        <v>12000000</v>
      </c>
      <c r="AB288" s="40">
        <v>46357</v>
      </c>
      <c r="AC288" s="36" t="s">
        <v>2196</v>
      </c>
      <c r="AD288" s="36" t="str">
        <f>VLOOKUP(D288,Oficial!A:C,3,0)</f>
        <v>Arrastre</v>
      </c>
    </row>
    <row r="289" spans="1:30" x14ac:dyDescent="0.25">
      <c r="A289" s="36" t="s">
        <v>27</v>
      </c>
      <c r="B289" s="36" t="s">
        <v>298</v>
      </c>
      <c r="C289" s="36" t="s">
        <v>28</v>
      </c>
      <c r="D289" s="36" t="s">
        <v>298</v>
      </c>
      <c r="E289" s="36" t="s">
        <v>30</v>
      </c>
      <c r="F289" s="36" t="s">
        <v>31</v>
      </c>
      <c r="G289" s="37" t="s">
        <v>299</v>
      </c>
      <c r="H289" s="36" t="s">
        <v>300</v>
      </c>
      <c r="I289" s="36" t="s">
        <v>301</v>
      </c>
      <c r="J289" s="36">
        <v>1</v>
      </c>
      <c r="K289" s="36" t="s">
        <v>205</v>
      </c>
      <c r="L289" s="36">
        <v>4</v>
      </c>
      <c r="M289" s="36">
        <v>1</v>
      </c>
      <c r="N289" s="38">
        <v>216000000</v>
      </c>
      <c r="O289" s="43">
        <v>12000000</v>
      </c>
      <c r="P289" s="36">
        <v>18</v>
      </c>
      <c r="Q289" s="36" t="s">
        <v>206</v>
      </c>
      <c r="R289" s="36" t="s">
        <v>182</v>
      </c>
      <c r="S289" s="36" t="s">
        <v>302</v>
      </c>
      <c r="T289" s="36" t="s">
        <v>303</v>
      </c>
      <c r="U289" s="36" t="s">
        <v>185</v>
      </c>
      <c r="V289" s="40">
        <v>45839</v>
      </c>
      <c r="W289" s="40">
        <v>45889</v>
      </c>
      <c r="X289" s="36">
        <v>0</v>
      </c>
      <c r="Y289" s="36"/>
      <c r="Z289" s="36">
        <v>1</v>
      </c>
      <c r="AA289" s="36">
        <v>12000000</v>
      </c>
      <c r="AB289" s="40">
        <v>46174</v>
      </c>
      <c r="AC289" s="36" t="s">
        <v>2196</v>
      </c>
      <c r="AD289" s="36" t="str">
        <f>VLOOKUP(D289,Oficial!A:C,3,0)</f>
        <v>Arrastre</v>
      </c>
    </row>
    <row r="290" spans="1:30" x14ac:dyDescent="0.25">
      <c r="A290" s="36" t="s">
        <v>27</v>
      </c>
      <c r="B290" s="36" t="s">
        <v>298</v>
      </c>
      <c r="C290" s="36" t="s">
        <v>28</v>
      </c>
      <c r="D290" s="36" t="s">
        <v>298</v>
      </c>
      <c r="E290" s="36" t="s">
        <v>30</v>
      </c>
      <c r="F290" s="36" t="s">
        <v>31</v>
      </c>
      <c r="G290" s="37" t="s">
        <v>299</v>
      </c>
      <c r="H290" s="36" t="s">
        <v>300</v>
      </c>
      <c r="I290" s="36" t="s">
        <v>301</v>
      </c>
      <c r="J290" s="36">
        <v>1</v>
      </c>
      <c r="K290" s="36" t="s">
        <v>205</v>
      </c>
      <c r="L290" s="36">
        <v>4</v>
      </c>
      <c r="M290" s="36">
        <v>1</v>
      </c>
      <c r="N290" s="38">
        <v>216000000</v>
      </c>
      <c r="O290" s="43">
        <v>12000000</v>
      </c>
      <c r="P290" s="36">
        <v>18</v>
      </c>
      <c r="Q290" s="36" t="s">
        <v>206</v>
      </c>
      <c r="R290" s="36" t="s">
        <v>182</v>
      </c>
      <c r="S290" s="36" t="s">
        <v>302</v>
      </c>
      <c r="T290" s="36" t="s">
        <v>303</v>
      </c>
      <c r="U290" s="36" t="s">
        <v>185</v>
      </c>
      <c r="V290" s="40">
        <v>45839</v>
      </c>
      <c r="W290" s="40">
        <v>45889</v>
      </c>
      <c r="X290" s="36">
        <v>0</v>
      </c>
      <c r="Y290" s="36"/>
      <c r="Z290" s="36">
        <v>1</v>
      </c>
      <c r="AA290" s="36">
        <v>12000000</v>
      </c>
      <c r="AB290" s="40">
        <v>46054</v>
      </c>
      <c r="AC290" s="36" t="s">
        <v>2196</v>
      </c>
      <c r="AD290" s="36" t="str">
        <f>VLOOKUP(D290,Oficial!A:C,3,0)</f>
        <v>Arrastre</v>
      </c>
    </row>
    <row r="291" spans="1:30" x14ac:dyDescent="0.25">
      <c r="A291" s="36" t="s">
        <v>27</v>
      </c>
      <c r="B291" s="36" t="s">
        <v>298</v>
      </c>
      <c r="C291" s="36" t="s">
        <v>28</v>
      </c>
      <c r="D291" s="36" t="s">
        <v>298</v>
      </c>
      <c r="E291" s="36" t="s">
        <v>30</v>
      </c>
      <c r="F291" s="36" t="s">
        <v>31</v>
      </c>
      <c r="G291" s="37" t="s">
        <v>299</v>
      </c>
      <c r="H291" s="36" t="s">
        <v>300</v>
      </c>
      <c r="I291" s="36" t="s">
        <v>301</v>
      </c>
      <c r="J291" s="36">
        <v>1</v>
      </c>
      <c r="K291" s="36" t="s">
        <v>205</v>
      </c>
      <c r="L291" s="36">
        <v>4</v>
      </c>
      <c r="M291" s="36">
        <v>1</v>
      </c>
      <c r="N291" s="38">
        <v>216000000</v>
      </c>
      <c r="O291" s="43">
        <v>12000000</v>
      </c>
      <c r="P291" s="36">
        <v>18</v>
      </c>
      <c r="Q291" s="36" t="s">
        <v>206</v>
      </c>
      <c r="R291" s="36" t="s">
        <v>182</v>
      </c>
      <c r="S291" s="36" t="s">
        <v>302</v>
      </c>
      <c r="T291" s="36" t="s">
        <v>303</v>
      </c>
      <c r="U291" s="36" t="s">
        <v>185</v>
      </c>
      <c r="V291" s="40">
        <v>45839</v>
      </c>
      <c r="W291" s="40">
        <v>45889</v>
      </c>
      <c r="X291" s="36">
        <v>0</v>
      </c>
      <c r="Y291" s="36"/>
      <c r="Z291" s="36">
        <v>1</v>
      </c>
      <c r="AA291" s="36">
        <v>12000000</v>
      </c>
      <c r="AB291" s="40">
        <v>46023</v>
      </c>
      <c r="AC291" s="36" t="s">
        <v>2196</v>
      </c>
      <c r="AD291" s="36" t="str">
        <f>VLOOKUP(D291,Oficial!A:C,3,0)</f>
        <v>Arrastre</v>
      </c>
    </row>
    <row r="292" spans="1:30" x14ac:dyDescent="0.25">
      <c r="A292" s="36" t="s">
        <v>27</v>
      </c>
      <c r="B292" s="36" t="s">
        <v>298</v>
      </c>
      <c r="C292" s="36" t="s">
        <v>28</v>
      </c>
      <c r="D292" s="36" t="s">
        <v>298</v>
      </c>
      <c r="E292" s="36" t="s">
        <v>30</v>
      </c>
      <c r="F292" s="36" t="s">
        <v>31</v>
      </c>
      <c r="G292" s="37" t="s">
        <v>299</v>
      </c>
      <c r="H292" s="36" t="s">
        <v>300</v>
      </c>
      <c r="I292" s="36" t="s">
        <v>301</v>
      </c>
      <c r="J292" s="36">
        <v>1</v>
      </c>
      <c r="K292" s="36" t="s">
        <v>205</v>
      </c>
      <c r="L292" s="36">
        <v>4</v>
      </c>
      <c r="M292" s="36">
        <v>1</v>
      </c>
      <c r="N292" s="38">
        <v>216000000</v>
      </c>
      <c r="O292" s="43">
        <v>12000000</v>
      </c>
      <c r="P292" s="36">
        <v>18</v>
      </c>
      <c r="Q292" s="36" t="s">
        <v>206</v>
      </c>
      <c r="R292" s="36" t="s">
        <v>182</v>
      </c>
      <c r="S292" s="36" t="s">
        <v>302</v>
      </c>
      <c r="T292" s="36" t="s">
        <v>303</v>
      </c>
      <c r="U292" s="36" t="s">
        <v>185</v>
      </c>
      <c r="V292" s="40">
        <v>45839</v>
      </c>
      <c r="W292" s="40">
        <v>45889</v>
      </c>
      <c r="X292" s="36">
        <v>0</v>
      </c>
      <c r="Y292" s="36"/>
      <c r="Z292" s="36">
        <v>1</v>
      </c>
      <c r="AA292" s="36">
        <v>12000000</v>
      </c>
      <c r="AB292" s="40">
        <v>46204</v>
      </c>
      <c r="AC292" s="36" t="s">
        <v>2196</v>
      </c>
      <c r="AD292" s="36" t="str">
        <f>VLOOKUP(D292,Oficial!A:C,3,0)</f>
        <v>Arrastre</v>
      </c>
    </row>
    <row r="293" spans="1:30" x14ac:dyDescent="0.25">
      <c r="A293" s="36" t="s">
        <v>27</v>
      </c>
      <c r="B293" s="36" t="s">
        <v>298</v>
      </c>
      <c r="C293" s="36" t="s">
        <v>28</v>
      </c>
      <c r="D293" s="36" t="s">
        <v>298</v>
      </c>
      <c r="E293" s="36" t="s">
        <v>30</v>
      </c>
      <c r="F293" s="36" t="s">
        <v>31</v>
      </c>
      <c r="G293" s="37" t="s">
        <v>299</v>
      </c>
      <c r="H293" s="36" t="s">
        <v>300</v>
      </c>
      <c r="I293" s="36" t="s">
        <v>301</v>
      </c>
      <c r="J293" s="36">
        <v>1</v>
      </c>
      <c r="K293" s="36" t="s">
        <v>205</v>
      </c>
      <c r="L293" s="36">
        <v>4</v>
      </c>
      <c r="M293" s="36">
        <v>1</v>
      </c>
      <c r="N293" s="38">
        <v>216000000</v>
      </c>
      <c r="O293" s="43">
        <v>12000000</v>
      </c>
      <c r="P293" s="36">
        <v>18</v>
      </c>
      <c r="Q293" s="36" t="s">
        <v>206</v>
      </c>
      <c r="R293" s="36" t="s">
        <v>182</v>
      </c>
      <c r="S293" s="36" t="s">
        <v>302</v>
      </c>
      <c r="T293" s="36" t="s">
        <v>303</v>
      </c>
      <c r="U293" s="36" t="s">
        <v>185</v>
      </c>
      <c r="V293" s="40">
        <v>45839</v>
      </c>
      <c r="W293" s="40">
        <v>45889</v>
      </c>
      <c r="X293" s="36">
        <v>0</v>
      </c>
      <c r="Y293" s="36"/>
      <c r="Z293" s="36">
        <v>1</v>
      </c>
      <c r="AA293" s="36">
        <v>12000000</v>
      </c>
      <c r="AB293" s="40">
        <v>46082</v>
      </c>
      <c r="AC293" s="36" t="s">
        <v>2196</v>
      </c>
      <c r="AD293" s="36" t="str">
        <f>VLOOKUP(D293,Oficial!A:C,3,0)</f>
        <v>Arrastre</v>
      </c>
    </row>
    <row r="294" spans="1:30" x14ac:dyDescent="0.25">
      <c r="A294" s="36" t="s">
        <v>27</v>
      </c>
      <c r="B294" s="36" t="s">
        <v>298</v>
      </c>
      <c r="C294" s="36" t="s">
        <v>28</v>
      </c>
      <c r="D294" s="36" t="s">
        <v>298</v>
      </c>
      <c r="E294" s="36" t="s">
        <v>30</v>
      </c>
      <c r="F294" s="36" t="s">
        <v>31</v>
      </c>
      <c r="G294" s="37" t="s">
        <v>299</v>
      </c>
      <c r="H294" s="36" t="s">
        <v>300</v>
      </c>
      <c r="I294" s="36" t="s">
        <v>301</v>
      </c>
      <c r="J294" s="36">
        <v>1</v>
      </c>
      <c r="K294" s="36" t="s">
        <v>205</v>
      </c>
      <c r="L294" s="36">
        <v>4</v>
      </c>
      <c r="M294" s="36">
        <v>1</v>
      </c>
      <c r="N294" s="38">
        <v>216000000</v>
      </c>
      <c r="O294" s="43">
        <v>12000000</v>
      </c>
      <c r="P294" s="36">
        <v>18</v>
      </c>
      <c r="Q294" s="36" t="s">
        <v>206</v>
      </c>
      <c r="R294" s="36" t="s">
        <v>182</v>
      </c>
      <c r="S294" s="36" t="s">
        <v>302</v>
      </c>
      <c r="T294" s="36" t="s">
        <v>303</v>
      </c>
      <c r="U294" s="36" t="s">
        <v>185</v>
      </c>
      <c r="V294" s="40">
        <v>45839</v>
      </c>
      <c r="W294" s="40">
        <v>45889</v>
      </c>
      <c r="X294" s="36">
        <v>0</v>
      </c>
      <c r="Y294" s="36"/>
      <c r="Z294" s="36">
        <v>1</v>
      </c>
      <c r="AA294" s="36">
        <v>12000000</v>
      </c>
      <c r="AB294" s="40">
        <v>46327</v>
      </c>
      <c r="AC294" s="36" t="s">
        <v>2196</v>
      </c>
      <c r="AD294" s="36" t="str">
        <f>VLOOKUP(D294,Oficial!A:C,3,0)</f>
        <v>Arrastre</v>
      </c>
    </row>
    <row r="295" spans="1:30" x14ac:dyDescent="0.25">
      <c r="A295" s="36" t="s">
        <v>27</v>
      </c>
      <c r="B295" s="36" t="s">
        <v>298</v>
      </c>
      <c r="C295" s="36" t="s">
        <v>28</v>
      </c>
      <c r="D295" s="36" t="s">
        <v>298</v>
      </c>
      <c r="E295" s="36" t="s">
        <v>30</v>
      </c>
      <c r="F295" s="36" t="s">
        <v>31</v>
      </c>
      <c r="G295" s="37" t="s">
        <v>299</v>
      </c>
      <c r="H295" s="36" t="s">
        <v>300</v>
      </c>
      <c r="I295" s="36" t="s">
        <v>301</v>
      </c>
      <c r="J295" s="36">
        <v>1</v>
      </c>
      <c r="K295" s="36" t="s">
        <v>205</v>
      </c>
      <c r="L295" s="36">
        <v>4</v>
      </c>
      <c r="M295" s="36">
        <v>1</v>
      </c>
      <c r="N295" s="38">
        <v>216000000</v>
      </c>
      <c r="O295" s="43">
        <v>12000000</v>
      </c>
      <c r="P295" s="36">
        <v>18</v>
      </c>
      <c r="Q295" s="36" t="s">
        <v>206</v>
      </c>
      <c r="R295" s="36" t="s">
        <v>182</v>
      </c>
      <c r="S295" s="36" t="s">
        <v>302</v>
      </c>
      <c r="T295" s="36" t="s">
        <v>303</v>
      </c>
      <c r="U295" s="36" t="s">
        <v>185</v>
      </c>
      <c r="V295" s="40">
        <v>45839</v>
      </c>
      <c r="W295" s="40">
        <v>45889</v>
      </c>
      <c r="X295" s="36">
        <v>0</v>
      </c>
      <c r="Y295" s="36"/>
      <c r="Z295" s="36">
        <v>1</v>
      </c>
      <c r="AA295" s="36">
        <v>12000000</v>
      </c>
      <c r="AB295" s="40">
        <v>46113</v>
      </c>
      <c r="AC295" s="36" t="s">
        <v>2196</v>
      </c>
      <c r="AD295" s="36" t="str">
        <f>VLOOKUP(D295,Oficial!A:C,3,0)</f>
        <v>Arrastre</v>
      </c>
    </row>
    <row r="296" spans="1:30" x14ac:dyDescent="0.25">
      <c r="A296" s="36" t="s">
        <v>27</v>
      </c>
      <c r="B296" s="36" t="s">
        <v>298</v>
      </c>
      <c r="C296" s="36" t="s">
        <v>28</v>
      </c>
      <c r="D296" s="36" t="s">
        <v>298</v>
      </c>
      <c r="E296" s="36" t="s">
        <v>30</v>
      </c>
      <c r="F296" s="36" t="s">
        <v>31</v>
      </c>
      <c r="G296" s="37" t="s">
        <v>299</v>
      </c>
      <c r="H296" s="36" t="s">
        <v>300</v>
      </c>
      <c r="I296" s="36" t="s">
        <v>301</v>
      </c>
      <c r="J296" s="36">
        <v>1</v>
      </c>
      <c r="K296" s="36" t="s">
        <v>205</v>
      </c>
      <c r="L296" s="36">
        <v>4</v>
      </c>
      <c r="M296" s="36">
        <v>1</v>
      </c>
      <c r="N296" s="38">
        <v>216000000</v>
      </c>
      <c r="O296" s="43">
        <v>12000000</v>
      </c>
      <c r="P296" s="36">
        <v>18</v>
      </c>
      <c r="Q296" s="36" t="s">
        <v>206</v>
      </c>
      <c r="R296" s="36" t="s">
        <v>182</v>
      </c>
      <c r="S296" s="36" t="s">
        <v>302</v>
      </c>
      <c r="T296" s="36" t="s">
        <v>303</v>
      </c>
      <c r="U296" s="36" t="s">
        <v>185</v>
      </c>
      <c r="V296" s="40">
        <v>45839</v>
      </c>
      <c r="W296" s="40">
        <v>45889</v>
      </c>
      <c r="X296" s="36">
        <v>0</v>
      </c>
      <c r="Y296" s="36"/>
      <c r="Z296" s="36">
        <v>1</v>
      </c>
      <c r="AA296" s="36">
        <v>12000000</v>
      </c>
      <c r="AB296" s="40">
        <v>46266</v>
      </c>
      <c r="AC296" s="36" t="s">
        <v>2196</v>
      </c>
      <c r="AD296" s="36" t="str">
        <f>VLOOKUP(D296,Oficial!A:C,3,0)</f>
        <v>Arrastre</v>
      </c>
    </row>
    <row r="297" spans="1:30" x14ac:dyDescent="0.25">
      <c r="A297" s="36" t="s">
        <v>27</v>
      </c>
      <c r="B297" s="36" t="s">
        <v>298</v>
      </c>
      <c r="C297" s="36" t="s">
        <v>28</v>
      </c>
      <c r="D297" s="36" t="s">
        <v>298</v>
      </c>
      <c r="E297" s="36" t="s">
        <v>30</v>
      </c>
      <c r="F297" s="36" t="s">
        <v>31</v>
      </c>
      <c r="G297" s="37" t="s">
        <v>299</v>
      </c>
      <c r="H297" s="36" t="s">
        <v>300</v>
      </c>
      <c r="I297" s="36" t="s">
        <v>301</v>
      </c>
      <c r="J297" s="36">
        <v>1</v>
      </c>
      <c r="K297" s="36" t="s">
        <v>205</v>
      </c>
      <c r="L297" s="36">
        <v>4</v>
      </c>
      <c r="M297" s="36">
        <v>1</v>
      </c>
      <c r="N297" s="38">
        <v>216000000</v>
      </c>
      <c r="O297" s="43">
        <v>12000000</v>
      </c>
      <c r="P297" s="36">
        <v>18</v>
      </c>
      <c r="Q297" s="36" t="s">
        <v>206</v>
      </c>
      <c r="R297" s="36" t="s">
        <v>182</v>
      </c>
      <c r="S297" s="36" t="s">
        <v>302</v>
      </c>
      <c r="T297" s="36" t="s">
        <v>303</v>
      </c>
      <c r="U297" s="36" t="s">
        <v>185</v>
      </c>
      <c r="V297" s="40">
        <v>45839</v>
      </c>
      <c r="W297" s="40">
        <v>45889</v>
      </c>
      <c r="X297" s="36">
        <v>0</v>
      </c>
      <c r="Y297" s="36"/>
      <c r="Z297" s="36">
        <v>1</v>
      </c>
      <c r="AA297" s="36">
        <v>12000000</v>
      </c>
      <c r="AB297" s="40">
        <v>46296</v>
      </c>
      <c r="AC297" s="36" t="s">
        <v>2196</v>
      </c>
      <c r="AD297" s="36" t="str">
        <f>VLOOKUP(D297,Oficial!A:C,3,0)</f>
        <v>Arrastre</v>
      </c>
    </row>
    <row r="298" spans="1:30" x14ac:dyDescent="0.25">
      <c r="A298" s="36" t="s">
        <v>27</v>
      </c>
      <c r="B298" s="36" t="s">
        <v>298</v>
      </c>
      <c r="C298" s="36" t="s">
        <v>28</v>
      </c>
      <c r="D298" s="36" t="s">
        <v>298</v>
      </c>
      <c r="E298" s="36" t="s">
        <v>30</v>
      </c>
      <c r="F298" s="36" t="s">
        <v>31</v>
      </c>
      <c r="G298" s="37" t="s">
        <v>299</v>
      </c>
      <c r="H298" s="36" t="s">
        <v>300</v>
      </c>
      <c r="I298" s="36" t="s">
        <v>301</v>
      </c>
      <c r="J298" s="36">
        <v>1</v>
      </c>
      <c r="K298" s="36" t="s">
        <v>205</v>
      </c>
      <c r="L298" s="36">
        <v>4</v>
      </c>
      <c r="M298" s="36">
        <v>1</v>
      </c>
      <c r="N298" s="38">
        <v>216000000</v>
      </c>
      <c r="O298" s="43">
        <v>12000000</v>
      </c>
      <c r="P298" s="36">
        <v>18</v>
      </c>
      <c r="Q298" s="36" t="s">
        <v>206</v>
      </c>
      <c r="R298" s="36" t="s">
        <v>182</v>
      </c>
      <c r="S298" s="36" t="s">
        <v>302</v>
      </c>
      <c r="T298" s="36" t="s">
        <v>303</v>
      </c>
      <c r="U298" s="36" t="s">
        <v>185</v>
      </c>
      <c r="V298" s="40">
        <v>45839</v>
      </c>
      <c r="W298" s="40">
        <v>45889</v>
      </c>
      <c r="X298" s="36">
        <v>0</v>
      </c>
      <c r="Y298" s="36"/>
      <c r="Z298" s="36">
        <v>1</v>
      </c>
      <c r="AA298" s="36">
        <v>12000000</v>
      </c>
      <c r="AB298" s="40">
        <v>46235</v>
      </c>
      <c r="AC298" s="36" t="s">
        <v>2196</v>
      </c>
      <c r="AD298" s="36" t="str">
        <f>VLOOKUP(D298,Oficial!A:C,3,0)</f>
        <v>Arrastre</v>
      </c>
    </row>
    <row r="299" spans="1:30" x14ac:dyDescent="0.25">
      <c r="A299" s="36" t="s">
        <v>27</v>
      </c>
      <c r="B299" s="36" t="s">
        <v>298</v>
      </c>
      <c r="C299" s="36" t="s">
        <v>28</v>
      </c>
      <c r="D299" s="36" t="s">
        <v>298</v>
      </c>
      <c r="E299" s="36" t="s">
        <v>30</v>
      </c>
      <c r="F299" s="36" t="s">
        <v>31</v>
      </c>
      <c r="G299" s="37" t="s">
        <v>299</v>
      </c>
      <c r="H299" s="36" t="s">
        <v>300</v>
      </c>
      <c r="I299" s="36" t="s">
        <v>301</v>
      </c>
      <c r="J299" s="36">
        <v>1</v>
      </c>
      <c r="K299" s="36" t="s">
        <v>205</v>
      </c>
      <c r="L299" s="36">
        <v>4</v>
      </c>
      <c r="M299" s="36">
        <v>1</v>
      </c>
      <c r="N299" s="38">
        <v>216000000</v>
      </c>
      <c r="O299" s="43">
        <v>12000000</v>
      </c>
      <c r="P299" s="36">
        <v>18</v>
      </c>
      <c r="Q299" s="36" t="s">
        <v>206</v>
      </c>
      <c r="R299" s="36" t="s">
        <v>182</v>
      </c>
      <c r="S299" s="36" t="s">
        <v>302</v>
      </c>
      <c r="T299" s="36" t="s">
        <v>303</v>
      </c>
      <c r="U299" s="36" t="s">
        <v>185</v>
      </c>
      <c r="V299" s="40">
        <v>45839</v>
      </c>
      <c r="W299" s="40">
        <v>45889</v>
      </c>
      <c r="X299" s="36">
        <v>0</v>
      </c>
      <c r="Y299" s="36"/>
      <c r="Z299" s="36">
        <v>1</v>
      </c>
      <c r="AA299" s="36">
        <v>12000000</v>
      </c>
      <c r="AB299" s="40">
        <v>46143</v>
      </c>
      <c r="AC299" s="36" t="s">
        <v>2196</v>
      </c>
      <c r="AD299" s="36" t="str">
        <f>VLOOKUP(D299,Oficial!A:C,3,0)</f>
        <v>Arrastre</v>
      </c>
    </row>
    <row r="300" spans="1:30" x14ac:dyDescent="0.25">
      <c r="A300" s="36" t="s">
        <v>27</v>
      </c>
      <c r="B300" s="36" t="s">
        <v>304</v>
      </c>
      <c r="C300" s="36" t="s">
        <v>28</v>
      </c>
      <c r="D300" s="36" t="s">
        <v>304</v>
      </c>
      <c r="E300" s="36" t="s">
        <v>30</v>
      </c>
      <c r="F300" s="36" t="s">
        <v>31</v>
      </c>
      <c r="G300" s="37" t="s">
        <v>299</v>
      </c>
      <c r="H300" s="36" t="s">
        <v>305</v>
      </c>
      <c r="I300" s="36" t="s">
        <v>306</v>
      </c>
      <c r="J300" s="36">
        <v>1</v>
      </c>
      <c r="K300" s="36" t="s">
        <v>307</v>
      </c>
      <c r="L300" s="36">
        <v>4</v>
      </c>
      <c r="M300" s="36">
        <v>1</v>
      </c>
      <c r="N300" s="38">
        <v>70000000</v>
      </c>
      <c r="O300" s="44">
        <v>5833333</v>
      </c>
      <c r="P300" s="36">
        <v>12</v>
      </c>
      <c r="Q300" s="36" t="s">
        <v>308</v>
      </c>
      <c r="R300" s="36" t="s">
        <v>309</v>
      </c>
      <c r="S300" s="36" t="s">
        <v>310</v>
      </c>
      <c r="T300" s="36" t="s">
        <v>311</v>
      </c>
      <c r="U300" s="36" t="s">
        <v>312</v>
      </c>
      <c r="V300" s="40">
        <v>45839</v>
      </c>
      <c r="W300" s="40">
        <v>45889</v>
      </c>
      <c r="X300" s="36">
        <v>0</v>
      </c>
      <c r="Y300" s="36"/>
      <c r="Z300" s="36">
        <v>1</v>
      </c>
      <c r="AA300" s="36">
        <v>5833333</v>
      </c>
      <c r="AB300" s="40">
        <v>46143</v>
      </c>
      <c r="AC300" s="36" t="s">
        <v>2196</v>
      </c>
      <c r="AD300" s="36" t="str">
        <f>VLOOKUP(D300,Oficial!A:C,3,0)</f>
        <v>Arrastre</v>
      </c>
    </row>
    <row r="301" spans="1:30" x14ac:dyDescent="0.25">
      <c r="A301" s="36" t="s">
        <v>27</v>
      </c>
      <c r="B301" s="36" t="s">
        <v>304</v>
      </c>
      <c r="C301" s="36" t="s">
        <v>28</v>
      </c>
      <c r="D301" s="36" t="s">
        <v>304</v>
      </c>
      <c r="E301" s="36" t="s">
        <v>30</v>
      </c>
      <c r="F301" s="36" t="s">
        <v>31</v>
      </c>
      <c r="G301" s="37" t="s">
        <v>299</v>
      </c>
      <c r="H301" s="36" t="s">
        <v>305</v>
      </c>
      <c r="I301" s="36" t="s">
        <v>306</v>
      </c>
      <c r="J301" s="36">
        <v>1</v>
      </c>
      <c r="K301" s="36" t="s">
        <v>307</v>
      </c>
      <c r="L301" s="36">
        <v>4</v>
      </c>
      <c r="M301" s="36">
        <v>1</v>
      </c>
      <c r="N301" s="38">
        <v>70000000</v>
      </c>
      <c r="O301" s="44">
        <v>5833333</v>
      </c>
      <c r="P301" s="36">
        <v>12</v>
      </c>
      <c r="Q301" s="36" t="s">
        <v>308</v>
      </c>
      <c r="R301" s="36" t="s">
        <v>309</v>
      </c>
      <c r="S301" s="36" t="s">
        <v>310</v>
      </c>
      <c r="T301" s="36" t="s">
        <v>311</v>
      </c>
      <c r="U301" s="36" t="s">
        <v>312</v>
      </c>
      <c r="V301" s="40">
        <v>45839</v>
      </c>
      <c r="W301" s="40">
        <v>45889</v>
      </c>
      <c r="X301" s="36">
        <v>0</v>
      </c>
      <c r="Y301" s="36"/>
      <c r="Z301" s="36">
        <v>1</v>
      </c>
      <c r="AA301" s="36">
        <v>5833333</v>
      </c>
      <c r="AB301" s="40">
        <v>46054</v>
      </c>
      <c r="AC301" s="36" t="s">
        <v>2196</v>
      </c>
      <c r="AD301" s="36" t="str">
        <f>VLOOKUP(D301,Oficial!A:C,3,0)</f>
        <v>Arrastre</v>
      </c>
    </row>
    <row r="302" spans="1:30" x14ac:dyDescent="0.25">
      <c r="A302" s="36" t="s">
        <v>27</v>
      </c>
      <c r="B302" s="36" t="s">
        <v>304</v>
      </c>
      <c r="C302" s="36" t="s">
        <v>28</v>
      </c>
      <c r="D302" s="36" t="s">
        <v>304</v>
      </c>
      <c r="E302" s="36" t="s">
        <v>30</v>
      </c>
      <c r="F302" s="36" t="s">
        <v>31</v>
      </c>
      <c r="G302" s="37" t="s">
        <v>299</v>
      </c>
      <c r="H302" s="36" t="s">
        <v>305</v>
      </c>
      <c r="I302" s="36" t="s">
        <v>306</v>
      </c>
      <c r="J302" s="36">
        <v>1</v>
      </c>
      <c r="K302" s="36" t="s">
        <v>307</v>
      </c>
      <c r="L302" s="36">
        <v>4</v>
      </c>
      <c r="M302" s="36">
        <v>1</v>
      </c>
      <c r="N302" s="38">
        <v>70000000</v>
      </c>
      <c r="O302" s="44">
        <v>5833333</v>
      </c>
      <c r="P302" s="36">
        <v>12</v>
      </c>
      <c r="Q302" s="36" t="s">
        <v>308</v>
      </c>
      <c r="R302" s="36" t="s">
        <v>309</v>
      </c>
      <c r="S302" s="36" t="s">
        <v>310</v>
      </c>
      <c r="T302" s="36" t="s">
        <v>311</v>
      </c>
      <c r="U302" s="36" t="s">
        <v>312</v>
      </c>
      <c r="V302" s="40">
        <v>45839</v>
      </c>
      <c r="W302" s="40">
        <v>45889</v>
      </c>
      <c r="X302" s="36">
        <v>0</v>
      </c>
      <c r="Y302" s="36"/>
      <c r="Z302" s="36">
        <v>1</v>
      </c>
      <c r="AA302" s="36">
        <v>5833333</v>
      </c>
      <c r="AB302" s="40">
        <v>46023</v>
      </c>
      <c r="AC302" s="36" t="s">
        <v>2196</v>
      </c>
      <c r="AD302" s="36" t="str">
        <f>VLOOKUP(D302,Oficial!A:C,3,0)</f>
        <v>Arrastre</v>
      </c>
    </row>
    <row r="303" spans="1:30" x14ac:dyDescent="0.25">
      <c r="A303" s="36" t="s">
        <v>27</v>
      </c>
      <c r="B303" s="36" t="s">
        <v>304</v>
      </c>
      <c r="C303" s="36" t="s">
        <v>28</v>
      </c>
      <c r="D303" s="36" t="s">
        <v>304</v>
      </c>
      <c r="E303" s="36" t="s">
        <v>30</v>
      </c>
      <c r="F303" s="36" t="s">
        <v>31</v>
      </c>
      <c r="G303" s="37" t="s">
        <v>299</v>
      </c>
      <c r="H303" s="36" t="s">
        <v>305</v>
      </c>
      <c r="I303" s="36" t="s">
        <v>306</v>
      </c>
      <c r="J303" s="36">
        <v>1</v>
      </c>
      <c r="K303" s="36" t="s">
        <v>307</v>
      </c>
      <c r="L303" s="36">
        <v>4</v>
      </c>
      <c r="M303" s="36">
        <v>1</v>
      </c>
      <c r="N303" s="38">
        <v>70000000</v>
      </c>
      <c r="O303" s="44">
        <v>5833333</v>
      </c>
      <c r="P303" s="36">
        <v>12</v>
      </c>
      <c r="Q303" s="36" t="s">
        <v>308</v>
      </c>
      <c r="R303" s="36" t="s">
        <v>309</v>
      </c>
      <c r="S303" s="36" t="s">
        <v>310</v>
      </c>
      <c r="T303" s="36" t="s">
        <v>311</v>
      </c>
      <c r="U303" s="36" t="s">
        <v>312</v>
      </c>
      <c r="V303" s="40">
        <v>45839</v>
      </c>
      <c r="W303" s="40">
        <v>45889</v>
      </c>
      <c r="X303" s="36">
        <v>0</v>
      </c>
      <c r="Y303" s="36"/>
      <c r="Z303" s="36">
        <v>1</v>
      </c>
      <c r="AA303" s="36">
        <v>5833333</v>
      </c>
      <c r="AB303" s="40">
        <v>46113</v>
      </c>
      <c r="AC303" s="36" t="s">
        <v>2196</v>
      </c>
      <c r="AD303" s="36" t="str">
        <f>VLOOKUP(D303,Oficial!A:C,3,0)</f>
        <v>Arrastre</v>
      </c>
    </row>
    <row r="304" spans="1:30" x14ac:dyDescent="0.25">
      <c r="A304" s="36" t="s">
        <v>27</v>
      </c>
      <c r="B304" s="36" t="s">
        <v>304</v>
      </c>
      <c r="C304" s="36" t="s">
        <v>28</v>
      </c>
      <c r="D304" s="36" t="s">
        <v>304</v>
      </c>
      <c r="E304" s="36" t="s">
        <v>30</v>
      </c>
      <c r="F304" s="36" t="s">
        <v>31</v>
      </c>
      <c r="G304" s="37" t="s">
        <v>299</v>
      </c>
      <c r="H304" s="36" t="s">
        <v>305</v>
      </c>
      <c r="I304" s="36" t="s">
        <v>306</v>
      </c>
      <c r="J304" s="36">
        <v>1</v>
      </c>
      <c r="K304" s="36" t="s">
        <v>307</v>
      </c>
      <c r="L304" s="36">
        <v>4</v>
      </c>
      <c r="M304" s="36">
        <v>1</v>
      </c>
      <c r="N304" s="38">
        <v>70000000</v>
      </c>
      <c r="O304" s="44">
        <v>5833337</v>
      </c>
      <c r="P304" s="36">
        <v>12</v>
      </c>
      <c r="Q304" s="36" t="s">
        <v>308</v>
      </c>
      <c r="R304" s="36" t="s">
        <v>309</v>
      </c>
      <c r="S304" s="36" t="s">
        <v>310</v>
      </c>
      <c r="T304" s="36" t="s">
        <v>311</v>
      </c>
      <c r="U304" s="36" t="s">
        <v>312</v>
      </c>
      <c r="V304" s="40">
        <v>45839</v>
      </c>
      <c r="W304" s="40">
        <v>45889</v>
      </c>
      <c r="X304" s="36">
        <v>0</v>
      </c>
      <c r="Y304" s="36"/>
      <c r="Z304" s="36">
        <v>1</v>
      </c>
      <c r="AA304" s="36">
        <v>5833337</v>
      </c>
      <c r="AB304" s="40">
        <v>46204</v>
      </c>
      <c r="AC304" s="36" t="s">
        <v>2196</v>
      </c>
      <c r="AD304" s="36" t="str">
        <f>VLOOKUP(D304,Oficial!A:C,3,0)</f>
        <v>Arrastre</v>
      </c>
    </row>
    <row r="305" spans="1:30" x14ac:dyDescent="0.25">
      <c r="A305" s="36" t="s">
        <v>27</v>
      </c>
      <c r="B305" s="36" t="s">
        <v>304</v>
      </c>
      <c r="C305" s="36" t="s">
        <v>28</v>
      </c>
      <c r="D305" s="36" t="s">
        <v>304</v>
      </c>
      <c r="E305" s="36" t="s">
        <v>30</v>
      </c>
      <c r="F305" s="36" t="s">
        <v>31</v>
      </c>
      <c r="G305" s="37" t="s">
        <v>299</v>
      </c>
      <c r="H305" s="36" t="s">
        <v>305</v>
      </c>
      <c r="I305" s="36" t="s">
        <v>306</v>
      </c>
      <c r="J305" s="36">
        <v>1</v>
      </c>
      <c r="K305" s="36" t="s">
        <v>307</v>
      </c>
      <c r="L305" s="36">
        <v>4</v>
      </c>
      <c r="M305" s="36">
        <v>1</v>
      </c>
      <c r="N305" s="38">
        <v>70000000</v>
      </c>
      <c r="O305" s="44">
        <v>5833333</v>
      </c>
      <c r="P305" s="36">
        <v>12</v>
      </c>
      <c r="Q305" s="36" t="s">
        <v>308</v>
      </c>
      <c r="R305" s="36" t="s">
        <v>309</v>
      </c>
      <c r="S305" s="36" t="s">
        <v>310</v>
      </c>
      <c r="T305" s="36" t="s">
        <v>311</v>
      </c>
      <c r="U305" s="36" t="s">
        <v>312</v>
      </c>
      <c r="V305" s="40">
        <v>45839</v>
      </c>
      <c r="W305" s="40">
        <v>45889</v>
      </c>
      <c r="X305" s="36">
        <v>0</v>
      </c>
      <c r="Y305" s="36"/>
      <c r="Z305" s="36">
        <v>1</v>
      </c>
      <c r="AA305" s="36">
        <v>5833333</v>
      </c>
      <c r="AB305" s="40">
        <v>46082</v>
      </c>
      <c r="AC305" s="36" t="s">
        <v>2196</v>
      </c>
      <c r="AD305" s="36" t="str">
        <f>VLOOKUP(D305,Oficial!A:C,3,0)</f>
        <v>Arrastre</v>
      </c>
    </row>
    <row r="306" spans="1:30" x14ac:dyDescent="0.25">
      <c r="A306" s="36" t="s">
        <v>27</v>
      </c>
      <c r="B306" s="36" t="s">
        <v>304</v>
      </c>
      <c r="C306" s="36" t="s">
        <v>28</v>
      </c>
      <c r="D306" s="36" t="s">
        <v>304</v>
      </c>
      <c r="E306" s="36" t="s">
        <v>30</v>
      </c>
      <c r="F306" s="36" t="s">
        <v>31</v>
      </c>
      <c r="G306" s="37" t="s">
        <v>299</v>
      </c>
      <c r="H306" s="36" t="s">
        <v>305</v>
      </c>
      <c r="I306" s="36" t="s">
        <v>306</v>
      </c>
      <c r="J306" s="36">
        <v>1</v>
      </c>
      <c r="K306" s="36" t="s">
        <v>307</v>
      </c>
      <c r="L306" s="36">
        <v>4</v>
      </c>
      <c r="M306" s="36">
        <v>1</v>
      </c>
      <c r="N306" s="38">
        <v>70000000</v>
      </c>
      <c r="O306" s="44">
        <v>5833333</v>
      </c>
      <c r="P306" s="36">
        <v>12</v>
      </c>
      <c r="Q306" s="36" t="s">
        <v>308</v>
      </c>
      <c r="R306" s="36" t="s">
        <v>309</v>
      </c>
      <c r="S306" s="36" t="s">
        <v>310</v>
      </c>
      <c r="T306" s="36" t="s">
        <v>311</v>
      </c>
      <c r="U306" s="36" t="s">
        <v>312</v>
      </c>
      <c r="V306" s="40">
        <v>45839</v>
      </c>
      <c r="W306" s="40">
        <v>45889</v>
      </c>
      <c r="X306" s="36">
        <v>0</v>
      </c>
      <c r="Y306" s="36"/>
      <c r="Z306" s="36">
        <v>1</v>
      </c>
      <c r="AA306" s="36">
        <v>5833333</v>
      </c>
      <c r="AB306" s="40">
        <v>46174</v>
      </c>
      <c r="AC306" s="36" t="s">
        <v>2196</v>
      </c>
      <c r="AD306" s="36" t="str">
        <f>VLOOKUP(D306,Oficial!A:C,3,0)</f>
        <v>Arrastre</v>
      </c>
    </row>
    <row r="307" spans="1:30" x14ac:dyDescent="0.25">
      <c r="A307" s="36" t="s">
        <v>27</v>
      </c>
      <c r="B307" s="36" t="s">
        <v>313</v>
      </c>
      <c r="C307" s="36" t="s">
        <v>28</v>
      </c>
      <c r="D307" s="36" t="s">
        <v>313</v>
      </c>
      <c r="E307" s="36" t="s">
        <v>30</v>
      </c>
      <c r="F307" s="36" t="s">
        <v>31</v>
      </c>
      <c r="G307" s="37" t="s">
        <v>314</v>
      </c>
      <c r="H307" s="36" t="s">
        <v>315</v>
      </c>
      <c r="I307" s="36" t="s">
        <v>316</v>
      </c>
      <c r="J307" s="36">
        <v>1</v>
      </c>
      <c r="K307" s="36" t="s">
        <v>317</v>
      </c>
      <c r="L307" s="36">
        <v>4</v>
      </c>
      <c r="M307" s="36">
        <v>1</v>
      </c>
      <c r="N307" s="38">
        <v>39500000</v>
      </c>
      <c r="O307" s="46">
        <v>3291667</v>
      </c>
      <c r="P307" s="36">
        <v>12</v>
      </c>
      <c r="Q307" s="36" t="s">
        <v>318</v>
      </c>
      <c r="R307" s="36" t="s">
        <v>319</v>
      </c>
      <c r="S307" s="36" t="s">
        <v>320</v>
      </c>
      <c r="T307" s="36" t="s">
        <v>321</v>
      </c>
      <c r="U307" s="36" t="s">
        <v>322</v>
      </c>
      <c r="V307" s="40">
        <v>45839</v>
      </c>
      <c r="W307" s="40">
        <v>45889</v>
      </c>
      <c r="X307" s="36">
        <v>0</v>
      </c>
      <c r="Y307" s="36"/>
      <c r="Z307" s="36">
        <v>1</v>
      </c>
      <c r="AA307" s="36">
        <v>3291667</v>
      </c>
      <c r="AB307" s="40">
        <v>46235</v>
      </c>
      <c r="AC307" s="36" t="s">
        <v>2196</v>
      </c>
      <c r="AD307" s="36" t="str">
        <f>VLOOKUP(D307,Oficial!A:C,3,0)</f>
        <v>Arrastre</v>
      </c>
    </row>
    <row r="308" spans="1:30" x14ac:dyDescent="0.25">
      <c r="A308" s="36" t="s">
        <v>27</v>
      </c>
      <c r="B308" s="36" t="s">
        <v>313</v>
      </c>
      <c r="C308" s="36" t="s">
        <v>28</v>
      </c>
      <c r="D308" s="36" t="s">
        <v>313</v>
      </c>
      <c r="E308" s="36" t="s">
        <v>30</v>
      </c>
      <c r="F308" s="36" t="s">
        <v>31</v>
      </c>
      <c r="G308" s="37" t="s">
        <v>314</v>
      </c>
      <c r="H308" s="36" t="s">
        <v>315</v>
      </c>
      <c r="I308" s="36" t="s">
        <v>316</v>
      </c>
      <c r="J308" s="36">
        <v>1</v>
      </c>
      <c r="K308" s="36" t="s">
        <v>317</v>
      </c>
      <c r="L308" s="36">
        <v>4</v>
      </c>
      <c r="M308" s="36">
        <v>1</v>
      </c>
      <c r="N308" s="38">
        <v>39500000</v>
      </c>
      <c r="O308" s="46">
        <v>3291667</v>
      </c>
      <c r="P308" s="36">
        <v>12</v>
      </c>
      <c r="Q308" s="36" t="s">
        <v>318</v>
      </c>
      <c r="R308" s="36" t="s">
        <v>319</v>
      </c>
      <c r="S308" s="36" t="s">
        <v>320</v>
      </c>
      <c r="T308" s="36" t="s">
        <v>321</v>
      </c>
      <c r="U308" s="36" t="s">
        <v>322</v>
      </c>
      <c r="V308" s="40">
        <v>45839</v>
      </c>
      <c r="W308" s="40">
        <v>45889</v>
      </c>
      <c r="X308" s="36">
        <v>0</v>
      </c>
      <c r="Y308" s="36"/>
      <c r="Z308" s="36">
        <v>1</v>
      </c>
      <c r="AA308" s="36">
        <v>3291667</v>
      </c>
      <c r="AB308" s="40">
        <v>46174</v>
      </c>
      <c r="AC308" s="36" t="s">
        <v>2196</v>
      </c>
      <c r="AD308" s="36" t="str">
        <f>VLOOKUP(D308,Oficial!A:C,3,0)</f>
        <v>Arrastre</v>
      </c>
    </row>
    <row r="309" spans="1:30" x14ac:dyDescent="0.25">
      <c r="A309" s="36" t="s">
        <v>27</v>
      </c>
      <c r="B309" s="36" t="s">
        <v>313</v>
      </c>
      <c r="C309" s="36" t="s">
        <v>28</v>
      </c>
      <c r="D309" s="36" t="s">
        <v>313</v>
      </c>
      <c r="E309" s="36" t="s">
        <v>30</v>
      </c>
      <c r="F309" s="36" t="s">
        <v>31</v>
      </c>
      <c r="G309" s="37" t="s">
        <v>314</v>
      </c>
      <c r="H309" s="36" t="s">
        <v>315</v>
      </c>
      <c r="I309" s="36" t="s">
        <v>316</v>
      </c>
      <c r="J309" s="36">
        <v>1</v>
      </c>
      <c r="K309" s="36" t="s">
        <v>317</v>
      </c>
      <c r="L309" s="36">
        <v>4</v>
      </c>
      <c r="M309" s="36">
        <v>1</v>
      </c>
      <c r="N309" s="38">
        <v>39500000</v>
      </c>
      <c r="O309" s="46">
        <v>3291667</v>
      </c>
      <c r="P309" s="36">
        <v>12</v>
      </c>
      <c r="Q309" s="36" t="s">
        <v>318</v>
      </c>
      <c r="R309" s="36" t="s">
        <v>319</v>
      </c>
      <c r="S309" s="36" t="s">
        <v>320</v>
      </c>
      <c r="T309" s="36" t="s">
        <v>321</v>
      </c>
      <c r="U309" s="36" t="s">
        <v>322</v>
      </c>
      <c r="V309" s="40">
        <v>45839</v>
      </c>
      <c r="W309" s="40">
        <v>45889</v>
      </c>
      <c r="X309" s="36">
        <v>0</v>
      </c>
      <c r="Y309" s="36"/>
      <c r="Z309" s="36">
        <v>1</v>
      </c>
      <c r="AA309" s="36">
        <v>3291667</v>
      </c>
      <c r="AB309" s="40">
        <v>46082</v>
      </c>
      <c r="AC309" s="36" t="s">
        <v>2196</v>
      </c>
      <c r="AD309" s="36" t="str">
        <f>VLOOKUP(D309,Oficial!A:C,3,0)</f>
        <v>Arrastre</v>
      </c>
    </row>
    <row r="310" spans="1:30" x14ac:dyDescent="0.25">
      <c r="A310" s="36" t="s">
        <v>27</v>
      </c>
      <c r="B310" s="36" t="s">
        <v>313</v>
      </c>
      <c r="C310" s="36" t="s">
        <v>28</v>
      </c>
      <c r="D310" s="36" t="s">
        <v>313</v>
      </c>
      <c r="E310" s="36" t="s">
        <v>30</v>
      </c>
      <c r="F310" s="36" t="s">
        <v>31</v>
      </c>
      <c r="G310" s="37" t="s">
        <v>314</v>
      </c>
      <c r="H310" s="36" t="s">
        <v>315</v>
      </c>
      <c r="I310" s="36" t="s">
        <v>316</v>
      </c>
      <c r="J310" s="36">
        <v>1</v>
      </c>
      <c r="K310" s="36" t="s">
        <v>317</v>
      </c>
      <c r="L310" s="36">
        <v>4</v>
      </c>
      <c r="M310" s="36">
        <v>1</v>
      </c>
      <c r="N310" s="38">
        <v>39500000</v>
      </c>
      <c r="O310" s="46">
        <v>3291667</v>
      </c>
      <c r="P310" s="36">
        <v>12</v>
      </c>
      <c r="Q310" s="36" t="s">
        <v>318</v>
      </c>
      <c r="R310" s="36" t="s">
        <v>319</v>
      </c>
      <c r="S310" s="36" t="s">
        <v>320</v>
      </c>
      <c r="T310" s="36" t="s">
        <v>321</v>
      </c>
      <c r="U310" s="36" t="s">
        <v>322</v>
      </c>
      <c r="V310" s="40">
        <v>45839</v>
      </c>
      <c r="W310" s="40">
        <v>45889</v>
      </c>
      <c r="X310" s="36">
        <v>0</v>
      </c>
      <c r="Y310" s="36"/>
      <c r="Z310" s="36">
        <v>1</v>
      </c>
      <c r="AA310" s="36">
        <v>3291667</v>
      </c>
      <c r="AB310" s="40">
        <v>46296</v>
      </c>
      <c r="AC310" s="36" t="s">
        <v>2196</v>
      </c>
      <c r="AD310" s="36" t="str">
        <f>VLOOKUP(D310,Oficial!A:C,3,0)</f>
        <v>Arrastre</v>
      </c>
    </row>
    <row r="311" spans="1:30" x14ac:dyDescent="0.25">
      <c r="A311" s="36" t="s">
        <v>27</v>
      </c>
      <c r="B311" s="36" t="s">
        <v>313</v>
      </c>
      <c r="C311" s="36" t="s">
        <v>28</v>
      </c>
      <c r="D311" s="36" t="s">
        <v>313</v>
      </c>
      <c r="E311" s="36" t="s">
        <v>30</v>
      </c>
      <c r="F311" s="36" t="s">
        <v>31</v>
      </c>
      <c r="G311" s="37" t="s">
        <v>314</v>
      </c>
      <c r="H311" s="36" t="s">
        <v>315</v>
      </c>
      <c r="I311" s="36" t="s">
        <v>316</v>
      </c>
      <c r="J311" s="36">
        <v>1</v>
      </c>
      <c r="K311" s="36" t="s">
        <v>317</v>
      </c>
      <c r="L311" s="36">
        <v>4</v>
      </c>
      <c r="M311" s="36">
        <v>1</v>
      </c>
      <c r="N311" s="38">
        <v>39500000</v>
      </c>
      <c r="O311" s="46">
        <v>3291667</v>
      </c>
      <c r="P311" s="36">
        <v>12</v>
      </c>
      <c r="Q311" s="36" t="s">
        <v>318</v>
      </c>
      <c r="R311" s="36" t="s">
        <v>319</v>
      </c>
      <c r="S311" s="36" t="s">
        <v>320</v>
      </c>
      <c r="T311" s="36" t="s">
        <v>321</v>
      </c>
      <c r="U311" s="36" t="s">
        <v>322</v>
      </c>
      <c r="V311" s="40">
        <v>45839</v>
      </c>
      <c r="W311" s="40">
        <v>45889</v>
      </c>
      <c r="X311" s="36">
        <v>0</v>
      </c>
      <c r="Y311" s="36"/>
      <c r="Z311" s="36">
        <v>1</v>
      </c>
      <c r="AA311" s="36">
        <v>3291667</v>
      </c>
      <c r="AB311" s="40">
        <v>46327</v>
      </c>
      <c r="AC311" s="36" t="s">
        <v>2196</v>
      </c>
      <c r="AD311" s="36" t="str">
        <f>VLOOKUP(D311,Oficial!A:C,3,0)</f>
        <v>Arrastre</v>
      </c>
    </row>
    <row r="312" spans="1:30" x14ac:dyDescent="0.25">
      <c r="A312" s="36" t="s">
        <v>27</v>
      </c>
      <c r="B312" s="36" t="s">
        <v>313</v>
      </c>
      <c r="C312" s="36" t="s">
        <v>28</v>
      </c>
      <c r="D312" s="36" t="s">
        <v>313</v>
      </c>
      <c r="E312" s="36" t="s">
        <v>30</v>
      </c>
      <c r="F312" s="36" t="s">
        <v>31</v>
      </c>
      <c r="G312" s="37" t="s">
        <v>314</v>
      </c>
      <c r="H312" s="36" t="s">
        <v>315</v>
      </c>
      <c r="I312" s="36" t="s">
        <v>316</v>
      </c>
      <c r="J312" s="36">
        <v>1</v>
      </c>
      <c r="K312" s="36" t="s">
        <v>317</v>
      </c>
      <c r="L312" s="36">
        <v>4</v>
      </c>
      <c r="M312" s="36">
        <v>1</v>
      </c>
      <c r="N312" s="38">
        <v>39500000</v>
      </c>
      <c r="O312" s="46">
        <v>3291667</v>
      </c>
      <c r="P312" s="36">
        <v>12</v>
      </c>
      <c r="Q312" s="36" t="s">
        <v>318</v>
      </c>
      <c r="R312" s="36" t="s">
        <v>319</v>
      </c>
      <c r="S312" s="36" t="s">
        <v>320</v>
      </c>
      <c r="T312" s="36" t="s">
        <v>321</v>
      </c>
      <c r="U312" s="36" t="s">
        <v>322</v>
      </c>
      <c r="V312" s="40">
        <v>45839</v>
      </c>
      <c r="W312" s="40">
        <v>45889</v>
      </c>
      <c r="X312" s="36">
        <v>0</v>
      </c>
      <c r="Y312" s="36"/>
      <c r="Z312" s="36">
        <v>1</v>
      </c>
      <c r="AA312" s="36">
        <v>3291667</v>
      </c>
      <c r="AB312" s="40">
        <v>46143</v>
      </c>
      <c r="AC312" s="36" t="s">
        <v>2196</v>
      </c>
      <c r="AD312" s="36" t="str">
        <f>VLOOKUP(D312,Oficial!A:C,3,0)</f>
        <v>Arrastre</v>
      </c>
    </row>
    <row r="313" spans="1:30" x14ac:dyDescent="0.25">
      <c r="A313" s="36" t="s">
        <v>27</v>
      </c>
      <c r="B313" s="36" t="s">
        <v>313</v>
      </c>
      <c r="C313" s="36" t="s">
        <v>28</v>
      </c>
      <c r="D313" s="36" t="s">
        <v>313</v>
      </c>
      <c r="E313" s="36" t="s">
        <v>30</v>
      </c>
      <c r="F313" s="36" t="s">
        <v>31</v>
      </c>
      <c r="G313" s="37" t="s">
        <v>314</v>
      </c>
      <c r="H313" s="36" t="s">
        <v>315</v>
      </c>
      <c r="I313" s="36" t="s">
        <v>316</v>
      </c>
      <c r="J313" s="36">
        <v>1</v>
      </c>
      <c r="K313" s="36" t="s">
        <v>317</v>
      </c>
      <c r="L313" s="36">
        <v>4</v>
      </c>
      <c r="M313" s="36">
        <v>1</v>
      </c>
      <c r="N313" s="38">
        <v>39500000</v>
      </c>
      <c r="O313" s="46">
        <v>3291667</v>
      </c>
      <c r="P313" s="36">
        <v>12</v>
      </c>
      <c r="Q313" s="36" t="s">
        <v>318</v>
      </c>
      <c r="R313" s="36" t="s">
        <v>319</v>
      </c>
      <c r="S313" s="36" t="s">
        <v>320</v>
      </c>
      <c r="T313" s="36" t="s">
        <v>321</v>
      </c>
      <c r="U313" s="36" t="s">
        <v>322</v>
      </c>
      <c r="V313" s="40">
        <v>45839</v>
      </c>
      <c r="W313" s="40">
        <v>45889</v>
      </c>
      <c r="X313" s="36">
        <v>0</v>
      </c>
      <c r="Y313" s="36"/>
      <c r="Z313" s="36">
        <v>1</v>
      </c>
      <c r="AA313" s="36">
        <v>3291667</v>
      </c>
      <c r="AB313" s="40">
        <v>46113</v>
      </c>
      <c r="AC313" s="36" t="s">
        <v>2196</v>
      </c>
      <c r="AD313" s="36" t="str">
        <f>VLOOKUP(D313,Oficial!A:C,3,0)</f>
        <v>Arrastre</v>
      </c>
    </row>
    <row r="314" spans="1:30" x14ac:dyDescent="0.25">
      <c r="A314" s="36" t="s">
        <v>27</v>
      </c>
      <c r="B314" s="36" t="s">
        <v>313</v>
      </c>
      <c r="C314" s="36" t="s">
        <v>28</v>
      </c>
      <c r="D314" s="36" t="s">
        <v>313</v>
      </c>
      <c r="E314" s="36" t="s">
        <v>30</v>
      </c>
      <c r="F314" s="36" t="s">
        <v>31</v>
      </c>
      <c r="G314" s="37" t="s">
        <v>314</v>
      </c>
      <c r="H314" s="36" t="s">
        <v>315</v>
      </c>
      <c r="I314" s="36" t="s">
        <v>316</v>
      </c>
      <c r="J314" s="36">
        <v>1</v>
      </c>
      <c r="K314" s="36" t="s">
        <v>317</v>
      </c>
      <c r="L314" s="36">
        <v>4</v>
      </c>
      <c r="M314" s="36">
        <v>1</v>
      </c>
      <c r="N314" s="38">
        <v>39500000</v>
      </c>
      <c r="O314" s="46">
        <v>3291667</v>
      </c>
      <c r="P314" s="36">
        <v>12</v>
      </c>
      <c r="Q314" s="36" t="s">
        <v>318</v>
      </c>
      <c r="R314" s="36" t="s">
        <v>319</v>
      </c>
      <c r="S314" s="36" t="s">
        <v>320</v>
      </c>
      <c r="T314" s="36" t="s">
        <v>321</v>
      </c>
      <c r="U314" s="36" t="s">
        <v>322</v>
      </c>
      <c r="V314" s="40">
        <v>45839</v>
      </c>
      <c r="W314" s="40">
        <v>45889</v>
      </c>
      <c r="X314" s="36">
        <v>0</v>
      </c>
      <c r="Y314" s="36"/>
      <c r="Z314" s="36">
        <v>1</v>
      </c>
      <c r="AA314" s="36">
        <v>3291667</v>
      </c>
      <c r="AB314" s="40">
        <v>46204</v>
      </c>
      <c r="AC314" s="36" t="s">
        <v>2196</v>
      </c>
      <c r="AD314" s="36" t="str">
        <f>VLOOKUP(D314,Oficial!A:C,3,0)</f>
        <v>Arrastre</v>
      </c>
    </row>
    <row r="315" spans="1:30" x14ac:dyDescent="0.25">
      <c r="A315" s="36" t="s">
        <v>27</v>
      </c>
      <c r="B315" s="36" t="s">
        <v>313</v>
      </c>
      <c r="C315" s="36" t="s">
        <v>28</v>
      </c>
      <c r="D315" s="36" t="s">
        <v>313</v>
      </c>
      <c r="E315" s="36" t="s">
        <v>30</v>
      </c>
      <c r="F315" s="36" t="s">
        <v>31</v>
      </c>
      <c r="G315" s="37" t="s">
        <v>314</v>
      </c>
      <c r="H315" s="36" t="s">
        <v>315</v>
      </c>
      <c r="I315" s="36" t="s">
        <v>316</v>
      </c>
      <c r="J315" s="36">
        <v>1</v>
      </c>
      <c r="K315" s="36" t="s">
        <v>317</v>
      </c>
      <c r="L315" s="36">
        <v>4</v>
      </c>
      <c r="M315" s="36">
        <v>1</v>
      </c>
      <c r="N315" s="38">
        <v>39500000</v>
      </c>
      <c r="O315" s="46">
        <v>3291667</v>
      </c>
      <c r="P315" s="36">
        <v>12</v>
      </c>
      <c r="Q315" s="36" t="s">
        <v>318</v>
      </c>
      <c r="R315" s="36" t="s">
        <v>319</v>
      </c>
      <c r="S315" s="36" t="s">
        <v>320</v>
      </c>
      <c r="T315" s="36" t="s">
        <v>321</v>
      </c>
      <c r="U315" s="36" t="s">
        <v>322</v>
      </c>
      <c r="V315" s="40">
        <v>45839</v>
      </c>
      <c r="W315" s="40">
        <v>45889</v>
      </c>
      <c r="X315" s="36">
        <v>0</v>
      </c>
      <c r="Y315" s="36"/>
      <c r="Z315" s="36">
        <v>1</v>
      </c>
      <c r="AA315" s="36">
        <v>3291667</v>
      </c>
      <c r="AB315" s="40">
        <v>46357</v>
      </c>
      <c r="AC315" s="36" t="s">
        <v>2196</v>
      </c>
      <c r="AD315" s="36" t="str">
        <f>VLOOKUP(D315,Oficial!A:C,3,0)</f>
        <v>Arrastre</v>
      </c>
    </row>
    <row r="316" spans="1:30" x14ac:dyDescent="0.25">
      <c r="A316" s="36" t="s">
        <v>27</v>
      </c>
      <c r="B316" s="36" t="s">
        <v>313</v>
      </c>
      <c r="C316" s="36" t="s">
        <v>28</v>
      </c>
      <c r="D316" s="36" t="s">
        <v>313</v>
      </c>
      <c r="E316" s="36" t="s">
        <v>30</v>
      </c>
      <c r="F316" s="36" t="s">
        <v>31</v>
      </c>
      <c r="G316" s="37" t="s">
        <v>314</v>
      </c>
      <c r="H316" s="36" t="s">
        <v>315</v>
      </c>
      <c r="I316" s="36" t="s">
        <v>316</v>
      </c>
      <c r="J316" s="36">
        <v>1</v>
      </c>
      <c r="K316" s="36" t="s">
        <v>317</v>
      </c>
      <c r="L316" s="36">
        <v>4</v>
      </c>
      <c r="M316" s="36">
        <v>1</v>
      </c>
      <c r="N316" s="38">
        <v>39500000</v>
      </c>
      <c r="O316" s="46">
        <v>3291667</v>
      </c>
      <c r="P316" s="36">
        <v>12</v>
      </c>
      <c r="Q316" s="36" t="s">
        <v>318</v>
      </c>
      <c r="R316" s="36" t="s">
        <v>319</v>
      </c>
      <c r="S316" s="36" t="s">
        <v>320</v>
      </c>
      <c r="T316" s="36" t="s">
        <v>321</v>
      </c>
      <c r="U316" s="36" t="s">
        <v>322</v>
      </c>
      <c r="V316" s="40">
        <v>45839</v>
      </c>
      <c r="W316" s="40">
        <v>45889</v>
      </c>
      <c r="X316" s="36">
        <v>0</v>
      </c>
      <c r="Y316" s="36"/>
      <c r="Z316" s="36">
        <v>1</v>
      </c>
      <c r="AA316" s="36">
        <v>3291667</v>
      </c>
      <c r="AB316" s="40">
        <v>46266</v>
      </c>
      <c r="AC316" s="36" t="s">
        <v>2196</v>
      </c>
      <c r="AD316" s="36" t="str">
        <f>VLOOKUP(D316,Oficial!A:C,3,0)</f>
        <v>Arrastre</v>
      </c>
    </row>
    <row r="317" spans="1:30" x14ac:dyDescent="0.25">
      <c r="A317" s="36" t="s">
        <v>27</v>
      </c>
      <c r="B317" s="36" t="s">
        <v>313</v>
      </c>
      <c r="C317" s="36" t="s">
        <v>28</v>
      </c>
      <c r="D317" s="36" t="s">
        <v>313</v>
      </c>
      <c r="E317" s="36" t="s">
        <v>30</v>
      </c>
      <c r="F317" s="36" t="s">
        <v>31</v>
      </c>
      <c r="G317" s="37" t="s">
        <v>314</v>
      </c>
      <c r="H317" s="36" t="s">
        <v>315</v>
      </c>
      <c r="I317" s="36" t="s">
        <v>316</v>
      </c>
      <c r="J317" s="36">
        <v>1</v>
      </c>
      <c r="K317" s="36" t="s">
        <v>317</v>
      </c>
      <c r="L317" s="36">
        <v>4</v>
      </c>
      <c r="M317" s="36">
        <v>1</v>
      </c>
      <c r="N317" s="38">
        <v>39500000</v>
      </c>
      <c r="O317" s="46">
        <v>3291667</v>
      </c>
      <c r="P317" s="36">
        <v>12</v>
      </c>
      <c r="Q317" s="36" t="s">
        <v>318</v>
      </c>
      <c r="R317" s="36" t="s">
        <v>319</v>
      </c>
      <c r="S317" s="36" t="s">
        <v>320</v>
      </c>
      <c r="T317" s="36" t="s">
        <v>321</v>
      </c>
      <c r="U317" s="36" t="s">
        <v>322</v>
      </c>
      <c r="V317" s="40">
        <v>45839</v>
      </c>
      <c r="W317" s="40">
        <v>45889</v>
      </c>
      <c r="X317" s="36">
        <v>0</v>
      </c>
      <c r="Y317" s="36"/>
      <c r="Z317" s="36">
        <v>1</v>
      </c>
      <c r="AA317" s="36">
        <v>3291667</v>
      </c>
      <c r="AB317" s="40">
        <v>46054</v>
      </c>
      <c r="AC317" s="36" t="s">
        <v>2196</v>
      </c>
      <c r="AD317" s="36" t="str">
        <f>VLOOKUP(D317,Oficial!A:C,3,0)</f>
        <v>Arrastre</v>
      </c>
    </row>
    <row r="318" spans="1:30" x14ac:dyDescent="0.25">
      <c r="A318" s="36" t="s">
        <v>27</v>
      </c>
      <c r="B318" s="36" t="s">
        <v>323</v>
      </c>
      <c r="C318" s="36" t="s">
        <v>28</v>
      </c>
      <c r="D318" s="36" t="s">
        <v>323</v>
      </c>
      <c r="E318" s="36" t="s">
        <v>30</v>
      </c>
      <c r="F318" s="36" t="s">
        <v>31</v>
      </c>
      <c r="G318" s="37" t="s">
        <v>314</v>
      </c>
      <c r="H318" s="36" t="s">
        <v>324</v>
      </c>
      <c r="I318" s="36" t="s">
        <v>325</v>
      </c>
      <c r="J318" s="36">
        <v>1</v>
      </c>
      <c r="K318" s="36" t="s">
        <v>326</v>
      </c>
      <c r="L318" s="36">
        <v>4</v>
      </c>
      <c r="M318" s="36">
        <v>1</v>
      </c>
      <c r="N318" s="38">
        <v>31500000</v>
      </c>
      <c r="O318" s="47">
        <v>2625000</v>
      </c>
      <c r="P318" s="36">
        <v>12</v>
      </c>
      <c r="Q318" s="36" t="s">
        <v>318</v>
      </c>
      <c r="R318" s="36" t="s">
        <v>319</v>
      </c>
      <c r="S318" s="36" t="s">
        <v>320</v>
      </c>
      <c r="T318" s="36" t="s">
        <v>327</v>
      </c>
      <c r="U318" s="36" t="s">
        <v>322</v>
      </c>
      <c r="V318" s="40">
        <v>45870</v>
      </c>
      <c r="W318" s="40">
        <v>45889</v>
      </c>
      <c r="X318" s="36">
        <v>0</v>
      </c>
      <c r="Y318" s="36"/>
      <c r="Z318" s="36">
        <v>1</v>
      </c>
      <c r="AA318" s="36">
        <v>2625000</v>
      </c>
      <c r="AB318" s="40">
        <v>46327</v>
      </c>
      <c r="AC318" s="36" t="s">
        <v>2196</v>
      </c>
      <c r="AD318" s="36" t="str">
        <f>VLOOKUP(D318,Oficial!A:C,3,0)</f>
        <v>Arrastre</v>
      </c>
    </row>
    <row r="319" spans="1:30" x14ac:dyDescent="0.25">
      <c r="A319" s="36" t="s">
        <v>27</v>
      </c>
      <c r="B319" s="36" t="s">
        <v>323</v>
      </c>
      <c r="C319" s="36" t="s">
        <v>28</v>
      </c>
      <c r="D319" s="36" t="s">
        <v>323</v>
      </c>
      <c r="E319" s="36" t="s">
        <v>30</v>
      </c>
      <c r="F319" s="36" t="s">
        <v>31</v>
      </c>
      <c r="G319" s="37" t="s">
        <v>314</v>
      </c>
      <c r="H319" s="36" t="s">
        <v>324</v>
      </c>
      <c r="I319" s="36" t="s">
        <v>325</v>
      </c>
      <c r="J319" s="36">
        <v>1</v>
      </c>
      <c r="K319" s="36" t="s">
        <v>326</v>
      </c>
      <c r="L319" s="36">
        <v>4</v>
      </c>
      <c r="M319" s="36">
        <v>1</v>
      </c>
      <c r="N319" s="38">
        <v>31500000</v>
      </c>
      <c r="O319" s="47">
        <v>2625000</v>
      </c>
      <c r="P319" s="36">
        <v>12</v>
      </c>
      <c r="Q319" s="36" t="s">
        <v>318</v>
      </c>
      <c r="R319" s="36" t="s">
        <v>319</v>
      </c>
      <c r="S319" s="36" t="s">
        <v>320</v>
      </c>
      <c r="T319" s="36" t="s">
        <v>327</v>
      </c>
      <c r="U319" s="36" t="s">
        <v>322</v>
      </c>
      <c r="V319" s="40">
        <v>45870</v>
      </c>
      <c r="W319" s="40">
        <v>45889</v>
      </c>
      <c r="X319" s="36">
        <v>0</v>
      </c>
      <c r="Y319" s="36"/>
      <c r="Z319" s="36">
        <v>1</v>
      </c>
      <c r="AA319" s="36">
        <v>2625000</v>
      </c>
      <c r="AB319" s="40">
        <v>46082</v>
      </c>
      <c r="AC319" s="36" t="s">
        <v>2196</v>
      </c>
      <c r="AD319" s="36" t="str">
        <f>VLOOKUP(D319,Oficial!A:C,3,0)</f>
        <v>Arrastre</v>
      </c>
    </row>
    <row r="320" spans="1:30" x14ac:dyDescent="0.25">
      <c r="A320" s="36" t="s">
        <v>27</v>
      </c>
      <c r="B320" s="36" t="s">
        <v>323</v>
      </c>
      <c r="C320" s="36" t="s">
        <v>28</v>
      </c>
      <c r="D320" s="36" t="s">
        <v>323</v>
      </c>
      <c r="E320" s="36" t="s">
        <v>30</v>
      </c>
      <c r="F320" s="36" t="s">
        <v>31</v>
      </c>
      <c r="G320" s="37" t="s">
        <v>314</v>
      </c>
      <c r="H320" s="36" t="s">
        <v>324</v>
      </c>
      <c r="I320" s="36" t="s">
        <v>325</v>
      </c>
      <c r="J320" s="36">
        <v>1</v>
      </c>
      <c r="K320" s="36" t="s">
        <v>326</v>
      </c>
      <c r="L320" s="36">
        <v>4</v>
      </c>
      <c r="M320" s="36">
        <v>1</v>
      </c>
      <c r="N320" s="38">
        <v>31500000</v>
      </c>
      <c r="O320" s="47">
        <v>2625000</v>
      </c>
      <c r="P320" s="36">
        <v>12</v>
      </c>
      <c r="Q320" s="36" t="s">
        <v>318</v>
      </c>
      <c r="R320" s="36" t="s">
        <v>319</v>
      </c>
      <c r="S320" s="36" t="s">
        <v>320</v>
      </c>
      <c r="T320" s="36" t="s">
        <v>327</v>
      </c>
      <c r="U320" s="36" t="s">
        <v>322</v>
      </c>
      <c r="V320" s="40">
        <v>45870</v>
      </c>
      <c r="W320" s="40">
        <v>45889</v>
      </c>
      <c r="X320" s="36">
        <v>0</v>
      </c>
      <c r="Y320" s="36"/>
      <c r="Z320" s="36">
        <v>1</v>
      </c>
      <c r="AA320" s="36">
        <v>2625000</v>
      </c>
      <c r="AB320" s="40">
        <v>46054</v>
      </c>
      <c r="AC320" s="36" t="s">
        <v>2196</v>
      </c>
      <c r="AD320" s="36" t="str">
        <f>VLOOKUP(D320,Oficial!A:C,3,0)</f>
        <v>Arrastre</v>
      </c>
    </row>
    <row r="321" spans="1:30" x14ac:dyDescent="0.25">
      <c r="A321" s="36" t="s">
        <v>27</v>
      </c>
      <c r="B321" s="36" t="s">
        <v>323</v>
      </c>
      <c r="C321" s="36" t="s">
        <v>28</v>
      </c>
      <c r="D321" s="36" t="s">
        <v>323</v>
      </c>
      <c r="E321" s="36" t="s">
        <v>30</v>
      </c>
      <c r="F321" s="36" t="s">
        <v>31</v>
      </c>
      <c r="G321" s="37" t="s">
        <v>314</v>
      </c>
      <c r="H321" s="36" t="s">
        <v>324</v>
      </c>
      <c r="I321" s="36" t="s">
        <v>325</v>
      </c>
      <c r="J321" s="36">
        <v>1</v>
      </c>
      <c r="K321" s="36" t="s">
        <v>326</v>
      </c>
      <c r="L321" s="36">
        <v>4</v>
      </c>
      <c r="M321" s="36">
        <v>1</v>
      </c>
      <c r="N321" s="38">
        <v>31500000</v>
      </c>
      <c r="O321" s="47">
        <v>2625000</v>
      </c>
      <c r="P321" s="36">
        <v>12</v>
      </c>
      <c r="Q321" s="36" t="s">
        <v>318</v>
      </c>
      <c r="R321" s="36" t="s">
        <v>319</v>
      </c>
      <c r="S321" s="36" t="s">
        <v>320</v>
      </c>
      <c r="T321" s="36" t="s">
        <v>327</v>
      </c>
      <c r="U321" s="36" t="s">
        <v>322</v>
      </c>
      <c r="V321" s="40">
        <v>45870</v>
      </c>
      <c r="W321" s="40">
        <v>45889</v>
      </c>
      <c r="X321" s="36">
        <v>0</v>
      </c>
      <c r="Y321" s="36"/>
      <c r="Z321" s="36">
        <v>1</v>
      </c>
      <c r="AA321" s="36">
        <v>2625000</v>
      </c>
      <c r="AB321" s="40">
        <v>46357</v>
      </c>
      <c r="AC321" s="36" t="s">
        <v>2196</v>
      </c>
      <c r="AD321" s="36" t="str">
        <f>VLOOKUP(D321,Oficial!A:C,3,0)</f>
        <v>Arrastre</v>
      </c>
    </row>
    <row r="322" spans="1:30" x14ac:dyDescent="0.25">
      <c r="A322" s="36" t="s">
        <v>27</v>
      </c>
      <c r="B322" s="36" t="s">
        <v>323</v>
      </c>
      <c r="C322" s="36" t="s">
        <v>28</v>
      </c>
      <c r="D322" s="36" t="s">
        <v>323</v>
      </c>
      <c r="E322" s="36" t="s">
        <v>30</v>
      </c>
      <c r="F322" s="36" t="s">
        <v>31</v>
      </c>
      <c r="G322" s="37" t="s">
        <v>314</v>
      </c>
      <c r="H322" s="36" t="s">
        <v>324</v>
      </c>
      <c r="I322" s="36" t="s">
        <v>325</v>
      </c>
      <c r="J322" s="36">
        <v>1</v>
      </c>
      <c r="K322" s="36" t="s">
        <v>326</v>
      </c>
      <c r="L322" s="36">
        <v>4</v>
      </c>
      <c r="M322" s="36">
        <v>1</v>
      </c>
      <c r="N322" s="38">
        <v>31500000</v>
      </c>
      <c r="O322" s="47">
        <v>2625000</v>
      </c>
      <c r="P322" s="36">
        <v>12</v>
      </c>
      <c r="Q322" s="36" t="s">
        <v>318</v>
      </c>
      <c r="R322" s="36" t="s">
        <v>319</v>
      </c>
      <c r="S322" s="36" t="s">
        <v>320</v>
      </c>
      <c r="T322" s="36" t="s">
        <v>327</v>
      </c>
      <c r="U322" s="36" t="s">
        <v>322</v>
      </c>
      <c r="V322" s="40">
        <v>45870</v>
      </c>
      <c r="W322" s="40">
        <v>45889</v>
      </c>
      <c r="X322" s="36">
        <v>0</v>
      </c>
      <c r="Y322" s="36"/>
      <c r="Z322" s="36">
        <v>1</v>
      </c>
      <c r="AA322" s="36">
        <v>2625000</v>
      </c>
      <c r="AB322" s="40">
        <v>46143</v>
      </c>
      <c r="AC322" s="36" t="s">
        <v>2196</v>
      </c>
      <c r="AD322" s="36" t="str">
        <f>VLOOKUP(D322,Oficial!A:C,3,0)</f>
        <v>Arrastre</v>
      </c>
    </row>
    <row r="323" spans="1:30" x14ac:dyDescent="0.25">
      <c r="A323" s="36" t="s">
        <v>27</v>
      </c>
      <c r="B323" s="36" t="s">
        <v>323</v>
      </c>
      <c r="C323" s="36" t="s">
        <v>28</v>
      </c>
      <c r="D323" s="36" t="s">
        <v>323</v>
      </c>
      <c r="E323" s="36" t="s">
        <v>30</v>
      </c>
      <c r="F323" s="36" t="s">
        <v>31</v>
      </c>
      <c r="G323" s="37" t="s">
        <v>314</v>
      </c>
      <c r="H323" s="36" t="s">
        <v>324</v>
      </c>
      <c r="I323" s="36" t="s">
        <v>325</v>
      </c>
      <c r="J323" s="36">
        <v>1</v>
      </c>
      <c r="K323" s="36" t="s">
        <v>326</v>
      </c>
      <c r="L323" s="36">
        <v>4</v>
      </c>
      <c r="M323" s="36">
        <v>1</v>
      </c>
      <c r="N323" s="38">
        <v>31500000</v>
      </c>
      <c r="O323" s="47">
        <v>2625000</v>
      </c>
      <c r="P323" s="36">
        <v>12</v>
      </c>
      <c r="Q323" s="36" t="s">
        <v>318</v>
      </c>
      <c r="R323" s="36" t="s">
        <v>319</v>
      </c>
      <c r="S323" s="36" t="s">
        <v>320</v>
      </c>
      <c r="T323" s="36" t="s">
        <v>327</v>
      </c>
      <c r="U323" s="36" t="s">
        <v>322</v>
      </c>
      <c r="V323" s="40">
        <v>45870</v>
      </c>
      <c r="W323" s="40">
        <v>45889</v>
      </c>
      <c r="X323" s="36">
        <v>0</v>
      </c>
      <c r="Y323" s="36"/>
      <c r="Z323" s="36">
        <v>1</v>
      </c>
      <c r="AA323" s="36">
        <v>2625000</v>
      </c>
      <c r="AB323" s="40">
        <v>46174</v>
      </c>
      <c r="AC323" s="36" t="s">
        <v>2196</v>
      </c>
      <c r="AD323" s="36" t="str">
        <f>VLOOKUP(D323,Oficial!A:C,3,0)</f>
        <v>Arrastre</v>
      </c>
    </row>
    <row r="324" spans="1:30" x14ac:dyDescent="0.25">
      <c r="A324" s="36" t="s">
        <v>27</v>
      </c>
      <c r="B324" s="36" t="s">
        <v>323</v>
      </c>
      <c r="C324" s="36" t="s">
        <v>28</v>
      </c>
      <c r="D324" s="36" t="s">
        <v>323</v>
      </c>
      <c r="E324" s="36" t="s">
        <v>30</v>
      </c>
      <c r="F324" s="36" t="s">
        <v>31</v>
      </c>
      <c r="G324" s="37" t="s">
        <v>314</v>
      </c>
      <c r="H324" s="36" t="s">
        <v>324</v>
      </c>
      <c r="I324" s="36" t="s">
        <v>325</v>
      </c>
      <c r="J324" s="36">
        <v>1</v>
      </c>
      <c r="K324" s="36" t="s">
        <v>326</v>
      </c>
      <c r="L324" s="36">
        <v>4</v>
      </c>
      <c r="M324" s="36">
        <v>1</v>
      </c>
      <c r="N324" s="38">
        <v>31500000</v>
      </c>
      <c r="O324" s="47">
        <v>2625000</v>
      </c>
      <c r="P324" s="36">
        <v>12</v>
      </c>
      <c r="Q324" s="36" t="s">
        <v>318</v>
      </c>
      <c r="R324" s="36" t="s">
        <v>319</v>
      </c>
      <c r="S324" s="36" t="s">
        <v>320</v>
      </c>
      <c r="T324" s="36" t="s">
        <v>327</v>
      </c>
      <c r="U324" s="36" t="s">
        <v>322</v>
      </c>
      <c r="V324" s="40">
        <v>45870</v>
      </c>
      <c r="W324" s="40">
        <v>45889</v>
      </c>
      <c r="X324" s="36">
        <v>0</v>
      </c>
      <c r="Y324" s="36"/>
      <c r="Z324" s="36">
        <v>1</v>
      </c>
      <c r="AA324" s="36">
        <v>2625000</v>
      </c>
      <c r="AB324" s="40">
        <v>46235</v>
      </c>
      <c r="AC324" s="36" t="s">
        <v>2196</v>
      </c>
      <c r="AD324" s="36" t="str">
        <f>VLOOKUP(D324,Oficial!A:C,3,0)</f>
        <v>Arrastre</v>
      </c>
    </row>
    <row r="325" spans="1:30" x14ac:dyDescent="0.25">
      <c r="A325" s="36" t="s">
        <v>27</v>
      </c>
      <c r="B325" s="36" t="s">
        <v>323</v>
      </c>
      <c r="C325" s="36" t="s">
        <v>28</v>
      </c>
      <c r="D325" s="36" t="s">
        <v>323</v>
      </c>
      <c r="E325" s="36" t="s">
        <v>30</v>
      </c>
      <c r="F325" s="36" t="s">
        <v>31</v>
      </c>
      <c r="G325" s="37" t="s">
        <v>314</v>
      </c>
      <c r="H325" s="36" t="s">
        <v>324</v>
      </c>
      <c r="I325" s="36" t="s">
        <v>325</v>
      </c>
      <c r="J325" s="36">
        <v>1</v>
      </c>
      <c r="K325" s="36" t="s">
        <v>326</v>
      </c>
      <c r="L325" s="36">
        <v>4</v>
      </c>
      <c r="M325" s="36">
        <v>1</v>
      </c>
      <c r="N325" s="38">
        <v>31500000</v>
      </c>
      <c r="O325" s="47">
        <v>2625000</v>
      </c>
      <c r="P325" s="36">
        <v>12</v>
      </c>
      <c r="Q325" s="36" t="s">
        <v>318</v>
      </c>
      <c r="R325" s="36" t="s">
        <v>319</v>
      </c>
      <c r="S325" s="36" t="s">
        <v>320</v>
      </c>
      <c r="T325" s="36" t="s">
        <v>327</v>
      </c>
      <c r="U325" s="36" t="s">
        <v>322</v>
      </c>
      <c r="V325" s="40">
        <v>45870</v>
      </c>
      <c r="W325" s="40">
        <v>45889</v>
      </c>
      <c r="X325" s="36">
        <v>0</v>
      </c>
      <c r="Y325" s="36"/>
      <c r="Z325" s="36">
        <v>1</v>
      </c>
      <c r="AA325" s="36">
        <v>2625000</v>
      </c>
      <c r="AB325" s="40">
        <v>46204</v>
      </c>
      <c r="AC325" s="36" t="s">
        <v>2196</v>
      </c>
      <c r="AD325" s="36" t="str">
        <f>VLOOKUP(D325,Oficial!A:C,3,0)</f>
        <v>Arrastre</v>
      </c>
    </row>
    <row r="326" spans="1:30" x14ac:dyDescent="0.25">
      <c r="A326" s="36" t="s">
        <v>27</v>
      </c>
      <c r="B326" s="36" t="s">
        <v>323</v>
      </c>
      <c r="C326" s="36" t="s">
        <v>28</v>
      </c>
      <c r="D326" s="36" t="s">
        <v>323</v>
      </c>
      <c r="E326" s="36" t="s">
        <v>30</v>
      </c>
      <c r="F326" s="36" t="s">
        <v>31</v>
      </c>
      <c r="G326" s="37" t="s">
        <v>314</v>
      </c>
      <c r="H326" s="36" t="s">
        <v>324</v>
      </c>
      <c r="I326" s="36" t="s">
        <v>325</v>
      </c>
      <c r="J326" s="36">
        <v>1</v>
      </c>
      <c r="K326" s="36" t="s">
        <v>326</v>
      </c>
      <c r="L326" s="36">
        <v>4</v>
      </c>
      <c r="M326" s="36">
        <v>1</v>
      </c>
      <c r="N326" s="38">
        <v>31500000</v>
      </c>
      <c r="O326" s="47">
        <v>2625000</v>
      </c>
      <c r="P326" s="36">
        <v>12</v>
      </c>
      <c r="Q326" s="36" t="s">
        <v>318</v>
      </c>
      <c r="R326" s="36" t="s">
        <v>319</v>
      </c>
      <c r="S326" s="36" t="s">
        <v>320</v>
      </c>
      <c r="T326" s="36" t="s">
        <v>327</v>
      </c>
      <c r="U326" s="36" t="s">
        <v>322</v>
      </c>
      <c r="V326" s="40">
        <v>45870</v>
      </c>
      <c r="W326" s="40">
        <v>45889</v>
      </c>
      <c r="X326" s="36">
        <v>0</v>
      </c>
      <c r="Y326" s="36"/>
      <c r="Z326" s="36">
        <v>1</v>
      </c>
      <c r="AA326" s="36">
        <v>2625000</v>
      </c>
      <c r="AB326" s="40">
        <v>46113</v>
      </c>
      <c r="AC326" s="36" t="s">
        <v>2196</v>
      </c>
      <c r="AD326" s="36" t="str">
        <f>VLOOKUP(D326,Oficial!A:C,3,0)</f>
        <v>Arrastre</v>
      </c>
    </row>
    <row r="327" spans="1:30" x14ac:dyDescent="0.25">
      <c r="A327" s="36" t="s">
        <v>27</v>
      </c>
      <c r="B327" s="36" t="s">
        <v>323</v>
      </c>
      <c r="C327" s="36" t="s">
        <v>28</v>
      </c>
      <c r="D327" s="36" t="s">
        <v>323</v>
      </c>
      <c r="E327" s="36" t="s">
        <v>30</v>
      </c>
      <c r="F327" s="36" t="s">
        <v>31</v>
      </c>
      <c r="G327" s="37" t="s">
        <v>314</v>
      </c>
      <c r="H327" s="36" t="s">
        <v>324</v>
      </c>
      <c r="I327" s="36" t="s">
        <v>325</v>
      </c>
      <c r="J327" s="36">
        <v>1</v>
      </c>
      <c r="K327" s="36" t="s">
        <v>326</v>
      </c>
      <c r="L327" s="36">
        <v>4</v>
      </c>
      <c r="M327" s="36">
        <v>1</v>
      </c>
      <c r="N327" s="38">
        <v>31500000</v>
      </c>
      <c r="O327" s="47">
        <v>2625000</v>
      </c>
      <c r="P327" s="36">
        <v>12</v>
      </c>
      <c r="Q327" s="36" t="s">
        <v>318</v>
      </c>
      <c r="R327" s="36" t="s">
        <v>319</v>
      </c>
      <c r="S327" s="36" t="s">
        <v>320</v>
      </c>
      <c r="T327" s="36" t="s">
        <v>327</v>
      </c>
      <c r="U327" s="36" t="s">
        <v>322</v>
      </c>
      <c r="V327" s="40">
        <v>45870</v>
      </c>
      <c r="W327" s="40">
        <v>45889</v>
      </c>
      <c r="X327" s="36">
        <v>0</v>
      </c>
      <c r="Y327" s="36"/>
      <c r="Z327" s="36">
        <v>1</v>
      </c>
      <c r="AA327" s="36">
        <v>2625000</v>
      </c>
      <c r="AB327" s="40">
        <v>46266</v>
      </c>
      <c r="AC327" s="36" t="s">
        <v>2196</v>
      </c>
      <c r="AD327" s="36" t="str">
        <f>VLOOKUP(D327,Oficial!A:C,3,0)</f>
        <v>Arrastre</v>
      </c>
    </row>
    <row r="328" spans="1:30" x14ac:dyDescent="0.25">
      <c r="A328" s="36" t="s">
        <v>27</v>
      </c>
      <c r="B328" s="36" t="s">
        <v>323</v>
      </c>
      <c r="C328" s="36" t="s">
        <v>28</v>
      </c>
      <c r="D328" s="36" t="s">
        <v>323</v>
      </c>
      <c r="E328" s="36" t="s">
        <v>30</v>
      </c>
      <c r="F328" s="36" t="s">
        <v>31</v>
      </c>
      <c r="G328" s="37" t="s">
        <v>314</v>
      </c>
      <c r="H328" s="36" t="s">
        <v>324</v>
      </c>
      <c r="I328" s="36" t="s">
        <v>325</v>
      </c>
      <c r="J328" s="36">
        <v>1</v>
      </c>
      <c r="K328" s="36" t="s">
        <v>326</v>
      </c>
      <c r="L328" s="36">
        <v>4</v>
      </c>
      <c r="M328" s="36">
        <v>1</v>
      </c>
      <c r="N328" s="38">
        <v>31500000</v>
      </c>
      <c r="O328" s="47">
        <v>2625000</v>
      </c>
      <c r="P328" s="36">
        <v>12</v>
      </c>
      <c r="Q328" s="36" t="s">
        <v>318</v>
      </c>
      <c r="R328" s="36" t="s">
        <v>319</v>
      </c>
      <c r="S328" s="36" t="s">
        <v>320</v>
      </c>
      <c r="T328" s="36" t="s">
        <v>327</v>
      </c>
      <c r="U328" s="36" t="s">
        <v>322</v>
      </c>
      <c r="V328" s="40">
        <v>45870</v>
      </c>
      <c r="W328" s="40">
        <v>45889</v>
      </c>
      <c r="X328" s="36">
        <v>0</v>
      </c>
      <c r="Y328" s="36"/>
      <c r="Z328" s="36">
        <v>1</v>
      </c>
      <c r="AA328" s="36">
        <v>2625000</v>
      </c>
      <c r="AB328" s="40">
        <v>46296</v>
      </c>
      <c r="AC328" s="36" t="s">
        <v>2196</v>
      </c>
      <c r="AD328" s="36" t="str">
        <f>VLOOKUP(D328,Oficial!A:C,3,0)</f>
        <v>Arrastre</v>
      </c>
    </row>
    <row r="329" spans="1:30" x14ac:dyDescent="0.25">
      <c r="A329" s="36" t="s">
        <v>27</v>
      </c>
      <c r="B329" s="36" t="s">
        <v>328</v>
      </c>
      <c r="C329" s="36" t="s">
        <v>28</v>
      </c>
      <c r="D329" s="36" t="s">
        <v>328</v>
      </c>
      <c r="E329" s="36" t="s">
        <v>30</v>
      </c>
      <c r="F329" s="36" t="s">
        <v>31</v>
      </c>
      <c r="G329" s="37" t="s">
        <v>299</v>
      </c>
      <c r="H329" s="36" t="s">
        <v>329</v>
      </c>
      <c r="I329" s="36" t="s">
        <v>330</v>
      </c>
      <c r="J329" s="36">
        <v>1</v>
      </c>
      <c r="K329" s="36" t="s">
        <v>331</v>
      </c>
      <c r="L329" s="36">
        <v>4</v>
      </c>
      <c r="M329" s="36">
        <v>1</v>
      </c>
      <c r="N329" s="38">
        <v>90000000</v>
      </c>
      <c r="O329" s="46">
        <v>7500000</v>
      </c>
      <c r="P329" s="36">
        <v>12</v>
      </c>
      <c r="Q329" s="36" t="s">
        <v>308</v>
      </c>
      <c r="R329" s="36" t="s">
        <v>332</v>
      </c>
      <c r="S329" s="36" t="s">
        <v>333</v>
      </c>
      <c r="T329" s="36" t="s">
        <v>124</v>
      </c>
      <c r="U329" s="36" t="s">
        <v>334</v>
      </c>
      <c r="V329" s="40">
        <v>45839</v>
      </c>
      <c r="W329" s="40">
        <v>45889</v>
      </c>
      <c r="X329" s="36">
        <v>3</v>
      </c>
      <c r="Y329" s="36" t="s">
        <v>335</v>
      </c>
      <c r="Z329" s="36">
        <v>1</v>
      </c>
      <c r="AA329" s="36">
        <v>7500000</v>
      </c>
      <c r="AB329" s="40">
        <v>46174</v>
      </c>
      <c r="AC329" s="36" t="s">
        <v>2196</v>
      </c>
      <c r="AD329" s="36" t="str">
        <f>VLOOKUP(D329,Oficial!A:C,3,0)</f>
        <v>Arrastre</v>
      </c>
    </row>
    <row r="330" spans="1:30" x14ac:dyDescent="0.25">
      <c r="A330" s="36" t="s">
        <v>27</v>
      </c>
      <c r="B330" s="36" t="s">
        <v>328</v>
      </c>
      <c r="C330" s="36" t="s">
        <v>28</v>
      </c>
      <c r="D330" s="36" t="s">
        <v>328</v>
      </c>
      <c r="E330" s="36" t="s">
        <v>30</v>
      </c>
      <c r="F330" s="36" t="s">
        <v>31</v>
      </c>
      <c r="G330" s="37" t="s">
        <v>299</v>
      </c>
      <c r="H330" s="36" t="s">
        <v>329</v>
      </c>
      <c r="I330" s="36" t="s">
        <v>330</v>
      </c>
      <c r="J330" s="36">
        <v>1</v>
      </c>
      <c r="K330" s="36" t="s">
        <v>331</v>
      </c>
      <c r="L330" s="36">
        <v>4</v>
      </c>
      <c r="M330" s="36">
        <v>1</v>
      </c>
      <c r="N330" s="38">
        <v>90000000</v>
      </c>
      <c r="O330" s="46">
        <v>7500000</v>
      </c>
      <c r="P330" s="36">
        <v>12</v>
      </c>
      <c r="Q330" s="36" t="s">
        <v>308</v>
      </c>
      <c r="R330" s="36" t="s">
        <v>332</v>
      </c>
      <c r="S330" s="36" t="s">
        <v>333</v>
      </c>
      <c r="T330" s="36" t="s">
        <v>124</v>
      </c>
      <c r="U330" s="36" t="s">
        <v>334</v>
      </c>
      <c r="V330" s="40">
        <v>45839</v>
      </c>
      <c r="W330" s="40">
        <v>45889</v>
      </c>
      <c r="X330" s="36">
        <v>3</v>
      </c>
      <c r="Y330" s="36" t="s">
        <v>335</v>
      </c>
      <c r="Z330" s="36">
        <v>1</v>
      </c>
      <c r="AA330" s="36">
        <v>7500000</v>
      </c>
      <c r="AB330" s="40">
        <v>46082</v>
      </c>
      <c r="AC330" s="36" t="s">
        <v>2196</v>
      </c>
      <c r="AD330" s="36" t="str">
        <f>VLOOKUP(D330,Oficial!A:C,3,0)</f>
        <v>Arrastre</v>
      </c>
    </row>
    <row r="331" spans="1:30" x14ac:dyDescent="0.25">
      <c r="A331" s="36" t="s">
        <v>27</v>
      </c>
      <c r="B331" s="36" t="s">
        <v>328</v>
      </c>
      <c r="C331" s="36" t="s">
        <v>28</v>
      </c>
      <c r="D331" s="36" t="s">
        <v>328</v>
      </c>
      <c r="E331" s="36" t="s">
        <v>30</v>
      </c>
      <c r="F331" s="36" t="s">
        <v>31</v>
      </c>
      <c r="G331" s="37" t="s">
        <v>299</v>
      </c>
      <c r="H331" s="36" t="s">
        <v>329</v>
      </c>
      <c r="I331" s="36" t="s">
        <v>330</v>
      </c>
      <c r="J331" s="36">
        <v>1</v>
      </c>
      <c r="K331" s="36" t="s">
        <v>331</v>
      </c>
      <c r="L331" s="36">
        <v>4</v>
      </c>
      <c r="M331" s="36">
        <v>1</v>
      </c>
      <c r="N331" s="38">
        <v>90000000</v>
      </c>
      <c r="O331" s="46">
        <v>7500000</v>
      </c>
      <c r="P331" s="36">
        <v>12</v>
      </c>
      <c r="Q331" s="36" t="s">
        <v>308</v>
      </c>
      <c r="R331" s="36" t="s">
        <v>332</v>
      </c>
      <c r="S331" s="36" t="s">
        <v>333</v>
      </c>
      <c r="T331" s="36" t="s">
        <v>124</v>
      </c>
      <c r="U331" s="36" t="s">
        <v>334</v>
      </c>
      <c r="V331" s="40">
        <v>45839</v>
      </c>
      <c r="W331" s="40">
        <v>45889</v>
      </c>
      <c r="X331" s="36">
        <v>3</v>
      </c>
      <c r="Y331" s="36" t="s">
        <v>335</v>
      </c>
      <c r="Z331" s="36">
        <v>1</v>
      </c>
      <c r="AA331" s="36">
        <v>7500000</v>
      </c>
      <c r="AB331" s="40">
        <v>46204</v>
      </c>
      <c r="AC331" s="36" t="s">
        <v>2196</v>
      </c>
      <c r="AD331" s="36" t="str">
        <f>VLOOKUP(D331,Oficial!A:C,3,0)</f>
        <v>Arrastre</v>
      </c>
    </row>
    <row r="332" spans="1:30" x14ac:dyDescent="0.25">
      <c r="A332" s="36" t="s">
        <v>27</v>
      </c>
      <c r="B332" s="36" t="s">
        <v>328</v>
      </c>
      <c r="C332" s="36" t="s">
        <v>28</v>
      </c>
      <c r="D332" s="36" t="s">
        <v>328</v>
      </c>
      <c r="E332" s="36" t="s">
        <v>30</v>
      </c>
      <c r="F332" s="36" t="s">
        <v>31</v>
      </c>
      <c r="G332" s="37" t="s">
        <v>299</v>
      </c>
      <c r="H332" s="36" t="s">
        <v>329</v>
      </c>
      <c r="I332" s="36" t="s">
        <v>330</v>
      </c>
      <c r="J332" s="36">
        <v>1</v>
      </c>
      <c r="K332" s="36" t="s">
        <v>331</v>
      </c>
      <c r="L332" s="36">
        <v>4</v>
      </c>
      <c r="M332" s="36">
        <v>1</v>
      </c>
      <c r="N332" s="38">
        <v>90000000</v>
      </c>
      <c r="O332" s="46">
        <v>7500000</v>
      </c>
      <c r="P332" s="36">
        <v>12</v>
      </c>
      <c r="Q332" s="36" t="s">
        <v>308</v>
      </c>
      <c r="R332" s="36" t="s">
        <v>332</v>
      </c>
      <c r="S332" s="36" t="s">
        <v>333</v>
      </c>
      <c r="T332" s="36" t="s">
        <v>124</v>
      </c>
      <c r="U332" s="36" t="s">
        <v>334</v>
      </c>
      <c r="V332" s="40">
        <v>45839</v>
      </c>
      <c r="W332" s="40">
        <v>45889</v>
      </c>
      <c r="X332" s="36">
        <v>3</v>
      </c>
      <c r="Y332" s="36" t="s">
        <v>335</v>
      </c>
      <c r="Z332" s="36">
        <v>1</v>
      </c>
      <c r="AA332" s="36">
        <v>7500000</v>
      </c>
      <c r="AB332" s="40">
        <v>46054</v>
      </c>
      <c r="AC332" s="36" t="s">
        <v>2196</v>
      </c>
      <c r="AD332" s="36" t="str">
        <f>VLOOKUP(D332,Oficial!A:C,3,0)</f>
        <v>Arrastre</v>
      </c>
    </row>
    <row r="333" spans="1:30" x14ac:dyDescent="0.25">
      <c r="A333" s="36" t="s">
        <v>27</v>
      </c>
      <c r="B333" s="36" t="s">
        <v>328</v>
      </c>
      <c r="C333" s="36" t="s">
        <v>28</v>
      </c>
      <c r="D333" s="36" t="s">
        <v>328</v>
      </c>
      <c r="E333" s="36" t="s">
        <v>30</v>
      </c>
      <c r="F333" s="36" t="s">
        <v>31</v>
      </c>
      <c r="G333" s="37" t="s">
        <v>299</v>
      </c>
      <c r="H333" s="36" t="s">
        <v>329</v>
      </c>
      <c r="I333" s="36" t="s">
        <v>330</v>
      </c>
      <c r="J333" s="36">
        <v>1</v>
      </c>
      <c r="K333" s="36" t="s">
        <v>331</v>
      </c>
      <c r="L333" s="36">
        <v>4</v>
      </c>
      <c r="M333" s="36">
        <v>1</v>
      </c>
      <c r="N333" s="38">
        <v>90000000</v>
      </c>
      <c r="O333" s="46">
        <v>7500000</v>
      </c>
      <c r="P333" s="36">
        <v>12</v>
      </c>
      <c r="Q333" s="36" t="s">
        <v>308</v>
      </c>
      <c r="R333" s="36" t="s">
        <v>332</v>
      </c>
      <c r="S333" s="36" t="s">
        <v>333</v>
      </c>
      <c r="T333" s="36" t="s">
        <v>124</v>
      </c>
      <c r="U333" s="36" t="s">
        <v>334</v>
      </c>
      <c r="V333" s="40">
        <v>45839</v>
      </c>
      <c r="W333" s="40">
        <v>45889</v>
      </c>
      <c r="X333" s="36">
        <v>3</v>
      </c>
      <c r="Y333" s="36" t="s">
        <v>335</v>
      </c>
      <c r="Z333" s="36">
        <v>1</v>
      </c>
      <c r="AA333" s="36">
        <v>7500000</v>
      </c>
      <c r="AB333" s="40">
        <v>46023</v>
      </c>
      <c r="AC333" s="36" t="s">
        <v>2196</v>
      </c>
      <c r="AD333" s="36" t="str">
        <f>VLOOKUP(D333,Oficial!A:C,3,0)</f>
        <v>Arrastre</v>
      </c>
    </row>
    <row r="334" spans="1:30" x14ac:dyDescent="0.25">
      <c r="A334" s="36" t="s">
        <v>27</v>
      </c>
      <c r="B334" s="36" t="s">
        <v>328</v>
      </c>
      <c r="C334" s="36" t="s">
        <v>28</v>
      </c>
      <c r="D334" s="36" t="s">
        <v>328</v>
      </c>
      <c r="E334" s="36" t="s">
        <v>30</v>
      </c>
      <c r="F334" s="36" t="s">
        <v>31</v>
      </c>
      <c r="G334" s="37" t="s">
        <v>299</v>
      </c>
      <c r="H334" s="36" t="s">
        <v>329</v>
      </c>
      <c r="I334" s="36" t="s">
        <v>330</v>
      </c>
      <c r="J334" s="36">
        <v>1</v>
      </c>
      <c r="K334" s="36" t="s">
        <v>331</v>
      </c>
      <c r="L334" s="36">
        <v>4</v>
      </c>
      <c r="M334" s="36">
        <v>1</v>
      </c>
      <c r="N334" s="38">
        <v>90000000</v>
      </c>
      <c r="O334" s="46">
        <v>7500000</v>
      </c>
      <c r="P334" s="36">
        <v>12</v>
      </c>
      <c r="Q334" s="36" t="s">
        <v>308</v>
      </c>
      <c r="R334" s="36" t="s">
        <v>332</v>
      </c>
      <c r="S334" s="36" t="s">
        <v>333</v>
      </c>
      <c r="T334" s="36" t="s">
        <v>124</v>
      </c>
      <c r="U334" s="36" t="s">
        <v>334</v>
      </c>
      <c r="V334" s="40">
        <v>45839</v>
      </c>
      <c r="W334" s="40">
        <v>45889</v>
      </c>
      <c r="X334" s="36">
        <v>3</v>
      </c>
      <c r="Y334" s="36" t="s">
        <v>336</v>
      </c>
      <c r="Z334" s="36">
        <v>1</v>
      </c>
      <c r="AA334" s="36">
        <v>7500000</v>
      </c>
      <c r="AB334" s="40">
        <v>46023</v>
      </c>
      <c r="AC334" s="36" t="s">
        <v>2196</v>
      </c>
      <c r="AD334" s="36" t="str">
        <f>VLOOKUP(D334,Oficial!A:C,3,0)</f>
        <v>Arrastre</v>
      </c>
    </row>
    <row r="335" spans="1:30" x14ac:dyDescent="0.25">
      <c r="A335" s="36" t="s">
        <v>27</v>
      </c>
      <c r="B335" s="36" t="s">
        <v>328</v>
      </c>
      <c r="C335" s="36" t="s">
        <v>28</v>
      </c>
      <c r="D335" s="36" t="s">
        <v>328</v>
      </c>
      <c r="E335" s="36" t="s">
        <v>30</v>
      </c>
      <c r="F335" s="36" t="s">
        <v>31</v>
      </c>
      <c r="G335" s="37" t="s">
        <v>299</v>
      </c>
      <c r="H335" s="36" t="s">
        <v>329</v>
      </c>
      <c r="I335" s="36" t="s">
        <v>330</v>
      </c>
      <c r="J335" s="36">
        <v>1</v>
      </c>
      <c r="K335" s="36" t="s">
        <v>331</v>
      </c>
      <c r="L335" s="36">
        <v>4</v>
      </c>
      <c r="M335" s="36">
        <v>1</v>
      </c>
      <c r="N335" s="38">
        <v>90000000</v>
      </c>
      <c r="O335" s="46">
        <v>7500000</v>
      </c>
      <c r="P335" s="36">
        <v>12</v>
      </c>
      <c r="Q335" s="36" t="s">
        <v>308</v>
      </c>
      <c r="R335" s="36" t="s">
        <v>332</v>
      </c>
      <c r="S335" s="36" t="s">
        <v>333</v>
      </c>
      <c r="T335" s="36" t="s">
        <v>124</v>
      </c>
      <c r="U335" s="36" t="s">
        <v>334</v>
      </c>
      <c r="V335" s="40">
        <v>45839</v>
      </c>
      <c r="W335" s="40">
        <v>45889</v>
      </c>
      <c r="X335" s="36">
        <v>3</v>
      </c>
      <c r="Y335" s="36" t="s">
        <v>335</v>
      </c>
      <c r="Z335" s="36">
        <v>1</v>
      </c>
      <c r="AA335" s="36">
        <v>7500000</v>
      </c>
      <c r="AB335" s="40">
        <v>46113</v>
      </c>
      <c r="AC335" s="36" t="s">
        <v>2196</v>
      </c>
      <c r="AD335" s="36" t="str">
        <f>VLOOKUP(D335,Oficial!A:C,3,0)</f>
        <v>Arrastre</v>
      </c>
    </row>
    <row r="336" spans="1:30" x14ac:dyDescent="0.25">
      <c r="A336" s="36" t="s">
        <v>27</v>
      </c>
      <c r="B336" s="36" t="s">
        <v>337</v>
      </c>
      <c r="C336" s="36" t="s">
        <v>28</v>
      </c>
      <c r="D336" s="36" t="s">
        <v>337</v>
      </c>
      <c r="E336" s="36" t="s">
        <v>30</v>
      </c>
      <c r="F336" s="36" t="s">
        <v>31</v>
      </c>
      <c r="G336" s="37" t="s">
        <v>314</v>
      </c>
      <c r="H336" s="36" t="s">
        <v>338</v>
      </c>
      <c r="I336" s="36" t="s">
        <v>339</v>
      </c>
      <c r="J336" s="36">
        <v>1</v>
      </c>
      <c r="K336" s="36" t="s">
        <v>340</v>
      </c>
      <c r="L336" s="36">
        <v>5</v>
      </c>
      <c r="M336" s="36">
        <v>1</v>
      </c>
      <c r="N336" s="38">
        <v>16500000</v>
      </c>
      <c r="O336" s="44">
        <v>916666</v>
      </c>
      <c r="P336" s="36">
        <v>18</v>
      </c>
      <c r="Q336" s="36" t="s">
        <v>206</v>
      </c>
      <c r="R336" s="36" t="s">
        <v>341</v>
      </c>
      <c r="S336" s="36" t="s">
        <v>342</v>
      </c>
      <c r="T336" s="36" t="s">
        <v>343</v>
      </c>
      <c r="U336" s="36" t="s">
        <v>344</v>
      </c>
      <c r="V336" s="40">
        <v>45809</v>
      </c>
      <c r="W336" s="40">
        <v>45889</v>
      </c>
      <c r="X336" s="36">
        <v>27</v>
      </c>
      <c r="Y336" s="36" t="s">
        <v>347</v>
      </c>
      <c r="Z336" s="36">
        <v>1</v>
      </c>
      <c r="AA336" s="36">
        <v>916666</v>
      </c>
      <c r="AB336" s="40">
        <v>46327</v>
      </c>
      <c r="AC336" s="36" t="s">
        <v>2196</v>
      </c>
      <c r="AD336" s="36" t="str">
        <f>VLOOKUP(D336,Oficial!A:C,3,0)</f>
        <v>Arrastre</v>
      </c>
    </row>
    <row r="337" spans="1:30" x14ac:dyDescent="0.25">
      <c r="A337" s="36" t="s">
        <v>27</v>
      </c>
      <c r="B337" s="36" t="s">
        <v>337</v>
      </c>
      <c r="C337" s="36" t="s">
        <v>28</v>
      </c>
      <c r="D337" s="36" t="s">
        <v>337</v>
      </c>
      <c r="E337" s="36" t="s">
        <v>30</v>
      </c>
      <c r="F337" s="36" t="s">
        <v>31</v>
      </c>
      <c r="G337" s="37" t="s">
        <v>314</v>
      </c>
      <c r="H337" s="36" t="s">
        <v>338</v>
      </c>
      <c r="I337" s="36" t="s">
        <v>339</v>
      </c>
      <c r="J337" s="36">
        <v>1</v>
      </c>
      <c r="K337" s="36" t="s">
        <v>340</v>
      </c>
      <c r="L337" s="36">
        <v>5</v>
      </c>
      <c r="M337" s="36">
        <v>1</v>
      </c>
      <c r="N337" s="38">
        <v>16500000</v>
      </c>
      <c r="O337" s="44">
        <v>916666</v>
      </c>
      <c r="P337" s="36">
        <v>18</v>
      </c>
      <c r="Q337" s="36" t="s">
        <v>206</v>
      </c>
      <c r="R337" s="36" t="s">
        <v>341</v>
      </c>
      <c r="S337" s="36" t="s">
        <v>342</v>
      </c>
      <c r="T337" s="36" t="s">
        <v>343</v>
      </c>
      <c r="U337" s="36" t="s">
        <v>344</v>
      </c>
      <c r="V337" s="40">
        <v>45809</v>
      </c>
      <c r="W337" s="40">
        <v>45889</v>
      </c>
      <c r="X337" s="36">
        <v>27</v>
      </c>
      <c r="Y337" s="36" t="s">
        <v>352</v>
      </c>
      <c r="Z337" s="36">
        <v>1</v>
      </c>
      <c r="AA337" s="36">
        <v>916666</v>
      </c>
      <c r="AB337" s="40">
        <v>46327</v>
      </c>
      <c r="AC337" s="36" t="s">
        <v>2196</v>
      </c>
      <c r="AD337" s="36" t="str">
        <f>VLOOKUP(D337,Oficial!A:C,3,0)</f>
        <v>Arrastre</v>
      </c>
    </row>
    <row r="338" spans="1:30" x14ac:dyDescent="0.25">
      <c r="A338" s="36" t="s">
        <v>27</v>
      </c>
      <c r="B338" s="36" t="s">
        <v>337</v>
      </c>
      <c r="C338" s="36" t="s">
        <v>28</v>
      </c>
      <c r="D338" s="36" t="s">
        <v>337</v>
      </c>
      <c r="E338" s="36" t="s">
        <v>30</v>
      </c>
      <c r="F338" s="36" t="s">
        <v>31</v>
      </c>
      <c r="G338" s="37" t="s">
        <v>314</v>
      </c>
      <c r="H338" s="36" t="s">
        <v>338</v>
      </c>
      <c r="I338" s="36" t="s">
        <v>339</v>
      </c>
      <c r="J338" s="36">
        <v>1</v>
      </c>
      <c r="K338" s="36" t="s">
        <v>340</v>
      </c>
      <c r="L338" s="36">
        <v>5</v>
      </c>
      <c r="M338" s="36">
        <v>1</v>
      </c>
      <c r="N338" s="38">
        <v>16500000</v>
      </c>
      <c r="O338" s="44">
        <v>916666</v>
      </c>
      <c r="P338" s="36">
        <v>18</v>
      </c>
      <c r="Q338" s="36" t="s">
        <v>206</v>
      </c>
      <c r="R338" s="36" t="s">
        <v>341</v>
      </c>
      <c r="S338" s="36" t="s">
        <v>342</v>
      </c>
      <c r="T338" s="36" t="s">
        <v>343</v>
      </c>
      <c r="U338" s="36" t="s">
        <v>344</v>
      </c>
      <c r="V338" s="40">
        <v>45809</v>
      </c>
      <c r="W338" s="40">
        <v>45889</v>
      </c>
      <c r="X338" s="36">
        <v>27</v>
      </c>
      <c r="Y338" s="36" t="s">
        <v>350</v>
      </c>
      <c r="Z338" s="36">
        <v>1</v>
      </c>
      <c r="AA338" s="36">
        <v>916666</v>
      </c>
      <c r="AB338" s="40">
        <v>46082</v>
      </c>
      <c r="AC338" s="36" t="s">
        <v>2196</v>
      </c>
      <c r="AD338" s="36" t="str">
        <f>VLOOKUP(D338,Oficial!A:C,3,0)</f>
        <v>Arrastre</v>
      </c>
    </row>
    <row r="339" spans="1:30" x14ac:dyDescent="0.25">
      <c r="A339" s="36" t="s">
        <v>27</v>
      </c>
      <c r="B339" s="36" t="s">
        <v>337</v>
      </c>
      <c r="C339" s="36" t="s">
        <v>28</v>
      </c>
      <c r="D339" s="36" t="s">
        <v>337</v>
      </c>
      <c r="E339" s="36" t="s">
        <v>30</v>
      </c>
      <c r="F339" s="36" t="s">
        <v>31</v>
      </c>
      <c r="G339" s="37" t="s">
        <v>314</v>
      </c>
      <c r="H339" s="36" t="s">
        <v>338</v>
      </c>
      <c r="I339" s="36" t="s">
        <v>339</v>
      </c>
      <c r="J339" s="36">
        <v>1</v>
      </c>
      <c r="K339" s="36" t="s">
        <v>340</v>
      </c>
      <c r="L339" s="36">
        <v>5</v>
      </c>
      <c r="M339" s="36">
        <v>1</v>
      </c>
      <c r="N339" s="38">
        <v>16500000</v>
      </c>
      <c r="O339" s="44">
        <v>916666</v>
      </c>
      <c r="P339" s="36">
        <v>18</v>
      </c>
      <c r="Q339" s="36" t="s">
        <v>206</v>
      </c>
      <c r="R339" s="36" t="s">
        <v>341</v>
      </c>
      <c r="S339" s="36" t="s">
        <v>342</v>
      </c>
      <c r="T339" s="36" t="s">
        <v>343</v>
      </c>
      <c r="U339" s="36" t="s">
        <v>344</v>
      </c>
      <c r="V339" s="40">
        <v>45809</v>
      </c>
      <c r="W339" s="40">
        <v>45889</v>
      </c>
      <c r="X339" s="36">
        <v>27</v>
      </c>
      <c r="Y339" s="36" t="s">
        <v>346</v>
      </c>
      <c r="Z339" s="36">
        <v>1</v>
      </c>
      <c r="AA339" s="36">
        <v>916666</v>
      </c>
      <c r="AB339" s="40">
        <v>46082</v>
      </c>
      <c r="AC339" s="36" t="s">
        <v>2196</v>
      </c>
      <c r="AD339" s="36" t="str">
        <f>VLOOKUP(D339,Oficial!A:C,3,0)</f>
        <v>Arrastre</v>
      </c>
    </row>
    <row r="340" spans="1:30" x14ac:dyDescent="0.25">
      <c r="A340" s="36" t="s">
        <v>27</v>
      </c>
      <c r="B340" s="36" t="s">
        <v>337</v>
      </c>
      <c r="C340" s="36" t="s">
        <v>28</v>
      </c>
      <c r="D340" s="36" t="s">
        <v>337</v>
      </c>
      <c r="E340" s="36" t="s">
        <v>30</v>
      </c>
      <c r="F340" s="36" t="s">
        <v>31</v>
      </c>
      <c r="G340" s="37" t="s">
        <v>314</v>
      </c>
      <c r="H340" s="36" t="s">
        <v>338</v>
      </c>
      <c r="I340" s="36" t="s">
        <v>339</v>
      </c>
      <c r="J340" s="36">
        <v>1</v>
      </c>
      <c r="K340" s="36" t="s">
        <v>340</v>
      </c>
      <c r="L340" s="36">
        <v>5</v>
      </c>
      <c r="M340" s="36">
        <v>1</v>
      </c>
      <c r="N340" s="38">
        <v>16500000</v>
      </c>
      <c r="O340" s="44">
        <v>916666</v>
      </c>
      <c r="P340" s="36">
        <v>18</v>
      </c>
      <c r="Q340" s="36" t="s">
        <v>206</v>
      </c>
      <c r="R340" s="36" t="s">
        <v>341</v>
      </c>
      <c r="S340" s="36" t="s">
        <v>342</v>
      </c>
      <c r="T340" s="36" t="s">
        <v>343</v>
      </c>
      <c r="U340" s="36" t="s">
        <v>344</v>
      </c>
      <c r="V340" s="40">
        <v>45809</v>
      </c>
      <c r="W340" s="40">
        <v>45889</v>
      </c>
      <c r="X340" s="36">
        <v>27</v>
      </c>
      <c r="Y340" s="36" t="s">
        <v>351</v>
      </c>
      <c r="Z340" s="36">
        <v>1</v>
      </c>
      <c r="AA340" s="36">
        <v>916666</v>
      </c>
      <c r="AB340" s="40">
        <v>46327</v>
      </c>
      <c r="AC340" s="36" t="s">
        <v>2196</v>
      </c>
      <c r="AD340" s="36" t="str">
        <f>VLOOKUP(D340,Oficial!A:C,3,0)</f>
        <v>Arrastre</v>
      </c>
    </row>
    <row r="341" spans="1:30" x14ac:dyDescent="0.25">
      <c r="A341" s="36" t="s">
        <v>27</v>
      </c>
      <c r="B341" s="36" t="s">
        <v>337</v>
      </c>
      <c r="C341" s="36" t="s">
        <v>28</v>
      </c>
      <c r="D341" s="36" t="s">
        <v>337</v>
      </c>
      <c r="E341" s="36" t="s">
        <v>30</v>
      </c>
      <c r="F341" s="36" t="s">
        <v>31</v>
      </c>
      <c r="G341" s="37" t="s">
        <v>314</v>
      </c>
      <c r="H341" s="36" t="s">
        <v>338</v>
      </c>
      <c r="I341" s="36" t="s">
        <v>339</v>
      </c>
      <c r="J341" s="36">
        <v>1</v>
      </c>
      <c r="K341" s="36" t="s">
        <v>340</v>
      </c>
      <c r="L341" s="36">
        <v>5</v>
      </c>
      <c r="M341" s="36">
        <v>1</v>
      </c>
      <c r="N341" s="38">
        <v>16500000</v>
      </c>
      <c r="O341" s="44">
        <v>916666</v>
      </c>
      <c r="P341" s="36">
        <v>18</v>
      </c>
      <c r="Q341" s="36" t="s">
        <v>206</v>
      </c>
      <c r="R341" s="36" t="s">
        <v>341</v>
      </c>
      <c r="S341" s="36" t="s">
        <v>342</v>
      </c>
      <c r="T341" s="36" t="s">
        <v>343</v>
      </c>
      <c r="U341" s="36" t="s">
        <v>344</v>
      </c>
      <c r="V341" s="40">
        <v>45809</v>
      </c>
      <c r="W341" s="40">
        <v>45889</v>
      </c>
      <c r="X341" s="36">
        <v>27</v>
      </c>
      <c r="Y341" s="36" t="s">
        <v>354</v>
      </c>
      <c r="Z341" s="36">
        <v>1</v>
      </c>
      <c r="AA341" s="36">
        <v>916666</v>
      </c>
      <c r="AB341" s="40">
        <v>46235</v>
      </c>
      <c r="AC341" s="36" t="s">
        <v>2196</v>
      </c>
      <c r="AD341" s="36" t="str">
        <f>VLOOKUP(D341,Oficial!A:C,3,0)</f>
        <v>Arrastre</v>
      </c>
    </row>
    <row r="342" spans="1:30" x14ac:dyDescent="0.25">
      <c r="A342" s="36" t="s">
        <v>27</v>
      </c>
      <c r="B342" s="36" t="s">
        <v>337</v>
      </c>
      <c r="C342" s="36" t="s">
        <v>28</v>
      </c>
      <c r="D342" s="36" t="s">
        <v>337</v>
      </c>
      <c r="E342" s="36" t="s">
        <v>30</v>
      </c>
      <c r="F342" s="36" t="s">
        <v>31</v>
      </c>
      <c r="G342" s="37" t="s">
        <v>314</v>
      </c>
      <c r="H342" s="36" t="s">
        <v>338</v>
      </c>
      <c r="I342" s="36" t="s">
        <v>339</v>
      </c>
      <c r="J342" s="36">
        <v>1</v>
      </c>
      <c r="K342" s="36" t="s">
        <v>340</v>
      </c>
      <c r="L342" s="36">
        <v>5</v>
      </c>
      <c r="M342" s="36">
        <v>1</v>
      </c>
      <c r="N342" s="38">
        <v>16500000</v>
      </c>
      <c r="O342" s="44">
        <v>916666</v>
      </c>
      <c r="P342" s="36">
        <v>18</v>
      </c>
      <c r="Q342" s="36" t="s">
        <v>206</v>
      </c>
      <c r="R342" s="36" t="s">
        <v>341</v>
      </c>
      <c r="S342" s="36" t="s">
        <v>342</v>
      </c>
      <c r="T342" s="36" t="s">
        <v>343</v>
      </c>
      <c r="U342" s="36" t="s">
        <v>344</v>
      </c>
      <c r="V342" s="40">
        <v>45809</v>
      </c>
      <c r="W342" s="40">
        <v>45889</v>
      </c>
      <c r="X342" s="36">
        <v>27</v>
      </c>
      <c r="Y342" s="36" t="s">
        <v>349</v>
      </c>
      <c r="Z342" s="36">
        <v>1</v>
      </c>
      <c r="AA342" s="36">
        <v>916666</v>
      </c>
      <c r="AB342" s="40">
        <v>46174</v>
      </c>
      <c r="AC342" s="36" t="s">
        <v>2196</v>
      </c>
      <c r="AD342" s="36" t="str">
        <f>VLOOKUP(D342,Oficial!A:C,3,0)</f>
        <v>Arrastre</v>
      </c>
    </row>
    <row r="343" spans="1:30" x14ac:dyDescent="0.25">
      <c r="A343" s="36" t="s">
        <v>27</v>
      </c>
      <c r="B343" s="36" t="s">
        <v>337</v>
      </c>
      <c r="C343" s="36" t="s">
        <v>28</v>
      </c>
      <c r="D343" s="36" t="s">
        <v>337</v>
      </c>
      <c r="E343" s="36" t="s">
        <v>30</v>
      </c>
      <c r="F343" s="36" t="s">
        <v>31</v>
      </c>
      <c r="G343" s="37" t="s">
        <v>314</v>
      </c>
      <c r="H343" s="36" t="s">
        <v>338</v>
      </c>
      <c r="I343" s="36" t="s">
        <v>339</v>
      </c>
      <c r="J343" s="36">
        <v>1</v>
      </c>
      <c r="K343" s="36" t="s">
        <v>340</v>
      </c>
      <c r="L343" s="36">
        <v>5</v>
      </c>
      <c r="M343" s="36">
        <v>1</v>
      </c>
      <c r="N343" s="38">
        <v>16500000</v>
      </c>
      <c r="O343" s="44">
        <v>916666</v>
      </c>
      <c r="P343" s="36">
        <v>18</v>
      </c>
      <c r="Q343" s="36" t="s">
        <v>206</v>
      </c>
      <c r="R343" s="36" t="s">
        <v>341</v>
      </c>
      <c r="S343" s="36" t="s">
        <v>342</v>
      </c>
      <c r="T343" s="36" t="s">
        <v>343</v>
      </c>
      <c r="U343" s="36" t="s">
        <v>344</v>
      </c>
      <c r="V343" s="40">
        <v>45809</v>
      </c>
      <c r="W343" s="40">
        <v>45889</v>
      </c>
      <c r="X343" s="36">
        <v>27</v>
      </c>
      <c r="Y343" s="36" t="s">
        <v>353</v>
      </c>
      <c r="Z343" s="36">
        <v>1</v>
      </c>
      <c r="AA343" s="36">
        <v>916666</v>
      </c>
      <c r="AB343" s="40">
        <v>46023</v>
      </c>
      <c r="AC343" s="36" t="s">
        <v>2196</v>
      </c>
      <c r="AD343" s="36" t="str">
        <f>VLOOKUP(D343,Oficial!A:C,3,0)</f>
        <v>Arrastre</v>
      </c>
    </row>
    <row r="344" spans="1:30" x14ac:dyDescent="0.25">
      <c r="A344" s="36" t="s">
        <v>27</v>
      </c>
      <c r="B344" s="36" t="s">
        <v>337</v>
      </c>
      <c r="C344" s="36" t="s">
        <v>28</v>
      </c>
      <c r="D344" s="36" t="s">
        <v>337</v>
      </c>
      <c r="E344" s="36" t="s">
        <v>30</v>
      </c>
      <c r="F344" s="36" t="s">
        <v>31</v>
      </c>
      <c r="G344" s="37" t="s">
        <v>314</v>
      </c>
      <c r="H344" s="36" t="s">
        <v>338</v>
      </c>
      <c r="I344" s="36" t="s">
        <v>339</v>
      </c>
      <c r="J344" s="36">
        <v>1</v>
      </c>
      <c r="K344" s="36" t="s">
        <v>340</v>
      </c>
      <c r="L344" s="36">
        <v>5</v>
      </c>
      <c r="M344" s="36">
        <v>1</v>
      </c>
      <c r="N344" s="38">
        <v>16500000</v>
      </c>
      <c r="O344" s="44">
        <v>916666</v>
      </c>
      <c r="P344" s="36">
        <v>18</v>
      </c>
      <c r="Q344" s="36" t="s">
        <v>206</v>
      </c>
      <c r="R344" s="36" t="s">
        <v>341</v>
      </c>
      <c r="S344" s="36" t="s">
        <v>342</v>
      </c>
      <c r="T344" s="36" t="s">
        <v>343</v>
      </c>
      <c r="U344" s="36" t="s">
        <v>344</v>
      </c>
      <c r="V344" s="40">
        <v>45809</v>
      </c>
      <c r="W344" s="40">
        <v>45889</v>
      </c>
      <c r="X344" s="36">
        <v>27</v>
      </c>
      <c r="Y344" s="36" t="s">
        <v>348</v>
      </c>
      <c r="Z344" s="36">
        <v>1</v>
      </c>
      <c r="AA344" s="36">
        <v>916666</v>
      </c>
      <c r="AB344" s="40">
        <v>46082</v>
      </c>
      <c r="AC344" s="36" t="s">
        <v>2196</v>
      </c>
      <c r="AD344" s="36" t="str">
        <f>VLOOKUP(D344,Oficial!A:C,3,0)</f>
        <v>Arrastre</v>
      </c>
    </row>
    <row r="345" spans="1:30" x14ac:dyDescent="0.25">
      <c r="A345" s="36" t="s">
        <v>27</v>
      </c>
      <c r="B345" s="36" t="s">
        <v>337</v>
      </c>
      <c r="C345" s="36" t="s">
        <v>28</v>
      </c>
      <c r="D345" s="36" t="s">
        <v>337</v>
      </c>
      <c r="E345" s="36" t="s">
        <v>30</v>
      </c>
      <c r="F345" s="36" t="s">
        <v>31</v>
      </c>
      <c r="G345" s="37" t="s">
        <v>314</v>
      </c>
      <c r="H345" s="36" t="s">
        <v>338</v>
      </c>
      <c r="I345" s="36" t="s">
        <v>339</v>
      </c>
      <c r="J345" s="36">
        <v>1</v>
      </c>
      <c r="K345" s="36" t="s">
        <v>340</v>
      </c>
      <c r="L345" s="36">
        <v>5</v>
      </c>
      <c r="M345" s="36">
        <v>1</v>
      </c>
      <c r="N345" s="38">
        <v>16500000</v>
      </c>
      <c r="O345" s="44">
        <v>916666</v>
      </c>
      <c r="P345" s="36">
        <v>18</v>
      </c>
      <c r="Q345" s="36" t="s">
        <v>206</v>
      </c>
      <c r="R345" s="36" t="s">
        <v>341</v>
      </c>
      <c r="S345" s="36" t="s">
        <v>342</v>
      </c>
      <c r="T345" s="36" t="s">
        <v>343</v>
      </c>
      <c r="U345" s="36" t="s">
        <v>344</v>
      </c>
      <c r="V345" s="40">
        <v>45809</v>
      </c>
      <c r="W345" s="40">
        <v>45889</v>
      </c>
      <c r="X345" s="36">
        <v>27</v>
      </c>
      <c r="Y345" s="36" t="s">
        <v>349</v>
      </c>
      <c r="Z345" s="36">
        <v>1</v>
      </c>
      <c r="AA345" s="36">
        <v>916666</v>
      </c>
      <c r="AB345" s="40">
        <v>46023</v>
      </c>
      <c r="AC345" s="36" t="s">
        <v>2196</v>
      </c>
      <c r="AD345" s="36" t="str">
        <f>VLOOKUP(D345,Oficial!A:C,3,0)</f>
        <v>Arrastre</v>
      </c>
    </row>
    <row r="346" spans="1:30" x14ac:dyDescent="0.25">
      <c r="A346" s="36" t="s">
        <v>27</v>
      </c>
      <c r="B346" s="36" t="s">
        <v>337</v>
      </c>
      <c r="C346" s="36" t="s">
        <v>28</v>
      </c>
      <c r="D346" s="36" t="s">
        <v>337</v>
      </c>
      <c r="E346" s="36" t="s">
        <v>30</v>
      </c>
      <c r="F346" s="36" t="s">
        <v>31</v>
      </c>
      <c r="G346" s="37" t="s">
        <v>314</v>
      </c>
      <c r="H346" s="36" t="s">
        <v>338</v>
      </c>
      <c r="I346" s="36" t="s">
        <v>339</v>
      </c>
      <c r="J346" s="36">
        <v>1</v>
      </c>
      <c r="K346" s="36" t="s">
        <v>340</v>
      </c>
      <c r="L346" s="36">
        <v>5</v>
      </c>
      <c r="M346" s="36">
        <v>1</v>
      </c>
      <c r="N346" s="38">
        <v>16500000</v>
      </c>
      <c r="O346" s="44">
        <v>916666</v>
      </c>
      <c r="P346" s="36">
        <v>18</v>
      </c>
      <c r="Q346" s="36" t="s">
        <v>206</v>
      </c>
      <c r="R346" s="36" t="s">
        <v>341</v>
      </c>
      <c r="S346" s="36" t="s">
        <v>342</v>
      </c>
      <c r="T346" s="36" t="s">
        <v>343</v>
      </c>
      <c r="U346" s="36" t="s">
        <v>344</v>
      </c>
      <c r="V346" s="40">
        <v>45809</v>
      </c>
      <c r="W346" s="40">
        <v>45889</v>
      </c>
      <c r="X346" s="36">
        <v>27</v>
      </c>
      <c r="Y346" s="36" t="s">
        <v>354</v>
      </c>
      <c r="Z346" s="36">
        <v>1</v>
      </c>
      <c r="AA346" s="36">
        <v>916666</v>
      </c>
      <c r="AB346" s="40">
        <v>46054</v>
      </c>
      <c r="AC346" s="36" t="s">
        <v>2196</v>
      </c>
      <c r="AD346" s="36" t="str">
        <f>VLOOKUP(D346,Oficial!A:C,3,0)</f>
        <v>Arrastre</v>
      </c>
    </row>
    <row r="347" spans="1:30" x14ac:dyDescent="0.25">
      <c r="A347" s="36" t="s">
        <v>27</v>
      </c>
      <c r="B347" s="36" t="s">
        <v>337</v>
      </c>
      <c r="C347" s="36" t="s">
        <v>28</v>
      </c>
      <c r="D347" s="36" t="s">
        <v>337</v>
      </c>
      <c r="E347" s="36" t="s">
        <v>30</v>
      </c>
      <c r="F347" s="36" t="s">
        <v>31</v>
      </c>
      <c r="G347" s="37" t="s">
        <v>314</v>
      </c>
      <c r="H347" s="36" t="s">
        <v>338</v>
      </c>
      <c r="I347" s="36" t="s">
        <v>339</v>
      </c>
      <c r="J347" s="36">
        <v>1</v>
      </c>
      <c r="K347" s="36" t="s">
        <v>340</v>
      </c>
      <c r="L347" s="36">
        <v>5</v>
      </c>
      <c r="M347" s="36">
        <v>1</v>
      </c>
      <c r="N347" s="38">
        <v>16500000</v>
      </c>
      <c r="O347" s="44">
        <v>916678</v>
      </c>
      <c r="P347" s="36">
        <v>18</v>
      </c>
      <c r="Q347" s="36" t="s">
        <v>206</v>
      </c>
      <c r="R347" s="36" t="s">
        <v>341</v>
      </c>
      <c r="S347" s="36" t="s">
        <v>342</v>
      </c>
      <c r="T347" s="36" t="s">
        <v>343</v>
      </c>
      <c r="U347" s="36" t="s">
        <v>344</v>
      </c>
      <c r="V347" s="40">
        <v>45809</v>
      </c>
      <c r="W347" s="40">
        <v>45889</v>
      </c>
      <c r="X347" s="36">
        <v>27</v>
      </c>
      <c r="Y347" s="36" t="s">
        <v>345</v>
      </c>
      <c r="Z347" s="36">
        <v>1</v>
      </c>
      <c r="AA347" s="36">
        <v>916678</v>
      </c>
      <c r="AB347" s="40">
        <v>46357</v>
      </c>
      <c r="AC347" s="36" t="s">
        <v>2196</v>
      </c>
      <c r="AD347" s="36" t="str">
        <f>VLOOKUP(D347,Oficial!A:C,3,0)</f>
        <v>Arrastre</v>
      </c>
    </row>
    <row r="348" spans="1:30" x14ac:dyDescent="0.25">
      <c r="A348" s="36" t="s">
        <v>27</v>
      </c>
      <c r="B348" s="36" t="s">
        <v>355</v>
      </c>
      <c r="C348" s="36" t="s">
        <v>28</v>
      </c>
      <c r="D348" s="36" t="s">
        <v>355</v>
      </c>
      <c r="E348" s="36" t="s">
        <v>30</v>
      </c>
      <c r="F348" s="36" t="s">
        <v>31</v>
      </c>
      <c r="G348" s="37" t="s">
        <v>356</v>
      </c>
      <c r="H348" s="36" t="s">
        <v>357</v>
      </c>
      <c r="I348" s="36" t="s">
        <v>358</v>
      </c>
      <c r="J348" s="36">
        <v>1</v>
      </c>
      <c r="K348" s="36" t="s">
        <v>359</v>
      </c>
      <c r="L348" s="36">
        <v>4</v>
      </c>
      <c r="M348" s="36">
        <v>12</v>
      </c>
      <c r="N348" s="38">
        <v>2750000</v>
      </c>
      <c r="O348" s="41">
        <v>2750000</v>
      </c>
      <c r="P348" s="36">
        <v>12</v>
      </c>
      <c r="Q348" s="36" t="s">
        <v>318</v>
      </c>
      <c r="R348" s="36" t="s">
        <v>360</v>
      </c>
      <c r="S348" s="36" t="s">
        <v>361</v>
      </c>
      <c r="T348" s="36" t="s">
        <v>362</v>
      </c>
      <c r="U348" s="36" t="s">
        <v>363</v>
      </c>
      <c r="V348" s="40">
        <v>45870</v>
      </c>
      <c r="W348" s="40">
        <v>45889</v>
      </c>
      <c r="X348" s="36">
        <v>2</v>
      </c>
      <c r="Y348" s="36" t="s">
        <v>364</v>
      </c>
      <c r="Z348" s="36">
        <v>1</v>
      </c>
      <c r="AA348" s="36">
        <v>2750000</v>
      </c>
      <c r="AB348" s="40">
        <v>46113</v>
      </c>
      <c r="AC348" s="36" t="s">
        <v>2196</v>
      </c>
      <c r="AD348" s="36" t="str">
        <f>VLOOKUP(D348,Oficial!A:C,3,0)</f>
        <v>Arrastre</v>
      </c>
    </row>
    <row r="349" spans="1:30" x14ac:dyDescent="0.25">
      <c r="A349" s="36" t="s">
        <v>27</v>
      </c>
      <c r="B349" s="36" t="s">
        <v>355</v>
      </c>
      <c r="C349" s="36" t="s">
        <v>28</v>
      </c>
      <c r="D349" s="36" t="s">
        <v>355</v>
      </c>
      <c r="E349" s="36" t="s">
        <v>30</v>
      </c>
      <c r="F349" s="36" t="s">
        <v>31</v>
      </c>
      <c r="G349" s="37" t="s">
        <v>356</v>
      </c>
      <c r="H349" s="36" t="s">
        <v>357</v>
      </c>
      <c r="I349" s="36" t="s">
        <v>358</v>
      </c>
      <c r="J349" s="36">
        <v>1</v>
      </c>
      <c r="K349" s="36" t="s">
        <v>359</v>
      </c>
      <c r="L349" s="36">
        <v>4</v>
      </c>
      <c r="M349" s="36">
        <v>12</v>
      </c>
      <c r="N349" s="38">
        <v>2750000</v>
      </c>
      <c r="O349" s="41">
        <v>2750000</v>
      </c>
      <c r="P349" s="36">
        <v>12</v>
      </c>
      <c r="Q349" s="36" t="s">
        <v>318</v>
      </c>
      <c r="R349" s="36" t="s">
        <v>360</v>
      </c>
      <c r="S349" s="36" t="s">
        <v>361</v>
      </c>
      <c r="T349" s="36" t="s">
        <v>362</v>
      </c>
      <c r="U349" s="36" t="s">
        <v>363</v>
      </c>
      <c r="V349" s="40">
        <v>45870</v>
      </c>
      <c r="W349" s="40">
        <v>45889</v>
      </c>
      <c r="X349" s="36">
        <v>2</v>
      </c>
      <c r="Y349" s="36" t="s">
        <v>364</v>
      </c>
      <c r="Z349" s="36">
        <v>1</v>
      </c>
      <c r="AA349" s="36">
        <v>2750000</v>
      </c>
      <c r="AB349" s="40">
        <v>46054</v>
      </c>
      <c r="AC349" s="36" t="s">
        <v>2196</v>
      </c>
      <c r="AD349" s="36" t="str">
        <f>VLOOKUP(D349,Oficial!A:C,3,0)</f>
        <v>Arrastre</v>
      </c>
    </row>
    <row r="350" spans="1:30" x14ac:dyDescent="0.25">
      <c r="A350" s="36" t="s">
        <v>27</v>
      </c>
      <c r="B350" s="36" t="s">
        <v>355</v>
      </c>
      <c r="C350" s="36" t="s">
        <v>28</v>
      </c>
      <c r="D350" s="36" t="s">
        <v>355</v>
      </c>
      <c r="E350" s="36" t="s">
        <v>30</v>
      </c>
      <c r="F350" s="36" t="s">
        <v>31</v>
      </c>
      <c r="G350" s="37" t="s">
        <v>356</v>
      </c>
      <c r="H350" s="36" t="s">
        <v>357</v>
      </c>
      <c r="I350" s="36" t="s">
        <v>358</v>
      </c>
      <c r="J350" s="36">
        <v>1</v>
      </c>
      <c r="K350" s="36" t="s">
        <v>359</v>
      </c>
      <c r="L350" s="36">
        <v>4</v>
      </c>
      <c r="M350" s="36">
        <v>12</v>
      </c>
      <c r="N350" s="38">
        <v>2750000</v>
      </c>
      <c r="O350" s="41">
        <v>2750000</v>
      </c>
      <c r="P350" s="36">
        <v>12</v>
      </c>
      <c r="Q350" s="36" t="s">
        <v>318</v>
      </c>
      <c r="R350" s="36" t="s">
        <v>360</v>
      </c>
      <c r="S350" s="36" t="s">
        <v>361</v>
      </c>
      <c r="T350" s="36" t="s">
        <v>362</v>
      </c>
      <c r="U350" s="36" t="s">
        <v>363</v>
      </c>
      <c r="V350" s="40">
        <v>45870</v>
      </c>
      <c r="W350" s="40">
        <v>45889</v>
      </c>
      <c r="X350" s="36">
        <v>2</v>
      </c>
      <c r="Y350" s="36" t="s">
        <v>364</v>
      </c>
      <c r="Z350" s="36">
        <v>1</v>
      </c>
      <c r="AA350" s="36">
        <v>2750000</v>
      </c>
      <c r="AB350" s="40">
        <v>46204</v>
      </c>
      <c r="AC350" s="36" t="s">
        <v>2196</v>
      </c>
      <c r="AD350" s="36" t="str">
        <f>VLOOKUP(D350,Oficial!A:C,3,0)</f>
        <v>Arrastre</v>
      </c>
    </row>
    <row r="351" spans="1:30" x14ac:dyDescent="0.25">
      <c r="A351" s="36" t="s">
        <v>27</v>
      </c>
      <c r="B351" s="36" t="s">
        <v>355</v>
      </c>
      <c r="C351" s="36" t="s">
        <v>28</v>
      </c>
      <c r="D351" s="36" t="s">
        <v>355</v>
      </c>
      <c r="E351" s="36" t="s">
        <v>30</v>
      </c>
      <c r="F351" s="36" t="s">
        <v>31</v>
      </c>
      <c r="G351" s="37" t="s">
        <v>356</v>
      </c>
      <c r="H351" s="36" t="s">
        <v>357</v>
      </c>
      <c r="I351" s="36" t="s">
        <v>358</v>
      </c>
      <c r="J351" s="36">
        <v>1</v>
      </c>
      <c r="K351" s="36" t="s">
        <v>359</v>
      </c>
      <c r="L351" s="36">
        <v>4</v>
      </c>
      <c r="M351" s="36">
        <v>12</v>
      </c>
      <c r="N351" s="38">
        <v>2750000</v>
      </c>
      <c r="O351" s="41">
        <v>2750000</v>
      </c>
      <c r="P351" s="36">
        <v>12</v>
      </c>
      <c r="Q351" s="36" t="s">
        <v>318</v>
      </c>
      <c r="R351" s="36" t="s">
        <v>360</v>
      </c>
      <c r="S351" s="36" t="s">
        <v>361</v>
      </c>
      <c r="T351" s="36" t="s">
        <v>362</v>
      </c>
      <c r="U351" s="36" t="s">
        <v>363</v>
      </c>
      <c r="V351" s="40">
        <v>45870</v>
      </c>
      <c r="W351" s="40">
        <v>45889</v>
      </c>
      <c r="X351" s="36">
        <v>2</v>
      </c>
      <c r="Y351" s="36" t="s">
        <v>364</v>
      </c>
      <c r="Z351" s="36">
        <v>1</v>
      </c>
      <c r="AA351" s="36">
        <v>2750000</v>
      </c>
      <c r="AB351" s="40">
        <v>46143</v>
      </c>
      <c r="AC351" s="36" t="s">
        <v>2196</v>
      </c>
      <c r="AD351" s="36" t="str">
        <f>VLOOKUP(D351,Oficial!A:C,3,0)</f>
        <v>Arrastre</v>
      </c>
    </row>
    <row r="352" spans="1:30" x14ac:dyDescent="0.25">
      <c r="A352" s="36" t="s">
        <v>27</v>
      </c>
      <c r="B352" s="36" t="s">
        <v>355</v>
      </c>
      <c r="C352" s="36" t="s">
        <v>28</v>
      </c>
      <c r="D352" s="36" t="s">
        <v>355</v>
      </c>
      <c r="E352" s="36" t="s">
        <v>30</v>
      </c>
      <c r="F352" s="36" t="s">
        <v>31</v>
      </c>
      <c r="G352" s="37" t="s">
        <v>356</v>
      </c>
      <c r="H352" s="36" t="s">
        <v>357</v>
      </c>
      <c r="I352" s="36" t="s">
        <v>358</v>
      </c>
      <c r="J352" s="36">
        <v>1</v>
      </c>
      <c r="K352" s="36" t="s">
        <v>359</v>
      </c>
      <c r="L352" s="36">
        <v>4</v>
      </c>
      <c r="M352" s="36">
        <v>12</v>
      </c>
      <c r="N352" s="38">
        <v>2750000</v>
      </c>
      <c r="O352" s="41">
        <v>2750000</v>
      </c>
      <c r="P352" s="36">
        <v>12</v>
      </c>
      <c r="Q352" s="36" t="s">
        <v>318</v>
      </c>
      <c r="R352" s="36" t="s">
        <v>360</v>
      </c>
      <c r="S352" s="36" t="s">
        <v>361</v>
      </c>
      <c r="T352" s="36" t="s">
        <v>362</v>
      </c>
      <c r="U352" s="36" t="s">
        <v>363</v>
      </c>
      <c r="V352" s="40">
        <v>45870</v>
      </c>
      <c r="W352" s="40">
        <v>45889</v>
      </c>
      <c r="X352" s="36">
        <v>2</v>
      </c>
      <c r="Y352" s="36" t="s">
        <v>365</v>
      </c>
      <c r="Z352" s="36">
        <v>1</v>
      </c>
      <c r="AA352" s="36">
        <v>2750000</v>
      </c>
      <c r="AB352" s="40">
        <v>46357</v>
      </c>
      <c r="AC352" s="36" t="s">
        <v>2196</v>
      </c>
      <c r="AD352" s="36" t="str">
        <f>VLOOKUP(D352,Oficial!A:C,3,0)</f>
        <v>Arrastre</v>
      </c>
    </row>
    <row r="353" spans="1:30" x14ac:dyDescent="0.25">
      <c r="A353" s="36" t="s">
        <v>27</v>
      </c>
      <c r="B353" s="36" t="s">
        <v>355</v>
      </c>
      <c r="C353" s="36" t="s">
        <v>28</v>
      </c>
      <c r="D353" s="36" t="s">
        <v>355</v>
      </c>
      <c r="E353" s="36" t="s">
        <v>30</v>
      </c>
      <c r="F353" s="36" t="s">
        <v>31</v>
      </c>
      <c r="G353" s="37" t="s">
        <v>356</v>
      </c>
      <c r="H353" s="36" t="s">
        <v>357</v>
      </c>
      <c r="I353" s="36" t="s">
        <v>358</v>
      </c>
      <c r="J353" s="36">
        <v>1</v>
      </c>
      <c r="K353" s="36" t="s">
        <v>359</v>
      </c>
      <c r="L353" s="36">
        <v>4</v>
      </c>
      <c r="M353" s="36">
        <v>12</v>
      </c>
      <c r="N353" s="38">
        <v>2750000</v>
      </c>
      <c r="O353" s="41">
        <v>2750000</v>
      </c>
      <c r="P353" s="36">
        <v>12</v>
      </c>
      <c r="Q353" s="36" t="s">
        <v>318</v>
      </c>
      <c r="R353" s="36" t="s">
        <v>360</v>
      </c>
      <c r="S353" s="36" t="s">
        <v>361</v>
      </c>
      <c r="T353" s="36" t="s">
        <v>362</v>
      </c>
      <c r="U353" s="36" t="s">
        <v>363</v>
      </c>
      <c r="V353" s="40">
        <v>45870</v>
      </c>
      <c r="W353" s="40">
        <v>45889</v>
      </c>
      <c r="X353" s="36">
        <v>2</v>
      </c>
      <c r="Y353" s="36" t="s">
        <v>364</v>
      </c>
      <c r="Z353" s="36">
        <v>1</v>
      </c>
      <c r="AA353" s="36">
        <v>2750000</v>
      </c>
      <c r="AB353" s="40">
        <v>46235</v>
      </c>
      <c r="AC353" s="36" t="s">
        <v>2196</v>
      </c>
      <c r="AD353" s="36" t="str">
        <f>VLOOKUP(D353,Oficial!A:C,3,0)</f>
        <v>Arrastre</v>
      </c>
    </row>
    <row r="354" spans="1:30" x14ac:dyDescent="0.25">
      <c r="A354" s="36" t="s">
        <v>27</v>
      </c>
      <c r="B354" s="36" t="s">
        <v>355</v>
      </c>
      <c r="C354" s="36" t="s">
        <v>28</v>
      </c>
      <c r="D354" s="36" t="s">
        <v>355</v>
      </c>
      <c r="E354" s="36" t="s">
        <v>30</v>
      </c>
      <c r="F354" s="36" t="s">
        <v>31</v>
      </c>
      <c r="G354" s="37" t="s">
        <v>356</v>
      </c>
      <c r="H354" s="36" t="s">
        <v>357</v>
      </c>
      <c r="I354" s="36" t="s">
        <v>358</v>
      </c>
      <c r="J354" s="36">
        <v>1</v>
      </c>
      <c r="K354" s="36" t="s">
        <v>359</v>
      </c>
      <c r="L354" s="36">
        <v>4</v>
      </c>
      <c r="M354" s="36">
        <v>12</v>
      </c>
      <c r="N354" s="38">
        <v>2750000</v>
      </c>
      <c r="O354" s="41">
        <v>2750000</v>
      </c>
      <c r="P354" s="36">
        <v>12</v>
      </c>
      <c r="Q354" s="36" t="s">
        <v>318</v>
      </c>
      <c r="R354" s="36" t="s">
        <v>360</v>
      </c>
      <c r="S354" s="36" t="s">
        <v>361</v>
      </c>
      <c r="T354" s="36" t="s">
        <v>362</v>
      </c>
      <c r="U354" s="36" t="s">
        <v>363</v>
      </c>
      <c r="V354" s="40">
        <v>45870</v>
      </c>
      <c r="W354" s="40">
        <v>45889</v>
      </c>
      <c r="X354" s="36">
        <v>2</v>
      </c>
      <c r="Y354" s="36" t="s">
        <v>364</v>
      </c>
      <c r="Z354" s="36">
        <v>1</v>
      </c>
      <c r="AA354" s="36">
        <v>2750000</v>
      </c>
      <c r="AB354" s="40">
        <v>46082</v>
      </c>
      <c r="AC354" s="36" t="s">
        <v>2196</v>
      </c>
      <c r="AD354" s="36" t="str">
        <f>VLOOKUP(D354,Oficial!A:C,3,0)</f>
        <v>Arrastre</v>
      </c>
    </row>
    <row r="355" spans="1:30" x14ac:dyDescent="0.25">
      <c r="A355" s="36" t="s">
        <v>27</v>
      </c>
      <c r="B355" s="36" t="s">
        <v>355</v>
      </c>
      <c r="C355" s="36" t="s">
        <v>28</v>
      </c>
      <c r="D355" s="36" t="s">
        <v>355</v>
      </c>
      <c r="E355" s="36" t="s">
        <v>30</v>
      </c>
      <c r="F355" s="36" t="s">
        <v>31</v>
      </c>
      <c r="G355" s="37" t="s">
        <v>356</v>
      </c>
      <c r="H355" s="36" t="s">
        <v>357</v>
      </c>
      <c r="I355" s="36" t="s">
        <v>358</v>
      </c>
      <c r="J355" s="36">
        <v>1</v>
      </c>
      <c r="K355" s="36" t="s">
        <v>359</v>
      </c>
      <c r="L355" s="36">
        <v>4</v>
      </c>
      <c r="M355" s="36">
        <v>12</v>
      </c>
      <c r="N355" s="38">
        <v>2750000</v>
      </c>
      <c r="O355" s="41">
        <v>2750000</v>
      </c>
      <c r="P355" s="36">
        <v>12</v>
      </c>
      <c r="Q355" s="36" t="s">
        <v>318</v>
      </c>
      <c r="R355" s="36" t="s">
        <v>360</v>
      </c>
      <c r="S355" s="36" t="s">
        <v>361</v>
      </c>
      <c r="T355" s="36" t="s">
        <v>362</v>
      </c>
      <c r="U355" s="36" t="s">
        <v>363</v>
      </c>
      <c r="V355" s="40">
        <v>45870</v>
      </c>
      <c r="W355" s="40">
        <v>45889</v>
      </c>
      <c r="X355" s="36">
        <v>2</v>
      </c>
      <c r="Y355" s="36" t="s">
        <v>364</v>
      </c>
      <c r="Z355" s="36">
        <v>1</v>
      </c>
      <c r="AA355" s="36">
        <v>2750000</v>
      </c>
      <c r="AB355" s="40">
        <v>46357</v>
      </c>
      <c r="AC355" s="36" t="s">
        <v>2196</v>
      </c>
      <c r="AD355" s="36" t="str">
        <f>VLOOKUP(D355,Oficial!A:C,3,0)</f>
        <v>Arrastre</v>
      </c>
    </row>
    <row r="356" spans="1:30" x14ac:dyDescent="0.25">
      <c r="A356" s="36" t="s">
        <v>27</v>
      </c>
      <c r="B356" s="36" t="s">
        <v>355</v>
      </c>
      <c r="C356" s="36" t="s">
        <v>28</v>
      </c>
      <c r="D356" s="36" t="s">
        <v>355</v>
      </c>
      <c r="E356" s="36" t="s">
        <v>30</v>
      </c>
      <c r="F356" s="36" t="s">
        <v>31</v>
      </c>
      <c r="G356" s="37" t="s">
        <v>356</v>
      </c>
      <c r="H356" s="36" t="s">
        <v>357</v>
      </c>
      <c r="I356" s="36" t="s">
        <v>358</v>
      </c>
      <c r="J356" s="36">
        <v>1</v>
      </c>
      <c r="K356" s="36" t="s">
        <v>359</v>
      </c>
      <c r="L356" s="36">
        <v>4</v>
      </c>
      <c r="M356" s="36">
        <v>12</v>
      </c>
      <c r="N356" s="38">
        <v>2750000</v>
      </c>
      <c r="O356" s="41">
        <v>2750000</v>
      </c>
      <c r="P356" s="36">
        <v>12</v>
      </c>
      <c r="Q356" s="36" t="s">
        <v>318</v>
      </c>
      <c r="R356" s="36" t="s">
        <v>360</v>
      </c>
      <c r="S356" s="36" t="s">
        <v>361</v>
      </c>
      <c r="T356" s="36" t="s">
        <v>362</v>
      </c>
      <c r="U356" s="36" t="s">
        <v>363</v>
      </c>
      <c r="V356" s="40">
        <v>45870</v>
      </c>
      <c r="W356" s="40">
        <v>45889</v>
      </c>
      <c r="X356" s="36">
        <v>2</v>
      </c>
      <c r="Y356" s="36" t="s">
        <v>364</v>
      </c>
      <c r="Z356" s="36">
        <v>1</v>
      </c>
      <c r="AA356" s="36">
        <v>2750000</v>
      </c>
      <c r="AB356" s="40">
        <v>46296</v>
      </c>
      <c r="AC356" s="36" t="s">
        <v>2196</v>
      </c>
      <c r="AD356" s="36" t="str">
        <f>VLOOKUP(D356,Oficial!A:C,3,0)</f>
        <v>Arrastre</v>
      </c>
    </row>
    <row r="357" spans="1:30" x14ac:dyDescent="0.25">
      <c r="A357" s="36" t="s">
        <v>27</v>
      </c>
      <c r="B357" s="36" t="s">
        <v>355</v>
      </c>
      <c r="C357" s="36" t="s">
        <v>28</v>
      </c>
      <c r="D357" s="36" t="s">
        <v>355</v>
      </c>
      <c r="E357" s="36" t="s">
        <v>30</v>
      </c>
      <c r="F357" s="36" t="s">
        <v>31</v>
      </c>
      <c r="G357" s="37" t="s">
        <v>356</v>
      </c>
      <c r="H357" s="36" t="s">
        <v>357</v>
      </c>
      <c r="I357" s="36" t="s">
        <v>358</v>
      </c>
      <c r="J357" s="36">
        <v>1</v>
      </c>
      <c r="K357" s="36" t="s">
        <v>359</v>
      </c>
      <c r="L357" s="36">
        <v>4</v>
      </c>
      <c r="M357" s="36">
        <v>12</v>
      </c>
      <c r="N357" s="38">
        <v>2750000</v>
      </c>
      <c r="O357" s="41">
        <v>2750000</v>
      </c>
      <c r="P357" s="36">
        <v>12</v>
      </c>
      <c r="Q357" s="36" t="s">
        <v>318</v>
      </c>
      <c r="R357" s="36" t="s">
        <v>360</v>
      </c>
      <c r="S357" s="36" t="s">
        <v>361</v>
      </c>
      <c r="T357" s="36" t="s">
        <v>362</v>
      </c>
      <c r="U357" s="36" t="s">
        <v>363</v>
      </c>
      <c r="V357" s="40">
        <v>45870</v>
      </c>
      <c r="W357" s="40">
        <v>45889</v>
      </c>
      <c r="X357" s="36">
        <v>2</v>
      </c>
      <c r="Y357" s="36" t="s">
        <v>365</v>
      </c>
      <c r="Z357" s="36">
        <v>1</v>
      </c>
      <c r="AA357" s="36">
        <v>2750000</v>
      </c>
      <c r="AB357" s="40">
        <v>46054</v>
      </c>
      <c r="AC357" s="36" t="s">
        <v>2196</v>
      </c>
      <c r="AD357" s="36" t="str">
        <f>VLOOKUP(D357,Oficial!A:C,3,0)</f>
        <v>Arrastre</v>
      </c>
    </row>
    <row r="358" spans="1:30" x14ac:dyDescent="0.25">
      <c r="A358" s="36" t="s">
        <v>27</v>
      </c>
      <c r="B358" s="36" t="s">
        <v>355</v>
      </c>
      <c r="C358" s="36" t="s">
        <v>28</v>
      </c>
      <c r="D358" s="36" t="s">
        <v>355</v>
      </c>
      <c r="E358" s="36" t="s">
        <v>30</v>
      </c>
      <c r="F358" s="36" t="s">
        <v>31</v>
      </c>
      <c r="G358" s="37" t="s">
        <v>356</v>
      </c>
      <c r="H358" s="36" t="s">
        <v>357</v>
      </c>
      <c r="I358" s="36" t="s">
        <v>358</v>
      </c>
      <c r="J358" s="36">
        <v>1</v>
      </c>
      <c r="K358" s="36" t="s">
        <v>359</v>
      </c>
      <c r="L358" s="36">
        <v>4</v>
      </c>
      <c r="M358" s="36">
        <v>12</v>
      </c>
      <c r="N358" s="38">
        <v>2750000</v>
      </c>
      <c r="O358" s="41">
        <v>2750000</v>
      </c>
      <c r="P358" s="36">
        <v>12</v>
      </c>
      <c r="Q358" s="36" t="s">
        <v>318</v>
      </c>
      <c r="R358" s="36" t="s">
        <v>360</v>
      </c>
      <c r="S358" s="36" t="s">
        <v>361</v>
      </c>
      <c r="T358" s="36" t="s">
        <v>362</v>
      </c>
      <c r="U358" s="36" t="s">
        <v>363</v>
      </c>
      <c r="V358" s="40">
        <v>45870</v>
      </c>
      <c r="W358" s="40">
        <v>45889</v>
      </c>
      <c r="X358" s="36">
        <v>2</v>
      </c>
      <c r="Y358" s="36" t="s">
        <v>364</v>
      </c>
      <c r="Z358" s="36">
        <v>1</v>
      </c>
      <c r="AA358" s="36">
        <v>2750000</v>
      </c>
      <c r="AB358" s="40">
        <v>46266</v>
      </c>
      <c r="AC358" s="36" t="s">
        <v>2196</v>
      </c>
      <c r="AD358" s="36" t="str">
        <f>VLOOKUP(D358,Oficial!A:C,3,0)</f>
        <v>Arrastre</v>
      </c>
    </row>
    <row r="359" spans="1:30" x14ac:dyDescent="0.25">
      <c r="A359" s="36" t="s">
        <v>27</v>
      </c>
      <c r="B359" s="36" t="s">
        <v>366</v>
      </c>
      <c r="C359" s="36" t="s">
        <v>28</v>
      </c>
      <c r="D359" s="36" t="s">
        <v>366</v>
      </c>
      <c r="E359" s="36" t="s">
        <v>30</v>
      </c>
      <c r="F359" s="36" t="s">
        <v>31</v>
      </c>
      <c r="G359" s="37" t="s">
        <v>367</v>
      </c>
      <c r="H359" s="36" t="s">
        <v>368</v>
      </c>
      <c r="I359" s="36" t="s">
        <v>369</v>
      </c>
      <c r="J359" s="36">
        <v>1</v>
      </c>
      <c r="K359" s="36" t="s">
        <v>370</v>
      </c>
      <c r="L359" s="36">
        <v>4</v>
      </c>
      <c r="M359" s="36">
        <v>1</v>
      </c>
      <c r="N359" s="38">
        <v>80000000</v>
      </c>
      <c r="O359" s="46">
        <v>6666300</v>
      </c>
      <c r="P359" s="36">
        <v>12</v>
      </c>
      <c r="Q359" s="36" t="s">
        <v>371</v>
      </c>
      <c r="R359" s="36" t="s">
        <v>341</v>
      </c>
      <c r="S359" s="36" t="s">
        <v>372</v>
      </c>
      <c r="T359" s="36" t="s">
        <v>343</v>
      </c>
      <c r="U359" s="36" t="s">
        <v>344</v>
      </c>
      <c r="V359" s="40">
        <v>45870</v>
      </c>
      <c r="W359" s="40">
        <v>45889</v>
      </c>
      <c r="X359" s="36">
        <v>1</v>
      </c>
      <c r="Y359" s="36" t="s">
        <v>373</v>
      </c>
      <c r="Z359" s="36">
        <v>1</v>
      </c>
      <c r="AA359" s="36">
        <v>6666300</v>
      </c>
      <c r="AB359" s="40">
        <v>46023</v>
      </c>
      <c r="AC359" s="36" t="s">
        <v>2196</v>
      </c>
      <c r="AD359" s="36" t="str">
        <f>VLOOKUP(D359,Oficial!A:C,3,0)</f>
        <v>Arrastre</v>
      </c>
    </row>
    <row r="360" spans="1:30" x14ac:dyDescent="0.25">
      <c r="A360" s="36" t="s">
        <v>27</v>
      </c>
      <c r="B360" s="36" t="s">
        <v>366</v>
      </c>
      <c r="C360" s="36" t="s">
        <v>28</v>
      </c>
      <c r="D360" s="36" t="s">
        <v>366</v>
      </c>
      <c r="E360" s="36" t="s">
        <v>30</v>
      </c>
      <c r="F360" s="36" t="s">
        <v>31</v>
      </c>
      <c r="G360" s="37" t="s">
        <v>367</v>
      </c>
      <c r="H360" s="36" t="s">
        <v>368</v>
      </c>
      <c r="I360" s="36" t="s">
        <v>369</v>
      </c>
      <c r="J360" s="36">
        <v>1</v>
      </c>
      <c r="K360" s="36" t="s">
        <v>370</v>
      </c>
      <c r="L360" s="36">
        <v>4</v>
      </c>
      <c r="M360" s="36">
        <v>1</v>
      </c>
      <c r="N360" s="38">
        <v>80000000</v>
      </c>
      <c r="O360" s="46">
        <v>6666700</v>
      </c>
      <c r="P360" s="36">
        <v>12</v>
      </c>
      <c r="Q360" s="36" t="s">
        <v>371</v>
      </c>
      <c r="R360" s="36" t="s">
        <v>341</v>
      </c>
      <c r="S360" s="36" t="s">
        <v>372</v>
      </c>
      <c r="T360" s="36" t="s">
        <v>343</v>
      </c>
      <c r="U360" s="36" t="s">
        <v>344</v>
      </c>
      <c r="V360" s="40">
        <v>45870</v>
      </c>
      <c r="W360" s="40">
        <v>45889</v>
      </c>
      <c r="X360" s="36">
        <v>1</v>
      </c>
      <c r="Y360" s="36" t="s">
        <v>373</v>
      </c>
      <c r="Z360" s="36">
        <v>1</v>
      </c>
      <c r="AA360" s="36">
        <v>6666700</v>
      </c>
      <c r="AB360" s="40">
        <v>46082</v>
      </c>
      <c r="AC360" s="36" t="s">
        <v>2196</v>
      </c>
      <c r="AD360" s="36" t="str">
        <f>VLOOKUP(D360,Oficial!A:C,3,0)</f>
        <v>Arrastre</v>
      </c>
    </row>
    <row r="361" spans="1:30" x14ac:dyDescent="0.25">
      <c r="A361" s="36" t="s">
        <v>27</v>
      </c>
      <c r="B361" s="36" t="s">
        <v>366</v>
      </c>
      <c r="C361" s="36" t="s">
        <v>28</v>
      </c>
      <c r="D361" s="36" t="s">
        <v>366</v>
      </c>
      <c r="E361" s="36" t="s">
        <v>30</v>
      </c>
      <c r="F361" s="36" t="s">
        <v>31</v>
      </c>
      <c r="G361" s="37" t="s">
        <v>367</v>
      </c>
      <c r="H361" s="36" t="s">
        <v>368</v>
      </c>
      <c r="I361" s="36" t="s">
        <v>369</v>
      </c>
      <c r="J361" s="36">
        <v>1</v>
      </c>
      <c r="K361" s="36" t="s">
        <v>370</v>
      </c>
      <c r="L361" s="36">
        <v>4</v>
      </c>
      <c r="M361" s="36">
        <v>1</v>
      </c>
      <c r="N361" s="38">
        <v>80000000</v>
      </c>
      <c r="O361" s="46">
        <v>6666700</v>
      </c>
      <c r="P361" s="36">
        <v>12</v>
      </c>
      <c r="Q361" s="36" t="s">
        <v>371</v>
      </c>
      <c r="R361" s="36" t="s">
        <v>341</v>
      </c>
      <c r="S361" s="36" t="s">
        <v>372</v>
      </c>
      <c r="T361" s="36" t="s">
        <v>343</v>
      </c>
      <c r="U361" s="36" t="s">
        <v>344</v>
      </c>
      <c r="V361" s="40">
        <v>45870</v>
      </c>
      <c r="W361" s="40">
        <v>45889</v>
      </c>
      <c r="X361" s="36">
        <v>1</v>
      </c>
      <c r="Y361" s="36" t="s">
        <v>373</v>
      </c>
      <c r="Z361" s="36">
        <v>1</v>
      </c>
      <c r="AA361" s="36">
        <v>6666700</v>
      </c>
      <c r="AB361" s="40">
        <v>46204</v>
      </c>
      <c r="AC361" s="36" t="s">
        <v>2196</v>
      </c>
      <c r="AD361" s="36" t="str">
        <f>VLOOKUP(D361,Oficial!A:C,3,0)</f>
        <v>Arrastre</v>
      </c>
    </row>
    <row r="362" spans="1:30" x14ac:dyDescent="0.25">
      <c r="A362" s="36" t="s">
        <v>27</v>
      </c>
      <c r="B362" s="36" t="s">
        <v>366</v>
      </c>
      <c r="C362" s="36" t="s">
        <v>28</v>
      </c>
      <c r="D362" s="36" t="s">
        <v>366</v>
      </c>
      <c r="E362" s="36" t="s">
        <v>30</v>
      </c>
      <c r="F362" s="36" t="s">
        <v>31</v>
      </c>
      <c r="G362" s="37" t="s">
        <v>367</v>
      </c>
      <c r="H362" s="36" t="s">
        <v>368</v>
      </c>
      <c r="I362" s="36" t="s">
        <v>369</v>
      </c>
      <c r="J362" s="36">
        <v>1</v>
      </c>
      <c r="K362" s="36" t="s">
        <v>370</v>
      </c>
      <c r="L362" s="36">
        <v>4</v>
      </c>
      <c r="M362" s="36">
        <v>1</v>
      </c>
      <c r="N362" s="38">
        <v>80000000</v>
      </c>
      <c r="O362" s="46">
        <v>6666700</v>
      </c>
      <c r="P362" s="36">
        <v>12</v>
      </c>
      <c r="Q362" s="36" t="s">
        <v>371</v>
      </c>
      <c r="R362" s="36" t="s">
        <v>341</v>
      </c>
      <c r="S362" s="36" t="s">
        <v>372</v>
      </c>
      <c r="T362" s="36" t="s">
        <v>343</v>
      </c>
      <c r="U362" s="36" t="s">
        <v>344</v>
      </c>
      <c r="V362" s="40">
        <v>45870</v>
      </c>
      <c r="W362" s="40">
        <v>45889</v>
      </c>
      <c r="X362" s="36">
        <v>1</v>
      </c>
      <c r="Y362" s="36" t="s">
        <v>373</v>
      </c>
      <c r="Z362" s="36">
        <v>1</v>
      </c>
      <c r="AA362" s="36">
        <v>6666700</v>
      </c>
      <c r="AB362" s="40">
        <v>46327</v>
      </c>
      <c r="AC362" s="36" t="s">
        <v>2196</v>
      </c>
      <c r="AD362" s="36" t="str">
        <f>VLOOKUP(D362,Oficial!A:C,3,0)</f>
        <v>Arrastre</v>
      </c>
    </row>
    <row r="363" spans="1:30" x14ac:dyDescent="0.25">
      <c r="A363" s="36" t="s">
        <v>27</v>
      </c>
      <c r="B363" s="36" t="s">
        <v>366</v>
      </c>
      <c r="C363" s="36" t="s">
        <v>28</v>
      </c>
      <c r="D363" s="36" t="s">
        <v>366</v>
      </c>
      <c r="E363" s="36" t="s">
        <v>30</v>
      </c>
      <c r="F363" s="36" t="s">
        <v>31</v>
      </c>
      <c r="G363" s="37" t="s">
        <v>367</v>
      </c>
      <c r="H363" s="36" t="s">
        <v>368</v>
      </c>
      <c r="I363" s="36" t="s">
        <v>369</v>
      </c>
      <c r="J363" s="36">
        <v>1</v>
      </c>
      <c r="K363" s="36" t="s">
        <v>370</v>
      </c>
      <c r="L363" s="36">
        <v>4</v>
      </c>
      <c r="M363" s="36">
        <v>1</v>
      </c>
      <c r="N363" s="38">
        <v>80000000</v>
      </c>
      <c r="O363" s="46">
        <v>6666700</v>
      </c>
      <c r="P363" s="36">
        <v>12</v>
      </c>
      <c r="Q363" s="36" t="s">
        <v>371</v>
      </c>
      <c r="R363" s="36" t="s">
        <v>341</v>
      </c>
      <c r="S363" s="36" t="s">
        <v>372</v>
      </c>
      <c r="T363" s="36" t="s">
        <v>343</v>
      </c>
      <c r="U363" s="36" t="s">
        <v>344</v>
      </c>
      <c r="V363" s="40">
        <v>45870</v>
      </c>
      <c r="W363" s="40">
        <v>45889</v>
      </c>
      <c r="X363" s="36">
        <v>1</v>
      </c>
      <c r="Y363" s="36" t="s">
        <v>373</v>
      </c>
      <c r="Z363" s="36">
        <v>1</v>
      </c>
      <c r="AA363" s="36">
        <v>6666700</v>
      </c>
      <c r="AB363" s="40">
        <v>46143</v>
      </c>
      <c r="AC363" s="36" t="s">
        <v>2196</v>
      </c>
      <c r="AD363" s="36" t="str">
        <f>VLOOKUP(D363,Oficial!A:C,3,0)</f>
        <v>Arrastre</v>
      </c>
    </row>
    <row r="364" spans="1:30" x14ac:dyDescent="0.25">
      <c r="A364" s="36" t="s">
        <v>27</v>
      </c>
      <c r="B364" s="36" t="s">
        <v>366</v>
      </c>
      <c r="C364" s="36" t="s">
        <v>28</v>
      </c>
      <c r="D364" s="36" t="s">
        <v>366</v>
      </c>
      <c r="E364" s="36" t="s">
        <v>30</v>
      </c>
      <c r="F364" s="36" t="s">
        <v>31</v>
      </c>
      <c r="G364" s="37" t="s">
        <v>367</v>
      </c>
      <c r="H364" s="36" t="s">
        <v>368</v>
      </c>
      <c r="I364" s="36" t="s">
        <v>369</v>
      </c>
      <c r="J364" s="36">
        <v>1</v>
      </c>
      <c r="K364" s="36" t="s">
        <v>370</v>
      </c>
      <c r="L364" s="36">
        <v>4</v>
      </c>
      <c r="M364" s="36">
        <v>1</v>
      </c>
      <c r="N364" s="38">
        <v>80000000</v>
      </c>
      <c r="O364" s="46">
        <v>6666700</v>
      </c>
      <c r="P364" s="36">
        <v>12</v>
      </c>
      <c r="Q364" s="36" t="s">
        <v>371</v>
      </c>
      <c r="R364" s="36" t="s">
        <v>341</v>
      </c>
      <c r="S364" s="36" t="s">
        <v>372</v>
      </c>
      <c r="T364" s="36" t="s">
        <v>343</v>
      </c>
      <c r="U364" s="36" t="s">
        <v>344</v>
      </c>
      <c r="V364" s="40">
        <v>45870</v>
      </c>
      <c r="W364" s="40">
        <v>45889</v>
      </c>
      <c r="X364" s="36">
        <v>1</v>
      </c>
      <c r="Y364" s="36" t="s">
        <v>373</v>
      </c>
      <c r="Z364" s="36">
        <v>1</v>
      </c>
      <c r="AA364" s="36">
        <v>6666700</v>
      </c>
      <c r="AB364" s="40">
        <v>46235</v>
      </c>
      <c r="AC364" s="36" t="s">
        <v>2196</v>
      </c>
      <c r="AD364" s="36" t="str">
        <f>VLOOKUP(D364,Oficial!A:C,3,0)</f>
        <v>Arrastre</v>
      </c>
    </row>
    <row r="365" spans="1:30" x14ac:dyDescent="0.25">
      <c r="A365" s="36" t="s">
        <v>27</v>
      </c>
      <c r="B365" s="36" t="s">
        <v>366</v>
      </c>
      <c r="C365" s="36" t="s">
        <v>28</v>
      </c>
      <c r="D365" s="36" t="s">
        <v>366</v>
      </c>
      <c r="E365" s="36" t="s">
        <v>30</v>
      </c>
      <c r="F365" s="36" t="s">
        <v>31</v>
      </c>
      <c r="G365" s="37" t="s">
        <v>367</v>
      </c>
      <c r="H365" s="36" t="s">
        <v>368</v>
      </c>
      <c r="I365" s="36" t="s">
        <v>369</v>
      </c>
      <c r="J365" s="36">
        <v>1</v>
      </c>
      <c r="K365" s="36" t="s">
        <v>370</v>
      </c>
      <c r="L365" s="36">
        <v>4</v>
      </c>
      <c r="M365" s="36">
        <v>1</v>
      </c>
      <c r="N365" s="38">
        <v>80000000</v>
      </c>
      <c r="O365" s="46">
        <v>6666700</v>
      </c>
      <c r="P365" s="36">
        <v>12</v>
      </c>
      <c r="Q365" s="36" t="s">
        <v>371</v>
      </c>
      <c r="R365" s="36" t="s">
        <v>341</v>
      </c>
      <c r="S365" s="36" t="s">
        <v>372</v>
      </c>
      <c r="T365" s="36" t="s">
        <v>343</v>
      </c>
      <c r="U365" s="36" t="s">
        <v>344</v>
      </c>
      <c r="V365" s="40">
        <v>45870</v>
      </c>
      <c r="W365" s="40">
        <v>45889</v>
      </c>
      <c r="X365" s="36">
        <v>1</v>
      </c>
      <c r="Y365" s="36" t="s">
        <v>373</v>
      </c>
      <c r="Z365" s="36">
        <v>1</v>
      </c>
      <c r="AA365" s="36">
        <v>6666700</v>
      </c>
      <c r="AB365" s="40">
        <v>46113</v>
      </c>
      <c r="AC365" s="36" t="s">
        <v>2196</v>
      </c>
      <c r="AD365" s="36" t="str">
        <f>VLOOKUP(D365,Oficial!A:C,3,0)</f>
        <v>Arrastre</v>
      </c>
    </row>
    <row r="366" spans="1:30" x14ac:dyDescent="0.25">
      <c r="A366" s="36" t="s">
        <v>27</v>
      </c>
      <c r="B366" s="36" t="s">
        <v>366</v>
      </c>
      <c r="C366" s="36" t="s">
        <v>28</v>
      </c>
      <c r="D366" s="36" t="s">
        <v>366</v>
      </c>
      <c r="E366" s="36" t="s">
        <v>30</v>
      </c>
      <c r="F366" s="36" t="s">
        <v>31</v>
      </c>
      <c r="G366" s="37" t="s">
        <v>367</v>
      </c>
      <c r="H366" s="36" t="s">
        <v>368</v>
      </c>
      <c r="I366" s="36" t="s">
        <v>369</v>
      </c>
      <c r="J366" s="36">
        <v>1</v>
      </c>
      <c r="K366" s="36" t="s">
        <v>370</v>
      </c>
      <c r="L366" s="36">
        <v>4</v>
      </c>
      <c r="M366" s="36">
        <v>1</v>
      </c>
      <c r="N366" s="38">
        <v>80000000</v>
      </c>
      <c r="O366" s="46">
        <v>6666700</v>
      </c>
      <c r="P366" s="36">
        <v>12</v>
      </c>
      <c r="Q366" s="36" t="s">
        <v>371</v>
      </c>
      <c r="R366" s="36" t="s">
        <v>341</v>
      </c>
      <c r="S366" s="36" t="s">
        <v>372</v>
      </c>
      <c r="T366" s="36" t="s">
        <v>343</v>
      </c>
      <c r="U366" s="36" t="s">
        <v>344</v>
      </c>
      <c r="V366" s="40">
        <v>45870</v>
      </c>
      <c r="W366" s="40">
        <v>45889</v>
      </c>
      <c r="X366" s="36">
        <v>1</v>
      </c>
      <c r="Y366" s="36" t="s">
        <v>373</v>
      </c>
      <c r="Z366" s="36">
        <v>1</v>
      </c>
      <c r="AA366" s="36">
        <v>6666700</v>
      </c>
      <c r="AB366" s="40">
        <v>46054</v>
      </c>
      <c r="AC366" s="36" t="s">
        <v>2196</v>
      </c>
      <c r="AD366" s="36" t="str">
        <f>VLOOKUP(D366,Oficial!A:C,3,0)</f>
        <v>Arrastre</v>
      </c>
    </row>
    <row r="367" spans="1:30" x14ac:dyDescent="0.25">
      <c r="A367" s="36" t="s">
        <v>27</v>
      </c>
      <c r="B367" s="36" t="s">
        <v>366</v>
      </c>
      <c r="C367" s="36" t="s">
        <v>28</v>
      </c>
      <c r="D367" s="36" t="s">
        <v>366</v>
      </c>
      <c r="E367" s="36" t="s">
        <v>30</v>
      </c>
      <c r="F367" s="36" t="s">
        <v>31</v>
      </c>
      <c r="G367" s="37" t="s">
        <v>367</v>
      </c>
      <c r="H367" s="36" t="s">
        <v>368</v>
      </c>
      <c r="I367" s="36" t="s">
        <v>369</v>
      </c>
      <c r="J367" s="36">
        <v>1</v>
      </c>
      <c r="K367" s="36" t="s">
        <v>370</v>
      </c>
      <c r="L367" s="36">
        <v>4</v>
      </c>
      <c r="M367" s="36">
        <v>1</v>
      </c>
      <c r="N367" s="38">
        <v>80000000</v>
      </c>
      <c r="O367" s="46">
        <v>6666700</v>
      </c>
      <c r="P367" s="36">
        <v>12</v>
      </c>
      <c r="Q367" s="36" t="s">
        <v>371</v>
      </c>
      <c r="R367" s="36" t="s">
        <v>341</v>
      </c>
      <c r="S367" s="36" t="s">
        <v>372</v>
      </c>
      <c r="T367" s="36" t="s">
        <v>343</v>
      </c>
      <c r="U367" s="36" t="s">
        <v>344</v>
      </c>
      <c r="V367" s="40">
        <v>45870</v>
      </c>
      <c r="W367" s="40">
        <v>45889</v>
      </c>
      <c r="X367" s="36">
        <v>1</v>
      </c>
      <c r="Y367" s="36" t="s">
        <v>373</v>
      </c>
      <c r="Z367" s="36">
        <v>1</v>
      </c>
      <c r="AA367" s="36">
        <v>6666700</v>
      </c>
      <c r="AB367" s="40">
        <v>46174</v>
      </c>
      <c r="AC367" s="36" t="s">
        <v>2196</v>
      </c>
      <c r="AD367" s="36" t="str">
        <f>VLOOKUP(D367,Oficial!A:C,3,0)</f>
        <v>Arrastre</v>
      </c>
    </row>
    <row r="368" spans="1:30" x14ac:dyDescent="0.25">
      <c r="A368" s="36" t="s">
        <v>27</v>
      </c>
      <c r="B368" s="36" t="s">
        <v>366</v>
      </c>
      <c r="C368" s="36" t="s">
        <v>28</v>
      </c>
      <c r="D368" s="36" t="s">
        <v>366</v>
      </c>
      <c r="E368" s="36" t="s">
        <v>30</v>
      </c>
      <c r="F368" s="36" t="s">
        <v>31</v>
      </c>
      <c r="G368" s="37" t="s">
        <v>367</v>
      </c>
      <c r="H368" s="36" t="s">
        <v>368</v>
      </c>
      <c r="I368" s="36" t="s">
        <v>369</v>
      </c>
      <c r="J368" s="36">
        <v>1</v>
      </c>
      <c r="K368" s="36" t="s">
        <v>370</v>
      </c>
      <c r="L368" s="36">
        <v>4</v>
      </c>
      <c r="M368" s="36">
        <v>1</v>
      </c>
      <c r="N368" s="38">
        <v>80000000</v>
      </c>
      <c r="O368" s="46">
        <v>6666700</v>
      </c>
      <c r="P368" s="36">
        <v>12</v>
      </c>
      <c r="Q368" s="36" t="s">
        <v>371</v>
      </c>
      <c r="R368" s="36" t="s">
        <v>341</v>
      </c>
      <c r="S368" s="36" t="s">
        <v>372</v>
      </c>
      <c r="T368" s="36" t="s">
        <v>343</v>
      </c>
      <c r="U368" s="36" t="s">
        <v>344</v>
      </c>
      <c r="V368" s="40">
        <v>45870</v>
      </c>
      <c r="W368" s="40">
        <v>45889</v>
      </c>
      <c r="X368" s="36">
        <v>1</v>
      </c>
      <c r="Y368" s="36" t="s">
        <v>373</v>
      </c>
      <c r="Z368" s="36">
        <v>1</v>
      </c>
      <c r="AA368" s="36">
        <v>6666700</v>
      </c>
      <c r="AB368" s="40">
        <v>46357</v>
      </c>
      <c r="AC368" s="36" t="s">
        <v>2196</v>
      </c>
      <c r="AD368" s="36" t="str">
        <f>VLOOKUP(D368,Oficial!A:C,3,0)</f>
        <v>Arrastre</v>
      </c>
    </row>
    <row r="369" spans="1:30" x14ac:dyDescent="0.25">
      <c r="A369" s="36" t="s">
        <v>27</v>
      </c>
      <c r="B369" s="36" t="s">
        <v>366</v>
      </c>
      <c r="C369" s="36" t="s">
        <v>28</v>
      </c>
      <c r="D369" s="36" t="s">
        <v>366</v>
      </c>
      <c r="E369" s="36" t="s">
        <v>30</v>
      </c>
      <c r="F369" s="36" t="s">
        <v>31</v>
      </c>
      <c r="G369" s="37" t="s">
        <v>367</v>
      </c>
      <c r="H369" s="36" t="s">
        <v>368</v>
      </c>
      <c r="I369" s="36" t="s">
        <v>369</v>
      </c>
      <c r="J369" s="36">
        <v>1</v>
      </c>
      <c r="K369" s="36" t="s">
        <v>370</v>
      </c>
      <c r="L369" s="36">
        <v>4</v>
      </c>
      <c r="M369" s="36">
        <v>1</v>
      </c>
      <c r="N369" s="38">
        <v>80000000</v>
      </c>
      <c r="O369" s="46">
        <v>6666700</v>
      </c>
      <c r="P369" s="36">
        <v>12</v>
      </c>
      <c r="Q369" s="36" t="s">
        <v>371</v>
      </c>
      <c r="R369" s="36" t="s">
        <v>341</v>
      </c>
      <c r="S369" s="36" t="s">
        <v>372</v>
      </c>
      <c r="T369" s="36" t="s">
        <v>343</v>
      </c>
      <c r="U369" s="36" t="s">
        <v>344</v>
      </c>
      <c r="V369" s="40">
        <v>45870</v>
      </c>
      <c r="W369" s="40">
        <v>45889</v>
      </c>
      <c r="X369" s="36">
        <v>1</v>
      </c>
      <c r="Y369" s="36" t="s">
        <v>373</v>
      </c>
      <c r="Z369" s="36">
        <v>1</v>
      </c>
      <c r="AA369" s="36">
        <v>6666700</v>
      </c>
      <c r="AB369" s="40">
        <v>46266</v>
      </c>
      <c r="AC369" s="36" t="s">
        <v>2196</v>
      </c>
      <c r="AD369" s="36" t="str">
        <f>VLOOKUP(D369,Oficial!A:C,3,0)</f>
        <v>Arrastre</v>
      </c>
    </row>
    <row r="370" spans="1:30" x14ac:dyDescent="0.25">
      <c r="A370" s="36" t="s">
        <v>27</v>
      </c>
      <c r="B370" s="36" t="s">
        <v>366</v>
      </c>
      <c r="C370" s="36" t="s">
        <v>28</v>
      </c>
      <c r="D370" s="36" t="s">
        <v>366</v>
      </c>
      <c r="E370" s="36" t="s">
        <v>30</v>
      </c>
      <c r="F370" s="36" t="s">
        <v>31</v>
      </c>
      <c r="G370" s="37" t="s">
        <v>367</v>
      </c>
      <c r="H370" s="36" t="s">
        <v>368</v>
      </c>
      <c r="I370" s="36" t="s">
        <v>369</v>
      </c>
      <c r="J370" s="36">
        <v>1</v>
      </c>
      <c r="K370" s="36" t="s">
        <v>370</v>
      </c>
      <c r="L370" s="36">
        <v>4</v>
      </c>
      <c r="M370" s="36">
        <v>1</v>
      </c>
      <c r="N370" s="38">
        <v>80000000</v>
      </c>
      <c r="O370" s="46">
        <v>6666700</v>
      </c>
      <c r="P370" s="36">
        <v>12</v>
      </c>
      <c r="Q370" s="36" t="s">
        <v>371</v>
      </c>
      <c r="R370" s="36" t="s">
        <v>341</v>
      </c>
      <c r="S370" s="36" t="s">
        <v>372</v>
      </c>
      <c r="T370" s="36" t="s">
        <v>343</v>
      </c>
      <c r="U370" s="36" t="s">
        <v>344</v>
      </c>
      <c r="V370" s="40">
        <v>45870</v>
      </c>
      <c r="W370" s="40">
        <v>45889</v>
      </c>
      <c r="X370" s="36">
        <v>1</v>
      </c>
      <c r="Y370" s="36" t="s">
        <v>373</v>
      </c>
      <c r="Z370" s="36">
        <v>1</v>
      </c>
      <c r="AA370" s="36">
        <v>6666700</v>
      </c>
      <c r="AB370" s="40">
        <v>46296</v>
      </c>
      <c r="AC370" s="36" t="s">
        <v>2196</v>
      </c>
      <c r="AD370" s="36" t="str">
        <f>VLOOKUP(D370,Oficial!A:C,3,0)</f>
        <v>Arrastre</v>
      </c>
    </row>
    <row r="371" spans="1:30" x14ac:dyDescent="0.25">
      <c r="A371" s="36" t="s">
        <v>27</v>
      </c>
      <c r="B371" s="36" t="s">
        <v>375</v>
      </c>
      <c r="C371" s="36" t="s">
        <v>374</v>
      </c>
      <c r="D371" s="36" t="s">
        <v>375</v>
      </c>
      <c r="E371" s="36" t="s">
        <v>30</v>
      </c>
      <c r="F371" s="36" t="s">
        <v>31</v>
      </c>
      <c r="G371" s="37" t="s">
        <v>314</v>
      </c>
      <c r="H371" s="36" t="s">
        <v>376</v>
      </c>
      <c r="I371" s="36" t="s">
        <v>377</v>
      </c>
      <c r="J371" s="36">
        <v>1</v>
      </c>
      <c r="K371" s="36" t="s">
        <v>326</v>
      </c>
      <c r="L371" s="36">
        <v>4</v>
      </c>
      <c r="M371" s="36">
        <v>1</v>
      </c>
      <c r="N371" s="38">
        <v>19000000</v>
      </c>
      <c r="O371" s="41">
        <v>1583333</v>
      </c>
      <c r="P371" s="36">
        <v>12</v>
      </c>
      <c r="Q371" s="36" t="s">
        <v>318</v>
      </c>
      <c r="R371" s="36" t="s">
        <v>378</v>
      </c>
      <c r="S371" s="36" t="s">
        <v>379</v>
      </c>
      <c r="T371" s="36" t="s">
        <v>380</v>
      </c>
      <c r="U371" s="36" t="s">
        <v>381</v>
      </c>
      <c r="V371" s="40">
        <v>45839</v>
      </c>
      <c r="W371" s="40">
        <v>45889</v>
      </c>
      <c r="X371" s="36">
        <v>0</v>
      </c>
      <c r="Y371" s="36"/>
      <c r="Z371" s="36">
        <v>1</v>
      </c>
      <c r="AA371" s="36">
        <v>1583333</v>
      </c>
      <c r="AB371" s="40">
        <v>46357</v>
      </c>
      <c r="AC371" s="36" t="s">
        <v>2196</v>
      </c>
      <c r="AD371" s="36" t="str">
        <f>VLOOKUP(D371,Oficial!A:C,3,0)</f>
        <v>Arrastre</v>
      </c>
    </row>
    <row r="372" spans="1:30" x14ac:dyDescent="0.25">
      <c r="A372" s="36" t="s">
        <v>27</v>
      </c>
      <c r="B372" s="36" t="s">
        <v>375</v>
      </c>
      <c r="C372" s="36" t="s">
        <v>374</v>
      </c>
      <c r="D372" s="36" t="s">
        <v>375</v>
      </c>
      <c r="E372" s="36" t="s">
        <v>30</v>
      </c>
      <c r="F372" s="36" t="s">
        <v>31</v>
      </c>
      <c r="G372" s="37" t="s">
        <v>314</v>
      </c>
      <c r="H372" s="36" t="s">
        <v>376</v>
      </c>
      <c r="I372" s="36" t="s">
        <v>377</v>
      </c>
      <c r="J372" s="36">
        <v>1</v>
      </c>
      <c r="K372" s="36" t="s">
        <v>326</v>
      </c>
      <c r="L372" s="36">
        <v>4</v>
      </c>
      <c r="M372" s="36">
        <v>1</v>
      </c>
      <c r="N372" s="38">
        <v>19000000</v>
      </c>
      <c r="O372" s="41">
        <v>1583333</v>
      </c>
      <c r="P372" s="36">
        <v>12</v>
      </c>
      <c r="Q372" s="36" t="s">
        <v>318</v>
      </c>
      <c r="R372" s="36" t="s">
        <v>378</v>
      </c>
      <c r="S372" s="36" t="s">
        <v>379</v>
      </c>
      <c r="T372" s="36" t="s">
        <v>380</v>
      </c>
      <c r="U372" s="36" t="s">
        <v>381</v>
      </c>
      <c r="V372" s="40">
        <v>45839</v>
      </c>
      <c r="W372" s="40">
        <v>45889</v>
      </c>
      <c r="X372" s="36">
        <v>0</v>
      </c>
      <c r="Y372" s="36"/>
      <c r="Z372" s="36">
        <v>1</v>
      </c>
      <c r="AA372" s="36">
        <v>1583333</v>
      </c>
      <c r="AB372" s="40">
        <v>46296</v>
      </c>
      <c r="AC372" s="36" t="s">
        <v>2196</v>
      </c>
      <c r="AD372" s="36" t="str">
        <f>VLOOKUP(D372,Oficial!A:C,3,0)</f>
        <v>Arrastre</v>
      </c>
    </row>
    <row r="373" spans="1:30" x14ac:dyDescent="0.25">
      <c r="A373" s="36" t="s">
        <v>27</v>
      </c>
      <c r="B373" s="36" t="s">
        <v>375</v>
      </c>
      <c r="C373" s="36" t="s">
        <v>374</v>
      </c>
      <c r="D373" s="36" t="s">
        <v>375</v>
      </c>
      <c r="E373" s="36" t="s">
        <v>30</v>
      </c>
      <c r="F373" s="36" t="s">
        <v>31</v>
      </c>
      <c r="G373" s="37" t="s">
        <v>314</v>
      </c>
      <c r="H373" s="36" t="s">
        <v>376</v>
      </c>
      <c r="I373" s="36" t="s">
        <v>377</v>
      </c>
      <c r="J373" s="36">
        <v>1</v>
      </c>
      <c r="K373" s="36" t="s">
        <v>326</v>
      </c>
      <c r="L373" s="36">
        <v>4</v>
      </c>
      <c r="M373" s="36">
        <v>1</v>
      </c>
      <c r="N373" s="38">
        <v>19000000</v>
      </c>
      <c r="O373" s="41">
        <v>1583333</v>
      </c>
      <c r="P373" s="36">
        <v>12</v>
      </c>
      <c r="Q373" s="36" t="s">
        <v>318</v>
      </c>
      <c r="R373" s="36" t="s">
        <v>378</v>
      </c>
      <c r="S373" s="36" t="s">
        <v>379</v>
      </c>
      <c r="T373" s="36" t="s">
        <v>380</v>
      </c>
      <c r="U373" s="36" t="s">
        <v>381</v>
      </c>
      <c r="V373" s="40">
        <v>45839</v>
      </c>
      <c r="W373" s="40">
        <v>45889</v>
      </c>
      <c r="X373" s="36">
        <v>0</v>
      </c>
      <c r="Y373" s="36"/>
      <c r="Z373" s="36">
        <v>1</v>
      </c>
      <c r="AA373" s="36">
        <v>1583333</v>
      </c>
      <c r="AB373" s="40">
        <v>46113</v>
      </c>
      <c r="AC373" s="36" t="s">
        <v>2196</v>
      </c>
      <c r="AD373" s="36" t="str">
        <f>VLOOKUP(D373,Oficial!A:C,3,0)</f>
        <v>Arrastre</v>
      </c>
    </row>
    <row r="374" spans="1:30" x14ac:dyDescent="0.25">
      <c r="A374" s="36" t="s">
        <v>27</v>
      </c>
      <c r="B374" s="36" t="s">
        <v>375</v>
      </c>
      <c r="C374" s="36" t="s">
        <v>374</v>
      </c>
      <c r="D374" s="36" t="s">
        <v>375</v>
      </c>
      <c r="E374" s="36" t="s">
        <v>30</v>
      </c>
      <c r="F374" s="36" t="s">
        <v>31</v>
      </c>
      <c r="G374" s="37" t="s">
        <v>314</v>
      </c>
      <c r="H374" s="36" t="s">
        <v>376</v>
      </c>
      <c r="I374" s="36" t="s">
        <v>377</v>
      </c>
      <c r="J374" s="36">
        <v>1</v>
      </c>
      <c r="K374" s="36" t="s">
        <v>326</v>
      </c>
      <c r="L374" s="36">
        <v>4</v>
      </c>
      <c r="M374" s="36">
        <v>1</v>
      </c>
      <c r="N374" s="38">
        <v>19000000</v>
      </c>
      <c r="O374" s="41">
        <v>1583333</v>
      </c>
      <c r="P374" s="36">
        <v>12</v>
      </c>
      <c r="Q374" s="36" t="s">
        <v>318</v>
      </c>
      <c r="R374" s="36" t="s">
        <v>378</v>
      </c>
      <c r="S374" s="36" t="s">
        <v>379</v>
      </c>
      <c r="T374" s="36" t="s">
        <v>380</v>
      </c>
      <c r="U374" s="36" t="s">
        <v>381</v>
      </c>
      <c r="V374" s="40">
        <v>45839</v>
      </c>
      <c r="W374" s="40">
        <v>45889</v>
      </c>
      <c r="X374" s="36">
        <v>0</v>
      </c>
      <c r="Y374" s="36"/>
      <c r="Z374" s="36">
        <v>1</v>
      </c>
      <c r="AA374" s="36">
        <v>1583333</v>
      </c>
      <c r="AB374" s="40">
        <v>46327</v>
      </c>
      <c r="AC374" s="36" t="s">
        <v>2196</v>
      </c>
      <c r="AD374" s="36" t="str">
        <f>VLOOKUP(D374,Oficial!A:C,3,0)</f>
        <v>Arrastre</v>
      </c>
    </row>
    <row r="375" spans="1:30" x14ac:dyDescent="0.25">
      <c r="A375" s="36" t="s">
        <v>27</v>
      </c>
      <c r="B375" s="36" t="s">
        <v>375</v>
      </c>
      <c r="C375" s="36" t="s">
        <v>374</v>
      </c>
      <c r="D375" s="36" t="s">
        <v>375</v>
      </c>
      <c r="E375" s="36" t="s">
        <v>30</v>
      </c>
      <c r="F375" s="36" t="s">
        <v>31</v>
      </c>
      <c r="G375" s="37" t="s">
        <v>314</v>
      </c>
      <c r="H375" s="36" t="s">
        <v>376</v>
      </c>
      <c r="I375" s="36" t="s">
        <v>377</v>
      </c>
      <c r="J375" s="36">
        <v>1</v>
      </c>
      <c r="K375" s="36" t="s">
        <v>326</v>
      </c>
      <c r="L375" s="36">
        <v>4</v>
      </c>
      <c r="M375" s="36">
        <v>1</v>
      </c>
      <c r="N375" s="38">
        <v>19000000</v>
      </c>
      <c r="O375" s="41">
        <v>1583333</v>
      </c>
      <c r="P375" s="36">
        <v>12</v>
      </c>
      <c r="Q375" s="36" t="s">
        <v>318</v>
      </c>
      <c r="R375" s="36" t="s">
        <v>378</v>
      </c>
      <c r="S375" s="36" t="s">
        <v>379</v>
      </c>
      <c r="T375" s="36" t="s">
        <v>380</v>
      </c>
      <c r="U375" s="36" t="s">
        <v>381</v>
      </c>
      <c r="V375" s="40">
        <v>45839</v>
      </c>
      <c r="W375" s="40">
        <v>45889</v>
      </c>
      <c r="X375" s="36">
        <v>0</v>
      </c>
      <c r="Y375" s="36"/>
      <c r="Z375" s="36">
        <v>1</v>
      </c>
      <c r="AA375" s="36">
        <v>1583333</v>
      </c>
      <c r="AB375" s="40">
        <v>46054</v>
      </c>
      <c r="AC375" s="36" t="s">
        <v>2196</v>
      </c>
      <c r="AD375" s="36" t="str">
        <f>VLOOKUP(D375,Oficial!A:C,3,0)</f>
        <v>Arrastre</v>
      </c>
    </row>
    <row r="376" spans="1:30" x14ac:dyDescent="0.25">
      <c r="A376" s="36" t="s">
        <v>27</v>
      </c>
      <c r="B376" s="36" t="s">
        <v>375</v>
      </c>
      <c r="C376" s="36" t="s">
        <v>374</v>
      </c>
      <c r="D376" s="36" t="s">
        <v>375</v>
      </c>
      <c r="E376" s="36" t="s">
        <v>30</v>
      </c>
      <c r="F376" s="36" t="s">
        <v>31</v>
      </c>
      <c r="G376" s="37" t="s">
        <v>314</v>
      </c>
      <c r="H376" s="36" t="s">
        <v>376</v>
      </c>
      <c r="I376" s="36" t="s">
        <v>377</v>
      </c>
      <c r="J376" s="36">
        <v>1</v>
      </c>
      <c r="K376" s="36" t="s">
        <v>326</v>
      </c>
      <c r="L376" s="36">
        <v>4</v>
      </c>
      <c r="M376" s="36">
        <v>1</v>
      </c>
      <c r="N376" s="38">
        <v>19000000</v>
      </c>
      <c r="O376" s="41">
        <v>1583333</v>
      </c>
      <c r="P376" s="36">
        <v>12</v>
      </c>
      <c r="Q376" s="36" t="s">
        <v>318</v>
      </c>
      <c r="R376" s="36" t="s">
        <v>378</v>
      </c>
      <c r="S376" s="36" t="s">
        <v>379</v>
      </c>
      <c r="T376" s="36" t="s">
        <v>380</v>
      </c>
      <c r="U376" s="36" t="s">
        <v>381</v>
      </c>
      <c r="V376" s="40">
        <v>45839</v>
      </c>
      <c r="W376" s="40">
        <v>45889</v>
      </c>
      <c r="X376" s="36">
        <v>0</v>
      </c>
      <c r="Y376" s="36"/>
      <c r="Z376" s="36">
        <v>1</v>
      </c>
      <c r="AA376" s="36">
        <v>1583333</v>
      </c>
      <c r="AB376" s="40">
        <v>46174</v>
      </c>
      <c r="AC376" s="36" t="s">
        <v>2196</v>
      </c>
      <c r="AD376" s="36" t="str">
        <f>VLOOKUP(D376,Oficial!A:C,3,0)</f>
        <v>Arrastre</v>
      </c>
    </row>
    <row r="377" spans="1:30" x14ac:dyDescent="0.25">
      <c r="A377" s="36" t="s">
        <v>27</v>
      </c>
      <c r="B377" s="36" t="s">
        <v>375</v>
      </c>
      <c r="C377" s="36" t="s">
        <v>374</v>
      </c>
      <c r="D377" s="36" t="s">
        <v>375</v>
      </c>
      <c r="E377" s="36" t="s">
        <v>30</v>
      </c>
      <c r="F377" s="36" t="s">
        <v>31</v>
      </c>
      <c r="G377" s="37" t="s">
        <v>314</v>
      </c>
      <c r="H377" s="36" t="s">
        <v>376</v>
      </c>
      <c r="I377" s="36" t="s">
        <v>377</v>
      </c>
      <c r="J377" s="36">
        <v>1</v>
      </c>
      <c r="K377" s="36" t="s">
        <v>326</v>
      </c>
      <c r="L377" s="36">
        <v>4</v>
      </c>
      <c r="M377" s="36">
        <v>1</v>
      </c>
      <c r="N377" s="38">
        <v>19000000</v>
      </c>
      <c r="O377" s="41">
        <v>1583333</v>
      </c>
      <c r="P377" s="36">
        <v>12</v>
      </c>
      <c r="Q377" s="36" t="s">
        <v>318</v>
      </c>
      <c r="R377" s="36" t="s">
        <v>378</v>
      </c>
      <c r="S377" s="36" t="s">
        <v>379</v>
      </c>
      <c r="T377" s="36" t="s">
        <v>380</v>
      </c>
      <c r="U377" s="36" t="s">
        <v>381</v>
      </c>
      <c r="V377" s="40">
        <v>45839</v>
      </c>
      <c r="W377" s="40">
        <v>45889</v>
      </c>
      <c r="X377" s="36">
        <v>0</v>
      </c>
      <c r="Y377" s="36"/>
      <c r="Z377" s="36">
        <v>1</v>
      </c>
      <c r="AA377" s="36">
        <v>1583333</v>
      </c>
      <c r="AB377" s="40">
        <v>46143</v>
      </c>
      <c r="AC377" s="36" t="s">
        <v>2196</v>
      </c>
      <c r="AD377" s="36" t="str">
        <f>VLOOKUP(D377,Oficial!A:C,3,0)</f>
        <v>Arrastre</v>
      </c>
    </row>
    <row r="378" spans="1:30" x14ac:dyDescent="0.25">
      <c r="A378" s="36" t="s">
        <v>27</v>
      </c>
      <c r="B378" s="36" t="s">
        <v>375</v>
      </c>
      <c r="C378" s="36" t="s">
        <v>374</v>
      </c>
      <c r="D378" s="36" t="s">
        <v>375</v>
      </c>
      <c r="E378" s="36" t="s">
        <v>30</v>
      </c>
      <c r="F378" s="36" t="s">
        <v>31</v>
      </c>
      <c r="G378" s="37" t="s">
        <v>314</v>
      </c>
      <c r="H378" s="36" t="s">
        <v>376</v>
      </c>
      <c r="I378" s="36" t="s">
        <v>377</v>
      </c>
      <c r="J378" s="36">
        <v>1</v>
      </c>
      <c r="K378" s="36" t="s">
        <v>326</v>
      </c>
      <c r="L378" s="36">
        <v>4</v>
      </c>
      <c r="M378" s="36">
        <v>1</v>
      </c>
      <c r="N378" s="38">
        <v>19000000</v>
      </c>
      <c r="O378" s="41">
        <v>1583333</v>
      </c>
      <c r="P378" s="36">
        <v>12</v>
      </c>
      <c r="Q378" s="36" t="s">
        <v>318</v>
      </c>
      <c r="R378" s="36" t="s">
        <v>378</v>
      </c>
      <c r="S378" s="36" t="s">
        <v>379</v>
      </c>
      <c r="T378" s="36" t="s">
        <v>380</v>
      </c>
      <c r="U378" s="36" t="s">
        <v>381</v>
      </c>
      <c r="V378" s="40">
        <v>45839</v>
      </c>
      <c r="W378" s="40">
        <v>45889</v>
      </c>
      <c r="X378" s="36">
        <v>0</v>
      </c>
      <c r="Y378" s="36"/>
      <c r="Z378" s="36">
        <v>1</v>
      </c>
      <c r="AA378" s="36">
        <v>1583333</v>
      </c>
      <c r="AB378" s="40">
        <v>46082</v>
      </c>
      <c r="AC378" s="36" t="s">
        <v>2196</v>
      </c>
      <c r="AD378" s="36" t="str">
        <f>VLOOKUP(D378,Oficial!A:C,3,0)</f>
        <v>Arrastre</v>
      </c>
    </row>
    <row r="379" spans="1:30" x14ac:dyDescent="0.25">
      <c r="A379" s="36" t="s">
        <v>27</v>
      </c>
      <c r="B379" s="36" t="s">
        <v>375</v>
      </c>
      <c r="C379" s="36" t="s">
        <v>374</v>
      </c>
      <c r="D379" s="36" t="s">
        <v>375</v>
      </c>
      <c r="E379" s="36" t="s">
        <v>30</v>
      </c>
      <c r="F379" s="36" t="s">
        <v>31</v>
      </c>
      <c r="G379" s="37" t="s">
        <v>314</v>
      </c>
      <c r="H379" s="36" t="s">
        <v>376</v>
      </c>
      <c r="I379" s="36" t="s">
        <v>377</v>
      </c>
      <c r="J379" s="36">
        <v>1</v>
      </c>
      <c r="K379" s="36" t="s">
        <v>326</v>
      </c>
      <c r="L379" s="36">
        <v>4</v>
      </c>
      <c r="M379" s="36">
        <v>1</v>
      </c>
      <c r="N379" s="38">
        <v>19000000</v>
      </c>
      <c r="O379" s="41">
        <v>1583333</v>
      </c>
      <c r="P379" s="36">
        <v>12</v>
      </c>
      <c r="Q379" s="36" t="s">
        <v>318</v>
      </c>
      <c r="R379" s="36" t="s">
        <v>378</v>
      </c>
      <c r="S379" s="36" t="s">
        <v>379</v>
      </c>
      <c r="T379" s="36" t="s">
        <v>380</v>
      </c>
      <c r="U379" s="36" t="s">
        <v>381</v>
      </c>
      <c r="V379" s="40">
        <v>45839</v>
      </c>
      <c r="W379" s="40">
        <v>45889</v>
      </c>
      <c r="X379" s="36">
        <v>0</v>
      </c>
      <c r="Y379" s="36"/>
      <c r="Z379" s="36">
        <v>1</v>
      </c>
      <c r="AA379" s="36">
        <v>1583333</v>
      </c>
      <c r="AB379" s="40">
        <v>46204</v>
      </c>
      <c r="AC379" s="36" t="s">
        <v>2196</v>
      </c>
      <c r="AD379" s="36" t="str">
        <f>VLOOKUP(D379,Oficial!A:C,3,0)</f>
        <v>Arrastre</v>
      </c>
    </row>
    <row r="380" spans="1:30" x14ac:dyDescent="0.25">
      <c r="A380" s="36" t="s">
        <v>27</v>
      </c>
      <c r="B380" s="36" t="s">
        <v>375</v>
      </c>
      <c r="C380" s="36" t="s">
        <v>374</v>
      </c>
      <c r="D380" s="36" t="s">
        <v>375</v>
      </c>
      <c r="E380" s="36" t="s">
        <v>30</v>
      </c>
      <c r="F380" s="36" t="s">
        <v>31</v>
      </c>
      <c r="G380" s="37" t="s">
        <v>314</v>
      </c>
      <c r="H380" s="36" t="s">
        <v>376</v>
      </c>
      <c r="I380" s="36" t="s">
        <v>377</v>
      </c>
      <c r="J380" s="36">
        <v>1</v>
      </c>
      <c r="K380" s="36" t="s">
        <v>326</v>
      </c>
      <c r="L380" s="36">
        <v>4</v>
      </c>
      <c r="M380" s="36">
        <v>1</v>
      </c>
      <c r="N380" s="38">
        <v>19000000</v>
      </c>
      <c r="O380" s="41">
        <v>1583333</v>
      </c>
      <c r="P380" s="36">
        <v>12</v>
      </c>
      <c r="Q380" s="36" t="s">
        <v>318</v>
      </c>
      <c r="R380" s="36" t="s">
        <v>378</v>
      </c>
      <c r="S380" s="36" t="s">
        <v>379</v>
      </c>
      <c r="T380" s="36" t="s">
        <v>380</v>
      </c>
      <c r="U380" s="36" t="s">
        <v>381</v>
      </c>
      <c r="V380" s="40">
        <v>45839</v>
      </c>
      <c r="W380" s="40">
        <v>45889</v>
      </c>
      <c r="X380" s="36">
        <v>0</v>
      </c>
      <c r="Y380" s="36"/>
      <c r="Z380" s="36">
        <v>1</v>
      </c>
      <c r="AA380" s="36">
        <v>1583333</v>
      </c>
      <c r="AB380" s="40">
        <v>46235</v>
      </c>
      <c r="AC380" s="36" t="s">
        <v>2196</v>
      </c>
      <c r="AD380" s="36" t="str">
        <f>VLOOKUP(D380,Oficial!A:C,3,0)</f>
        <v>Arrastre</v>
      </c>
    </row>
    <row r="381" spans="1:30" x14ac:dyDescent="0.25">
      <c r="A381" s="36" t="s">
        <v>27</v>
      </c>
      <c r="B381" s="36" t="s">
        <v>375</v>
      </c>
      <c r="C381" s="36" t="s">
        <v>374</v>
      </c>
      <c r="D381" s="36" t="s">
        <v>375</v>
      </c>
      <c r="E381" s="36" t="s">
        <v>30</v>
      </c>
      <c r="F381" s="36" t="s">
        <v>31</v>
      </c>
      <c r="G381" s="37" t="s">
        <v>314</v>
      </c>
      <c r="H381" s="36" t="s">
        <v>376</v>
      </c>
      <c r="I381" s="36" t="s">
        <v>377</v>
      </c>
      <c r="J381" s="36">
        <v>1</v>
      </c>
      <c r="K381" s="36" t="s">
        <v>326</v>
      </c>
      <c r="L381" s="36">
        <v>4</v>
      </c>
      <c r="M381" s="36">
        <v>1</v>
      </c>
      <c r="N381" s="38">
        <v>19000000</v>
      </c>
      <c r="O381" s="41">
        <v>1583333</v>
      </c>
      <c r="P381" s="36">
        <v>12</v>
      </c>
      <c r="Q381" s="36" t="s">
        <v>318</v>
      </c>
      <c r="R381" s="36" t="s">
        <v>378</v>
      </c>
      <c r="S381" s="36" t="s">
        <v>379</v>
      </c>
      <c r="T381" s="36" t="s">
        <v>380</v>
      </c>
      <c r="U381" s="36" t="s">
        <v>381</v>
      </c>
      <c r="V381" s="40">
        <v>45839</v>
      </c>
      <c r="W381" s="40">
        <v>45889</v>
      </c>
      <c r="X381" s="36">
        <v>0</v>
      </c>
      <c r="Y381" s="36"/>
      <c r="Z381" s="36">
        <v>1</v>
      </c>
      <c r="AA381" s="36">
        <v>1583333</v>
      </c>
      <c r="AB381" s="40">
        <v>46266</v>
      </c>
      <c r="AC381" s="36" t="s">
        <v>2196</v>
      </c>
      <c r="AD381" s="36" t="str">
        <f>VLOOKUP(D381,Oficial!A:C,3,0)</f>
        <v>Arrastre</v>
      </c>
    </row>
    <row r="382" spans="1:30" x14ac:dyDescent="0.25">
      <c r="A382" s="36" t="s">
        <v>27</v>
      </c>
      <c r="B382" s="36" t="s">
        <v>382</v>
      </c>
      <c r="C382" s="36" t="s">
        <v>28</v>
      </c>
      <c r="D382" s="36" t="s">
        <v>382</v>
      </c>
      <c r="E382" s="36" t="s">
        <v>30</v>
      </c>
      <c r="F382" s="36" t="s">
        <v>31</v>
      </c>
      <c r="G382" s="37" t="s">
        <v>314</v>
      </c>
      <c r="H382" s="36" t="s">
        <v>383</v>
      </c>
      <c r="I382" s="36" t="s">
        <v>384</v>
      </c>
      <c r="J382" s="36">
        <v>1</v>
      </c>
      <c r="K382" s="36" t="s">
        <v>326</v>
      </c>
      <c r="L382" s="36">
        <v>4</v>
      </c>
      <c r="M382" s="36">
        <v>1</v>
      </c>
      <c r="N382" s="38">
        <v>17500000</v>
      </c>
      <c r="O382" s="44">
        <v>1458333</v>
      </c>
      <c r="P382" s="36">
        <v>12</v>
      </c>
      <c r="Q382" s="36" t="s">
        <v>318</v>
      </c>
      <c r="R382" s="36" t="s">
        <v>385</v>
      </c>
      <c r="S382" s="36" t="s">
        <v>386</v>
      </c>
      <c r="T382" s="36" t="s">
        <v>387</v>
      </c>
      <c r="U382" s="36" t="s">
        <v>388</v>
      </c>
      <c r="V382" s="40">
        <v>45870</v>
      </c>
      <c r="W382" s="40">
        <v>45889</v>
      </c>
      <c r="X382" s="36">
        <v>0</v>
      </c>
      <c r="Y382" s="36"/>
      <c r="Z382" s="36">
        <v>1</v>
      </c>
      <c r="AA382" s="36">
        <v>1458333</v>
      </c>
      <c r="AB382" s="40">
        <v>46327</v>
      </c>
      <c r="AC382" s="36" t="s">
        <v>2196</v>
      </c>
      <c r="AD382" s="36" t="str">
        <f>VLOOKUP(D382,Oficial!A:C,3,0)</f>
        <v>Arrastre</v>
      </c>
    </row>
    <row r="383" spans="1:30" x14ac:dyDescent="0.25">
      <c r="A383" s="36" t="s">
        <v>27</v>
      </c>
      <c r="B383" s="36" t="s">
        <v>382</v>
      </c>
      <c r="C383" s="36" t="s">
        <v>28</v>
      </c>
      <c r="D383" s="36" t="s">
        <v>382</v>
      </c>
      <c r="E383" s="36" t="s">
        <v>30</v>
      </c>
      <c r="F383" s="36" t="s">
        <v>31</v>
      </c>
      <c r="G383" s="37" t="s">
        <v>314</v>
      </c>
      <c r="H383" s="36" t="s">
        <v>383</v>
      </c>
      <c r="I383" s="36" t="s">
        <v>384</v>
      </c>
      <c r="J383" s="36">
        <v>1</v>
      </c>
      <c r="K383" s="36" t="s">
        <v>326</v>
      </c>
      <c r="L383" s="36">
        <v>4</v>
      </c>
      <c r="M383" s="36">
        <v>1</v>
      </c>
      <c r="N383" s="38">
        <v>17500000</v>
      </c>
      <c r="O383" s="44">
        <v>1458333</v>
      </c>
      <c r="P383" s="36">
        <v>12</v>
      </c>
      <c r="Q383" s="36" t="s">
        <v>318</v>
      </c>
      <c r="R383" s="36" t="s">
        <v>385</v>
      </c>
      <c r="S383" s="36" t="s">
        <v>386</v>
      </c>
      <c r="T383" s="36" t="s">
        <v>387</v>
      </c>
      <c r="U383" s="36" t="s">
        <v>388</v>
      </c>
      <c r="V383" s="40">
        <v>45870</v>
      </c>
      <c r="W383" s="40">
        <v>45889</v>
      </c>
      <c r="X383" s="36">
        <v>0</v>
      </c>
      <c r="Y383" s="36"/>
      <c r="Z383" s="36">
        <v>1</v>
      </c>
      <c r="AA383" s="36">
        <v>1458333</v>
      </c>
      <c r="AB383" s="40">
        <v>46357</v>
      </c>
      <c r="AC383" s="36" t="s">
        <v>2196</v>
      </c>
      <c r="AD383" s="36" t="str">
        <f>VLOOKUP(D383,Oficial!A:C,3,0)</f>
        <v>Arrastre</v>
      </c>
    </row>
    <row r="384" spans="1:30" x14ac:dyDescent="0.25">
      <c r="A384" s="36" t="s">
        <v>27</v>
      </c>
      <c r="B384" s="36" t="s">
        <v>382</v>
      </c>
      <c r="C384" s="36" t="s">
        <v>28</v>
      </c>
      <c r="D384" s="36" t="s">
        <v>382</v>
      </c>
      <c r="E384" s="36" t="s">
        <v>30</v>
      </c>
      <c r="F384" s="36" t="s">
        <v>31</v>
      </c>
      <c r="G384" s="37" t="s">
        <v>314</v>
      </c>
      <c r="H384" s="36" t="s">
        <v>383</v>
      </c>
      <c r="I384" s="36" t="s">
        <v>384</v>
      </c>
      <c r="J384" s="36">
        <v>1</v>
      </c>
      <c r="K384" s="36" t="s">
        <v>326</v>
      </c>
      <c r="L384" s="36">
        <v>4</v>
      </c>
      <c r="M384" s="36">
        <v>1</v>
      </c>
      <c r="N384" s="38">
        <v>17500000</v>
      </c>
      <c r="O384" s="44">
        <v>1458333</v>
      </c>
      <c r="P384" s="36">
        <v>12</v>
      </c>
      <c r="Q384" s="36" t="s">
        <v>318</v>
      </c>
      <c r="R384" s="36" t="s">
        <v>385</v>
      </c>
      <c r="S384" s="36" t="s">
        <v>386</v>
      </c>
      <c r="T384" s="36" t="s">
        <v>387</v>
      </c>
      <c r="U384" s="36" t="s">
        <v>388</v>
      </c>
      <c r="V384" s="40">
        <v>45870</v>
      </c>
      <c r="W384" s="40">
        <v>45889</v>
      </c>
      <c r="X384" s="36">
        <v>0</v>
      </c>
      <c r="Y384" s="36"/>
      <c r="Z384" s="36">
        <v>1</v>
      </c>
      <c r="AA384" s="36">
        <v>1458333</v>
      </c>
      <c r="AB384" s="40">
        <v>46113</v>
      </c>
      <c r="AC384" s="36" t="s">
        <v>2196</v>
      </c>
      <c r="AD384" s="36" t="str">
        <f>VLOOKUP(D384,Oficial!A:C,3,0)</f>
        <v>Arrastre</v>
      </c>
    </row>
    <row r="385" spans="1:30" x14ac:dyDescent="0.25">
      <c r="A385" s="36" t="s">
        <v>27</v>
      </c>
      <c r="B385" s="36" t="s">
        <v>382</v>
      </c>
      <c r="C385" s="36" t="s">
        <v>28</v>
      </c>
      <c r="D385" s="36" t="s">
        <v>382</v>
      </c>
      <c r="E385" s="36" t="s">
        <v>30</v>
      </c>
      <c r="F385" s="36" t="s">
        <v>31</v>
      </c>
      <c r="G385" s="37" t="s">
        <v>314</v>
      </c>
      <c r="H385" s="36" t="s">
        <v>383</v>
      </c>
      <c r="I385" s="36" t="s">
        <v>384</v>
      </c>
      <c r="J385" s="36">
        <v>1</v>
      </c>
      <c r="K385" s="36" t="s">
        <v>326</v>
      </c>
      <c r="L385" s="36">
        <v>4</v>
      </c>
      <c r="M385" s="36">
        <v>1</v>
      </c>
      <c r="N385" s="38">
        <v>17500000</v>
      </c>
      <c r="O385" s="44">
        <v>1458333</v>
      </c>
      <c r="P385" s="36">
        <v>12</v>
      </c>
      <c r="Q385" s="36" t="s">
        <v>318</v>
      </c>
      <c r="R385" s="36" t="s">
        <v>385</v>
      </c>
      <c r="S385" s="36" t="s">
        <v>386</v>
      </c>
      <c r="T385" s="36" t="s">
        <v>387</v>
      </c>
      <c r="U385" s="36" t="s">
        <v>388</v>
      </c>
      <c r="V385" s="40">
        <v>45870</v>
      </c>
      <c r="W385" s="40">
        <v>45889</v>
      </c>
      <c r="X385" s="36">
        <v>0</v>
      </c>
      <c r="Y385" s="36"/>
      <c r="Z385" s="36">
        <v>1</v>
      </c>
      <c r="AA385" s="36">
        <v>1458333</v>
      </c>
      <c r="AB385" s="40">
        <v>46204</v>
      </c>
      <c r="AC385" s="36" t="s">
        <v>2196</v>
      </c>
      <c r="AD385" s="36" t="str">
        <f>VLOOKUP(D385,Oficial!A:C,3,0)</f>
        <v>Arrastre</v>
      </c>
    </row>
    <row r="386" spans="1:30" x14ac:dyDescent="0.25">
      <c r="A386" s="36" t="s">
        <v>27</v>
      </c>
      <c r="B386" s="36" t="s">
        <v>382</v>
      </c>
      <c r="C386" s="36" t="s">
        <v>28</v>
      </c>
      <c r="D386" s="36" t="s">
        <v>382</v>
      </c>
      <c r="E386" s="36" t="s">
        <v>30</v>
      </c>
      <c r="F386" s="36" t="s">
        <v>31</v>
      </c>
      <c r="G386" s="37" t="s">
        <v>314</v>
      </c>
      <c r="H386" s="36" t="s">
        <v>383</v>
      </c>
      <c r="I386" s="36" t="s">
        <v>384</v>
      </c>
      <c r="J386" s="36">
        <v>1</v>
      </c>
      <c r="K386" s="36" t="s">
        <v>326</v>
      </c>
      <c r="L386" s="36">
        <v>4</v>
      </c>
      <c r="M386" s="36">
        <v>1</v>
      </c>
      <c r="N386" s="38">
        <v>17500000</v>
      </c>
      <c r="O386" s="44">
        <v>1458333</v>
      </c>
      <c r="P386" s="36">
        <v>12</v>
      </c>
      <c r="Q386" s="36" t="s">
        <v>318</v>
      </c>
      <c r="R386" s="36" t="s">
        <v>385</v>
      </c>
      <c r="S386" s="36" t="s">
        <v>386</v>
      </c>
      <c r="T386" s="36" t="s">
        <v>387</v>
      </c>
      <c r="U386" s="36" t="s">
        <v>388</v>
      </c>
      <c r="V386" s="40">
        <v>45870</v>
      </c>
      <c r="W386" s="40">
        <v>45889</v>
      </c>
      <c r="X386" s="36">
        <v>0</v>
      </c>
      <c r="Y386" s="36"/>
      <c r="Z386" s="36">
        <v>1</v>
      </c>
      <c r="AA386" s="36">
        <v>1458333</v>
      </c>
      <c r="AB386" s="40">
        <v>46174</v>
      </c>
      <c r="AC386" s="36" t="s">
        <v>2196</v>
      </c>
      <c r="AD386" s="36" t="str">
        <f>VLOOKUP(D386,Oficial!A:C,3,0)</f>
        <v>Arrastre</v>
      </c>
    </row>
    <row r="387" spans="1:30" x14ac:dyDescent="0.25">
      <c r="A387" s="36" t="s">
        <v>27</v>
      </c>
      <c r="B387" s="36" t="s">
        <v>382</v>
      </c>
      <c r="C387" s="36" t="s">
        <v>28</v>
      </c>
      <c r="D387" s="36" t="s">
        <v>382</v>
      </c>
      <c r="E387" s="36" t="s">
        <v>30</v>
      </c>
      <c r="F387" s="36" t="s">
        <v>31</v>
      </c>
      <c r="G387" s="37" t="s">
        <v>314</v>
      </c>
      <c r="H387" s="36" t="s">
        <v>383</v>
      </c>
      <c r="I387" s="36" t="s">
        <v>384</v>
      </c>
      <c r="J387" s="36">
        <v>1</v>
      </c>
      <c r="K387" s="36" t="s">
        <v>326</v>
      </c>
      <c r="L387" s="36">
        <v>4</v>
      </c>
      <c r="M387" s="36">
        <v>1</v>
      </c>
      <c r="N387" s="38">
        <v>17500000</v>
      </c>
      <c r="O387" s="44">
        <v>1458333</v>
      </c>
      <c r="P387" s="36">
        <v>12</v>
      </c>
      <c r="Q387" s="36" t="s">
        <v>318</v>
      </c>
      <c r="R387" s="36" t="s">
        <v>385</v>
      </c>
      <c r="S387" s="36" t="s">
        <v>386</v>
      </c>
      <c r="T387" s="36" t="s">
        <v>387</v>
      </c>
      <c r="U387" s="36" t="s">
        <v>388</v>
      </c>
      <c r="V387" s="40">
        <v>45870</v>
      </c>
      <c r="W387" s="40">
        <v>45889</v>
      </c>
      <c r="X387" s="36">
        <v>0</v>
      </c>
      <c r="Y387" s="36"/>
      <c r="Z387" s="36">
        <v>1</v>
      </c>
      <c r="AA387" s="36">
        <v>1458333</v>
      </c>
      <c r="AB387" s="40">
        <v>46054</v>
      </c>
      <c r="AC387" s="36" t="s">
        <v>2196</v>
      </c>
      <c r="AD387" s="36" t="str">
        <f>VLOOKUP(D387,Oficial!A:C,3,0)</f>
        <v>Arrastre</v>
      </c>
    </row>
    <row r="388" spans="1:30" x14ac:dyDescent="0.25">
      <c r="A388" s="36" t="s">
        <v>27</v>
      </c>
      <c r="B388" s="36" t="s">
        <v>382</v>
      </c>
      <c r="C388" s="36" t="s">
        <v>28</v>
      </c>
      <c r="D388" s="36" t="s">
        <v>382</v>
      </c>
      <c r="E388" s="36" t="s">
        <v>30</v>
      </c>
      <c r="F388" s="36" t="s">
        <v>31</v>
      </c>
      <c r="G388" s="37" t="s">
        <v>314</v>
      </c>
      <c r="H388" s="36" t="s">
        <v>383</v>
      </c>
      <c r="I388" s="36" t="s">
        <v>384</v>
      </c>
      <c r="J388" s="36">
        <v>1</v>
      </c>
      <c r="K388" s="36" t="s">
        <v>326</v>
      </c>
      <c r="L388" s="36">
        <v>4</v>
      </c>
      <c r="M388" s="36">
        <v>1</v>
      </c>
      <c r="N388" s="38">
        <v>17500000</v>
      </c>
      <c r="O388" s="44">
        <v>1458333</v>
      </c>
      <c r="P388" s="36">
        <v>12</v>
      </c>
      <c r="Q388" s="36" t="s">
        <v>318</v>
      </c>
      <c r="R388" s="36" t="s">
        <v>385</v>
      </c>
      <c r="S388" s="36" t="s">
        <v>386</v>
      </c>
      <c r="T388" s="36" t="s">
        <v>387</v>
      </c>
      <c r="U388" s="36" t="s">
        <v>388</v>
      </c>
      <c r="V388" s="40">
        <v>45870</v>
      </c>
      <c r="W388" s="40">
        <v>45889</v>
      </c>
      <c r="X388" s="36">
        <v>0</v>
      </c>
      <c r="Y388" s="36"/>
      <c r="Z388" s="36">
        <v>1</v>
      </c>
      <c r="AA388" s="36">
        <v>1458333</v>
      </c>
      <c r="AB388" s="40">
        <v>46296</v>
      </c>
      <c r="AC388" s="36" t="s">
        <v>2196</v>
      </c>
      <c r="AD388" s="36" t="str">
        <f>VLOOKUP(D388,Oficial!A:C,3,0)</f>
        <v>Arrastre</v>
      </c>
    </row>
    <row r="389" spans="1:30" x14ac:dyDescent="0.25">
      <c r="A389" s="36" t="s">
        <v>27</v>
      </c>
      <c r="B389" s="36" t="s">
        <v>382</v>
      </c>
      <c r="C389" s="36" t="s">
        <v>28</v>
      </c>
      <c r="D389" s="36" t="s">
        <v>382</v>
      </c>
      <c r="E389" s="36" t="s">
        <v>30</v>
      </c>
      <c r="F389" s="36" t="s">
        <v>31</v>
      </c>
      <c r="G389" s="37" t="s">
        <v>314</v>
      </c>
      <c r="H389" s="36" t="s">
        <v>383</v>
      </c>
      <c r="I389" s="36" t="s">
        <v>384</v>
      </c>
      <c r="J389" s="36">
        <v>1</v>
      </c>
      <c r="K389" s="36" t="s">
        <v>326</v>
      </c>
      <c r="L389" s="36">
        <v>4</v>
      </c>
      <c r="M389" s="36">
        <v>1</v>
      </c>
      <c r="N389" s="38">
        <v>17500000</v>
      </c>
      <c r="O389" s="44">
        <v>1458333</v>
      </c>
      <c r="P389" s="36">
        <v>12</v>
      </c>
      <c r="Q389" s="36" t="s">
        <v>318</v>
      </c>
      <c r="R389" s="36" t="s">
        <v>385</v>
      </c>
      <c r="S389" s="36" t="s">
        <v>386</v>
      </c>
      <c r="T389" s="36" t="s">
        <v>387</v>
      </c>
      <c r="U389" s="36" t="s">
        <v>388</v>
      </c>
      <c r="V389" s="40">
        <v>45870</v>
      </c>
      <c r="W389" s="40">
        <v>45889</v>
      </c>
      <c r="X389" s="36">
        <v>0</v>
      </c>
      <c r="Y389" s="36"/>
      <c r="Z389" s="36">
        <v>1</v>
      </c>
      <c r="AA389" s="36">
        <v>1458333</v>
      </c>
      <c r="AB389" s="40">
        <v>46143</v>
      </c>
      <c r="AC389" s="36" t="s">
        <v>2196</v>
      </c>
      <c r="AD389" s="36" t="str">
        <f>VLOOKUP(D389,Oficial!A:C,3,0)</f>
        <v>Arrastre</v>
      </c>
    </row>
    <row r="390" spans="1:30" x14ac:dyDescent="0.25">
      <c r="A390" s="36" t="s">
        <v>27</v>
      </c>
      <c r="B390" s="36" t="s">
        <v>382</v>
      </c>
      <c r="C390" s="36" t="s">
        <v>28</v>
      </c>
      <c r="D390" s="36" t="s">
        <v>382</v>
      </c>
      <c r="E390" s="36" t="s">
        <v>30</v>
      </c>
      <c r="F390" s="36" t="s">
        <v>31</v>
      </c>
      <c r="G390" s="37" t="s">
        <v>314</v>
      </c>
      <c r="H390" s="36" t="s">
        <v>383</v>
      </c>
      <c r="I390" s="36" t="s">
        <v>384</v>
      </c>
      <c r="J390" s="36">
        <v>1</v>
      </c>
      <c r="K390" s="36" t="s">
        <v>326</v>
      </c>
      <c r="L390" s="36">
        <v>4</v>
      </c>
      <c r="M390" s="36">
        <v>1</v>
      </c>
      <c r="N390" s="38">
        <v>17500000</v>
      </c>
      <c r="O390" s="44">
        <v>1458333</v>
      </c>
      <c r="P390" s="36">
        <v>12</v>
      </c>
      <c r="Q390" s="36" t="s">
        <v>318</v>
      </c>
      <c r="R390" s="36" t="s">
        <v>385</v>
      </c>
      <c r="S390" s="36" t="s">
        <v>386</v>
      </c>
      <c r="T390" s="36" t="s">
        <v>387</v>
      </c>
      <c r="U390" s="36" t="s">
        <v>388</v>
      </c>
      <c r="V390" s="40">
        <v>45870</v>
      </c>
      <c r="W390" s="40">
        <v>45889</v>
      </c>
      <c r="X390" s="36">
        <v>0</v>
      </c>
      <c r="Y390" s="36"/>
      <c r="Z390" s="36">
        <v>1</v>
      </c>
      <c r="AA390" s="36">
        <v>1458333</v>
      </c>
      <c r="AB390" s="40">
        <v>46082</v>
      </c>
      <c r="AC390" s="36" t="s">
        <v>2196</v>
      </c>
      <c r="AD390" s="36" t="str">
        <f>VLOOKUP(D390,Oficial!A:C,3,0)</f>
        <v>Arrastre</v>
      </c>
    </row>
    <row r="391" spans="1:30" x14ac:dyDescent="0.25">
      <c r="A391" s="36" t="s">
        <v>27</v>
      </c>
      <c r="B391" s="36" t="s">
        <v>382</v>
      </c>
      <c r="C391" s="36" t="s">
        <v>28</v>
      </c>
      <c r="D391" s="36" t="s">
        <v>382</v>
      </c>
      <c r="E391" s="36" t="s">
        <v>30</v>
      </c>
      <c r="F391" s="36" t="s">
        <v>31</v>
      </c>
      <c r="G391" s="37" t="s">
        <v>314</v>
      </c>
      <c r="H391" s="36" t="s">
        <v>383</v>
      </c>
      <c r="I391" s="36" t="s">
        <v>384</v>
      </c>
      <c r="J391" s="36">
        <v>1</v>
      </c>
      <c r="K391" s="36" t="s">
        <v>326</v>
      </c>
      <c r="L391" s="36">
        <v>4</v>
      </c>
      <c r="M391" s="36">
        <v>1</v>
      </c>
      <c r="N391" s="38">
        <v>17500000</v>
      </c>
      <c r="O391" s="44">
        <v>1458333</v>
      </c>
      <c r="P391" s="36">
        <v>12</v>
      </c>
      <c r="Q391" s="36" t="s">
        <v>318</v>
      </c>
      <c r="R391" s="36" t="s">
        <v>385</v>
      </c>
      <c r="S391" s="36" t="s">
        <v>386</v>
      </c>
      <c r="T391" s="36" t="s">
        <v>387</v>
      </c>
      <c r="U391" s="36" t="s">
        <v>388</v>
      </c>
      <c r="V391" s="40">
        <v>45870</v>
      </c>
      <c r="W391" s="40">
        <v>45889</v>
      </c>
      <c r="X391" s="36">
        <v>0</v>
      </c>
      <c r="Y391" s="36"/>
      <c r="Z391" s="36">
        <v>1</v>
      </c>
      <c r="AA391" s="36">
        <v>1458333</v>
      </c>
      <c r="AB391" s="40">
        <v>46266</v>
      </c>
      <c r="AC391" s="36" t="s">
        <v>2196</v>
      </c>
      <c r="AD391" s="36" t="str">
        <f>VLOOKUP(D391,Oficial!A:C,3,0)</f>
        <v>Arrastre</v>
      </c>
    </row>
    <row r="392" spans="1:30" x14ac:dyDescent="0.25">
      <c r="A392" s="36" t="s">
        <v>27</v>
      </c>
      <c r="B392" s="36" t="s">
        <v>382</v>
      </c>
      <c r="C392" s="36" t="s">
        <v>28</v>
      </c>
      <c r="D392" s="36" t="s">
        <v>382</v>
      </c>
      <c r="E392" s="36" t="s">
        <v>30</v>
      </c>
      <c r="F392" s="36" t="s">
        <v>31</v>
      </c>
      <c r="G392" s="37" t="s">
        <v>314</v>
      </c>
      <c r="H392" s="36" t="s">
        <v>383</v>
      </c>
      <c r="I392" s="36" t="s">
        <v>384</v>
      </c>
      <c r="J392" s="36">
        <v>1</v>
      </c>
      <c r="K392" s="36" t="s">
        <v>326</v>
      </c>
      <c r="L392" s="36">
        <v>4</v>
      </c>
      <c r="M392" s="36">
        <v>1</v>
      </c>
      <c r="N392" s="38">
        <v>17500000</v>
      </c>
      <c r="O392" s="44">
        <v>1458333</v>
      </c>
      <c r="P392" s="36">
        <v>12</v>
      </c>
      <c r="Q392" s="36" t="s">
        <v>318</v>
      </c>
      <c r="R392" s="36" t="s">
        <v>385</v>
      </c>
      <c r="S392" s="36" t="s">
        <v>386</v>
      </c>
      <c r="T392" s="36" t="s">
        <v>387</v>
      </c>
      <c r="U392" s="36" t="s">
        <v>388</v>
      </c>
      <c r="V392" s="40">
        <v>45870</v>
      </c>
      <c r="W392" s="40">
        <v>45889</v>
      </c>
      <c r="X392" s="36">
        <v>0</v>
      </c>
      <c r="Y392" s="36"/>
      <c r="Z392" s="36">
        <v>1</v>
      </c>
      <c r="AA392" s="36">
        <v>1458333</v>
      </c>
      <c r="AB392" s="40">
        <v>46235</v>
      </c>
      <c r="AC392" s="36" t="s">
        <v>2196</v>
      </c>
      <c r="AD392" s="36" t="str">
        <f>VLOOKUP(D392,Oficial!A:C,3,0)</f>
        <v>Arrastre</v>
      </c>
    </row>
    <row r="393" spans="1:30" x14ac:dyDescent="0.25">
      <c r="A393" s="36" t="s">
        <v>27</v>
      </c>
      <c r="B393" s="36" t="s">
        <v>389</v>
      </c>
      <c r="C393" s="36" t="s">
        <v>28</v>
      </c>
      <c r="D393" s="36" t="s">
        <v>389</v>
      </c>
      <c r="E393" s="36" t="s">
        <v>30</v>
      </c>
      <c r="F393" s="36" t="s">
        <v>31</v>
      </c>
      <c r="G393" s="37" t="s">
        <v>314</v>
      </c>
      <c r="H393" s="36" t="s">
        <v>390</v>
      </c>
      <c r="I393" s="36" t="s">
        <v>391</v>
      </c>
      <c r="J393" s="36">
        <v>1</v>
      </c>
      <c r="K393" s="36" t="s">
        <v>326</v>
      </c>
      <c r="L393" s="36">
        <v>4</v>
      </c>
      <c r="M393" s="36">
        <v>1</v>
      </c>
      <c r="N393" s="38">
        <v>18000000</v>
      </c>
      <c r="O393" s="43">
        <v>1500000</v>
      </c>
      <c r="P393" s="36">
        <v>12</v>
      </c>
      <c r="Q393" s="36" t="s">
        <v>318</v>
      </c>
      <c r="R393" s="36" t="s">
        <v>378</v>
      </c>
      <c r="S393" s="36" t="s">
        <v>379</v>
      </c>
      <c r="T393" s="36" t="s">
        <v>380</v>
      </c>
      <c r="U393" s="36" t="s">
        <v>381</v>
      </c>
      <c r="V393" s="40">
        <v>45870</v>
      </c>
      <c r="W393" s="40">
        <v>45889</v>
      </c>
      <c r="X393" s="36">
        <v>0</v>
      </c>
      <c r="Y393" s="36"/>
      <c r="Z393" s="36">
        <v>1</v>
      </c>
      <c r="AA393" s="36">
        <v>1500000</v>
      </c>
      <c r="AB393" s="40">
        <v>46082</v>
      </c>
      <c r="AC393" s="36" t="s">
        <v>2196</v>
      </c>
      <c r="AD393" s="36" t="str">
        <f>VLOOKUP(D393,Oficial!A:C,3,0)</f>
        <v>Arrastre</v>
      </c>
    </row>
    <row r="394" spans="1:30" x14ac:dyDescent="0.25">
      <c r="A394" s="36" t="s">
        <v>27</v>
      </c>
      <c r="B394" s="36" t="s">
        <v>389</v>
      </c>
      <c r="C394" s="36" t="s">
        <v>28</v>
      </c>
      <c r="D394" s="36" t="s">
        <v>389</v>
      </c>
      <c r="E394" s="36" t="s">
        <v>30</v>
      </c>
      <c r="F394" s="36" t="s">
        <v>31</v>
      </c>
      <c r="G394" s="37" t="s">
        <v>314</v>
      </c>
      <c r="H394" s="36" t="s">
        <v>390</v>
      </c>
      <c r="I394" s="36" t="s">
        <v>391</v>
      </c>
      <c r="J394" s="36">
        <v>1</v>
      </c>
      <c r="K394" s="36" t="s">
        <v>326</v>
      </c>
      <c r="L394" s="36">
        <v>4</v>
      </c>
      <c r="M394" s="36">
        <v>1</v>
      </c>
      <c r="N394" s="38">
        <v>18000000</v>
      </c>
      <c r="O394" s="43">
        <v>1500000</v>
      </c>
      <c r="P394" s="36">
        <v>12</v>
      </c>
      <c r="Q394" s="36" t="s">
        <v>318</v>
      </c>
      <c r="R394" s="36" t="s">
        <v>378</v>
      </c>
      <c r="S394" s="36" t="s">
        <v>379</v>
      </c>
      <c r="T394" s="36" t="s">
        <v>380</v>
      </c>
      <c r="U394" s="36" t="s">
        <v>381</v>
      </c>
      <c r="V394" s="40">
        <v>45870</v>
      </c>
      <c r="W394" s="40">
        <v>45889</v>
      </c>
      <c r="X394" s="36">
        <v>0</v>
      </c>
      <c r="Y394" s="36"/>
      <c r="Z394" s="36">
        <v>1</v>
      </c>
      <c r="AA394" s="36">
        <v>1500000</v>
      </c>
      <c r="AB394" s="40">
        <v>46204</v>
      </c>
      <c r="AC394" s="36" t="s">
        <v>2196</v>
      </c>
      <c r="AD394" s="36" t="str">
        <f>VLOOKUP(D394,Oficial!A:C,3,0)</f>
        <v>Arrastre</v>
      </c>
    </row>
    <row r="395" spans="1:30" x14ac:dyDescent="0.25">
      <c r="A395" s="36" t="s">
        <v>27</v>
      </c>
      <c r="B395" s="36" t="s">
        <v>389</v>
      </c>
      <c r="C395" s="36" t="s">
        <v>28</v>
      </c>
      <c r="D395" s="36" t="s">
        <v>389</v>
      </c>
      <c r="E395" s="36" t="s">
        <v>30</v>
      </c>
      <c r="F395" s="36" t="s">
        <v>31</v>
      </c>
      <c r="G395" s="37" t="s">
        <v>314</v>
      </c>
      <c r="H395" s="36" t="s">
        <v>390</v>
      </c>
      <c r="I395" s="36" t="s">
        <v>391</v>
      </c>
      <c r="J395" s="36">
        <v>1</v>
      </c>
      <c r="K395" s="36" t="s">
        <v>326</v>
      </c>
      <c r="L395" s="36">
        <v>4</v>
      </c>
      <c r="M395" s="36">
        <v>1</v>
      </c>
      <c r="N395" s="38">
        <v>18000000</v>
      </c>
      <c r="O395" s="43">
        <v>1500000</v>
      </c>
      <c r="P395" s="36">
        <v>12</v>
      </c>
      <c r="Q395" s="36" t="s">
        <v>318</v>
      </c>
      <c r="R395" s="36" t="s">
        <v>378</v>
      </c>
      <c r="S395" s="36" t="s">
        <v>379</v>
      </c>
      <c r="T395" s="36" t="s">
        <v>380</v>
      </c>
      <c r="U395" s="36" t="s">
        <v>381</v>
      </c>
      <c r="V395" s="40">
        <v>45870</v>
      </c>
      <c r="W395" s="40">
        <v>45889</v>
      </c>
      <c r="X395" s="36">
        <v>0</v>
      </c>
      <c r="Y395" s="36"/>
      <c r="Z395" s="36">
        <v>1</v>
      </c>
      <c r="AA395" s="36">
        <v>1500000</v>
      </c>
      <c r="AB395" s="40">
        <v>46143</v>
      </c>
      <c r="AC395" s="36" t="s">
        <v>2196</v>
      </c>
      <c r="AD395" s="36" t="str">
        <f>VLOOKUP(D395,Oficial!A:C,3,0)</f>
        <v>Arrastre</v>
      </c>
    </row>
    <row r="396" spans="1:30" x14ac:dyDescent="0.25">
      <c r="A396" s="36" t="s">
        <v>27</v>
      </c>
      <c r="B396" s="36" t="s">
        <v>389</v>
      </c>
      <c r="C396" s="36" t="s">
        <v>28</v>
      </c>
      <c r="D396" s="36" t="s">
        <v>389</v>
      </c>
      <c r="E396" s="36" t="s">
        <v>30</v>
      </c>
      <c r="F396" s="36" t="s">
        <v>31</v>
      </c>
      <c r="G396" s="37" t="s">
        <v>314</v>
      </c>
      <c r="H396" s="36" t="s">
        <v>390</v>
      </c>
      <c r="I396" s="36" t="s">
        <v>391</v>
      </c>
      <c r="J396" s="36">
        <v>1</v>
      </c>
      <c r="K396" s="36" t="s">
        <v>326</v>
      </c>
      <c r="L396" s="36">
        <v>4</v>
      </c>
      <c r="M396" s="36">
        <v>1</v>
      </c>
      <c r="N396" s="38">
        <v>18000000</v>
      </c>
      <c r="O396" s="43">
        <v>1500000</v>
      </c>
      <c r="P396" s="36">
        <v>12</v>
      </c>
      <c r="Q396" s="36" t="s">
        <v>318</v>
      </c>
      <c r="R396" s="36" t="s">
        <v>378</v>
      </c>
      <c r="S396" s="36" t="s">
        <v>379</v>
      </c>
      <c r="T396" s="36" t="s">
        <v>380</v>
      </c>
      <c r="U396" s="36" t="s">
        <v>381</v>
      </c>
      <c r="V396" s="40">
        <v>45870</v>
      </c>
      <c r="W396" s="40">
        <v>45889</v>
      </c>
      <c r="X396" s="36">
        <v>0</v>
      </c>
      <c r="Y396" s="36"/>
      <c r="Z396" s="36">
        <v>1</v>
      </c>
      <c r="AA396" s="36">
        <v>1500000</v>
      </c>
      <c r="AB396" s="40">
        <v>46327</v>
      </c>
      <c r="AC396" s="36" t="s">
        <v>2196</v>
      </c>
      <c r="AD396" s="36" t="str">
        <f>VLOOKUP(D396,Oficial!A:C,3,0)</f>
        <v>Arrastre</v>
      </c>
    </row>
    <row r="397" spans="1:30" x14ac:dyDescent="0.25">
      <c r="A397" s="36" t="s">
        <v>27</v>
      </c>
      <c r="B397" s="36" t="s">
        <v>389</v>
      </c>
      <c r="C397" s="36" t="s">
        <v>28</v>
      </c>
      <c r="D397" s="36" t="s">
        <v>389</v>
      </c>
      <c r="E397" s="36" t="s">
        <v>30</v>
      </c>
      <c r="F397" s="36" t="s">
        <v>31</v>
      </c>
      <c r="G397" s="37" t="s">
        <v>314</v>
      </c>
      <c r="H397" s="36" t="s">
        <v>390</v>
      </c>
      <c r="I397" s="36" t="s">
        <v>391</v>
      </c>
      <c r="J397" s="36">
        <v>1</v>
      </c>
      <c r="K397" s="36" t="s">
        <v>326</v>
      </c>
      <c r="L397" s="36">
        <v>4</v>
      </c>
      <c r="M397" s="36">
        <v>1</v>
      </c>
      <c r="N397" s="38">
        <v>18000000</v>
      </c>
      <c r="O397" s="43">
        <v>1500000</v>
      </c>
      <c r="P397" s="36">
        <v>12</v>
      </c>
      <c r="Q397" s="36" t="s">
        <v>318</v>
      </c>
      <c r="R397" s="36" t="s">
        <v>378</v>
      </c>
      <c r="S397" s="36" t="s">
        <v>379</v>
      </c>
      <c r="T397" s="36" t="s">
        <v>380</v>
      </c>
      <c r="U397" s="36" t="s">
        <v>381</v>
      </c>
      <c r="V397" s="40">
        <v>45870</v>
      </c>
      <c r="W397" s="40">
        <v>45889</v>
      </c>
      <c r="X397" s="36">
        <v>0</v>
      </c>
      <c r="Y397" s="36"/>
      <c r="Z397" s="36">
        <v>1</v>
      </c>
      <c r="AA397" s="36">
        <v>1500000</v>
      </c>
      <c r="AB397" s="40">
        <v>46235</v>
      </c>
      <c r="AC397" s="36" t="s">
        <v>2196</v>
      </c>
      <c r="AD397" s="36" t="str">
        <f>VLOOKUP(D397,Oficial!A:C,3,0)</f>
        <v>Arrastre</v>
      </c>
    </row>
    <row r="398" spans="1:30" x14ac:dyDescent="0.25">
      <c r="A398" s="36" t="s">
        <v>27</v>
      </c>
      <c r="B398" s="36" t="s">
        <v>389</v>
      </c>
      <c r="C398" s="36" t="s">
        <v>28</v>
      </c>
      <c r="D398" s="36" t="s">
        <v>389</v>
      </c>
      <c r="E398" s="36" t="s">
        <v>30</v>
      </c>
      <c r="F398" s="36" t="s">
        <v>31</v>
      </c>
      <c r="G398" s="37" t="s">
        <v>314</v>
      </c>
      <c r="H398" s="36" t="s">
        <v>390</v>
      </c>
      <c r="I398" s="36" t="s">
        <v>391</v>
      </c>
      <c r="J398" s="36">
        <v>1</v>
      </c>
      <c r="K398" s="36" t="s">
        <v>326</v>
      </c>
      <c r="L398" s="36">
        <v>4</v>
      </c>
      <c r="M398" s="36">
        <v>1</v>
      </c>
      <c r="N398" s="38">
        <v>18000000</v>
      </c>
      <c r="O398" s="43">
        <v>1500000</v>
      </c>
      <c r="P398" s="36">
        <v>12</v>
      </c>
      <c r="Q398" s="36" t="s">
        <v>318</v>
      </c>
      <c r="R398" s="36" t="s">
        <v>378</v>
      </c>
      <c r="S398" s="36" t="s">
        <v>379</v>
      </c>
      <c r="T398" s="36" t="s">
        <v>380</v>
      </c>
      <c r="U398" s="36" t="s">
        <v>381</v>
      </c>
      <c r="V398" s="40">
        <v>45870</v>
      </c>
      <c r="W398" s="40">
        <v>45889</v>
      </c>
      <c r="X398" s="36">
        <v>0</v>
      </c>
      <c r="Y398" s="36"/>
      <c r="Z398" s="36">
        <v>1</v>
      </c>
      <c r="AA398" s="36">
        <v>1500000</v>
      </c>
      <c r="AB398" s="40">
        <v>46174</v>
      </c>
      <c r="AC398" s="36" t="s">
        <v>2196</v>
      </c>
      <c r="AD398" s="36" t="str">
        <f>VLOOKUP(D398,Oficial!A:C,3,0)</f>
        <v>Arrastre</v>
      </c>
    </row>
    <row r="399" spans="1:30" x14ac:dyDescent="0.25">
      <c r="A399" s="36" t="s">
        <v>27</v>
      </c>
      <c r="B399" s="36" t="s">
        <v>389</v>
      </c>
      <c r="C399" s="36" t="s">
        <v>28</v>
      </c>
      <c r="D399" s="36" t="s">
        <v>389</v>
      </c>
      <c r="E399" s="36" t="s">
        <v>30</v>
      </c>
      <c r="F399" s="36" t="s">
        <v>31</v>
      </c>
      <c r="G399" s="37" t="s">
        <v>314</v>
      </c>
      <c r="H399" s="36" t="s">
        <v>390</v>
      </c>
      <c r="I399" s="36" t="s">
        <v>391</v>
      </c>
      <c r="J399" s="36">
        <v>1</v>
      </c>
      <c r="K399" s="36" t="s">
        <v>326</v>
      </c>
      <c r="L399" s="36">
        <v>4</v>
      </c>
      <c r="M399" s="36">
        <v>1</v>
      </c>
      <c r="N399" s="38">
        <v>18000000</v>
      </c>
      <c r="O399" s="43">
        <v>1500000</v>
      </c>
      <c r="P399" s="36">
        <v>12</v>
      </c>
      <c r="Q399" s="36" t="s">
        <v>318</v>
      </c>
      <c r="R399" s="36" t="s">
        <v>378</v>
      </c>
      <c r="S399" s="36" t="s">
        <v>379</v>
      </c>
      <c r="T399" s="36" t="s">
        <v>380</v>
      </c>
      <c r="U399" s="36" t="s">
        <v>381</v>
      </c>
      <c r="V399" s="40">
        <v>45870</v>
      </c>
      <c r="W399" s="40">
        <v>45889</v>
      </c>
      <c r="X399" s="36">
        <v>0</v>
      </c>
      <c r="Y399" s="36"/>
      <c r="Z399" s="36">
        <v>1</v>
      </c>
      <c r="AA399" s="36">
        <v>1500000</v>
      </c>
      <c r="AB399" s="40">
        <v>46054</v>
      </c>
      <c r="AC399" s="36" t="s">
        <v>2196</v>
      </c>
      <c r="AD399" s="36" t="str">
        <f>VLOOKUP(D399,Oficial!A:C,3,0)</f>
        <v>Arrastre</v>
      </c>
    </row>
    <row r="400" spans="1:30" x14ac:dyDescent="0.25">
      <c r="A400" s="36" t="s">
        <v>27</v>
      </c>
      <c r="B400" s="36" t="s">
        <v>389</v>
      </c>
      <c r="C400" s="36" t="s">
        <v>28</v>
      </c>
      <c r="D400" s="36" t="s">
        <v>389</v>
      </c>
      <c r="E400" s="36" t="s">
        <v>30</v>
      </c>
      <c r="F400" s="36" t="s">
        <v>31</v>
      </c>
      <c r="G400" s="37" t="s">
        <v>314</v>
      </c>
      <c r="H400" s="36" t="s">
        <v>390</v>
      </c>
      <c r="I400" s="36" t="s">
        <v>391</v>
      </c>
      <c r="J400" s="36">
        <v>1</v>
      </c>
      <c r="K400" s="36" t="s">
        <v>326</v>
      </c>
      <c r="L400" s="36">
        <v>4</v>
      </c>
      <c r="M400" s="36">
        <v>1</v>
      </c>
      <c r="N400" s="38">
        <v>18000000</v>
      </c>
      <c r="O400" s="43">
        <v>1500000</v>
      </c>
      <c r="P400" s="36">
        <v>12</v>
      </c>
      <c r="Q400" s="36" t="s">
        <v>318</v>
      </c>
      <c r="R400" s="36" t="s">
        <v>378</v>
      </c>
      <c r="S400" s="36" t="s">
        <v>379</v>
      </c>
      <c r="T400" s="36" t="s">
        <v>380</v>
      </c>
      <c r="U400" s="36" t="s">
        <v>381</v>
      </c>
      <c r="V400" s="40">
        <v>45870</v>
      </c>
      <c r="W400" s="40">
        <v>45889</v>
      </c>
      <c r="X400" s="36">
        <v>0</v>
      </c>
      <c r="Y400" s="36"/>
      <c r="Z400" s="36">
        <v>1</v>
      </c>
      <c r="AA400" s="36">
        <v>1500000</v>
      </c>
      <c r="AB400" s="40">
        <v>46113</v>
      </c>
      <c r="AC400" s="36" t="s">
        <v>2196</v>
      </c>
      <c r="AD400" s="36" t="str">
        <f>VLOOKUP(D400,Oficial!A:C,3,0)</f>
        <v>Arrastre</v>
      </c>
    </row>
    <row r="401" spans="1:30" x14ac:dyDescent="0.25">
      <c r="A401" s="36" t="s">
        <v>27</v>
      </c>
      <c r="B401" s="36" t="s">
        <v>389</v>
      </c>
      <c r="C401" s="36" t="s">
        <v>28</v>
      </c>
      <c r="D401" s="36" t="s">
        <v>389</v>
      </c>
      <c r="E401" s="36" t="s">
        <v>30</v>
      </c>
      <c r="F401" s="36" t="s">
        <v>31</v>
      </c>
      <c r="G401" s="37" t="s">
        <v>314</v>
      </c>
      <c r="H401" s="36" t="s">
        <v>390</v>
      </c>
      <c r="I401" s="36" t="s">
        <v>391</v>
      </c>
      <c r="J401" s="36">
        <v>1</v>
      </c>
      <c r="K401" s="36" t="s">
        <v>326</v>
      </c>
      <c r="L401" s="36">
        <v>4</v>
      </c>
      <c r="M401" s="36">
        <v>1</v>
      </c>
      <c r="N401" s="38">
        <v>18000000</v>
      </c>
      <c r="O401" s="43">
        <v>1500000</v>
      </c>
      <c r="P401" s="36">
        <v>12</v>
      </c>
      <c r="Q401" s="36" t="s">
        <v>318</v>
      </c>
      <c r="R401" s="36" t="s">
        <v>378</v>
      </c>
      <c r="S401" s="36" t="s">
        <v>379</v>
      </c>
      <c r="T401" s="36" t="s">
        <v>380</v>
      </c>
      <c r="U401" s="36" t="s">
        <v>381</v>
      </c>
      <c r="V401" s="40">
        <v>45870</v>
      </c>
      <c r="W401" s="40">
        <v>45889</v>
      </c>
      <c r="X401" s="36">
        <v>0</v>
      </c>
      <c r="Y401" s="36"/>
      <c r="Z401" s="36">
        <v>1</v>
      </c>
      <c r="AA401" s="36">
        <v>1500000</v>
      </c>
      <c r="AB401" s="40">
        <v>46357</v>
      </c>
      <c r="AC401" s="36" t="s">
        <v>2196</v>
      </c>
      <c r="AD401" s="36" t="str">
        <f>VLOOKUP(D401,Oficial!A:C,3,0)</f>
        <v>Arrastre</v>
      </c>
    </row>
    <row r="402" spans="1:30" x14ac:dyDescent="0.25">
      <c r="A402" s="36" t="s">
        <v>27</v>
      </c>
      <c r="B402" s="36" t="s">
        <v>389</v>
      </c>
      <c r="C402" s="36" t="s">
        <v>28</v>
      </c>
      <c r="D402" s="36" t="s">
        <v>389</v>
      </c>
      <c r="E402" s="36" t="s">
        <v>30</v>
      </c>
      <c r="F402" s="36" t="s">
        <v>31</v>
      </c>
      <c r="G402" s="37" t="s">
        <v>314</v>
      </c>
      <c r="H402" s="36" t="s">
        <v>390</v>
      </c>
      <c r="I402" s="36" t="s">
        <v>391</v>
      </c>
      <c r="J402" s="36">
        <v>1</v>
      </c>
      <c r="K402" s="36" t="s">
        <v>326</v>
      </c>
      <c r="L402" s="36">
        <v>4</v>
      </c>
      <c r="M402" s="36">
        <v>1</v>
      </c>
      <c r="N402" s="38">
        <v>18000000</v>
      </c>
      <c r="O402" s="43">
        <v>1500000</v>
      </c>
      <c r="P402" s="36">
        <v>12</v>
      </c>
      <c r="Q402" s="36" t="s">
        <v>318</v>
      </c>
      <c r="R402" s="36" t="s">
        <v>378</v>
      </c>
      <c r="S402" s="36" t="s">
        <v>379</v>
      </c>
      <c r="T402" s="36" t="s">
        <v>380</v>
      </c>
      <c r="U402" s="36" t="s">
        <v>381</v>
      </c>
      <c r="V402" s="40">
        <v>45870</v>
      </c>
      <c r="W402" s="40">
        <v>45889</v>
      </c>
      <c r="X402" s="36">
        <v>0</v>
      </c>
      <c r="Y402" s="36"/>
      <c r="Z402" s="36">
        <v>1</v>
      </c>
      <c r="AA402" s="36">
        <v>1500000</v>
      </c>
      <c r="AB402" s="40">
        <v>46266</v>
      </c>
      <c r="AC402" s="36" t="s">
        <v>2196</v>
      </c>
      <c r="AD402" s="36" t="str">
        <f>VLOOKUP(D402,Oficial!A:C,3,0)</f>
        <v>Arrastre</v>
      </c>
    </row>
    <row r="403" spans="1:30" x14ac:dyDescent="0.25">
      <c r="A403" s="36" t="s">
        <v>27</v>
      </c>
      <c r="B403" s="36" t="s">
        <v>389</v>
      </c>
      <c r="C403" s="36" t="s">
        <v>28</v>
      </c>
      <c r="D403" s="36" t="s">
        <v>389</v>
      </c>
      <c r="E403" s="36" t="s">
        <v>30</v>
      </c>
      <c r="F403" s="36" t="s">
        <v>31</v>
      </c>
      <c r="G403" s="37" t="s">
        <v>314</v>
      </c>
      <c r="H403" s="36" t="s">
        <v>390</v>
      </c>
      <c r="I403" s="36" t="s">
        <v>391</v>
      </c>
      <c r="J403" s="36">
        <v>1</v>
      </c>
      <c r="K403" s="36" t="s">
        <v>326</v>
      </c>
      <c r="L403" s="36">
        <v>4</v>
      </c>
      <c r="M403" s="36">
        <v>1</v>
      </c>
      <c r="N403" s="38">
        <v>18000000</v>
      </c>
      <c r="O403" s="43">
        <v>1500000</v>
      </c>
      <c r="P403" s="36">
        <v>12</v>
      </c>
      <c r="Q403" s="36" t="s">
        <v>318</v>
      </c>
      <c r="R403" s="36" t="s">
        <v>378</v>
      </c>
      <c r="S403" s="36" t="s">
        <v>379</v>
      </c>
      <c r="T403" s="36" t="s">
        <v>380</v>
      </c>
      <c r="U403" s="36" t="s">
        <v>381</v>
      </c>
      <c r="V403" s="40">
        <v>45870</v>
      </c>
      <c r="W403" s="40">
        <v>45889</v>
      </c>
      <c r="X403" s="36">
        <v>0</v>
      </c>
      <c r="Y403" s="36"/>
      <c r="Z403" s="36">
        <v>1</v>
      </c>
      <c r="AA403" s="36">
        <v>1500000</v>
      </c>
      <c r="AB403" s="40">
        <v>46296</v>
      </c>
      <c r="AC403" s="36" t="s">
        <v>2196</v>
      </c>
      <c r="AD403" s="36" t="str">
        <f>VLOOKUP(D403,Oficial!A:C,3,0)</f>
        <v>Arrastre</v>
      </c>
    </row>
    <row r="404" spans="1:30" x14ac:dyDescent="0.25">
      <c r="A404" s="36" t="s">
        <v>27</v>
      </c>
      <c r="B404" s="36" t="s">
        <v>392</v>
      </c>
      <c r="C404" s="36" t="s">
        <v>28</v>
      </c>
      <c r="D404" s="36" t="s">
        <v>392</v>
      </c>
      <c r="E404" s="36" t="s">
        <v>30</v>
      </c>
      <c r="F404" s="36" t="s">
        <v>31</v>
      </c>
      <c r="G404" s="37" t="s">
        <v>314</v>
      </c>
      <c r="H404" s="36" t="s">
        <v>393</v>
      </c>
      <c r="I404" s="36" t="s">
        <v>394</v>
      </c>
      <c r="J404" s="36">
        <v>1</v>
      </c>
      <c r="K404" s="36" t="s">
        <v>326</v>
      </c>
      <c r="L404" s="36">
        <v>4</v>
      </c>
      <c r="M404" s="36">
        <v>1</v>
      </c>
      <c r="N404" s="38">
        <v>19000000</v>
      </c>
      <c r="O404" s="44">
        <v>1583333</v>
      </c>
      <c r="P404" s="36">
        <v>12</v>
      </c>
      <c r="Q404" s="36" t="s">
        <v>318</v>
      </c>
      <c r="R404" s="36" t="s">
        <v>395</v>
      </c>
      <c r="S404" s="36" t="s">
        <v>396</v>
      </c>
      <c r="T404" s="36" t="s">
        <v>397</v>
      </c>
      <c r="U404" s="36" t="s">
        <v>398</v>
      </c>
      <c r="V404" s="40">
        <v>45870</v>
      </c>
      <c r="W404" s="40">
        <v>45889</v>
      </c>
      <c r="X404" s="36">
        <v>0</v>
      </c>
      <c r="Y404" s="36"/>
      <c r="Z404" s="36">
        <v>1</v>
      </c>
      <c r="AA404" s="36">
        <v>1583333</v>
      </c>
      <c r="AB404" s="40">
        <v>46143</v>
      </c>
      <c r="AC404" s="36" t="s">
        <v>2196</v>
      </c>
      <c r="AD404" s="36" t="str">
        <f>VLOOKUP(D404,Oficial!A:C,3,0)</f>
        <v>Arrastre</v>
      </c>
    </row>
    <row r="405" spans="1:30" x14ac:dyDescent="0.25">
      <c r="A405" s="36" t="s">
        <v>27</v>
      </c>
      <c r="B405" s="36" t="s">
        <v>392</v>
      </c>
      <c r="C405" s="36" t="s">
        <v>28</v>
      </c>
      <c r="D405" s="36" t="s">
        <v>392</v>
      </c>
      <c r="E405" s="36" t="s">
        <v>30</v>
      </c>
      <c r="F405" s="36" t="s">
        <v>31</v>
      </c>
      <c r="G405" s="37" t="s">
        <v>314</v>
      </c>
      <c r="H405" s="36" t="s">
        <v>393</v>
      </c>
      <c r="I405" s="36" t="s">
        <v>394</v>
      </c>
      <c r="J405" s="36">
        <v>1</v>
      </c>
      <c r="K405" s="36" t="s">
        <v>326</v>
      </c>
      <c r="L405" s="36">
        <v>4</v>
      </c>
      <c r="M405" s="36">
        <v>1</v>
      </c>
      <c r="N405" s="38">
        <v>19000000</v>
      </c>
      <c r="O405" s="44">
        <v>1583333</v>
      </c>
      <c r="P405" s="36">
        <v>12</v>
      </c>
      <c r="Q405" s="36" t="s">
        <v>318</v>
      </c>
      <c r="R405" s="36" t="s">
        <v>395</v>
      </c>
      <c r="S405" s="36" t="s">
        <v>396</v>
      </c>
      <c r="T405" s="36" t="s">
        <v>397</v>
      </c>
      <c r="U405" s="36" t="s">
        <v>398</v>
      </c>
      <c r="V405" s="40">
        <v>45870</v>
      </c>
      <c r="W405" s="40">
        <v>45889</v>
      </c>
      <c r="X405" s="36">
        <v>0</v>
      </c>
      <c r="Y405" s="36"/>
      <c r="Z405" s="36">
        <v>1</v>
      </c>
      <c r="AA405" s="36">
        <v>1583333</v>
      </c>
      <c r="AB405" s="40">
        <v>46054</v>
      </c>
      <c r="AC405" s="36" t="s">
        <v>2196</v>
      </c>
      <c r="AD405" s="36" t="str">
        <f>VLOOKUP(D405,Oficial!A:C,3,0)</f>
        <v>Arrastre</v>
      </c>
    </row>
    <row r="406" spans="1:30" x14ac:dyDescent="0.25">
      <c r="A406" s="36" t="s">
        <v>27</v>
      </c>
      <c r="B406" s="36" t="s">
        <v>392</v>
      </c>
      <c r="C406" s="36" t="s">
        <v>28</v>
      </c>
      <c r="D406" s="36" t="s">
        <v>392</v>
      </c>
      <c r="E406" s="36" t="s">
        <v>30</v>
      </c>
      <c r="F406" s="36" t="s">
        <v>31</v>
      </c>
      <c r="G406" s="37" t="s">
        <v>314</v>
      </c>
      <c r="H406" s="36" t="s">
        <v>393</v>
      </c>
      <c r="I406" s="36" t="s">
        <v>394</v>
      </c>
      <c r="J406" s="36">
        <v>1</v>
      </c>
      <c r="K406" s="36" t="s">
        <v>326</v>
      </c>
      <c r="L406" s="36">
        <v>4</v>
      </c>
      <c r="M406" s="36">
        <v>1</v>
      </c>
      <c r="N406" s="38">
        <v>19000000</v>
      </c>
      <c r="O406" s="44">
        <v>1583333</v>
      </c>
      <c r="P406" s="36">
        <v>12</v>
      </c>
      <c r="Q406" s="36" t="s">
        <v>318</v>
      </c>
      <c r="R406" s="36" t="s">
        <v>395</v>
      </c>
      <c r="S406" s="36" t="s">
        <v>396</v>
      </c>
      <c r="T406" s="36" t="s">
        <v>397</v>
      </c>
      <c r="U406" s="36" t="s">
        <v>398</v>
      </c>
      <c r="V406" s="40">
        <v>45870</v>
      </c>
      <c r="W406" s="40">
        <v>45889</v>
      </c>
      <c r="X406" s="36">
        <v>0</v>
      </c>
      <c r="Y406" s="36"/>
      <c r="Z406" s="36">
        <v>1</v>
      </c>
      <c r="AA406" s="36">
        <v>1583333</v>
      </c>
      <c r="AB406" s="40">
        <v>46357</v>
      </c>
      <c r="AC406" s="36" t="s">
        <v>2196</v>
      </c>
      <c r="AD406" s="36" t="str">
        <f>VLOOKUP(D406,Oficial!A:C,3,0)</f>
        <v>Arrastre</v>
      </c>
    </row>
    <row r="407" spans="1:30" x14ac:dyDescent="0.25">
      <c r="A407" s="36" t="s">
        <v>27</v>
      </c>
      <c r="B407" s="36" t="s">
        <v>392</v>
      </c>
      <c r="C407" s="36" t="s">
        <v>28</v>
      </c>
      <c r="D407" s="36" t="s">
        <v>392</v>
      </c>
      <c r="E407" s="36" t="s">
        <v>30</v>
      </c>
      <c r="F407" s="36" t="s">
        <v>31</v>
      </c>
      <c r="G407" s="37" t="s">
        <v>314</v>
      </c>
      <c r="H407" s="36" t="s">
        <v>393</v>
      </c>
      <c r="I407" s="36" t="s">
        <v>394</v>
      </c>
      <c r="J407" s="36">
        <v>1</v>
      </c>
      <c r="K407" s="36" t="s">
        <v>326</v>
      </c>
      <c r="L407" s="36">
        <v>4</v>
      </c>
      <c r="M407" s="36">
        <v>1</v>
      </c>
      <c r="N407" s="38">
        <v>19000000</v>
      </c>
      <c r="O407" s="44">
        <v>1583333</v>
      </c>
      <c r="P407" s="36">
        <v>12</v>
      </c>
      <c r="Q407" s="36" t="s">
        <v>318</v>
      </c>
      <c r="R407" s="36" t="s">
        <v>395</v>
      </c>
      <c r="S407" s="36" t="s">
        <v>396</v>
      </c>
      <c r="T407" s="36" t="s">
        <v>397</v>
      </c>
      <c r="U407" s="36" t="s">
        <v>398</v>
      </c>
      <c r="V407" s="40">
        <v>45870</v>
      </c>
      <c r="W407" s="40">
        <v>45889</v>
      </c>
      <c r="X407" s="36">
        <v>0</v>
      </c>
      <c r="Y407" s="36"/>
      <c r="Z407" s="36">
        <v>1</v>
      </c>
      <c r="AA407" s="36">
        <v>1583333</v>
      </c>
      <c r="AB407" s="40">
        <v>46113</v>
      </c>
      <c r="AC407" s="36" t="s">
        <v>2196</v>
      </c>
      <c r="AD407" s="36" t="str">
        <f>VLOOKUP(D407,Oficial!A:C,3,0)</f>
        <v>Arrastre</v>
      </c>
    </row>
    <row r="408" spans="1:30" x14ac:dyDescent="0.25">
      <c r="A408" s="36" t="s">
        <v>27</v>
      </c>
      <c r="B408" s="36" t="s">
        <v>392</v>
      </c>
      <c r="C408" s="36" t="s">
        <v>28</v>
      </c>
      <c r="D408" s="36" t="s">
        <v>392</v>
      </c>
      <c r="E408" s="36" t="s">
        <v>30</v>
      </c>
      <c r="F408" s="36" t="s">
        <v>31</v>
      </c>
      <c r="G408" s="37" t="s">
        <v>314</v>
      </c>
      <c r="H408" s="36" t="s">
        <v>393</v>
      </c>
      <c r="I408" s="36" t="s">
        <v>394</v>
      </c>
      <c r="J408" s="36">
        <v>1</v>
      </c>
      <c r="K408" s="36" t="s">
        <v>326</v>
      </c>
      <c r="L408" s="36">
        <v>4</v>
      </c>
      <c r="M408" s="36">
        <v>1</v>
      </c>
      <c r="N408" s="38">
        <v>19000000</v>
      </c>
      <c r="O408" s="44">
        <v>1583333</v>
      </c>
      <c r="P408" s="36">
        <v>12</v>
      </c>
      <c r="Q408" s="36" t="s">
        <v>318</v>
      </c>
      <c r="R408" s="36" t="s">
        <v>395</v>
      </c>
      <c r="S408" s="36" t="s">
        <v>396</v>
      </c>
      <c r="T408" s="36" t="s">
        <v>397</v>
      </c>
      <c r="U408" s="36" t="s">
        <v>398</v>
      </c>
      <c r="V408" s="40">
        <v>45870</v>
      </c>
      <c r="W408" s="40">
        <v>45889</v>
      </c>
      <c r="X408" s="36">
        <v>0</v>
      </c>
      <c r="Y408" s="36"/>
      <c r="Z408" s="36">
        <v>1</v>
      </c>
      <c r="AA408" s="36">
        <v>1583333</v>
      </c>
      <c r="AB408" s="40">
        <v>46235</v>
      </c>
      <c r="AC408" s="36" t="s">
        <v>2196</v>
      </c>
      <c r="AD408" s="36" t="str">
        <f>VLOOKUP(D408,Oficial!A:C,3,0)</f>
        <v>Arrastre</v>
      </c>
    </row>
    <row r="409" spans="1:30" x14ac:dyDescent="0.25">
      <c r="A409" s="36" t="s">
        <v>27</v>
      </c>
      <c r="B409" s="36" t="s">
        <v>392</v>
      </c>
      <c r="C409" s="36" t="s">
        <v>28</v>
      </c>
      <c r="D409" s="36" t="s">
        <v>392</v>
      </c>
      <c r="E409" s="36" t="s">
        <v>30</v>
      </c>
      <c r="F409" s="36" t="s">
        <v>31</v>
      </c>
      <c r="G409" s="37" t="s">
        <v>314</v>
      </c>
      <c r="H409" s="36" t="s">
        <v>393</v>
      </c>
      <c r="I409" s="36" t="s">
        <v>394</v>
      </c>
      <c r="J409" s="36">
        <v>1</v>
      </c>
      <c r="K409" s="36" t="s">
        <v>326</v>
      </c>
      <c r="L409" s="36">
        <v>4</v>
      </c>
      <c r="M409" s="36">
        <v>1</v>
      </c>
      <c r="N409" s="38">
        <v>19000000</v>
      </c>
      <c r="O409" s="44">
        <v>1583333</v>
      </c>
      <c r="P409" s="36">
        <v>12</v>
      </c>
      <c r="Q409" s="36" t="s">
        <v>318</v>
      </c>
      <c r="R409" s="36" t="s">
        <v>395</v>
      </c>
      <c r="S409" s="36" t="s">
        <v>396</v>
      </c>
      <c r="T409" s="36" t="s">
        <v>397</v>
      </c>
      <c r="U409" s="36" t="s">
        <v>398</v>
      </c>
      <c r="V409" s="40">
        <v>45870</v>
      </c>
      <c r="W409" s="40">
        <v>45889</v>
      </c>
      <c r="X409" s="36">
        <v>0</v>
      </c>
      <c r="Y409" s="36"/>
      <c r="Z409" s="36">
        <v>1</v>
      </c>
      <c r="AA409" s="36">
        <v>1583333</v>
      </c>
      <c r="AB409" s="40">
        <v>46296</v>
      </c>
      <c r="AC409" s="36" t="s">
        <v>2196</v>
      </c>
      <c r="AD409" s="36" t="str">
        <f>VLOOKUP(D409,Oficial!A:C,3,0)</f>
        <v>Arrastre</v>
      </c>
    </row>
    <row r="410" spans="1:30" x14ac:dyDescent="0.25">
      <c r="A410" s="36" t="s">
        <v>27</v>
      </c>
      <c r="B410" s="36" t="s">
        <v>392</v>
      </c>
      <c r="C410" s="36" t="s">
        <v>28</v>
      </c>
      <c r="D410" s="36" t="s">
        <v>392</v>
      </c>
      <c r="E410" s="36" t="s">
        <v>30</v>
      </c>
      <c r="F410" s="36" t="s">
        <v>31</v>
      </c>
      <c r="G410" s="37" t="s">
        <v>314</v>
      </c>
      <c r="H410" s="36" t="s">
        <v>393</v>
      </c>
      <c r="I410" s="36" t="s">
        <v>394</v>
      </c>
      <c r="J410" s="36">
        <v>1</v>
      </c>
      <c r="K410" s="36" t="s">
        <v>326</v>
      </c>
      <c r="L410" s="36">
        <v>4</v>
      </c>
      <c r="M410" s="36">
        <v>1</v>
      </c>
      <c r="N410" s="38">
        <v>19000000</v>
      </c>
      <c r="O410" s="44">
        <v>1583333</v>
      </c>
      <c r="P410" s="36">
        <v>12</v>
      </c>
      <c r="Q410" s="36" t="s">
        <v>318</v>
      </c>
      <c r="R410" s="36" t="s">
        <v>395</v>
      </c>
      <c r="S410" s="36" t="s">
        <v>396</v>
      </c>
      <c r="T410" s="36" t="s">
        <v>397</v>
      </c>
      <c r="U410" s="36" t="s">
        <v>398</v>
      </c>
      <c r="V410" s="40">
        <v>45870</v>
      </c>
      <c r="W410" s="40">
        <v>45889</v>
      </c>
      <c r="X410" s="36">
        <v>0</v>
      </c>
      <c r="Y410" s="36"/>
      <c r="Z410" s="36">
        <v>1</v>
      </c>
      <c r="AA410" s="36">
        <v>1583333</v>
      </c>
      <c r="AB410" s="40">
        <v>46174</v>
      </c>
      <c r="AC410" s="36" t="s">
        <v>2196</v>
      </c>
      <c r="AD410" s="36" t="str">
        <f>VLOOKUP(D410,Oficial!A:C,3,0)</f>
        <v>Arrastre</v>
      </c>
    </row>
    <row r="411" spans="1:30" x14ac:dyDescent="0.25">
      <c r="A411" s="36" t="s">
        <v>27</v>
      </c>
      <c r="B411" s="36" t="s">
        <v>392</v>
      </c>
      <c r="C411" s="36" t="s">
        <v>28</v>
      </c>
      <c r="D411" s="36" t="s">
        <v>392</v>
      </c>
      <c r="E411" s="36" t="s">
        <v>30</v>
      </c>
      <c r="F411" s="36" t="s">
        <v>31</v>
      </c>
      <c r="G411" s="37" t="s">
        <v>314</v>
      </c>
      <c r="H411" s="36" t="s">
        <v>393</v>
      </c>
      <c r="I411" s="36" t="s">
        <v>394</v>
      </c>
      <c r="J411" s="36">
        <v>1</v>
      </c>
      <c r="K411" s="36" t="s">
        <v>326</v>
      </c>
      <c r="L411" s="36">
        <v>4</v>
      </c>
      <c r="M411" s="36">
        <v>1</v>
      </c>
      <c r="N411" s="38">
        <v>19000000</v>
      </c>
      <c r="O411" s="44">
        <v>1583333</v>
      </c>
      <c r="P411" s="36">
        <v>12</v>
      </c>
      <c r="Q411" s="36" t="s">
        <v>318</v>
      </c>
      <c r="R411" s="36" t="s">
        <v>395</v>
      </c>
      <c r="S411" s="36" t="s">
        <v>396</v>
      </c>
      <c r="T411" s="36" t="s">
        <v>397</v>
      </c>
      <c r="U411" s="36" t="s">
        <v>398</v>
      </c>
      <c r="V411" s="40">
        <v>45870</v>
      </c>
      <c r="W411" s="40">
        <v>45889</v>
      </c>
      <c r="X411" s="36">
        <v>0</v>
      </c>
      <c r="Y411" s="36"/>
      <c r="Z411" s="36">
        <v>1</v>
      </c>
      <c r="AA411" s="36">
        <v>1583333</v>
      </c>
      <c r="AB411" s="40">
        <v>46327</v>
      </c>
      <c r="AC411" s="36" t="s">
        <v>2196</v>
      </c>
      <c r="AD411" s="36" t="str">
        <f>VLOOKUP(D411,Oficial!A:C,3,0)</f>
        <v>Arrastre</v>
      </c>
    </row>
    <row r="412" spans="1:30" x14ac:dyDescent="0.25">
      <c r="A412" s="36" t="s">
        <v>27</v>
      </c>
      <c r="B412" s="36" t="s">
        <v>392</v>
      </c>
      <c r="C412" s="36" t="s">
        <v>28</v>
      </c>
      <c r="D412" s="36" t="s">
        <v>392</v>
      </c>
      <c r="E412" s="36" t="s">
        <v>30</v>
      </c>
      <c r="F412" s="36" t="s">
        <v>31</v>
      </c>
      <c r="G412" s="37" t="s">
        <v>314</v>
      </c>
      <c r="H412" s="36" t="s">
        <v>393</v>
      </c>
      <c r="I412" s="36" t="s">
        <v>394</v>
      </c>
      <c r="J412" s="36">
        <v>1</v>
      </c>
      <c r="K412" s="36" t="s">
        <v>326</v>
      </c>
      <c r="L412" s="36">
        <v>4</v>
      </c>
      <c r="M412" s="36">
        <v>1</v>
      </c>
      <c r="N412" s="38">
        <v>19000000</v>
      </c>
      <c r="O412" s="44">
        <v>1583333</v>
      </c>
      <c r="P412" s="36">
        <v>12</v>
      </c>
      <c r="Q412" s="36" t="s">
        <v>318</v>
      </c>
      <c r="R412" s="36" t="s">
        <v>395</v>
      </c>
      <c r="S412" s="36" t="s">
        <v>396</v>
      </c>
      <c r="T412" s="36" t="s">
        <v>397</v>
      </c>
      <c r="U412" s="36" t="s">
        <v>398</v>
      </c>
      <c r="V412" s="40">
        <v>45870</v>
      </c>
      <c r="W412" s="40">
        <v>45889</v>
      </c>
      <c r="X412" s="36">
        <v>0</v>
      </c>
      <c r="Y412" s="36"/>
      <c r="Z412" s="36">
        <v>1</v>
      </c>
      <c r="AA412" s="36">
        <v>1583333</v>
      </c>
      <c r="AB412" s="40">
        <v>46082</v>
      </c>
      <c r="AC412" s="36" t="s">
        <v>2196</v>
      </c>
      <c r="AD412" s="36" t="str">
        <f>VLOOKUP(D412,Oficial!A:C,3,0)</f>
        <v>Arrastre</v>
      </c>
    </row>
    <row r="413" spans="1:30" x14ac:dyDescent="0.25">
      <c r="A413" s="36" t="s">
        <v>27</v>
      </c>
      <c r="B413" s="36" t="s">
        <v>392</v>
      </c>
      <c r="C413" s="36" t="s">
        <v>28</v>
      </c>
      <c r="D413" s="36" t="s">
        <v>392</v>
      </c>
      <c r="E413" s="36" t="s">
        <v>30</v>
      </c>
      <c r="F413" s="36" t="s">
        <v>31</v>
      </c>
      <c r="G413" s="37" t="s">
        <v>314</v>
      </c>
      <c r="H413" s="36" t="s">
        <v>393</v>
      </c>
      <c r="I413" s="36" t="s">
        <v>394</v>
      </c>
      <c r="J413" s="36">
        <v>1</v>
      </c>
      <c r="K413" s="36" t="s">
        <v>326</v>
      </c>
      <c r="L413" s="36">
        <v>4</v>
      </c>
      <c r="M413" s="36">
        <v>1</v>
      </c>
      <c r="N413" s="38">
        <v>19000000</v>
      </c>
      <c r="O413" s="44">
        <v>1583333</v>
      </c>
      <c r="P413" s="36">
        <v>12</v>
      </c>
      <c r="Q413" s="36" t="s">
        <v>318</v>
      </c>
      <c r="R413" s="36" t="s">
        <v>395</v>
      </c>
      <c r="S413" s="36" t="s">
        <v>396</v>
      </c>
      <c r="T413" s="36" t="s">
        <v>397</v>
      </c>
      <c r="U413" s="36" t="s">
        <v>398</v>
      </c>
      <c r="V413" s="40">
        <v>45870</v>
      </c>
      <c r="W413" s="40">
        <v>45889</v>
      </c>
      <c r="X413" s="36">
        <v>0</v>
      </c>
      <c r="Y413" s="36"/>
      <c r="Z413" s="36">
        <v>1</v>
      </c>
      <c r="AA413" s="36">
        <v>1583333</v>
      </c>
      <c r="AB413" s="40">
        <v>46204</v>
      </c>
      <c r="AC413" s="36" t="s">
        <v>2196</v>
      </c>
      <c r="AD413" s="36" t="str">
        <f>VLOOKUP(D413,Oficial!A:C,3,0)</f>
        <v>Arrastre</v>
      </c>
    </row>
    <row r="414" spans="1:30" x14ac:dyDescent="0.25">
      <c r="A414" s="36" t="s">
        <v>27</v>
      </c>
      <c r="B414" s="36" t="s">
        <v>392</v>
      </c>
      <c r="C414" s="36" t="s">
        <v>28</v>
      </c>
      <c r="D414" s="36" t="s">
        <v>392</v>
      </c>
      <c r="E414" s="36" t="s">
        <v>30</v>
      </c>
      <c r="F414" s="36" t="s">
        <v>31</v>
      </c>
      <c r="G414" s="37" t="s">
        <v>314</v>
      </c>
      <c r="H414" s="36" t="s">
        <v>393</v>
      </c>
      <c r="I414" s="36" t="s">
        <v>394</v>
      </c>
      <c r="J414" s="36">
        <v>1</v>
      </c>
      <c r="K414" s="36" t="s">
        <v>326</v>
      </c>
      <c r="L414" s="36">
        <v>4</v>
      </c>
      <c r="M414" s="36">
        <v>1</v>
      </c>
      <c r="N414" s="38">
        <v>19000000</v>
      </c>
      <c r="O414" s="44">
        <v>1583333</v>
      </c>
      <c r="P414" s="36">
        <v>12</v>
      </c>
      <c r="Q414" s="36" t="s">
        <v>318</v>
      </c>
      <c r="R414" s="36" t="s">
        <v>395</v>
      </c>
      <c r="S414" s="36" t="s">
        <v>396</v>
      </c>
      <c r="T414" s="36" t="s">
        <v>397</v>
      </c>
      <c r="U414" s="36" t="s">
        <v>398</v>
      </c>
      <c r="V414" s="40">
        <v>45870</v>
      </c>
      <c r="W414" s="40">
        <v>45889</v>
      </c>
      <c r="X414" s="36">
        <v>0</v>
      </c>
      <c r="Y414" s="36"/>
      <c r="Z414" s="36">
        <v>1</v>
      </c>
      <c r="AA414" s="36">
        <v>1583333</v>
      </c>
      <c r="AB414" s="40">
        <v>46266</v>
      </c>
      <c r="AC414" s="36" t="s">
        <v>2196</v>
      </c>
      <c r="AD414" s="36" t="str">
        <f>VLOOKUP(D414,Oficial!A:C,3,0)</f>
        <v>Arrastre</v>
      </c>
    </row>
    <row r="415" spans="1:30" x14ac:dyDescent="0.25">
      <c r="A415" s="36" t="s">
        <v>27</v>
      </c>
      <c r="B415" s="36" t="s">
        <v>399</v>
      </c>
      <c r="C415" s="36" t="s">
        <v>28</v>
      </c>
      <c r="D415" s="36" t="s">
        <v>399</v>
      </c>
      <c r="E415" s="36" t="s">
        <v>30</v>
      </c>
      <c r="F415" s="36" t="s">
        <v>31</v>
      </c>
      <c r="G415" s="37" t="s">
        <v>314</v>
      </c>
      <c r="H415" s="36" t="s">
        <v>400</v>
      </c>
      <c r="I415" s="36" t="s">
        <v>401</v>
      </c>
      <c r="J415" s="36">
        <v>1</v>
      </c>
      <c r="K415" s="36" t="s">
        <v>326</v>
      </c>
      <c r="L415" s="36">
        <v>4</v>
      </c>
      <c r="M415" s="36">
        <v>1</v>
      </c>
      <c r="N415" s="38">
        <v>31500000</v>
      </c>
      <c r="O415" s="46">
        <v>2625000</v>
      </c>
      <c r="P415" s="36">
        <v>12</v>
      </c>
      <c r="Q415" s="36" t="s">
        <v>318</v>
      </c>
      <c r="R415" s="36" t="s">
        <v>402</v>
      </c>
      <c r="S415" s="36" t="s">
        <v>320</v>
      </c>
      <c r="T415" s="36" t="s">
        <v>403</v>
      </c>
      <c r="U415" s="36" t="s">
        <v>404</v>
      </c>
      <c r="V415" s="40">
        <v>45870</v>
      </c>
      <c r="W415" s="40">
        <v>45889</v>
      </c>
      <c r="X415" s="36">
        <v>0</v>
      </c>
      <c r="Y415" s="36"/>
      <c r="Z415" s="36">
        <v>1</v>
      </c>
      <c r="AA415" s="36">
        <v>2625000</v>
      </c>
      <c r="AB415" s="40">
        <v>46204</v>
      </c>
      <c r="AC415" s="36" t="s">
        <v>2196</v>
      </c>
      <c r="AD415" s="36" t="str">
        <f>VLOOKUP(D415,Oficial!A:C,3,0)</f>
        <v>Arrastre</v>
      </c>
    </row>
    <row r="416" spans="1:30" x14ac:dyDescent="0.25">
      <c r="A416" s="36" t="s">
        <v>27</v>
      </c>
      <c r="B416" s="36" t="s">
        <v>399</v>
      </c>
      <c r="C416" s="36" t="s">
        <v>28</v>
      </c>
      <c r="D416" s="36" t="s">
        <v>399</v>
      </c>
      <c r="E416" s="36" t="s">
        <v>30</v>
      </c>
      <c r="F416" s="36" t="s">
        <v>31</v>
      </c>
      <c r="G416" s="37" t="s">
        <v>314</v>
      </c>
      <c r="H416" s="36" t="s">
        <v>400</v>
      </c>
      <c r="I416" s="36" t="s">
        <v>401</v>
      </c>
      <c r="J416" s="36">
        <v>1</v>
      </c>
      <c r="K416" s="36" t="s">
        <v>326</v>
      </c>
      <c r="L416" s="36">
        <v>4</v>
      </c>
      <c r="M416" s="36">
        <v>1</v>
      </c>
      <c r="N416" s="38">
        <v>31500000</v>
      </c>
      <c r="O416" s="46">
        <v>2625000</v>
      </c>
      <c r="P416" s="36">
        <v>12</v>
      </c>
      <c r="Q416" s="36" t="s">
        <v>318</v>
      </c>
      <c r="R416" s="36" t="s">
        <v>402</v>
      </c>
      <c r="S416" s="36" t="s">
        <v>320</v>
      </c>
      <c r="T416" s="36" t="s">
        <v>403</v>
      </c>
      <c r="U416" s="36" t="s">
        <v>404</v>
      </c>
      <c r="V416" s="40">
        <v>45870</v>
      </c>
      <c r="W416" s="40">
        <v>45889</v>
      </c>
      <c r="X416" s="36">
        <v>0</v>
      </c>
      <c r="Y416" s="36"/>
      <c r="Z416" s="36">
        <v>1</v>
      </c>
      <c r="AA416" s="36">
        <v>2625000</v>
      </c>
      <c r="AB416" s="40">
        <v>46357</v>
      </c>
      <c r="AC416" s="36" t="s">
        <v>2196</v>
      </c>
      <c r="AD416" s="36" t="str">
        <f>VLOOKUP(D416,Oficial!A:C,3,0)</f>
        <v>Arrastre</v>
      </c>
    </row>
    <row r="417" spans="1:30" x14ac:dyDescent="0.25">
      <c r="A417" s="36" t="s">
        <v>27</v>
      </c>
      <c r="B417" s="36" t="s">
        <v>399</v>
      </c>
      <c r="C417" s="36" t="s">
        <v>28</v>
      </c>
      <c r="D417" s="36" t="s">
        <v>399</v>
      </c>
      <c r="E417" s="36" t="s">
        <v>30</v>
      </c>
      <c r="F417" s="36" t="s">
        <v>31</v>
      </c>
      <c r="G417" s="37" t="s">
        <v>314</v>
      </c>
      <c r="H417" s="36" t="s">
        <v>400</v>
      </c>
      <c r="I417" s="36" t="s">
        <v>401</v>
      </c>
      <c r="J417" s="36">
        <v>1</v>
      </c>
      <c r="K417" s="36" t="s">
        <v>326</v>
      </c>
      <c r="L417" s="36">
        <v>4</v>
      </c>
      <c r="M417" s="36">
        <v>1</v>
      </c>
      <c r="N417" s="38">
        <v>31500000</v>
      </c>
      <c r="O417" s="46">
        <v>2625000</v>
      </c>
      <c r="P417" s="36">
        <v>12</v>
      </c>
      <c r="Q417" s="36" t="s">
        <v>318</v>
      </c>
      <c r="R417" s="36" t="s">
        <v>402</v>
      </c>
      <c r="S417" s="36" t="s">
        <v>320</v>
      </c>
      <c r="T417" s="36" t="s">
        <v>403</v>
      </c>
      <c r="U417" s="36" t="s">
        <v>404</v>
      </c>
      <c r="V417" s="40">
        <v>45870</v>
      </c>
      <c r="W417" s="40">
        <v>45889</v>
      </c>
      <c r="X417" s="36">
        <v>0</v>
      </c>
      <c r="Y417" s="36"/>
      <c r="Z417" s="36">
        <v>1</v>
      </c>
      <c r="AA417" s="36">
        <v>2625000</v>
      </c>
      <c r="AB417" s="40">
        <v>46235</v>
      </c>
      <c r="AC417" s="36" t="s">
        <v>2196</v>
      </c>
      <c r="AD417" s="36" t="str">
        <f>VLOOKUP(D417,Oficial!A:C,3,0)</f>
        <v>Arrastre</v>
      </c>
    </row>
    <row r="418" spans="1:30" x14ac:dyDescent="0.25">
      <c r="A418" s="36" t="s">
        <v>27</v>
      </c>
      <c r="B418" s="36" t="s">
        <v>399</v>
      </c>
      <c r="C418" s="36" t="s">
        <v>28</v>
      </c>
      <c r="D418" s="36" t="s">
        <v>399</v>
      </c>
      <c r="E418" s="36" t="s">
        <v>30</v>
      </c>
      <c r="F418" s="36" t="s">
        <v>31</v>
      </c>
      <c r="G418" s="37" t="s">
        <v>314</v>
      </c>
      <c r="H418" s="36" t="s">
        <v>400</v>
      </c>
      <c r="I418" s="36" t="s">
        <v>401</v>
      </c>
      <c r="J418" s="36">
        <v>1</v>
      </c>
      <c r="K418" s="36" t="s">
        <v>326</v>
      </c>
      <c r="L418" s="36">
        <v>4</v>
      </c>
      <c r="M418" s="36">
        <v>1</v>
      </c>
      <c r="N418" s="38">
        <v>31500000</v>
      </c>
      <c r="O418" s="46">
        <v>2625000</v>
      </c>
      <c r="P418" s="36">
        <v>12</v>
      </c>
      <c r="Q418" s="36" t="s">
        <v>318</v>
      </c>
      <c r="R418" s="36" t="s">
        <v>402</v>
      </c>
      <c r="S418" s="36" t="s">
        <v>320</v>
      </c>
      <c r="T418" s="36" t="s">
        <v>403</v>
      </c>
      <c r="U418" s="36" t="s">
        <v>404</v>
      </c>
      <c r="V418" s="40">
        <v>45870</v>
      </c>
      <c r="W418" s="40">
        <v>45889</v>
      </c>
      <c r="X418" s="36">
        <v>0</v>
      </c>
      <c r="Y418" s="36"/>
      <c r="Z418" s="36">
        <v>1</v>
      </c>
      <c r="AA418" s="36">
        <v>2625000</v>
      </c>
      <c r="AB418" s="40">
        <v>46143</v>
      </c>
      <c r="AC418" s="36" t="s">
        <v>2196</v>
      </c>
      <c r="AD418" s="36" t="str">
        <f>VLOOKUP(D418,Oficial!A:C,3,0)</f>
        <v>Arrastre</v>
      </c>
    </row>
    <row r="419" spans="1:30" x14ac:dyDescent="0.25">
      <c r="A419" s="36" t="s">
        <v>27</v>
      </c>
      <c r="B419" s="36" t="s">
        <v>399</v>
      </c>
      <c r="C419" s="36" t="s">
        <v>28</v>
      </c>
      <c r="D419" s="36" t="s">
        <v>399</v>
      </c>
      <c r="E419" s="36" t="s">
        <v>30</v>
      </c>
      <c r="F419" s="36" t="s">
        <v>31</v>
      </c>
      <c r="G419" s="37" t="s">
        <v>314</v>
      </c>
      <c r="H419" s="36" t="s">
        <v>400</v>
      </c>
      <c r="I419" s="36" t="s">
        <v>401</v>
      </c>
      <c r="J419" s="36">
        <v>1</v>
      </c>
      <c r="K419" s="36" t="s">
        <v>326</v>
      </c>
      <c r="L419" s="36">
        <v>4</v>
      </c>
      <c r="M419" s="36">
        <v>1</v>
      </c>
      <c r="N419" s="38">
        <v>31500000</v>
      </c>
      <c r="O419" s="46">
        <v>2625000</v>
      </c>
      <c r="P419" s="36">
        <v>12</v>
      </c>
      <c r="Q419" s="36" t="s">
        <v>318</v>
      </c>
      <c r="R419" s="36" t="s">
        <v>402</v>
      </c>
      <c r="S419" s="36" t="s">
        <v>320</v>
      </c>
      <c r="T419" s="36" t="s">
        <v>403</v>
      </c>
      <c r="U419" s="36" t="s">
        <v>404</v>
      </c>
      <c r="V419" s="40">
        <v>45870</v>
      </c>
      <c r="W419" s="40">
        <v>45889</v>
      </c>
      <c r="X419" s="36">
        <v>0</v>
      </c>
      <c r="Y419" s="36"/>
      <c r="Z419" s="36">
        <v>1</v>
      </c>
      <c r="AA419" s="36">
        <v>2625000</v>
      </c>
      <c r="AB419" s="40">
        <v>46266</v>
      </c>
      <c r="AC419" s="36" t="s">
        <v>2196</v>
      </c>
      <c r="AD419" s="36" t="str">
        <f>VLOOKUP(D419,Oficial!A:C,3,0)</f>
        <v>Arrastre</v>
      </c>
    </row>
    <row r="420" spans="1:30" x14ac:dyDescent="0.25">
      <c r="A420" s="36" t="s">
        <v>27</v>
      </c>
      <c r="B420" s="36" t="s">
        <v>399</v>
      </c>
      <c r="C420" s="36" t="s">
        <v>28</v>
      </c>
      <c r="D420" s="36" t="s">
        <v>399</v>
      </c>
      <c r="E420" s="36" t="s">
        <v>30</v>
      </c>
      <c r="F420" s="36" t="s">
        <v>31</v>
      </c>
      <c r="G420" s="37" t="s">
        <v>314</v>
      </c>
      <c r="H420" s="36" t="s">
        <v>400</v>
      </c>
      <c r="I420" s="36" t="s">
        <v>401</v>
      </c>
      <c r="J420" s="36">
        <v>1</v>
      </c>
      <c r="K420" s="36" t="s">
        <v>326</v>
      </c>
      <c r="L420" s="36">
        <v>4</v>
      </c>
      <c r="M420" s="36">
        <v>1</v>
      </c>
      <c r="N420" s="38">
        <v>31500000</v>
      </c>
      <c r="O420" s="46">
        <v>2625000</v>
      </c>
      <c r="P420" s="36">
        <v>12</v>
      </c>
      <c r="Q420" s="36" t="s">
        <v>318</v>
      </c>
      <c r="R420" s="36" t="s">
        <v>402</v>
      </c>
      <c r="S420" s="36" t="s">
        <v>320</v>
      </c>
      <c r="T420" s="36" t="s">
        <v>403</v>
      </c>
      <c r="U420" s="36" t="s">
        <v>404</v>
      </c>
      <c r="V420" s="40">
        <v>45870</v>
      </c>
      <c r="W420" s="40">
        <v>45889</v>
      </c>
      <c r="X420" s="36">
        <v>0</v>
      </c>
      <c r="Y420" s="36"/>
      <c r="Z420" s="36">
        <v>1</v>
      </c>
      <c r="AA420" s="36">
        <v>2625000</v>
      </c>
      <c r="AB420" s="40">
        <v>46327</v>
      </c>
      <c r="AC420" s="36" t="s">
        <v>2196</v>
      </c>
      <c r="AD420" s="36" t="str">
        <f>VLOOKUP(D420,Oficial!A:C,3,0)</f>
        <v>Arrastre</v>
      </c>
    </row>
    <row r="421" spans="1:30" x14ac:dyDescent="0.25">
      <c r="A421" s="36" t="s">
        <v>27</v>
      </c>
      <c r="B421" s="36" t="s">
        <v>399</v>
      </c>
      <c r="C421" s="36" t="s">
        <v>28</v>
      </c>
      <c r="D421" s="36" t="s">
        <v>399</v>
      </c>
      <c r="E421" s="36" t="s">
        <v>30</v>
      </c>
      <c r="F421" s="36" t="s">
        <v>31</v>
      </c>
      <c r="G421" s="37" t="s">
        <v>314</v>
      </c>
      <c r="H421" s="36" t="s">
        <v>400</v>
      </c>
      <c r="I421" s="36" t="s">
        <v>401</v>
      </c>
      <c r="J421" s="36">
        <v>1</v>
      </c>
      <c r="K421" s="36" t="s">
        <v>326</v>
      </c>
      <c r="L421" s="36">
        <v>4</v>
      </c>
      <c r="M421" s="36">
        <v>1</v>
      </c>
      <c r="N421" s="38">
        <v>31500000</v>
      </c>
      <c r="O421" s="46">
        <v>2625000</v>
      </c>
      <c r="P421" s="36">
        <v>12</v>
      </c>
      <c r="Q421" s="36" t="s">
        <v>318</v>
      </c>
      <c r="R421" s="36" t="s">
        <v>402</v>
      </c>
      <c r="S421" s="36" t="s">
        <v>320</v>
      </c>
      <c r="T421" s="36" t="s">
        <v>403</v>
      </c>
      <c r="U421" s="36" t="s">
        <v>404</v>
      </c>
      <c r="V421" s="40">
        <v>45870</v>
      </c>
      <c r="W421" s="40">
        <v>45889</v>
      </c>
      <c r="X421" s="36">
        <v>0</v>
      </c>
      <c r="Y421" s="36"/>
      <c r="Z421" s="36">
        <v>1</v>
      </c>
      <c r="AA421" s="36">
        <v>2625000</v>
      </c>
      <c r="AB421" s="40">
        <v>46054</v>
      </c>
      <c r="AC421" s="36" t="s">
        <v>2196</v>
      </c>
      <c r="AD421" s="36" t="str">
        <f>VLOOKUP(D421,Oficial!A:C,3,0)</f>
        <v>Arrastre</v>
      </c>
    </row>
    <row r="422" spans="1:30" x14ac:dyDescent="0.25">
      <c r="A422" s="36" t="s">
        <v>27</v>
      </c>
      <c r="B422" s="36" t="s">
        <v>399</v>
      </c>
      <c r="C422" s="36" t="s">
        <v>28</v>
      </c>
      <c r="D422" s="36" t="s">
        <v>399</v>
      </c>
      <c r="E422" s="36" t="s">
        <v>30</v>
      </c>
      <c r="F422" s="36" t="s">
        <v>31</v>
      </c>
      <c r="G422" s="37" t="s">
        <v>314</v>
      </c>
      <c r="H422" s="36" t="s">
        <v>400</v>
      </c>
      <c r="I422" s="36" t="s">
        <v>401</v>
      </c>
      <c r="J422" s="36">
        <v>1</v>
      </c>
      <c r="K422" s="36" t="s">
        <v>326</v>
      </c>
      <c r="L422" s="36">
        <v>4</v>
      </c>
      <c r="M422" s="36">
        <v>1</v>
      </c>
      <c r="N422" s="38">
        <v>31500000</v>
      </c>
      <c r="O422" s="46">
        <v>2625000</v>
      </c>
      <c r="P422" s="36">
        <v>12</v>
      </c>
      <c r="Q422" s="36" t="s">
        <v>318</v>
      </c>
      <c r="R422" s="36" t="s">
        <v>402</v>
      </c>
      <c r="S422" s="36" t="s">
        <v>320</v>
      </c>
      <c r="T422" s="36" t="s">
        <v>403</v>
      </c>
      <c r="U422" s="36" t="s">
        <v>404</v>
      </c>
      <c r="V422" s="40">
        <v>45870</v>
      </c>
      <c r="W422" s="40">
        <v>45889</v>
      </c>
      <c r="X422" s="36">
        <v>0</v>
      </c>
      <c r="Y422" s="36"/>
      <c r="Z422" s="36">
        <v>1</v>
      </c>
      <c r="AA422" s="36">
        <v>2625000</v>
      </c>
      <c r="AB422" s="40">
        <v>46174</v>
      </c>
      <c r="AC422" s="36" t="s">
        <v>2196</v>
      </c>
      <c r="AD422" s="36" t="str">
        <f>VLOOKUP(D422,Oficial!A:C,3,0)</f>
        <v>Arrastre</v>
      </c>
    </row>
    <row r="423" spans="1:30" x14ac:dyDescent="0.25">
      <c r="A423" s="36" t="s">
        <v>27</v>
      </c>
      <c r="B423" s="36" t="s">
        <v>399</v>
      </c>
      <c r="C423" s="36" t="s">
        <v>28</v>
      </c>
      <c r="D423" s="36" t="s">
        <v>399</v>
      </c>
      <c r="E423" s="36" t="s">
        <v>30</v>
      </c>
      <c r="F423" s="36" t="s">
        <v>31</v>
      </c>
      <c r="G423" s="37" t="s">
        <v>314</v>
      </c>
      <c r="H423" s="36" t="s">
        <v>400</v>
      </c>
      <c r="I423" s="36" t="s">
        <v>401</v>
      </c>
      <c r="J423" s="36">
        <v>1</v>
      </c>
      <c r="K423" s="36" t="s">
        <v>326</v>
      </c>
      <c r="L423" s="36">
        <v>4</v>
      </c>
      <c r="M423" s="36">
        <v>1</v>
      </c>
      <c r="N423" s="38">
        <v>31500000</v>
      </c>
      <c r="O423" s="46">
        <v>2625000</v>
      </c>
      <c r="P423" s="36">
        <v>12</v>
      </c>
      <c r="Q423" s="36" t="s">
        <v>318</v>
      </c>
      <c r="R423" s="36" t="s">
        <v>402</v>
      </c>
      <c r="S423" s="36" t="s">
        <v>320</v>
      </c>
      <c r="T423" s="36" t="s">
        <v>403</v>
      </c>
      <c r="U423" s="36" t="s">
        <v>404</v>
      </c>
      <c r="V423" s="40">
        <v>45870</v>
      </c>
      <c r="W423" s="40">
        <v>45889</v>
      </c>
      <c r="X423" s="36">
        <v>0</v>
      </c>
      <c r="Y423" s="36"/>
      <c r="Z423" s="36">
        <v>1</v>
      </c>
      <c r="AA423" s="36">
        <v>2625000</v>
      </c>
      <c r="AB423" s="40">
        <v>46082</v>
      </c>
      <c r="AC423" s="36" t="s">
        <v>2196</v>
      </c>
      <c r="AD423" s="36" t="str">
        <f>VLOOKUP(D423,Oficial!A:C,3,0)</f>
        <v>Arrastre</v>
      </c>
    </row>
    <row r="424" spans="1:30" x14ac:dyDescent="0.25">
      <c r="A424" s="36" t="s">
        <v>27</v>
      </c>
      <c r="B424" s="36" t="s">
        <v>399</v>
      </c>
      <c r="C424" s="36" t="s">
        <v>28</v>
      </c>
      <c r="D424" s="36" t="s">
        <v>399</v>
      </c>
      <c r="E424" s="36" t="s">
        <v>30</v>
      </c>
      <c r="F424" s="36" t="s">
        <v>31</v>
      </c>
      <c r="G424" s="37" t="s">
        <v>314</v>
      </c>
      <c r="H424" s="36" t="s">
        <v>400</v>
      </c>
      <c r="I424" s="36" t="s">
        <v>401</v>
      </c>
      <c r="J424" s="36">
        <v>1</v>
      </c>
      <c r="K424" s="36" t="s">
        <v>326</v>
      </c>
      <c r="L424" s="36">
        <v>4</v>
      </c>
      <c r="M424" s="36">
        <v>1</v>
      </c>
      <c r="N424" s="38">
        <v>31500000</v>
      </c>
      <c r="O424" s="46">
        <v>2625000</v>
      </c>
      <c r="P424" s="36">
        <v>12</v>
      </c>
      <c r="Q424" s="36" t="s">
        <v>318</v>
      </c>
      <c r="R424" s="36" t="s">
        <v>402</v>
      </c>
      <c r="S424" s="36" t="s">
        <v>320</v>
      </c>
      <c r="T424" s="36" t="s">
        <v>403</v>
      </c>
      <c r="U424" s="36" t="s">
        <v>404</v>
      </c>
      <c r="V424" s="40">
        <v>45870</v>
      </c>
      <c r="W424" s="40">
        <v>45889</v>
      </c>
      <c r="X424" s="36">
        <v>0</v>
      </c>
      <c r="Y424" s="36"/>
      <c r="Z424" s="36">
        <v>1</v>
      </c>
      <c r="AA424" s="36">
        <v>2625000</v>
      </c>
      <c r="AB424" s="40">
        <v>46113</v>
      </c>
      <c r="AC424" s="36" t="s">
        <v>2196</v>
      </c>
      <c r="AD424" s="36" t="str">
        <f>VLOOKUP(D424,Oficial!A:C,3,0)</f>
        <v>Arrastre</v>
      </c>
    </row>
    <row r="425" spans="1:30" x14ac:dyDescent="0.25">
      <c r="A425" s="36" t="s">
        <v>27</v>
      </c>
      <c r="B425" s="36" t="s">
        <v>399</v>
      </c>
      <c r="C425" s="36" t="s">
        <v>28</v>
      </c>
      <c r="D425" s="36" t="s">
        <v>399</v>
      </c>
      <c r="E425" s="36" t="s">
        <v>30</v>
      </c>
      <c r="F425" s="36" t="s">
        <v>31</v>
      </c>
      <c r="G425" s="37" t="s">
        <v>314</v>
      </c>
      <c r="H425" s="36" t="s">
        <v>400</v>
      </c>
      <c r="I425" s="36" t="s">
        <v>401</v>
      </c>
      <c r="J425" s="36">
        <v>1</v>
      </c>
      <c r="K425" s="36" t="s">
        <v>326</v>
      </c>
      <c r="L425" s="36">
        <v>4</v>
      </c>
      <c r="M425" s="36">
        <v>1</v>
      </c>
      <c r="N425" s="38">
        <v>31500000</v>
      </c>
      <c r="O425" s="46">
        <v>2625000</v>
      </c>
      <c r="P425" s="36">
        <v>12</v>
      </c>
      <c r="Q425" s="36" t="s">
        <v>318</v>
      </c>
      <c r="R425" s="36" t="s">
        <v>402</v>
      </c>
      <c r="S425" s="36" t="s">
        <v>320</v>
      </c>
      <c r="T425" s="36" t="s">
        <v>403</v>
      </c>
      <c r="U425" s="36" t="s">
        <v>404</v>
      </c>
      <c r="V425" s="40">
        <v>45870</v>
      </c>
      <c r="W425" s="40">
        <v>45889</v>
      </c>
      <c r="X425" s="36">
        <v>0</v>
      </c>
      <c r="Y425" s="36"/>
      <c r="Z425" s="36">
        <v>1</v>
      </c>
      <c r="AA425" s="36">
        <v>2625000</v>
      </c>
      <c r="AB425" s="40">
        <v>46296</v>
      </c>
      <c r="AC425" s="36" t="s">
        <v>2196</v>
      </c>
      <c r="AD425" s="36" t="str">
        <f>VLOOKUP(D425,Oficial!A:C,3,0)</f>
        <v>Arrastre</v>
      </c>
    </row>
    <row r="426" spans="1:30" x14ac:dyDescent="0.25">
      <c r="A426" s="36" t="s">
        <v>27</v>
      </c>
      <c r="B426" s="36" t="s">
        <v>405</v>
      </c>
      <c r="C426" s="36" t="s">
        <v>28</v>
      </c>
      <c r="D426" s="36" t="s">
        <v>405</v>
      </c>
      <c r="E426" s="36" t="s">
        <v>30</v>
      </c>
      <c r="F426" s="36" t="s">
        <v>31</v>
      </c>
      <c r="G426" s="37" t="s">
        <v>314</v>
      </c>
      <c r="H426" s="36" t="s">
        <v>406</v>
      </c>
      <c r="I426" s="36" t="s">
        <v>407</v>
      </c>
      <c r="J426" s="36">
        <v>1</v>
      </c>
      <c r="K426" s="36" t="s">
        <v>326</v>
      </c>
      <c r="L426" s="36">
        <v>4</v>
      </c>
      <c r="M426" s="36">
        <v>1</v>
      </c>
      <c r="N426" s="38">
        <v>26000000</v>
      </c>
      <c r="O426" s="41">
        <v>2166667</v>
      </c>
      <c r="P426" s="36">
        <v>12</v>
      </c>
      <c r="Q426" s="36" t="s">
        <v>318</v>
      </c>
      <c r="R426" s="36" t="s">
        <v>360</v>
      </c>
      <c r="S426" s="36" t="s">
        <v>361</v>
      </c>
      <c r="T426" s="36" t="s">
        <v>362</v>
      </c>
      <c r="U426" s="36" t="s">
        <v>363</v>
      </c>
      <c r="V426" s="40">
        <v>45870</v>
      </c>
      <c r="W426" s="40">
        <v>45889</v>
      </c>
      <c r="X426" s="36">
        <v>0</v>
      </c>
      <c r="Y426" s="36"/>
      <c r="Z426" s="36">
        <v>1</v>
      </c>
      <c r="AA426" s="36">
        <v>2166667</v>
      </c>
      <c r="AB426" s="40">
        <v>46082</v>
      </c>
      <c r="AC426" s="36" t="s">
        <v>2196</v>
      </c>
      <c r="AD426" s="36" t="str">
        <f>VLOOKUP(D426,Oficial!A:C,3,0)</f>
        <v>Arrastre</v>
      </c>
    </row>
    <row r="427" spans="1:30" x14ac:dyDescent="0.25">
      <c r="A427" s="36" t="s">
        <v>27</v>
      </c>
      <c r="B427" s="36" t="s">
        <v>405</v>
      </c>
      <c r="C427" s="36" t="s">
        <v>28</v>
      </c>
      <c r="D427" s="36" t="s">
        <v>405</v>
      </c>
      <c r="E427" s="36" t="s">
        <v>30</v>
      </c>
      <c r="F427" s="36" t="s">
        <v>31</v>
      </c>
      <c r="G427" s="37" t="s">
        <v>314</v>
      </c>
      <c r="H427" s="36" t="s">
        <v>406</v>
      </c>
      <c r="I427" s="36" t="s">
        <v>407</v>
      </c>
      <c r="J427" s="36">
        <v>1</v>
      </c>
      <c r="K427" s="36" t="s">
        <v>326</v>
      </c>
      <c r="L427" s="36">
        <v>4</v>
      </c>
      <c r="M427" s="36">
        <v>1</v>
      </c>
      <c r="N427" s="38">
        <v>26000000</v>
      </c>
      <c r="O427" s="41">
        <v>2166667</v>
      </c>
      <c r="P427" s="36">
        <v>12</v>
      </c>
      <c r="Q427" s="36" t="s">
        <v>318</v>
      </c>
      <c r="R427" s="36" t="s">
        <v>360</v>
      </c>
      <c r="S427" s="36" t="s">
        <v>361</v>
      </c>
      <c r="T427" s="36" t="s">
        <v>362</v>
      </c>
      <c r="U427" s="36" t="s">
        <v>363</v>
      </c>
      <c r="V427" s="40">
        <v>45870</v>
      </c>
      <c r="W427" s="40">
        <v>45889</v>
      </c>
      <c r="X427" s="36">
        <v>0</v>
      </c>
      <c r="Y427" s="36"/>
      <c r="Z427" s="36">
        <v>1</v>
      </c>
      <c r="AA427" s="36">
        <v>2166667</v>
      </c>
      <c r="AB427" s="40">
        <v>46235</v>
      </c>
      <c r="AC427" s="36" t="s">
        <v>2196</v>
      </c>
      <c r="AD427" s="36" t="str">
        <f>VLOOKUP(D427,Oficial!A:C,3,0)</f>
        <v>Arrastre</v>
      </c>
    </row>
    <row r="428" spans="1:30" x14ac:dyDescent="0.25">
      <c r="A428" s="36" t="s">
        <v>27</v>
      </c>
      <c r="B428" s="36" t="s">
        <v>405</v>
      </c>
      <c r="C428" s="36" t="s">
        <v>28</v>
      </c>
      <c r="D428" s="36" t="s">
        <v>405</v>
      </c>
      <c r="E428" s="36" t="s">
        <v>30</v>
      </c>
      <c r="F428" s="36" t="s">
        <v>31</v>
      </c>
      <c r="G428" s="37" t="s">
        <v>314</v>
      </c>
      <c r="H428" s="36" t="s">
        <v>406</v>
      </c>
      <c r="I428" s="36" t="s">
        <v>407</v>
      </c>
      <c r="J428" s="36">
        <v>1</v>
      </c>
      <c r="K428" s="36" t="s">
        <v>326</v>
      </c>
      <c r="L428" s="36">
        <v>4</v>
      </c>
      <c r="M428" s="36">
        <v>1</v>
      </c>
      <c r="N428" s="38">
        <v>26000000</v>
      </c>
      <c r="O428" s="41">
        <v>2166667</v>
      </c>
      <c r="P428" s="36">
        <v>12</v>
      </c>
      <c r="Q428" s="36" t="s">
        <v>318</v>
      </c>
      <c r="R428" s="36" t="s">
        <v>360</v>
      </c>
      <c r="S428" s="36" t="s">
        <v>361</v>
      </c>
      <c r="T428" s="36" t="s">
        <v>362</v>
      </c>
      <c r="U428" s="36" t="s">
        <v>363</v>
      </c>
      <c r="V428" s="40">
        <v>45870</v>
      </c>
      <c r="W428" s="40">
        <v>45889</v>
      </c>
      <c r="X428" s="36">
        <v>0</v>
      </c>
      <c r="Y428" s="36"/>
      <c r="Z428" s="36">
        <v>1</v>
      </c>
      <c r="AA428" s="36">
        <v>2166667</v>
      </c>
      <c r="AB428" s="40">
        <v>46054</v>
      </c>
      <c r="AC428" s="36" t="s">
        <v>2196</v>
      </c>
      <c r="AD428" s="36" t="str">
        <f>VLOOKUP(D428,Oficial!A:C,3,0)</f>
        <v>Arrastre</v>
      </c>
    </row>
    <row r="429" spans="1:30" x14ac:dyDescent="0.25">
      <c r="A429" s="36" t="s">
        <v>27</v>
      </c>
      <c r="B429" s="36" t="s">
        <v>405</v>
      </c>
      <c r="C429" s="36" t="s">
        <v>28</v>
      </c>
      <c r="D429" s="36" t="s">
        <v>405</v>
      </c>
      <c r="E429" s="36" t="s">
        <v>30</v>
      </c>
      <c r="F429" s="36" t="s">
        <v>31</v>
      </c>
      <c r="G429" s="37" t="s">
        <v>314</v>
      </c>
      <c r="H429" s="36" t="s">
        <v>406</v>
      </c>
      <c r="I429" s="36" t="s">
        <v>407</v>
      </c>
      <c r="J429" s="36">
        <v>1</v>
      </c>
      <c r="K429" s="36" t="s">
        <v>326</v>
      </c>
      <c r="L429" s="36">
        <v>4</v>
      </c>
      <c r="M429" s="36">
        <v>1</v>
      </c>
      <c r="N429" s="38">
        <v>26000000</v>
      </c>
      <c r="O429" s="41">
        <v>2166667</v>
      </c>
      <c r="P429" s="36">
        <v>12</v>
      </c>
      <c r="Q429" s="36" t="s">
        <v>318</v>
      </c>
      <c r="R429" s="36" t="s">
        <v>360</v>
      </c>
      <c r="S429" s="36" t="s">
        <v>361</v>
      </c>
      <c r="T429" s="36" t="s">
        <v>362</v>
      </c>
      <c r="U429" s="36" t="s">
        <v>363</v>
      </c>
      <c r="V429" s="40">
        <v>45870</v>
      </c>
      <c r="W429" s="40">
        <v>45889</v>
      </c>
      <c r="X429" s="36">
        <v>0</v>
      </c>
      <c r="Y429" s="36"/>
      <c r="Z429" s="36">
        <v>1</v>
      </c>
      <c r="AA429" s="36">
        <v>2166667</v>
      </c>
      <c r="AB429" s="40">
        <v>46113</v>
      </c>
      <c r="AC429" s="36" t="s">
        <v>2196</v>
      </c>
      <c r="AD429" s="36" t="str">
        <f>VLOOKUP(D429,Oficial!A:C,3,0)</f>
        <v>Arrastre</v>
      </c>
    </row>
    <row r="430" spans="1:30" x14ac:dyDescent="0.25">
      <c r="A430" s="36" t="s">
        <v>27</v>
      </c>
      <c r="B430" s="36" t="s">
        <v>405</v>
      </c>
      <c r="C430" s="36" t="s">
        <v>28</v>
      </c>
      <c r="D430" s="36" t="s">
        <v>405</v>
      </c>
      <c r="E430" s="36" t="s">
        <v>30</v>
      </c>
      <c r="F430" s="36" t="s">
        <v>31</v>
      </c>
      <c r="G430" s="37" t="s">
        <v>314</v>
      </c>
      <c r="H430" s="36" t="s">
        <v>406</v>
      </c>
      <c r="I430" s="36" t="s">
        <v>407</v>
      </c>
      <c r="J430" s="36">
        <v>1</v>
      </c>
      <c r="K430" s="36" t="s">
        <v>326</v>
      </c>
      <c r="L430" s="36">
        <v>4</v>
      </c>
      <c r="M430" s="36">
        <v>1</v>
      </c>
      <c r="N430" s="38">
        <v>26000000</v>
      </c>
      <c r="O430" s="41">
        <v>2166667</v>
      </c>
      <c r="P430" s="36">
        <v>12</v>
      </c>
      <c r="Q430" s="36" t="s">
        <v>318</v>
      </c>
      <c r="R430" s="36" t="s">
        <v>360</v>
      </c>
      <c r="S430" s="36" t="s">
        <v>361</v>
      </c>
      <c r="T430" s="36" t="s">
        <v>362</v>
      </c>
      <c r="U430" s="36" t="s">
        <v>363</v>
      </c>
      <c r="V430" s="40">
        <v>45870</v>
      </c>
      <c r="W430" s="40">
        <v>45889</v>
      </c>
      <c r="X430" s="36">
        <v>0</v>
      </c>
      <c r="Y430" s="36"/>
      <c r="Z430" s="36">
        <v>1</v>
      </c>
      <c r="AA430" s="36">
        <v>2166667</v>
      </c>
      <c r="AB430" s="40">
        <v>46296</v>
      </c>
      <c r="AC430" s="36" t="s">
        <v>2196</v>
      </c>
      <c r="AD430" s="36" t="str">
        <f>VLOOKUP(D430,Oficial!A:C,3,0)</f>
        <v>Arrastre</v>
      </c>
    </row>
    <row r="431" spans="1:30" x14ac:dyDescent="0.25">
      <c r="A431" s="36" t="s">
        <v>27</v>
      </c>
      <c r="B431" s="36" t="s">
        <v>405</v>
      </c>
      <c r="C431" s="36" t="s">
        <v>28</v>
      </c>
      <c r="D431" s="36" t="s">
        <v>405</v>
      </c>
      <c r="E431" s="36" t="s">
        <v>30</v>
      </c>
      <c r="F431" s="36" t="s">
        <v>31</v>
      </c>
      <c r="G431" s="37" t="s">
        <v>314</v>
      </c>
      <c r="H431" s="36" t="s">
        <v>406</v>
      </c>
      <c r="I431" s="36" t="s">
        <v>407</v>
      </c>
      <c r="J431" s="36">
        <v>1</v>
      </c>
      <c r="K431" s="36" t="s">
        <v>326</v>
      </c>
      <c r="L431" s="36">
        <v>4</v>
      </c>
      <c r="M431" s="36">
        <v>1</v>
      </c>
      <c r="N431" s="38">
        <v>26000000</v>
      </c>
      <c r="O431" s="41">
        <v>2166667</v>
      </c>
      <c r="P431" s="36">
        <v>12</v>
      </c>
      <c r="Q431" s="36" t="s">
        <v>318</v>
      </c>
      <c r="R431" s="36" t="s">
        <v>360</v>
      </c>
      <c r="S431" s="36" t="s">
        <v>361</v>
      </c>
      <c r="T431" s="36" t="s">
        <v>362</v>
      </c>
      <c r="U431" s="36" t="s">
        <v>363</v>
      </c>
      <c r="V431" s="40">
        <v>45870</v>
      </c>
      <c r="W431" s="40">
        <v>45889</v>
      </c>
      <c r="X431" s="36">
        <v>0</v>
      </c>
      <c r="Y431" s="36"/>
      <c r="Z431" s="36">
        <v>1</v>
      </c>
      <c r="AA431" s="36">
        <v>2166667</v>
      </c>
      <c r="AB431" s="40">
        <v>46143</v>
      </c>
      <c r="AC431" s="36" t="s">
        <v>2196</v>
      </c>
      <c r="AD431" s="36" t="str">
        <f>VLOOKUP(D431,Oficial!A:C,3,0)</f>
        <v>Arrastre</v>
      </c>
    </row>
    <row r="432" spans="1:30" x14ac:dyDescent="0.25">
      <c r="A432" s="36" t="s">
        <v>27</v>
      </c>
      <c r="B432" s="36" t="s">
        <v>405</v>
      </c>
      <c r="C432" s="36" t="s">
        <v>28</v>
      </c>
      <c r="D432" s="36" t="s">
        <v>405</v>
      </c>
      <c r="E432" s="36" t="s">
        <v>30</v>
      </c>
      <c r="F432" s="36" t="s">
        <v>31</v>
      </c>
      <c r="G432" s="37" t="s">
        <v>314</v>
      </c>
      <c r="H432" s="36" t="s">
        <v>406</v>
      </c>
      <c r="I432" s="36" t="s">
        <v>407</v>
      </c>
      <c r="J432" s="36">
        <v>1</v>
      </c>
      <c r="K432" s="36" t="s">
        <v>326</v>
      </c>
      <c r="L432" s="36">
        <v>4</v>
      </c>
      <c r="M432" s="36">
        <v>1</v>
      </c>
      <c r="N432" s="38">
        <v>26000000</v>
      </c>
      <c r="O432" s="41">
        <v>2166667</v>
      </c>
      <c r="P432" s="36">
        <v>12</v>
      </c>
      <c r="Q432" s="36" t="s">
        <v>318</v>
      </c>
      <c r="R432" s="36" t="s">
        <v>360</v>
      </c>
      <c r="S432" s="36" t="s">
        <v>361</v>
      </c>
      <c r="T432" s="36" t="s">
        <v>362</v>
      </c>
      <c r="U432" s="36" t="s">
        <v>363</v>
      </c>
      <c r="V432" s="40">
        <v>45870</v>
      </c>
      <c r="W432" s="40">
        <v>45889</v>
      </c>
      <c r="X432" s="36">
        <v>0</v>
      </c>
      <c r="Y432" s="36"/>
      <c r="Z432" s="36">
        <v>1</v>
      </c>
      <c r="AA432" s="36">
        <v>2166667</v>
      </c>
      <c r="AB432" s="40">
        <v>46174</v>
      </c>
      <c r="AC432" s="36" t="s">
        <v>2196</v>
      </c>
      <c r="AD432" s="36" t="str">
        <f>VLOOKUP(D432,Oficial!A:C,3,0)</f>
        <v>Arrastre</v>
      </c>
    </row>
    <row r="433" spans="1:30" x14ac:dyDescent="0.25">
      <c r="A433" s="36" t="s">
        <v>27</v>
      </c>
      <c r="B433" s="36" t="s">
        <v>405</v>
      </c>
      <c r="C433" s="36" t="s">
        <v>28</v>
      </c>
      <c r="D433" s="36" t="s">
        <v>405</v>
      </c>
      <c r="E433" s="36" t="s">
        <v>30</v>
      </c>
      <c r="F433" s="36" t="s">
        <v>31</v>
      </c>
      <c r="G433" s="37" t="s">
        <v>314</v>
      </c>
      <c r="H433" s="36" t="s">
        <v>406</v>
      </c>
      <c r="I433" s="36" t="s">
        <v>407</v>
      </c>
      <c r="J433" s="36">
        <v>1</v>
      </c>
      <c r="K433" s="36" t="s">
        <v>326</v>
      </c>
      <c r="L433" s="36">
        <v>4</v>
      </c>
      <c r="M433" s="36">
        <v>1</v>
      </c>
      <c r="N433" s="38">
        <v>26000000</v>
      </c>
      <c r="O433" s="41">
        <v>2166667</v>
      </c>
      <c r="P433" s="36">
        <v>12</v>
      </c>
      <c r="Q433" s="36" t="s">
        <v>318</v>
      </c>
      <c r="R433" s="36" t="s">
        <v>360</v>
      </c>
      <c r="S433" s="36" t="s">
        <v>361</v>
      </c>
      <c r="T433" s="36" t="s">
        <v>362</v>
      </c>
      <c r="U433" s="36" t="s">
        <v>363</v>
      </c>
      <c r="V433" s="40">
        <v>45870</v>
      </c>
      <c r="W433" s="40">
        <v>45889</v>
      </c>
      <c r="X433" s="36">
        <v>0</v>
      </c>
      <c r="Y433" s="36"/>
      <c r="Z433" s="36">
        <v>1</v>
      </c>
      <c r="AA433" s="36">
        <v>2166667</v>
      </c>
      <c r="AB433" s="40">
        <v>46327</v>
      </c>
      <c r="AC433" s="36" t="s">
        <v>2196</v>
      </c>
      <c r="AD433" s="36" t="str">
        <f>VLOOKUP(D433,Oficial!A:C,3,0)</f>
        <v>Arrastre</v>
      </c>
    </row>
    <row r="434" spans="1:30" x14ac:dyDescent="0.25">
      <c r="A434" s="36" t="s">
        <v>27</v>
      </c>
      <c r="B434" s="36" t="s">
        <v>405</v>
      </c>
      <c r="C434" s="36" t="s">
        <v>28</v>
      </c>
      <c r="D434" s="36" t="s">
        <v>405</v>
      </c>
      <c r="E434" s="36" t="s">
        <v>30</v>
      </c>
      <c r="F434" s="36" t="s">
        <v>31</v>
      </c>
      <c r="G434" s="37" t="s">
        <v>314</v>
      </c>
      <c r="H434" s="36" t="s">
        <v>406</v>
      </c>
      <c r="I434" s="36" t="s">
        <v>407</v>
      </c>
      <c r="J434" s="36">
        <v>1</v>
      </c>
      <c r="K434" s="36" t="s">
        <v>326</v>
      </c>
      <c r="L434" s="36">
        <v>4</v>
      </c>
      <c r="M434" s="36">
        <v>1</v>
      </c>
      <c r="N434" s="38">
        <v>26000000</v>
      </c>
      <c r="O434" s="41">
        <v>2166667</v>
      </c>
      <c r="P434" s="36">
        <v>12</v>
      </c>
      <c r="Q434" s="36" t="s">
        <v>318</v>
      </c>
      <c r="R434" s="36" t="s">
        <v>360</v>
      </c>
      <c r="S434" s="36" t="s">
        <v>361</v>
      </c>
      <c r="T434" s="36" t="s">
        <v>362</v>
      </c>
      <c r="U434" s="36" t="s">
        <v>363</v>
      </c>
      <c r="V434" s="40">
        <v>45870</v>
      </c>
      <c r="W434" s="40">
        <v>45889</v>
      </c>
      <c r="X434" s="36">
        <v>0</v>
      </c>
      <c r="Y434" s="36"/>
      <c r="Z434" s="36">
        <v>1</v>
      </c>
      <c r="AA434" s="36">
        <v>2166667</v>
      </c>
      <c r="AB434" s="40">
        <v>46357</v>
      </c>
      <c r="AC434" s="36" t="s">
        <v>2196</v>
      </c>
      <c r="AD434" s="36" t="str">
        <f>VLOOKUP(D434,Oficial!A:C,3,0)</f>
        <v>Arrastre</v>
      </c>
    </row>
    <row r="435" spans="1:30" x14ac:dyDescent="0.25">
      <c r="A435" s="36" t="s">
        <v>27</v>
      </c>
      <c r="B435" s="36" t="s">
        <v>405</v>
      </c>
      <c r="C435" s="36" t="s">
        <v>28</v>
      </c>
      <c r="D435" s="36" t="s">
        <v>405</v>
      </c>
      <c r="E435" s="36" t="s">
        <v>30</v>
      </c>
      <c r="F435" s="36" t="s">
        <v>31</v>
      </c>
      <c r="G435" s="37" t="s">
        <v>314</v>
      </c>
      <c r="H435" s="36" t="s">
        <v>406</v>
      </c>
      <c r="I435" s="36" t="s">
        <v>407</v>
      </c>
      <c r="J435" s="36">
        <v>1</v>
      </c>
      <c r="K435" s="36" t="s">
        <v>326</v>
      </c>
      <c r="L435" s="36">
        <v>4</v>
      </c>
      <c r="M435" s="36">
        <v>1</v>
      </c>
      <c r="N435" s="38">
        <v>26000000</v>
      </c>
      <c r="O435" s="41">
        <v>2166667</v>
      </c>
      <c r="P435" s="36">
        <v>12</v>
      </c>
      <c r="Q435" s="36" t="s">
        <v>318</v>
      </c>
      <c r="R435" s="36" t="s">
        <v>360</v>
      </c>
      <c r="S435" s="36" t="s">
        <v>361</v>
      </c>
      <c r="T435" s="36" t="s">
        <v>362</v>
      </c>
      <c r="U435" s="36" t="s">
        <v>363</v>
      </c>
      <c r="V435" s="40">
        <v>45870</v>
      </c>
      <c r="W435" s="40">
        <v>45889</v>
      </c>
      <c r="X435" s="36">
        <v>0</v>
      </c>
      <c r="Y435" s="36"/>
      <c r="Z435" s="36">
        <v>1</v>
      </c>
      <c r="AA435" s="36">
        <v>2166667</v>
      </c>
      <c r="AB435" s="40">
        <v>46204</v>
      </c>
      <c r="AC435" s="36" t="s">
        <v>2196</v>
      </c>
      <c r="AD435" s="36" t="str">
        <f>VLOOKUP(D435,Oficial!A:C,3,0)</f>
        <v>Arrastre</v>
      </c>
    </row>
    <row r="436" spans="1:30" x14ac:dyDescent="0.25">
      <c r="A436" s="36" t="s">
        <v>27</v>
      </c>
      <c r="B436" s="36" t="s">
        <v>405</v>
      </c>
      <c r="C436" s="36" t="s">
        <v>28</v>
      </c>
      <c r="D436" s="36" t="s">
        <v>405</v>
      </c>
      <c r="E436" s="36" t="s">
        <v>30</v>
      </c>
      <c r="F436" s="36" t="s">
        <v>31</v>
      </c>
      <c r="G436" s="37" t="s">
        <v>314</v>
      </c>
      <c r="H436" s="36" t="s">
        <v>406</v>
      </c>
      <c r="I436" s="36" t="s">
        <v>407</v>
      </c>
      <c r="J436" s="36">
        <v>1</v>
      </c>
      <c r="K436" s="36" t="s">
        <v>326</v>
      </c>
      <c r="L436" s="36">
        <v>4</v>
      </c>
      <c r="M436" s="36">
        <v>1</v>
      </c>
      <c r="N436" s="38">
        <v>26000000</v>
      </c>
      <c r="O436" s="41">
        <v>2166667</v>
      </c>
      <c r="P436" s="36">
        <v>12</v>
      </c>
      <c r="Q436" s="36" t="s">
        <v>318</v>
      </c>
      <c r="R436" s="36" t="s">
        <v>360</v>
      </c>
      <c r="S436" s="36" t="s">
        <v>361</v>
      </c>
      <c r="T436" s="36" t="s">
        <v>362</v>
      </c>
      <c r="U436" s="36" t="s">
        <v>363</v>
      </c>
      <c r="V436" s="40">
        <v>45870</v>
      </c>
      <c r="W436" s="40">
        <v>45889</v>
      </c>
      <c r="X436" s="36">
        <v>0</v>
      </c>
      <c r="Y436" s="36"/>
      <c r="Z436" s="36">
        <v>1</v>
      </c>
      <c r="AA436" s="36">
        <v>2166667</v>
      </c>
      <c r="AB436" s="40">
        <v>46266</v>
      </c>
      <c r="AC436" s="36" t="s">
        <v>2196</v>
      </c>
      <c r="AD436" s="36" t="str">
        <f>VLOOKUP(D436,Oficial!A:C,3,0)</f>
        <v>Arrastre</v>
      </c>
    </row>
    <row r="437" spans="1:30" x14ac:dyDescent="0.25">
      <c r="A437" s="36" t="s">
        <v>27</v>
      </c>
      <c r="B437" s="36" t="s">
        <v>408</v>
      </c>
      <c r="C437" s="36" t="s">
        <v>28</v>
      </c>
      <c r="D437" s="36" t="s">
        <v>408</v>
      </c>
      <c r="E437" s="36" t="s">
        <v>30</v>
      </c>
      <c r="F437" s="36" t="s">
        <v>31</v>
      </c>
      <c r="G437" s="37" t="s">
        <v>409</v>
      </c>
      <c r="H437" s="36" t="s">
        <v>410</v>
      </c>
      <c r="I437" s="36" t="s">
        <v>411</v>
      </c>
      <c r="J437" s="36">
        <v>1</v>
      </c>
      <c r="K437" s="36" t="s">
        <v>412</v>
      </c>
      <c r="L437" s="36">
        <v>4</v>
      </c>
      <c r="M437" s="36">
        <v>1</v>
      </c>
      <c r="N437" s="38">
        <v>500000000</v>
      </c>
      <c r="O437" s="42">
        <v>41666666</v>
      </c>
      <c r="P437" s="36">
        <v>12</v>
      </c>
      <c r="Q437" s="36" t="s">
        <v>413</v>
      </c>
      <c r="R437" s="36" t="s">
        <v>414</v>
      </c>
      <c r="S437" s="36" t="s">
        <v>415</v>
      </c>
      <c r="T437" s="36" t="s">
        <v>416</v>
      </c>
      <c r="U437" s="36" t="s">
        <v>417</v>
      </c>
      <c r="V437" s="40">
        <v>45870</v>
      </c>
      <c r="W437" s="40">
        <v>45889</v>
      </c>
      <c r="X437" s="36">
        <v>0</v>
      </c>
      <c r="Y437" s="36"/>
      <c r="Z437" s="36">
        <v>1</v>
      </c>
      <c r="AA437" s="36">
        <v>41666666</v>
      </c>
      <c r="AB437" s="40">
        <v>46174</v>
      </c>
      <c r="AC437" s="36" t="s">
        <v>2196</v>
      </c>
      <c r="AD437" s="36" t="str">
        <f>VLOOKUP(D437,Oficial!A:C,3,0)</f>
        <v>Arrastre</v>
      </c>
    </row>
    <row r="438" spans="1:30" x14ac:dyDescent="0.25">
      <c r="A438" s="36" t="s">
        <v>27</v>
      </c>
      <c r="B438" s="36" t="s">
        <v>408</v>
      </c>
      <c r="C438" s="36" t="s">
        <v>28</v>
      </c>
      <c r="D438" s="36" t="s">
        <v>408</v>
      </c>
      <c r="E438" s="36" t="s">
        <v>30</v>
      </c>
      <c r="F438" s="36" t="s">
        <v>31</v>
      </c>
      <c r="G438" s="37" t="s">
        <v>409</v>
      </c>
      <c r="H438" s="36" t="s">
        <v>410</v>
      </c>
      <c r="I438" s="36" t="s">
        <v>411</v>
      </c>
      <c r="J438" s="36">
        <v>1</v>
      </c>
      <c r="K438" s="36" t="s">
        <v>412</v>
      </c>
      <c r="L438" s="36">
        <v>4</v>
      </c>
      <c r="M438" s="36">
        <v>1</v>
      </c>
      <c r="N438" s="38">
        <v>500000000</v>
      </c>
      <c r="O438" s="42">
        <v>41666666</v>
      </c>
      <c r="P438" s="36">
        <v>12</v>
      </c>
      <c r="Q438" s="36" t="s">
        <v>413</v>
      </c>
      <c r="R438" s="36" t="s">
        <v>414</v>
      </c>
      <c r="S438" s="36" t="s">
        <v>415</v>
      </c>
      <c r="T438" s="36" t="s">
        <v>416</v>
      </c>
      <c r="U438" s="36" t="s">
        <v>417</v>
      </c>
      <c r="V438" s="40">
        <v>45870</v>
      </c>
      <c r="W438" s="40">
        <v>45889</v>
      </c>
      <c r="X438" s="36">
        <v>0</v>
      </c>
      <c r="Y438" s="36"/>
      <c r="Z438" s="36">
        <v>1</v>
      </c>
      <c r="AA438" s="36">
        <v>41666666</v>
      </c>
      <c r="AB438" s="40">
        <v>46327</v>
      </c>
      <c r="AC438" s="36" t="s">
        <v>2196</v>
      </c>
      <c r="AD438" s="36" t="str">
        <f>VLOOKUP(D438,Oficial!A:C,3,0)</f>
        <v>Arrastre</v>
      </c>
    </row>
    <row r="439" spans="1:30" x14ac:dyDescent="0.25">
      <c r="A439" s="36" t="s">
        <v>27</v>
      </c>
      <c r="B439" s="36" t="s">
        <v>408</v>
      </c>
      <c r="C439" s="36" t="s">
        <v>28</v>
      </c>
      <c r="D439" s="36" t="s">
        <v>408</v>
      </c>
      <c r="E439" s="36" t="s">
        <v>30</v>
      </c>
      <c r="F439" s="36" t="s">
        <v>31</v>
      </c>
      <c r="G439" s="37" t="s">
        <v>409</v>
      </c>
      <c r="H439" s="36" t="s">
        <v>410</v>
      </c>
      <c r="I439" s="36" t="s">
        <v>411</v>
      </c>
      <c r="J439" s="36">
        <v>1</v>
      </c>
      <c r="K439" s="36" t="s">
        <v>412</v>
      </c>
      <c r="L439" s="36">
        <v>4</v>
      </c>
      <c r="M439" s="36">
        <v>1</v>
      </c>
      <c r="N439" s="38">
        <v>500000000</v>
      </c>
      <c r="O439" s="42">
        <v>41666666</v>
      </c>
      <c r="P439" s="36">
        <v>12</v>
      </c>
      <c r="Q439" s="36" t="s">
        <v>413</v>
      </c>
      <c r="R439" s="36" t="s">
        <v>414</v>
      </c>
      <c r="S439" s="36" t="s">
        <v>415</v>
      </c>
      <c r="T439" s="36" t="s">
        <v>416</v>
      </c>
      <c r="U439" s="36" t="s">
        <v>417</v>
      </c>
      <c r="V439" s="40">
        <v>45870</v>
      </c>
      <c r="W439" s="40">
        <v>45889</v>
      </c>
      <c r="X439" s="36">
        <v>0</v>
      </c>
      <c r="Y439" s="36"/>
      <c r="Z439" s="36">
        <v>1</v>
      </c>
      <c r="AA439" s="36">
        <v>41666666</v>
      </c>
      <c r="AB439" s="40">
        <v>46113</v>
      </c>
      <c r="AC439" s="36" t="s">
        <v>2196</v>
      </c>
      <c r="AD439" s="36" t="str">
        <f>VLOOKUP(D439,Oficial!A:C,3,0)</f>
        <v>Arrastre</v>
      </c>
    </row>
    <row r="440" spans="1:30" x14ac:dyDescent="0.25">
      <c r="A440" s="36" t="s">
        <v>27</v>
      </c>
      <c r="B440" s="36" t="s">
        <v>408</v>
      </c>
      <c r="C440" s="36" t="s">
        <v>28</v>
      </c>
      <c r="D440" s="36" t="s">
        <v>408</v>
      </c>
      <c r="E440" s="36" t="s">
        <v>30</v>
      </c>
      <c r="F440" s="36" t="s">
        <v>31</v>
      </c>
      <c r="G440" s="37" t="s">
        <v>409</v>
      </c>
      <c r="H440" s="36" t="s">
        <v>410</v>
      </c>
      <c r="I440" s="36" t="s">
        <v>411</v>
      </c>
      <c r="J440" s="36">
        <v>1</v>
      </c>
      <c r="K440" s="36" t="s">
        <v>412</v>
      </c>
      <c r="L440" s="36">
        <v>4</v>
      </c>
      <c r="M440" s="36">
        <v>1</v>
      </c>
      <c r="N440" s="38">
        <v>500000000</v>
      </c>
      <c r="O440" s="42">
        <v>41666666</v>
      </c>
      <c r="P440" s="36">
        <v>12</v>
      </c>
      <c r="Q440" s="36" t="s">
        <v>413</v>
      </c>
      <c r="R440" s="36" t="s">
        <v>414</v>
      </c>
      <c r="S440" s="36" t="s">
        <v>415</v>
      </c>
      <c r="T440" s="36" t="s">
        <v>416</v>
      </c>
      <c r="U440" s="36" t="s">
        <v>417</v>
      </c>
      <c r="V440" s="40">
        <v>45870</v>
      </c>
      <c r="W440" s="40">
        <v>45889</v>
      </c>
      <c r="X440" s="36">
        <v>0</v>
      </c>
      <c r="Y440" s="36"/>
      <c r="Z440" s="36">
        <v>1</v>
      </c>
      <c r="AA440" s="36">
        <v>41666666</v>
      </c>
      <c r="AB440" s="40">
        <v>46023</v>
      </c>
      <c r="AC440" s="36" t="s">
        <v>2196</v>
      </c>
      <c r="AD440" s="36" t="str">
        <f>VLOOKUP(D440,Oficial!A:C,3,0)</f>
        <v>Arrastre</v>
      </c>
    </row>
    <row r="441" spans="1:30" x14ac:dyDescent="0.25">
      <c r="A441" s="36" t="s">
        <v>27</v>
      </c>
      <c r="B441" s="36" t="s">
        <v>408</v>
      </c>
      <c r="C441" s="36" t="s">
        <v>28</v>
      </c>
      <c r="D441" s="36" t="s">
        <v>408</v>
      </c>
      <c r="E441" s="36" t="s">
        <v>30</v>
      </c>
      <c r="F441" s="36" t="s">
        <v>31</v>
      </c>
      <c r="G441" s="37" t="s">
        <v>409</v>
      </c>
      <c r="H441" s="36" t="s">
        <v>410</v>
      </c>
      <c r="I441" s="36" t="s">
        <v>411</v>
      </c>
      <c r="J441" s="36">
        <v>1</v>
      </c>
      <c r="K441" s="36" t="s">
        <v>412</v>
      </c>
      <c r="L441" s="36">
        <v>4</v>
      </c>
      <c r="M441" s="36">
        <v>1</v>
      </c>
      <c r="N441" s="38">
        <v>500000000</v>
      </c>
      <c r="O441" s="42">
        <v>41666666</v>
      </c>
      <c r="P441" s="36">
        <v>12</v>
      </c>
      <c r="Q441" s="36" t="s">
        <v>413</v>
      </c>
      <c r="R441" s="36" t="s">
        <v>414</v>
      </c>
      <c r="S441" s="36" t="s">
        <v>415</v>
      </c>
      <c r="T441" s="36" t="s">
        <v>416</v>
      </c>
      <c r="U441" s="36" t="s">
        <v>417</v>
      </c>
      <c r="V441" s="40">
        <v>45870</v>
      </c>
      <c r="W441" s="40">
        <v>45889</v>
      </c>
      <c r="X441" s="36">
        <v>0</v>
      </c>
      <c r="Y441" s="36"/>
      <c r="Z441" s="36">
        <v>1</v>
      </c>
      <c r="AA441" s="36">
        <v>41666666</v>
      </c>
      <c r="AB441" s="40">
        <v>46296</v>
      </c>
      <c r="AC441" s="36" t="s">
        <v>2196</v>
      </c>
      <c r="AD441" s="36" t="str">
        <f>VLOOKUP(D441,Oficial!A:C,3,0)</f>
        <v>Arrastre</v>
      </c>
    </row>
    <row r="442" spans="1:30" x14ac:dyDescent="0.25">
      <c r="A442" s="36" t="s">
        <v>27</v>
      </c>
      <c r="B442" s="36" t="s">
        <v>408</v>
      </c>
      <c r="C442" s="36" t="s">
        <v>28</v>
      </c>
      <c r="D442" s="36" t="s">
        <v>408</v>
      </c>
      <c r="E442" s="36" t="s">
        <v>30</v>
      </c>
      <c r="F442" s="36" t="s">
        <v>31</v>
      </c>
      <c r="G442" s="37" t="s">
        <v>409</v>
      </c>
      <c r="H442" s="36" t="s">
        <v>410</v>
      </c>
      <c r="I442" s="36" t="s">
        <v>411</v>
      </c>
      <c r="J442" s="36">
        <v>1</v>
      </c>
      <c r="K442" s="36" t="s">
        <v>412</v>
      </c>
      <c r="L442" s="36">
        <v>4</v>
      </c>
      <c r="M442" s="36">
        <v>1</v>
      </c>
      <c r="N442" s="38">
        <v>500000000</v>
      </c>
      <c r="O442" s="42">
        <v>41666666</v>
      </c>
      <c r="P442" s="36">
        <v>12</v>
      </c>
      <c r="Q442" s="36" t="s">
        <v>413</v>
      </c>
      <c r="R442" s="36" t="s">
        <v>414</v>
      </c>
      <c r="S442" s="36" t="s">
        <v>415</v>
      </c>
      <c r="T442" s="36" t="s">
        <v>416</v>
      </c>
      <c r="U442" s="36" t="s">
        <v>417</v>
      </c>
      <c r="V442" s="40">
        <v>45870</v>
      </c>
      <c r="W442" s="40">
        <v>45889</v>
      </c>
      <c r="X442" s="36">
        <v>0</v>
      </c>
      <c r="Y442" s="36"/>
      <c r="Z442" s="36">
        <v>1</v>
      </c>
      <c r="AA442" s="36">
        <v>41666666</v>
      </c>
      <c r="AB442" s="40">
        <v>46235</v>
      </c>
      <c r="AC442" s="36" t="s">
        <v>2196</v>
      </c>
      <c r="AD442" s="36" t="str">
        <f>VLOOKUP(D442,Oficial!A:C,3,0)</f>
        <v>Arrastre</v>
      </c>
    </row>
    <row r="443" spans="1:30" x14ac:dyDescent="0.25">
      <c r="A443" s="36" t="s">
        <v>27</v>
      </c>
      <c r="B443" s="36" t="s">
        <v>408</v>
      </c>
      <c r="C443" s="36" t="s">
        <v>28</v>
      </c>
      <c r="D443" s="36" t="s">
        <v>408</v>
      </c>
      <c r="E443" s="36" t="s">
        <v>30</v>
      </c>
      <c r="F443" s="36" t="s">
        <v>31</v>
      </c>
      <c r="G443" s="37" t="s">
        <v>409</v>
      </c>
      <c r="H443" s="36" t="s">
        <v>410</v>
      </c>
      <c r="I443" s="36" t="s">
        <v>411</v>
      </c>
      <c r="J443" s="36">
        <v>1</v>
      </c>
      <c r="K443" s="36" t="s">
        <v>412</v>
      </c>
      <c r="L443" s="36">
        <v>4</v>
      </c>
      <c r="M443" s="36">
        <v>1</v>
      </c>
      <c r="N443" s="38">
        <v>500000000</v>
      </c>
      <c r="O443" s="42">
        <v>41666666</v>
      </c>
      <c r="P443" s="36">
        <v>12</v>
      </c>
      <c r="Q443" s="36" t="s">
        <v>413</v>
      </c>
      <c r="R443" s="36" t="s">
        <v>414</v>
      </c>
      <c r="S443" s="36" t="s">
        <v>415</v>
      </c>
      <c r="T443" s="36" t="s">
        <v>416</v>
      </c>
      <c r="U443" s="36" t="s">
        <v>417</v>
      </c>
      <c r="V443" s="40">
        <v>45870</v>
      </c>
      <c r="W443" s="40">
        <v>45889</v>
      </c>
      <c r="X443" s="36">
        <v>0</v>
      </c>
      <c r="Y443" s="36"/>
      <c r="Z443" s="36">
        <v>1</v>
      </c>
      <c r="AA443" s="36">
        <v>41666666</v>
      </c>
      <c r="AB443" s="40">
        <v>46054</v>
      </c>
      <c r="AC443" s="36" t="s">
        <v>2196</v>
      </c>
      <c r="AD443" s="36" t="str">
        <f>VLOOKUP(D443,Oficial!A:C,3,0)</f>
        <v>Arrastre</v>
      </c>
    </row>
    <row r="444" spans="1:30" x14ac:dyDescent="0.25">
      <c r="A444" s="36" t="s">
        <v>27</v>
      </c>
      <c r="B444" s="36" t="s">
        <v>408</v>
      </c>
      <c r="C444" s="36" t="s">
        <v>28</v>
      </c>
      <c r="D444" s="36" t="s">
        <v>408</v>
      </c>
      <c r="E444" s="36" t="s">
        <v>30</v>
      </c>
      <c r="F444" s="36" t="s">
        <v>31</v>
      </c>
      <c r="G444" s="37" t="s">
        <v>409</v>
      </c>
      <c r="H444" s="36" t="s">
        <v>410</v>
      </c>
      <c r="I444" s="36" t="s">
        <v>411</v>
      </c>
      <c r="J444" s="36">
        <v>1</v>
      </c>
      <c r="K444" s="36" t="s">
        <v>412</v>
      </c>
      <c r="L444" s="36">
        <v>4</v>
      </c>
      <c r="M444" s="36">
        <v>1</v>
      </c>
      <c r="N444" s="38">
        <v>500000000</v>
      </c>
      <c r="O444" s="42">
        <v>41666666</v>
      </c>
      <c r="P444" s="36">
        <v>12</v>
      </c>
      <c r="Q444" s="36" t="s">
        <v>413</v>
      </c>
      <c r="R444" s="36" t="s">
        <v>414</v>
      </c>
      <c r="S444" s="36" t="s">
        <v>415</v>
      </c>
      <c r="T444" s="36" t="s">
        <v>416</v>
      </c>
      <c r="U444" s="36" t="s">
        <v>417</v>
      </c>
      <c r="V444" s="40">
        <v>45870</v>
      </c>
      <c r="W444" s="40">
        <v>45889</v>
      </c>
      <c r="X444" s="36">
        <v>0</v>
      </c>
      <c r="Y444" s="36"/>
      <c r="Z444" s="36">
        <v>1</v>
      </c>
      <c r="AA444" s="36">
        <v>41666666</v>
      </c>
      <c r="AB444" s="40">
        <v>46143</v>
      </c>
      <c r="AC444" s="36" t="s">
        <v>2196</v>
      </c>
      <c r="AD444" s="36" t="str">
        <f>VLOOKUP(D444,Oficial!A:C,3,0)</f>
        <v>Arrastre</v>
      </c>
    </row>
    <row r="445" spans="1:30" x14ac:dyDescent="0.25">
      <c r="A445" s="36" t="s">
        <v>27</v>
      </c>
      <c r="B445" s="36" t="s">
        <v>408</v>
      </c>
      <c r="C445" s="36" t="s">
        <v>28</v>
      </c>
      <c r="D445" s="36" t="s">
        <v>408</v>
      </c>
      <c r="E445" s="36" t="s">
        <v>30</v>
      </c>
      <c r="F445" s="36" t="s">
        <v>31</v>
      </c>
      <c r="G445" s="37" t="s">
        <v>409</v>
      </c>
      <c r="H445" s="36" t="s">
        <v>410</v>
      </c>
      <c r="I445" s="36" t="s">
        <v>411</v>
      </c>
      <c r="J445" s="36">
        <v>1</v>
      </c>
      <c r="K445" s="36" t="s">
        <v>412</v>
      </c>
      <c r="L445" s="36">
        <v>4</v>
      </c>
      <c r="M445" s="36">
        <v>1</v>
      </c>
      <c r="N445" s="38">
        <v>500000000</v>
      </c>
      <c r="O445" s="42">
        <v>41666666</v>
      </c>
      <c r="P445" s="36">
        <v>12</v>
      </c>
      <c r="Q445" s="36" t="s">
        <v>413</v>
      </c>
      <c r="R445" s="36" t="s">
        <v>414</v>
      </c>
      <c r="S445" s="36" t="s">
        <v>415</v>
      </c>
      <c r="T445" s="36" t="s">
        <v>416</v>
      </c>
      <c r="U445" s="36" t="s">
        <v>417</v>
      </c>
      <c r="V445" s="40">
        <v>45870</v>
      </c>
      <c r="W445" s="40">
        <v>45889</v>
      </c>
      <c r="X445" s="36">
        <v>0</v>
      </c>
      <c r="Y445" s="36"/>
      <c r="Z445" s="36">
        <v>1</v>
      </c>
      <c r="AA445" s="36">
        <v>41666666</v>
      </c>
      <c r="AB445" s="40">
        <v>46204</v>
      </c>
      <c r="AC445" s="36" t="s">
        <v>2196</v>
      </c>
      <c r="AD445" s="36" t="str">
        <f>VLOOKUP(D445,Oficial!A:C,3,0)</f>
        <v>Arrastre</v>
      </c>
    </row>
    <row r="446" spans="1:30" x14ac:dyDescent="0.25">
      <c r="A446" s="36" t="s">
        <v>27</v>
      </c>
      <c r="B446" s="36" t="s">
        <v>408</v>
      </c>
      <c r="C446" s="36" t="s">
        <v>28</v>
      </c>
      <c r="D446" s="36" t="s">
        <v>408</v>
      </c>
      <c r="E446" s="36" t="s">
        <v>30</v>
      </c>
      <c r="F446" s="36" t="s">
        <v>31</v>
      </c>
      <c r="G446" s="37" t="s">
        <v>409</v>
      </c>
      <c r="H446" s="36" t="s">
        <v>410</v>
      </c>
      <c r="I446" s="36" t="s">
        <v>411</v>
      </c>
      <c r="J446" s="36">
        <v>1</v>
      </c>
      <c r="K446" s="36" t="s">
        <v>412</v>
      </c>
      <c r="L446" s="36">
        <v>4</v>
      </c>
      <c r="M446" s="36">
        <v>1</v>
      </c>
      <c r="N446" s="38">
        <v>500000000</v>
      </c>
      <c r="O446" s="42">
        <v>41666674</v>
      </c>
      <c r="P446" s="36">
        <v>12</v>
      </c>
      <c r="Q446" s="36" t="s">
        <v>413</v>
      </c>
      <c r="R446" s="36" t="s">
        <v>414</v>
      </c>
      <c r="S446" s="36" t="s">
        <v>415</v>
      </c>
      <c r="T446" s="36" t="s">
        <v>416</v>
      </c>
      <c r="U446" s="36" t="s">
        <v>417</v>
      </c>
      <c r="V446" s="40">
        <v>45870</v>
      </c>
      <c r="W446" s="40">
        <v>45889</v>
      </c>
      <c r="X446" s="36">
        <v>0</v>
      </c>
      <c r="Y446" s="36"/>
      <c r="Z446" s="36">
        <v>1</v>
      </c>
      <c r="AA446" s="36">
        <v>41666674</v>
      </c>
      <c r="AB446" s="40">
        <v>46357</v>
      </c>
      <c r="AC446" s="36" t="s">
        <v>2196</v>
      </c>
      <c r="AD446" s="36" t="str">
        <f>VLOOKUP(D446,Oficial!A:C,3,0)</f>
        <v>Arrastre</v>
      </c>
    </row>
    <row r="447" spans="1:30" x14ac:dyDescent="0.25">
      <c r="A447" s="36" t="s">
        <v>27</v>
      </c>
      <c r="B447" s="36" t="s">
        <v>408</v>
      </c>
      <c r="C447" s="36" t="s">
        <v>28</v>
      </c>
      <c r="D447" s="36" t="s">
        <v>408</v>
      </c>
      <c r="E447" s="36" t="s">
        <v>30</v>
      </c>
      <c r="F447" s="36" t="s">
        <v>31</v>
      </c>
      <c r="G447" s="37" t="s">
        <v>409</v>
      </c>
      <c r="H447" s="36" t="s">
        <v>410</v>
      </c>
      <c r="I447" s="36" t="s">
        <v>411</v>
      </c>
      <c r="J447" s="36">
        <v>1</v>
      </c>
      <c r="K447" s="36" t="s">
        <v>412</v>
      </c>
      <c r="L447" s="36">
        <v>4</v>
      </c>
      <c r="M447" s="36">
        <v>1</v>
      </c>
      <c r="N447" s="38">
        <v>500000000</v>
      </c>
      <c r="O447" s="42">
        <v>41666666</v>
      </c>
      <c r="P447" s="36">
        <v>12</v>
      </c>
      <c r="Q447" s="36" t="s">
        <v>413</v>
      </c>
      <c r="R447" s="36" t="s">
        <v>414</v>
      </c>
      <c r="S447" s="36" t="s">
        <v>415</v>
      </c>
      <c r="T447" s="36" t="s">
        <v>416</v>
      </c>
      <c r="U447" s="36" t="s">
        <v>417</v>
      </c>
      <c r="V447" s="40">
        <v>45870</v>
      </c>
      <c r="W447" s="40">
        <v>45889</v>
      </c>
      <c r="X447" s="36">
        <v>0</v>
      </c>
      <c r="Y447" s="36"/>
      <c r="Z447" s="36">
        <v>1</v>
      </c>
      <c r="AA447" s="36">
        <v>41666666</v>
      </c>
      <c r="AB447" s="40">
        <v>46266</v>
      </c>
      <c r="AC447" s="36" t="s">
        <v>2196</v>
      </c>
      <c r="AD447" s="36" t="str">
        <f>VLOOKUP(D447,Oficial!A:C,3,0)</f>
        <v>Arrastre</v>
      </c>
    </row>
    <row r="448" spans="1:30" x14ac:dyDescent="0.25">
      <c r="A448" s="36" t="s">
        <v>27</v>
      </c>
      <c r="B448" s="36" t="s">
        <v>408</v>
      </c>
      <c r="C448" s="36" t="s">
        <v>28</v>
      </c>
      <c r="D448" s="36" t="s">
        <v>408</v>
      </c>
      <c r="E448" s="36" t="s">
        <v>30</v>
      </c>
      <c r="F448" s="36" t="s">
        <v>31</v>
      </c>
      <c r="G448" s="37" t="s">
        <v>409</v>
      </c>
      <c r="H448" s="36" t="s">
        <v>410</v>
      </c>
      <c r="I448" s="36" t="s">
        <v>411</v>
      </c>
      <c r="J448" s="36">
        <v>1</v>
      </c>
      <c r="K448" s="36" t="s">
        <v>412</v>
      </c>
      <c r="L448" s="36">
        <v>4</v>
      </c>
      <c r="M448" s="36">
        <v>1</v>
      </c>
      <c r="N448" s="38">
        <v>500000000</v>
      </c>
      <c r="O448" s="42">
        <v>41666666</v>
      </c>
      <c r="P448" s="36">
        <v>12</v>
      </c>
      <c r="Q448" s="36" t="s">
        <v>413</v>
      </c>
      <c r="R448" s="36" t="s">
        <v>414</v>
      </c>
      <c r="S448" s="36" t="s">
        <v>415</v>
      </c>
      <c r="T448" s="36" t="s">
        <v>416</v>
      </c>
      <c r="U448" s="36" t="s">
        <v>417</v>
      </c>
      <c r="V448" s="40">
        <v>45870</v>
      </c>
      <c r="W448" s="40">
        <v>45889</v>
      </c>
      <c r="X448" s="36">
        <v>0</v>
      </c>
      <c r="Y448" s="36"/>
      <c r="Z448" s="36">
        <v>1</v>
      </c>
      <c r="AA448" s="36">
        <v>41666666</v>
      </c>
      <c r="AB448" s="40">
        <v>46082</v>
      </c>
      <c r="AC448" s="36" t="s">
        <v>2196</v>
      </c>
      <c r="AD448" s="36" t="str">
        <f>VLOOKUP(D448,Oficial!A:C,3,0)</f>
        <v>Arrastre</v>
      </c>
    </row>
    <row r="449" spans="1:30" x14ac:dyDescent="0.25">
      <c r="A449" s="36" t="s">
        <v>27</v>
      </c>
      <c r="B449" s="36" t="s">
        <v>418</v>
      </c>
      <c r="C449" s="36" t="s">
        <v>28</v>
      </c>
      <c r="D449" s="36" t="s">
        <v>418</v>
      </c>
      <c r="E449" s="36" t="s">
        <v>30</v>
      </c>
      <c r="F449" s="36" t="s">
        <v>31</v>
      </c>
      <c r="G449" s="37" t="s">
        <v>129</v>
      </c>
      <c r="H449" s="36" t="s">
        <v>419</v>
      </c>
      <c r="I449" s="36" t="s">
        <v>420</v>
      </c>
      <c r="J449" s="36">
        <v>1</v>
      </c>
      <c r="K449" s="36" t="s">
        <v>421</v>
      </c>
      <c r="L449" s="36">
        <v>4</v>
      </c>
      <c r="M449" s="36">
        <v>1</v>
      </c>
      <c r="N449" s="38">
        <v>95481792</v>
      </c>
      <c r="O449" s="44">
        <v>7956816</v>
      </c>
      <c r="P449" s="36">
        <v>12</v>
      </c>
      <c r="Q449" s="36" t="s">
        <v>318</v>
      </c>
      <c r="R449" s="36" t="s">
        <v>422</v>
      </c>
      <c r="S449" s="36" t="s">
        <v>423</v>
      </c>
      <c r="T449" s="36" t="s">
        <v>424</v>
      </c>
      <c r="U449" s="36" t="s">
        <v>425</v>
      </c>
      <c r="V449" s="40">
        <v>45870</v>
      </c>
      <c r="W449" s="40">
        <v>45889</v>
      </c>
      <c r="X449" s="36">
        <v>0</v>
      </c>
      <c r="Y449" s="36"/>
      <c r="Z449" s="36">
        <v>1</v>
      </c>
      <c r="AA449" s="36">
        <v>7956816</v>
      </c>
      <c r="AB449" s="40">
        <v>46082</v>
      </c>
      <c r="AC449" s="36" t="s">
        <v>2196</v>
      </c>
      <c r="AD449" s="36" t="str">
        <f>VLOOKUP(D449,Oficial!A:C,3,0)</f>
        <v>Arrastre</v>
      </c>
    </row>
    <row r="450" spans="1:30" x14ac:dyDescent="0.25">
      <c r="A450" s="36" t="s">
        <v>27</v>
      </c>
      <c r="B450" s="36" t="s">
        <v>418</v>
      </c>
      <c r="C450" s="36" t="s">
        <v>28</v>
      </c>
      <c r="D450" s="36" t="s">
        <v>418</v>
      </c>
      <c r="E450" s="36" t="s">
        <v>30</v>
      </c>
      <c r="F450" s="36" t="s">
        <v>31</v>
      </c>
      <c r="G450" s="37" t="s">
        <v>129</v>
      </c>
      <c r="H450" s="36" t="s">
        <v>419</v>
      </c>
      <c r="I450" s="36" t="s">
        <v>420</v>
      </c>
      <c r="J450" s="36">
        <v>1</v>
      </c>
      <c r="K450" s="36" t="s">
        <v>421</v>
      </c>
      <c r="L450" s="36">
        <v>4</v>
      </c>
      <c r="M450" s="36">
        <v>1</v>
      </c>
      <c r="N450" s="38">
        <v>95481792</v>
      </c>
      <c r="O450" s="44">
        <v>7956816</v>
      </c>
      <c r="P450" s="36">
        <v>12</v>
      </c>
      <c r="Q450" s="36" t="s">
        <v>318</v>
      </c>
      <c r="R450" s="36" t="s">
        <v>422</v>
      </c>
      <c r="S450" s="36" t="s">
        <v>423</v>
      </c>
      <c r="T450" s="36" t="s">
        <v>424</v>
      </c>
      <c r="U450" s="36" t="s">
        <v>425</v>
      </c>
      <c r="V450" s="40">
        <v>45870</v>
      </c>
      <c r="W450" s="40">
        <v>45889</v>
      </c>
      <c r="X450" s="36">
        <v>0</v>
      </c>
      <c r="Y450" s="36"/>
      <c r="Z450" s="36">
        <v>1</v>
      </c>
      <c r="AA450" s="36">
        <v>7956816</v>
      </c>
      <c r="AB450" s="40">
        <v>46235</v>
      </c>
      <c r="AC450" s="36" t="s">
        <v>2196</v>
      </c>
      <c r="AD450" s="36" t="str">
        <f>VLOOKUP(D450,Oficial!A:C,3,0)</f>
        <v>Arrastre</v>
      </c>
    </row>
    <row r="451" spans="1:30" x14ac:dyDescent="0.25">
      <c r="A451" s="36" t="s">
        <v>27</v>
      </c>
      <c r="B451" s="36" t="s">
        <v>418</v>
      </c>
      <c r="C451" s="36" t="s">
        <v>28</v>
      </c>
      <c r="D451" s="36" t="s">
        <v>418</v>
      </c>
      <c r="E451" s="36" t="s">
        <v>30</v>
      </c>
      <c r="F451" s="36" t="s">
        <v>31</v>
      </c>
      <c r="G451" s="37" t="s">
        <v>129</v>
      </c>
      <c r="H451" s="36" t="s">
        <v>419</v>
      </c>
      <c r="I451" s="36" t="s">
        <v>420</v>
      </c>
      <c r="J451" s="36">
        <v>1</v>
      </c>
      <c r="K451" s="36" t="s">
        <v>421</v>
      </c>
      <c r="L451" s="36">
        <v>4</v>
      </c>
      <c r="M451" s="36">
        <v>1</v>
      </c>
      <c r="N451" s="38">
        <v>95481792</v>
      </c>
      <c r="O451" s="44">
        <v>7956816</v>
      </c>
      <c r="P451" s="36">
        <v>12</v>
      </c>
      <c r="Q451" s="36" t="s">
        <v>318</v>
      </c>
      <c r="R451" s="36" t="s">
        <v>422</v>
      </c>
      <c r="S451" s="36" t="s">
        <v>423</v>
      </c>
      <c r="T451" s="36" t="s">
        <v>424</v>
      </c>
      <c r="U451" s="36" t="s">
        <v>425</v>
      </c>
      <c r="V451" s="40">
        <v>45870</v>
      </c>
      <c r="W451" s="40">
        <v>45889</v>
      </c>
      <c r="X451" s="36">
        <v>0</v>
      </c>
      <c r="Y451" s="36"/>
      <c r="Z451" s="36">
        <v>1</v>
      </c>
      <c r="AA451" s="36">
        <v>7956816</v>
      </c>
      <c r="AB451" s="40">
        <v>46357</v>
      </c>
      <c r="AC451" s="36" t="s">
        <v>2196</v>
      </c>
      <c r="AD451" s="36" t="str">
        <f>VLOOKUP(D451,Oficial!A:C,3,0)</f>
        <v>Arrastre</v>
      </c>
    </row>
    <row r="452" spans="1:30" x14ac:dyDescent="0.25">
      <c r="A452" s="36" t="s">
        <v>27</v>
      </c>
      <c r="B452" s="36" t="s">
        <v>418</v>
      </c>
      <c r="C452" s="36" t="s">
        <v>28</v>
      </c>
      <c r="D452" s="36" t="s">
        <v>418</v>
      </c>
      <c r="E452" s="36" t="s">
        <v>30</v>
      </c>
      <c r="F452" s="36" t="s">
        <v>31</v>
      </c>
      <c r="G452" s="37" t="s">
        <v>129</v>
      </c>
      <c r="H452" s="36" t="s">
        <v>419</v>
      </c>
      <c r="I452" s="36" t="s">
        <v>420</v>
      </c>
      <c r="J452" s="36">
        <v>1</v>
      </c>
      <c r="K452" s="36" t="s">
        <v>421</v>
      </c>
      <c r="L452" s="36">
        <v>4</v>
      </c>
      <c r="M452" s="36">
        <v>1</v>
      </c>
      <c r="N452" s="38">
        <v>95481792</v>
      </c>
      <c r="O452" s="44">
        <v>7956816</v>
      </c>
      <c r="P452" s="36">
        <v>12</v>
      </c>
      <c r="Q452" s="36" t="s">
        <v>318</v>
      </c>
      <c r="R452" s="36" t="s">
        <v>422</v>
      </c>
      <c r="S452" s="36" t="s">
        <v>423</v>
      </c>
      <c r="T452" s="36" t="s">
        <v>424</v>
      </c>
      <c r="U452" s="36" t="s">
        <v>425</v>
      </c>
      <c r="V452" s="40">
        <v>45870</v>
      </c>
      <c r="W452" s="40">
        <v>45889</v>
      </c>
      <c r="X452" s="36">
        <v>0</v>
      </c>
      <c r="Y452" s="36"/>
      <c r="Z452" s="36">
        <v>1</v>
      </c>
      <c r="AA452" s="36">
        <v>7956816</v>
      </c>
      <c r="AB452" s="40">
        <v>46113</v>
      </c>
      <c r="AC452" s="36" t="s">
        <v>2196</v>
      </c>
      <c r="AD452" s="36" t="str">
        <f>VLOOKUP(D452,Oficial!A:C,3,0)</f>
        <v>Arrastre</v>
      </c>
    </row>
    <row r="453" spans="1:30" x14ac:dyDescent="0.25">
      <c r="A453" s="36" t="s">
        <v>27</v>
      </c>
      <c r="B453" s="36" t="s">
        <v>418</v>
      </c>
      <c r="C453" s="36" t="s">
        <v>28</v>
      </c>
      <c r="D453" s="36" t="s">
        <v>418</v>
      </c>
      <c r="E453" s="36" t="s">
        <v>30</v>
      </c>
      <c r="F453" s="36" t="s">
        <v>31</v>
      </c>
      <c r="G453" s="37" t="s">
        <v>129</v>
      </c>
      <c r="H453" s="36" t="s">
        <v>419</v>
      </c>
      <c r="I453" s="36" t="s">
        <v>420</v>
      </c>
      <c r="J453" s="36">
        <v>1</v>
      </c>
      <c r="K453" s="36" t="s">
        <v>421</v>
      </c>
      <c r="L453" s="36">
        <v>4</v>
      </c>
      <c r="M453" s="36">
        <v>1</v>
      </c>
      <c r="N453" s="38">
        <v>95481792</v>
      </c>
      <c r="O453" s="44">
        <v>7956816</v>
      </c>
      <c r="P453" s="36">
        <v>12</v>
      </c>
      <c r="Q453" s="36" t="s">
        <v>318</v>
      </c>
      <c r="R453" s="36" t="s">
        <v>422</v>
      </c>
      <c r="S453" s="36" t="s">
        <v>423</v>
      </c>
      <c r="T453" s="36" t="s">
        <v>424</v>
      </c>
      <c r="U453" s="36" t="s">
        <v>425</v>
      </c>
      <c r="V453" s="40">
        <v>45870</v>
      </c>
      <c r="W453" s="40">
        <v>45889</v>
      </c>
      <c r="X453" s="36">
        <v>0</v>
      </c>
      <c r="Y453" s="36"/>
      <c r="Z453" s="36">
        <v>1</v>
      </c>
      <c r="AA453" s="36">
        <v>7956816</v>
      </c>
      <c r="AB453" s="40">
        <v>46204</v>
      </c>
      <c r="AC453" s="36" t="s">
        <v>2196</v>
      </c>
      <c r="AD453" s="36" t="str">
        <f>VLOOKUP(D453,Oficial!A:C,3,0)</f>
        <v>Arrastre</v>
      </c>
    </row>
    <row r="454" spans="1:30" x14ac:dyDescent="0.25">
      <c r="A454" s="36" t="s">
        <v>27</v>
      </c>
      <c r="B454" s="36" t="s">
        <v>418</v>
      </c>
      <c r="C454" s="36" t="s">
        <v>28</v>
      </c>
      <c r="D454" s="36" t="s">
        <v>418</v>
      </c>
      <c r="E454" s="36" t="s">
        <v>30</v>
      </c>
      <c r="F454" s="36" t="s">
        <v>31</v>
      </c>
      <c r="G454" s="37" t="s">
        <v>129</v>
      </c>
      <c r="H454" s="36" t="s">
        <v>419</v>
      </c>
      <c r="I454" s="36" t="s">
        <v>420</v>
      </c>
      <c r="J454" s="36">
        <v>1</v>
      </c>
      <c r="K454" s="36" t="s">
        <v>421</v>
      </c>
      <c r="L454" s="36">
        <v>4</v>
      </c>
      <c r="M454" s="36">
        <v>1</v>
      </c>
      <c r="N454" s="38">
        <v>95481792</v>
      </c>
      <c r="O454" s="44">
        <v>7956816</v>
      </c>
      <c r="P454" s="36">
        <v>12</v>
      </c>
      <c r="Q454" s="36" t="s">
        <v>318</v>
      </c>
      <c r="R454" s="36" t="s">
        <v>422</v>
      </c>
      <c r="S454" s="36" t="s">
        <v>423</v>
      </c>
      <c r="T454" s="36" t="s">
        <v>424</v>
      </c>
      <c r="U454" s="36" t="s">
        <v>425</v>
      </c>
      <c r="V454" s="40">
        <v>45870</v>
      </c>
      <c r="W454" s="40">
        <v>45889</v>
      </c>
      <c r="X454" s="36">
        <v>0</v>
      </c>
      <c r="Y454" s="36"/>
      <c r="Z454" s="36">
        <v>1</v>
      </c>
      <c r="AA454" s="36">
        <v>7956816</v>
      </c>
      <c r="AB454" s="40">
        <v>46054</v>
      </c>
      <c r="AC454" s="36" t="s">
        <v>2196</v>
      </c>
      <c r="AD454" s="36" t="str">
        <f>VLOOKUP(D454,Oficial!A:C,3,0)</f>
        <v>Arrastre</v>
      </c>
    </row>
    <row r="455" spans="1:30" x14ac:dyDescent="0.25">
      <c r="A455" s="36" t="s">
        <v>27</v>
      </c>
      <c r="B455" s="36" t="s">
        <v>418</v>
      </c>
      <c r="C455" s="36" t="s">
        <v>28</v>
      </c>
      <c r="D455" s="36" t="s">
        <v>418</v>
      </c>
      <c r="E455" s="36" t="s">
        <v>30</v>
      </c>
      <c r="F455" s="36" t="s">
        <v>31</v>
      </c>
      <c r="G455" s="37" t="s">
        <v>129</v>
      </c>
      <c r="H455" s="36" t="s">
        <v>419</v>
      </c>
      <c r="I455" s="36" t="s">
        <v>420</v>
      </c>
      <c r="J455" s="36">
        <v>1</v>
      </c>
      <c r="K455" s="36" t="s">
        <v>421</v>
      </c>
      <c r="L455" s="36">
        <v>4</v>
      </c>
      <c r="M455" s="36">
        <v>1</v>
      </c>
      <c r="N455" s="38">
        <v>95481792</v>
      </c>
      <c r="O455" s="44">
        <v>7956816</v>
      </c>
      <c r="P455" s="36">
        <v>12</v>
      </c>
      <c r="Q455" s="36" t="s">
        <v>318</v>
      </c>
      <c r="R455" s="36" t="s">
        <v>422</v>
      </c>
      <c r="S455" s="36" t="s">
        <v>423</v>
      </c>
      <c r="T455" s="36" t="s">
        <v>424</v>
      </c>
      <c r="U455" s="36" t="s">
        <v>425</v>
      </c>
      <c r="V455" s="40">
        <v>45870</v>
      </c>
      <c r="W455" s="40">
        <v>45889</v>
      </c>
      <c r="X455" s="36">
        <v>0</v>
      </c>
      <c r="Y455" s="36"/>
      <c r="Z455" s="36">
        <v>1</v>
      </c>
      <c r="AA455" s="36">
        <v>7956816</v>
      </c>
      <c r="AB455" s="40">
        <v>46143</v>
      </c>
      <c r="AC455" s="36" t="s">
        <v>2196</v>
      </c>
      <c r="AD455" s="36" t="str">
        <f>VLOOKUP(D455,Oficial!A:C,3,0)</f>
        <v>Arrastre</v>
      </c>
    </row>
    <row r="456" spans="1:30" x14ac:dyDescent="0.25">
      <c r="A456" s="36" t="s">
        <v>27</v>
      </c>
      <c r="B456" s="36" t="s">
        <v>418</v>
      </c>
      <c r="C456" s="36" t="s">
        <v>28</v>
      </c>
      <c r="D456" s="36" t="s">
        <v>418</v>
      </c>
      <c r="E456" s="36" t="s">
        <v>30</v>
      </c>
      <c r="F456" s="36" t="s">
        <v>31</v>
      </c>
      <c r="G456" s="37" t="s">
        <v>129</v>
      </c>
      <c r="H456" s="36" t="s">
        <v>419</v>
      </c>
      <c r="I456" s="36" t="s">
        <v>420</v>
      </c>
      <c r="J456" s="36">
        <v>1</v>
      </c>
      <c r="K456" s="36" t="s">
        <v>421</v>
      </c>
      <c r="L456" s="36">
        <v>4</v>
      </c>
      <c r="M456" s="36">
        <v>1</v>
      </c>
      <c r="N456" s="38">
        <v>95481792</v>
      </c>
      <c r="O456" s="44">
        <v>7956816</v>
      </c>
      <c r="P456" s="36">
        <v>12</v>
      </c>
      <c r="Q456" s="36" t="s">
        <v>318</v>
      </c>
      <c r="R456" s="36" t="s">
        <v>422</v>
      </c>
      <c r="S456" s="36" t="s">
        <v>423</v>
      </c>
      <c r="T456" s="36" t="s">
        <v>424</v>
      </c>
      <c r="U456" s="36" t="s">
        <v>425</v>
      </c>
      <c r="V456" s="40">
        <v>45870</v>
      </c>
      <c r="W456" s="40">
        <v>45889</v>
      </c>
      <c r="X456" s="36">
        <v>0</v>
      </c>
      <c r="Y456" s="36"/>
      <c r="Z456" s="36">
        <v>1</v>
      </c>
      <c r="AA456" s="36">
        <v>7956816</v>
      </c>
      <c r="AB456" s="40">
        <v>46327</v>
      </c>
      <c r="AC456" s="36" t="s">
        <v>2196</v>
      </c>
      <c r="AD456" s="36" t="str">
        <f>VLOOKUP(D456,Oficial!A:C,3,0)</f>
        <v>Arrastre</v>
      </c>
    </row>
    <row r="457" spans="1:30" x14ac:dyDescent="0.25">
      <c r="A457" s="36" t="s">
        <v>27</v>
      </c>
      <c r="B457" s="36" t="s">
        <v>418</v>
      </c>
      <c r="C457" s="36" t="s">
        <v>28</v>
      </c>
      <c r="D457" s="36" t="s">
        <v>418</v>
      </c>
      <c r="E457" s="36" t="s">
        <v>30</v>
      </c>
      <c r="F457" s="36" t="s">
        <v>31</v>
      </c>
      <c r="G457" s="37" t="s">
        <v>129</v>
      </c>
      <c r="H457" s="36" t="s">
        <v>419</v>
      </c>
      <c r="I457" s="36" t="s">
        <v>420</v>
      </c>
      <c r="J457" s="36">
        <v>1</v>
      </c>
      <c r="K457" s="36" t="s">
        <v>421</v>
      </c>
      <c r="L457" s="36">
        <v>4</v>
      </c>
      <c r="M457" s="36">
        <v>1</v>
      </c>
      <c r="N457" s="38">
        <v>95481792</v>
      </c>
      <c r="O457" s="44">
        <v>7956816</v>
      </c>
      <c r="P457" s="36">
        <v>12</v>
      </c>
      <c r="Q457" s="36" t="s">
        <v>318</v>
      </c>
      <c r="R457" s="36" t="s">
        <v>422</v>
      </c>
      <c r="S457" s="36" t="s">
        <v>423</v>
      </c>
      <c r="T457" s="36" t="s">
        <v>424</v>
      </c>
      <c r="U457" s="36" t="s">
        <v>425</v>
      </c>
      <c r="V457" s="40">
        <v>45870</v>
      </c>
      <c r="W457" s="40">
        <v>45889</v>
      </c>
      <c r="X457" s="36">
        <v>0</v>
      </c>
      <c r="Y457" s="36"/>
      <c r="Z457" s="36">
        <v>1</v>
      </c>
      <c r="AA457" s="36">
        <v>7956816</v>
      </c>
      <c r="AB457" s="40">
        <v>46296</v>
      </c>
      <c r="AC457" s="36" t="s">
        <v>2196</v>
      </c>
      <c r="AD457" s="36" t="str">
        <f>VLOOKUP(D457,Oficial!A:C,3,0)</f>
        <v>Arrastre</v>
      </c>
    </row>
    <row r="458" spans="1:30" x14ac:dyDescent="0.25">
      <c r="A458" s="36" t="s">
        <v>27</v>
      </c>
      <c r="B458" s="36" t="s">
        <v>418</v>
      </c>
      <c r="C458" s="36" t="s">
        <v>28</v>
      </c>
      <c r="D458" s="36" t="s">
        <v>418</v>
      </c>
      <c r="E458" s="36" t="s">
        <v>30</v>
      </c>
      <c r="F458" s="36" t="s">
        <v>31</v>
      </c>
      <c r="G458" s="37" t="s">
        <v>129</v>
      </c>
      <c r="H458" s="36" t="s">
        <v>419</v>
      </c>
      <c r="I458" s="36" t="s">
        <v>420</v>
      </c>
      <c r="J458" s="36">
        <v>1</v>
      </c>
      <c r="K458" s="36" t="s">
        <v>421</v>
      </c>
      <c r="L458" s="36">
        <v>4</v>
      </c>
      <c r="M458" s="36">
        <v>1</v>
      </c>
      <c r="N458" s="38">
        <v>95481792</v>
      </c>
      <c r="O458" s="44">
        <v>7956816</v>
      </c>
      <c r="P458" s="36">
        <v>12</v>
      </c>
      <c r="Q458" s="36" t="s">
        <v>318</v>
      </c>
      <c r="R458" s="36" t="s">
        <v>422</v>
      </c>
      <c r="S458" s="36" t="s">
        <v>423</v>
      </c>
      <c r="T458" s="36" t="s">
        <v>424</v>
      </c>
      <c r="U458" s="36" t="s">
        <v>425</v>
      </c>
      <c r="V458" s="40">
        <v>45870</v>
      </c>
      <c r="W458" s="40">
        <v>45889</v>
      </c>
      <c r="X458" s="36">
        <v>0</v>
      </c>
      <c r="Y458" s="36"/>
      <c r="Z458" s="36">
        <v>1</v>
      </c>
      <c r="AA458" s="36">
        <v>7956816</v>
      </c>
      <c r="AB458" s="40">
        <v>46174</v>
      </c>
      <c r="AC458" s="36" t="s">
        <v>2196</v>
      </c>
      <c r="AD458" s="36" t="str">
        <f>VLOOKUP(D458,Oficial!A:C,3,0)</f>
        <v>Arrastre</v>
      </c>
    </row>
    <row r="459" spans="1:30" x14ac:dyDescent="0.25">
      <c r="A459" s="36" t="s">
        <v>27</v>
      </c>
      <c r="B459" s="36" t="s">
        <v>418</v>
      </c>
      <c r="C459" s="36" t="s">
        <v>28</v>
      </c>
      <c r="D459" s="36" t="s">
        <v>418</v>
      </c>
      <c r="E459" s="36" t="s">
        <v>30</v>
      </c>
      <c r="F459" s="36" t="s">
        <v>31</v>
      </c>
      <c r="G459" s="37" t="s">
        <v>129</v>
      </c>
      <c r="H459" s="36" t="s">
        <v>419</v>
      </c>
      <c r="I459" s="36" t="s">
        <v>420</v>
      </c>
      <c r="J459" s="36">
        <v>1</v>
      </c>
      <c r="K459" s="36" t="s">
        <v>421</v>
      </c>
      <c r="L459" s="36">
        <v>4</v>
      </c>
      <c r="M459" s="36">
        <v>1</v>
      </c>
      <c r="N459" s="38">
        <v>95481792</v>
      </c>
      <c r="O459" s="44">
        <v>7956816</v>
      </c>
      <c r="P459" s="36">
        <v>12</v>
      </c>
      <c r="Q459" s="36" t="s">
        <v>318</v>
      </c>
      <c r="R459" s="36" t="s">
        <v>422</v>
      </c>
      <c r="S459" s="36" t="s">
        <v>423</v>
      </c>
      <c r="T459" s="36" t="s">
        <v>424</v>
      </c>
      <c r="U459" s="36" t="s">
        <v>425</v>
      </c>
      <c r="V459" s="40">
        <v>45870</v>
      </c>
      <c r="W459" s="40">
        <v>45889</v>
      </c>
      <c r="X459" s="36">
        <v>0</v>
      </c>
      <c r="Y459" s="36"/>
      <c r="Z459" s="36">
        <v>1</v>
      </c>
      <c r="AA459" s="36">
        <v>7956816</v>
      </c>
      <c r="AB459" s="40">
        <v>46266</v>
      </c>
      <c r="AC459" s="36" t="s">
        <v>2196</v>
      </c>
      <c r="AD459" s="36" t="str">
        <f>VLOOKUP(D459,Oficial!A:C,3,0)</f>
        <v>Arrastre</v>
      </c>
    </row>
    <row r="460" spans="1:30" x14ac:dyDescent="0.25">
      <c r="A460" s="36" t="s">
        <v>27</v>
      </c>
      <c r="B460" s="36" t="s">
        <v>426</v>
      </c>
      <c r="C460" s="36" t="s">
        <v>28</v>
      </c>
      <c r="D460" s="36" t="s">
        <v>426</v>
      </c>
      <c r="E460" s="36" t="s">
        <v>30</v>
      </c>
      <c r="F460" s="36" t="s">
        <v>31</v>
      </c>
      <c r="G460" s="37" t="s">
        <v>427</v>
      </c>
      <c r="H460" s="36" t="s">
        <v>428</v>
      </c>
      <c r="I460" s="36" t="s">
        <v>429</v>
      </c>
      <c r="J460" s="36">
        <v>1</v>
      </c>
      <c r="K460" s="36" t="s">
        <v>412</v>
      </c>
      <c r="L460" s="36">
        <v>4</v>
      </c>
      <c r="M460" s="36">
        <v>3500</v>
      </c>
      <c r="N460" s="38">
        <v>15143</v>
      </c>
      <c r="O460" s="41">
        <v>4416666</v>
      </c>
      <c r="P460" s="36">
        <v>12</v>
      </c>
      <c r="Q460" s="36" t="s">
        <v>318</v>
      </c>
      <c r="R460" s="36" t="s">
        <v>430</v>
      </c>
      <c r="S460" s="36" t="s">
        <v>431</v>
      </c>
      <c r="T460" s="36" t="s">
        <v>432</v>
      </c>
      <c r="U460" s="36" t="s">
        <v>433</v>
      </c>
      <c r="V460" s="40">
        <v>45870</v>
      </c>
      <c r="W460" s="40">
        <v>45889</v>
      </c>
      <c r="X460" s="36">
        <v>0</v>
      </c>
      <c r="Y460" s="36"/>
      <c r="Z460" s="36">
        <v>1</v>
      </c>
      <c r="AA460" s="36">
        <v>4416666</v>
      </c>
      <c r="AB460" s="40">
        <v>46143</v>
      </c>
      <c r="AC460" s="36" t="s">
        <v>2196</v>
      </c>
      <c r="AD460" s="36" t="str">
        <f>VLOOKUP(D460,Oficial!A:C,3,0)</f>
        <v>Arrastre</v>
      </c>
    </row>
    <row r="461" spans="1:30" x14ac:dyDescent="0.25">
      <c r="A461" s="36" t="s">
        <v>27</v>
      </c>
      <c r="B461" s="36" t="s">
        <v>426</v>
      </c>
      <c r="C461" s="36" t="s">
        <v>28</v>
      </c>
      <c r="D461" s="36" t="s">
        <v>426</v>
      </c>
      <c r="E461" s="36" t="s">
        <v>30</v>
      </c>
      <c r="F461" s="36" t="s">
        <v>31</v>
      </c>
      <c r="G461" s="37" t="s">
        <v>427</v>
      </c>
      <c r="H461" s="36" t="s">
        <v>428</v>
      </c>
      <c r="I461" s="36" t="s">
        <v>429</v>
      </c>
      <c r="J461" s="36">
        <v>1</v>
      </c>
      <c r="K461" s="36" t="s">
        <v>412</v>
      </c>
      <c r="L461" s="36">
        <v>4</v>
      </c>
      <c r="M461" s="36">
        <v>3500</v>
      </c>
      <c r="N461" s="38">
        <v>15143</v>
      </c>
      <c r="O461" s="41">
        <v>4416666</v>
      </c>
      <c r="P461" s="36">
        <v>12</v>
      </c>
      <c r="Q461" s="36" t="s">
        <v>318</v>
      </c>
      <c r="R461" s="36" t="s">
        <v>430</v>
      </c>
      <c r="S461" s="36" t="s">
        <v>431</v>
      </c>
      <c r="T461" s="36" t="s">
        <v>432</v>
      </c>
      <c r="U461" s="36" t="s">
        <v>433</v>
      </c>
      <c r="V461" s="40">
        <v>45870</v>
      </c>
      <c r="W461" s="40">
        <v>45889</v>
      </c>
      <c r="X461" s="36">
        <v>0</v>
      </c>
      <c r="Y461" s="36"/>
      <c r="Z461" s="36">
        <v>1</v>
      </c>
      <c r="AA461" s="36">
        <v>4416666</v>
      </c>
      <c r="AB461" s="40">
        <v>46174</v>
      </c>
      <c r="AC461" s="36" t="s">
        <v>2196</v>
      </c>
      <c r="AD461" s="36" t="str">
        <f>VLOOKUP(D461,Oficial!A:C,3,0)</f>
        <v>Arrastre</v>
      </c>
    </row>
    <row r="462" spans="1:30" x14ac:dyDescent="0.25">
      <c r="A462" s="36" t="s">
        <v>27</v>
      </c>
      <c r="B462" s="36" t="s">
        <v>426</v>
      </c>
      <c r="C462" s="36" t="s">
        <v>28</v>
      </c>
      <c r="D462" s="36" t="s">
        <v>426</v>
      </c>
      <c r="E462" s="36" t="s">
        <v>30</v>
      </c>
      <c r="F462" s="36" t="s">
        <v>31</v>
      </c>
      <c r="G462" s="37" t="s">
        <v>427</v>
      </c>
      <c r="H462" s="36" t="s">
        <v>428</v>
      </c>
      <c r="I462" s="36" t="s">
        <v>429</v>
      </c>
      <c r="J462" s="36">
        <v>1</v>
      </c>
      <c r="K462" s="36" t="s">
        <v>412</v>
      </c>
      <c r="L462" s="36">
        <v>4</v>
      </c>
      <c r="M462" s="36">
        <v>3500</v>
      </c>
      <c r="N462" s="38">
        <v>15143</v>
      </c>
      <c r="O462" s="41">
        <v>4416666</v>
      </c>
      <c r="P462" s="36">
        <v>12</v>
      </c>
      <c r="Q462" s="36" t="s">
        <v>318</v>
      </c>
      <c r="R462" s="36" t="s">
        <v>430</v>
      </c>
      <c r="S462" s="36" t="s">
        <v>431</v>
      </c>
      <c r="T462" s="36" t="s">
        <v>432</v>
      </c>
      <c r="U462" s="36" t="s">
        <v>433</v>
      </c>
      <c r="V462" s="40">
        <v>45870</v>
      </c>
      <c r="W462" s="40">
        <v>45889</v>
      </c>
      <c r="X462" s="36">
        <v>0</v>
      </c>
      <c r="Y462" s="36"/>
      <c r="Z462" s="36">
        <v>1</v>
      </c>
      <c r="AA462" s="36">
        <v>4416666</v>
      </c>
      <c r="AB462" s="40">
        <v>46327</v>
      </c>
      <c r="AC462" s="36" t="s">
        <v>2196</v>
      </c>
      <c r="AD462" s="36" t="str">
        <f>VLOOKUP(D462,Oficial!A:C,3,0)</f>
        <v>Arrastre</v>
      </c>
    </row>
    <row r="463" spans="1:30" x14ac:dyDescent="0.25">
      <c r="A463" s="36" t="s">
        <v>27</v>
      </c>
      <c r="B463" s="36" t="s">
        <v>426</v>
      </c>
      <c r="C463" s="36" t="s">
        <v>28</v>
      </c>
      <c r="D463" s="36" t="s">
        <v>426</v>
      </c>
      <c r="E463" s="36" t="s">
        <v>30</v>
      </c>
      <c r="F463" s="36" t="s">
        <v>31</v>
      </c>
      <c r="G463" s="37" t="s">
        <v>427</v>
      </c>
      <c r="H463" s="36" t="s">
        <v>428</v>
      </c>
      <c r="I463" s="36" t="s">
        <v>429</v>
      </c>
      <c r="J463" s="36">
        <v>1</v>
      </c>
      <c r="K463" s="36" t="s">
        <v>412</v>
      </c>
      <c r="L463" s="36">
        <v>4</v>
      </c>
      <c r="M463" s="36">
        <v>3500</v>
      </c>
      <c r="N463" s="38">
        <v>15143</v>
      </c>
      <c r="O463" s="41">
        <v>4416666</v>
      </c>
      <c r="P463" s="36">
        <v>12</v>
      </c>
      <c r="Q463" s="36" t="s">
        <v>318</v>
      </c>
      <c r="R463" s="36" t="s">
        <v>430</v>
      </c>
      <c r="S463" s="36" t="s">
        <v>431</v>
      </c>
      <c r="T463" s="36" t="s">
        <v>432</v>
      </c>
      <c r="U463" s="36" t="s">
        <v>433</v>
      </c>
      <c r="V463" s="40">
        <v>45870</v>
      </c>
      <c r="W463" s="40">
        <v>45889</v>
      </c>
      <c r="X463" s="36">
        <v>0</v>
      </c>
      <c r="Y463" s="36"/>
      <c r="Z463" s="36">
        <v>1</v>
      </c>
      <c r="AA463" s="36">
        <v>4416666</v>
      </c>
      <c r="AB463" s="40">
        <v>46113</v>
      </c>
      <c r="AC463" s="36" t="s">
        <v>2196</v>
      </c>
      <c r="AD463" s="36" t="str">
        <f>VLOOKUP(D463,Oficial!A:C,3,0)</f>
        <v>Arrastre</v>
      </c>
    </row>
    <row r="464" spans="1:30" x14ac:dyDescent="0.25">
      <c r="A464" s="36" t="s">
        <v>27</v>
      </c>
      <c r="B464" s="36" t="s">
        <v>426</v>
      </c>
      <c r="C464" s="36" t="s">
        <v>28</v>
      </c>
      <c r="D464" s="36" t="s">
        <v>426</v>
      </c>
      <c r="E464" s="36" t="s">
        <v>30</v>
      </c>
      <c r="F464" s="36" t="s">
        <v>31</v>
      </c>
      <c r="G464" s="37" t="s">
        <v>427</v>
      </c>
      <c r="H464" s="36" t="s">
        <v>428</v>
      </c>
      <c r="I464" s="36" t="s">
        <v>429</v>
      </c>
      <c r="J464" s="36">
        <v>1</v>
      </c>
      <c r="K464" s="36" t="s">
        <v>412</v>
      </c>
      <c r="L464" s="36">
        <v>4</v>
      </c>
      <c r="M464" s="36">
        <v>3500</v>
      </c>
      <c r="N464" s="38">
        <v>15143</v>
      </c>
      <c r="O464" s="41">
        <v>4416666</v>
      </c>
      <c r="P464" s="36">
        <v>12</v>
      </c>
      <c r="Q464" s="36" t="s">
        <v>318</v>
      </c>
      <c r="R464" s="36" t="s">
        <v>430</v>
      </c>
      <c r="S464" s="36" t="s">
        <v>431</v>
      </c>
      <c r="T464" s="36" t="s">
        <v>432</v>
      </c>
      <c r="U464" s="36" t="s">
        <v>433</v>
      </c>
      <c r="V464" s="40">
        <v>45870</v>
      </c>
      <c r="W464" s="40">
        <v>45889</v>
      </c>
      <c r="X464" s="36">
        <v>0</v>
      </c>
      <c r="Y464" s="36"/>
      <c r="Z464" s="36">
        <v>1</v>
      </c>
      <c r="AA464" s="36">
        <v>4416666</v>
      </c>
      <c r="AB464" s="40">
        <v>46054</v>
      </c>
      <c r="AC464" s="36" t="s">
        <v>2196</v>
      </c>
      <c r="AD464" s="36" t="str">
        <f>VLOOKUP(D464,Oficial!A:C,3,0)</f>
        <v>Arrastre</v>
      </c>
    </row>
    <row r="465" spans="1:30" x14ac:dyDescent="0.25">
      <c r="A465" s="36" t="s">
        <v>27</v>
      </c>
      <c r="B465" s="36" t="s">
        <v>426</v>
      </c>
      <c r="C465" s="36" t="s">
        <v>28</v>
      </c>
      <c r="D465" s="36" t="s">
        <v>426</v>
      </c>
      <c r="E465" s="36" t="s">
        <v>30</v>
      </c>
      <c r="F465" s="36" t="s">
        <v>31</v>
      </c>
      <c r="G465" s="37" t="s">
        <v>427</v>
      </c>
      <c r="H465" s="36" t="s">
        <v>428</v>
      </c>
      <c r="I465" s="36" t="s">
        <v>429</v>
      </c>
      <c r="J465" s="36">
        <v>1</v>
      </c>
      <c r="K465" s="36" t="s">
        <v>412</v>
      </c>
      <c r="L465" s="36">
        <v>4</v>
      </c>
      <c r="M465" s="36">
        <v>3500</v>
      </c>
      <c r="N465" s="38">
        <v>15143</v>
      </c>
      <c r="O465" s="41">
        <v>4416666</v>
      </c>
      <c r="P465" s="36">
        <v>12</v>
      </c>
      <c r="Q465" s="36" t="s">
        <v>318</v>
      </c>
      <c r="R465" s="36" t="s">
        <v>430</v>
      </c>
      <c r="S465" s="36" t="s">
        <v>431</v>
      </c>
      <c r="T465" s="36" t="s">
        <v>432</v>
      </c>
      <c r="U465" s="36" t="s">
        <v>433</v>
      </c>
      <c r="V465" s="40">
        <v>45870</v>
      </c>
      <c r="W465" s="40">
        <v>45889</v>
      </c>
      <c r="X465" s="36">
        <v>0</v>
      </c>
      <c r="Y465" s="36"/>
      <c r="Z465" s="36">
        <v>1</v>
      </c>
      <c r="AA465" s="36">
        <v>4416666</v>
      </c>
      <c r="AB465" s="40">
        <v>46296</v>
      </c>
      <c r="AC465" s="36" t="s">
        <v>2196</v>
      </c>
      <c r="AD465" s="36" t="str">
        <f>VLOOKUP(D465,Oficial!A:C,3,0)</f>
        <v>Arrastre</v>
      </c>
    </row>
    <row r="466" spans="1:30" x14ac:dyDescent="0.25">
      <c r="A466" s="36" t="s">
        <v>27</v>
      </c>
      <c r="B466" s="36" t="s">
        <v>426</v>
      </c>
      <c r="C466" s="36" t="s">
        <v>28</v>
      </c>
      <c r="D466" s="36" t="s">
        <v>426</v>
      </c>
      <c r="E466" s="36" t="s">
        <v>30</v>
      </c>
      <c r="F466" s="36" t="s">
        <v>31</v>
      </c>
      <c r="G466" s="37" t="s">
        <v>427</v>
      </c>
      <c r="H466" s="36" t="s">
        <v>428</v>
      </c>
      <c r="I466" s="36" t="s">
        <v>429</v>
      </c>
      <c r="J466" s="36">
        <v>1</v>
      </c>
      <c r="K466" s="36" t="s">
        <v>412</v>
      </c>
      <c r="L466" s="36">
        <v>4</v>
      </c>
      <c r="M466" s="36">
        <v>3500</v>
      </c>
      <c r="N466" s="38">
        <v>15143</v>
      </c>
      <c r="O466" s="41">
        <v>4416666</v>
      </c>
      <c r="P466" s="36">
        <v>12</v>
      </c>
      <c r="Q466" s="36" t="s">
        <v>318</v>
      </c>
      <c r="R466" s="36" t="s">
        <v>430</v>
      </c>
      <c r="S466" s="36" t="s">
        <v>431</v>
      </c>
      <c r="T466" s="36" t="s">
        <v>432</v>
      </c>
      <c r="U466" s="36" t="s">
        <v>433</v>
      </c>
      <c r="V466" s="40">
        <v>45870</v>
      </c>
      <c r="W466" s="40">
        <v>45889</v>
      </c>
      <c r="X466" s="36">
        <v>0</v>
      </c>
      <c r="Y466" s="36"/>
      <c r="Z466" s="36">
        <v>1</v>
      </c>
      <c r="AA466" s="36">
        <v>4416666</v>
      </c>
      <c r="AB466" s="40">
        <v>46204</v>
      </c>
      <c r="AC466" s="36" t="s">
        <v>2196</v>
      </c>
      <c r="AD466" s="36" t="str">
        <f>VLOOKUP(D466,Oficial!A:C,3,0)</f>
        <v>Arrastre</v>
      </c>
    </row>
    <row r="467" spans="1:30" x14ac:dyDescent="0.25">
      <c r="A467" s="36" t="s">
        <v>27</v>
      </c>
      <c r="B467" s="36" t="s">
        <v>426</v>
      </c>
      <c r="C467" s="36" t="s">
        <v>28</v>
      </c>
      <c r="D467" s="36" t="s">
        <v>426</v>
      </c>
      <c r="E467" s="36" t="s">
        <v>30</v>
      </c>
      <c r="F467" s="36" t="s">
        <v>31</v>
      </c>
      <c r="G467" s="37" t="s">
        <v>427</v>
      </c>
      <c r="H467" s="36" t="s">
        <v>428</v>
      </c>
      <c r="I467" s="36" t="s">
        <v>429</v>
      </c>
      <c r="J467" s="36">
        <v>1</v>
      </c>
      <c r="K467" s="36" t="s">
        <v>412</v>
      </c>
      <c r="L467" s="36">
        <v>4</v>
      </c>
      <c r="M467" s="36">
        <v>3500</v>
      </c>
      <c r="N467" s="38">
        <v>15143</v>
      </c>
      <c r="O467" s="41">
        <v>4416666</v>
      </c>
      <c r="P467" s="36">
        <v>12</v>
      </c>
      <c r="Q467" s="36" t="s">
        <v>318</v>
      </c>
      <c r="R467" s="36" t="s">
        <v>430</v>
      </c>
      <c r="S467" s="36" t="s">
        <v>431</v>
      </c>
      <c r="T467" s="36" t="s">
        <v>432</v>
      </c>
      <c r="U467" s="36" t="s">
        <v>433</v>
      </c>
      <c r="V467" s="40">
        <v>45870</v>
      </c>
      <c r="W467" s="40">
        <v>45889</v>
      </c>
      <c r="X467" s="36">
        <v>0</v>
      </c>
      <c r="Y467" s="36"/>
      <c r="Z467" s="36">
        <v>1</v>
      </c>
      <c r="AA467" s="36">
        <v>4416666</v>
      </c>
      <c r="AB467" s="40">
        <v>46266</v>
      </c>
      <c r="AC467" s="36" t="s">
        <v>2196</v>
      </c>
      <c r="AD467" s="36" t="str">
        <f>VLOOKUP(D467,Oficial!A:C,3,0)</f>
        <v>Arrastre</v>
      </c>
    </row>
    <row r="468" spans="1:30" x14ac:dyDescent="0.25">
      <c r="A468" s="36" t="s">
        <v>27</v>
      </c>
      <c r="B468" s="36" t="s">
        <v>426</v>
      </c>
      <c r="C468" s="36" t="s">
        <v>28</v>
      </c>
      <c r="D468" s="36" t="s">
        <v>426</v>
      </c>
      <c r="E468" s="36" t="s">
        <v>30</v>
      </c>
      <c r="F468" s="36" t="s">
        <v>31</v>
      </c>
      <c r="G468" s="37" t="s">
        <v>427</v>
      </c>
      <c r="H468" s="36" t="s">
        <v>428</v>
      </c>
      <c r="I468" s="36" t="s">
        <v>429</v>
      </c>
      <c r="J468" s="36">
        <v>1</v>
      </c>
      <c r="K468" s="36" t="s">
        <v>412</v>
      </c>
      <c r="L468" s="36">
        <v>4</v>
      </c>
      <c r="M468" s="36">
        <v>3500</v>
      </c>
      <c r="N468" s="38">
        <v>15143</v>
      </c>
      <c r="O468" s="41">
        <v>4416666</v>
      </c>
      <c r="P468" s="36">
        <v>12</v>
      </c>
      <c r="Q468" s="36" t="s">
        <v>318</v>
      </c>
      <c r="R468" s="36" t="s">
        <v>430</v>
      </c>
      <c r="S468" s="36" t="s">
        <v>431</v>
      </c>
      <c r="T468" s="36" t="s">
        <v>432</v>
      </c>
      <c r="U468" s="36" t="s">
        <v>433</v>
      </c>
      <c r="V468" s="40">
        <v>45870</v>
      </c>
      <c r="W468" s="40">
        <v>45889</v>
      </c>
      <c r="X468" s="36">
        <v>0</v>
      </c>
      <c r="Y468" s="36"/>
      <c r="Z468" s="36">
        <v>1</v>
      </c>
      <c r="AA468" s="36">
        <v>4416666</v>
      </c>
      <c r="AB468" s="40">
        <v>46357</v>
      </c>
      <c r="AC468" s="36" t="s">
        <v>2196</v>
      </c>
      <c r="AD468" s="36" t="str">
        <f>VLOOKUP(D468,Oficial!A:C,3,0)</f>
        <v>Arrastre</v>
      </c>
    </row>
    <row r="469" spans="1:30" x14ac:dyDescent="0.25">
      <c r="A469" s="36" t="s">
        <v>27</v>
      </c>
      <c r="B469" s="36" t="s">
        <v>426</v>
      </c>
      <c r="C469" s="36" t="s">
        <v>28</v>
      </c>
      <c r="D469" s="36" t="s">
        <v>426</v>
      </c>
      <c r="E469" s="36" t="s">
        <v>30</v>
      </c>
      <c r="F469" s="36" t="s">
        <v>31</v>
      </c>
      <c r="G469" s="37" t="s">
        <v>427</v>
      </c>
      <c r="H469" s="36" t="s">
        <v>428</v>
      </c>
      <c r="I469" s="36" t="s">
        <v>429</v>
      </c>
      <c r="J469" s="36">
        <v>1</v>
      </c>
      <c r="K469" s="36" t="s">
        <v>412</v>
      </c>
      <c r="L469" s="36">
        <v>4</v>
      </c>
      <c r="M469" s="36">
        <v>3500</v>
      </c>
      <c r="N469" s="38">
        <v>15143</v>
      </c>
      <c r="O469" s="41">
        <v>4416666</v>
      </c>
      <c r="P469" s="36">
        <v>12</v>
      </c>
      <c r="Q469" s="36" t="s">
        <v>318</v>
      </c>
      <c r="R469" s="36" t="s">
        <v>430</v>
      </c>
      <c r="S469" s="36" t="s">
        <v>431</v>
      </c>
      <c r="T469" s="36" t="s">
        <v>432</v>
      </c>
      <c r="U469" s="36" t="s">
        <v>433</v>
      </c>
      <c r="V469" s="40">
        <v>45870</v>
      </c>
      <c r="W469" s="40">
        <v>45889</v>
      </c>
      <c r="X469" s="36">
        <v>0</v>
      </c>
      <c r="Y469" s="36"/>
      <c r="Z469" s="36">
        <v>1</v>
      </c>
      <c r="AA469" s="36">
        <v>4416666</v>
      </c>
      <c r="AB469" s="40">
        <v>46082</v>
      </c>
      <c r="AC469" s="36" t="s">
        <v>2196</v>
      </c>
      <c r="AD469" s="36" t="str">
        <f>VLOOKUP(D469,Oficial!A:C,3,0)</f>
        <v>Arrastre</v>
      </c>
    </row>
    <row r="470" spans="1:30" x14ac:dyDescent="0.25">
      <c r="A470" s="36" t="s">
        <v>27</v>
      </c>
      <c r="B470" s="36" t="s">
        <v>426</v>
      </c>
      <c r="C470" s="36" t="s">
        <v>28</v>
      </c>
      <c r="D470" s="36" t="s">
        <v>426</v>
      </c>
      <c r="E470" s="36" t="s">
        <v>30</v>
      </c>
      <c r="F470" s="36" t="s">
        <v>31</v>
      </c>
      <c r="G470" s="37" t="s">
        <v>427</v>
      </c>
      <c r="H470" s="36" t="s">
        <v>428</v>
      </c>
      <c r="I470" s="36" t="s">
        <v>429</v>
      </c>
      <c r="J470" s="36">
        <v>1</v>
      </c>
      <c r="K470" s="36" t="s">
        <v>412</v>
      </c>
      <c r="L470" s="36">
        <v>4</v>
      </c>
      <c r="M470" s="36">
        <v>3500</v>
      </c>
      <c r="N470" s="38">
        <v>15143</v>
      </c>
      <c r="O470" s="41">
        <v>4416666</v>
      </c>
      <c r="P470" s="36">
        <v>12</v>
      </c>
      <c r="Q470" s="36" t="s">
        <v>318</v>
      </c>
      <c r="R470" s="36" t="s">
        <v>430</v>
      </c>
      <c r="S470" s="36" t="s">
        <v>431</v>
      </c>
      <c r="T470" s="36" t="s">
        <v>432</v>
      </c>
      <c r="U470" s="36" t="s">
        <v>433</v>
      </c>
      <c r="V470" s="40">
        <v>45870</v>
      </c>
      <c r="W470" s="40">
        <v>45889</v>
      </c>
      <c r="X470" s="36">
        <v>0</v>
      </c>
      <c r="Y470" s="36"/>
      <c r="Z470" s="36">
        <v>1</v>
      </c>
      <c r="AA470" s="36">
        <v>4416666</v>
      </c>
      <c r="AB470" s="40">
        <v>46235</v>
      </c>
      <c r="AC470" s="36" t="s">
        <v>2196</v>
      </c>
      <c r="AD470" s="36" t="str">
        <f>VLOOKUP(D470,Oficial!A:C,3,0)</f>
        <v>Arrastre</v>
      </c>
    </row>
    <row r="471" spans="1:30" x14ac:dyDescent="0.25">
      <c r="A471" s="36" t="s">
        <v>27</v>
      </c>
      <c r="B471" s="36" t="s">
        <v>434</v>
      </c>
      <c r="C471" s="36" t="s">
        <v>28</v>
      </c>
      <c r="D471" s="36" t="s">
        <v>434</v>
      </c>
      <c r="E471" s="36" t="s">
        <v>30</v>
      </c>
      <c r="F471" s="36" t="s">
        <v>31</v>
      </c>
      <c r="G471" s="37" t="s">
        <v>356</v>
      </c>
      <c r="H471" s="36" t="s">
        <v>435</v>
      </c>
      <c r="I471" s="36" t="s">
        <v>436</v>
      </c>
      <c r="J471" s="36">
        <v>1</v>
      </c>
      <c r="K471" s="36" t="s">
        <v>359</v>
      </c>
      <c r="L471" s="36">
        <v>4</v>
      </c>
      <c r="M471" s="36">
        <v>1</v>
      </c>
      <c r="N471" s="38">
        <v>80000000</v>
      </c>
      <c r="O471" s="44">
        <v>6666666</v>
      </c>
      <c r="P471" s="36">
        <v>12</v>
      </c>
      <c r="Q471" s="36" t="s">
        <v>318</v>
      </c>
      <c r="R471" s="36" t="s">
        <v>319</v>
      </c>
      <c r="S471" s="36" t="s">
        <v>320</v>
      </c>
      <c r="T471" s="36" t="s">
        <v>437</v>
      </c>
      <c r="U471" s="36" t="s">
        <v>322</v>
      </c>
      <c r="V471" s="40">
        <v>45870</v>
      </c>
      <c r="W471" s="40">
        <v>45889</v>
      </c>
      <c r="X471" s="36">
        <v>0</v>
      </c>
      <c r="Y471" s="36"/>
      <c r="Z471" s="36">
        <v>1</v>
      </c>
      <c r="AA471" s="36">
        <v>6666666</v>
      </c>
      <c r="AB471" s="40">
        <v>46082</v>
      </c>
      <c r="AC471" s="36" t="s">
        <v>2196</v>
      </c>
      <c r="AD471" s="36" t="str">
        <f>VLOOKUP(D471,Oficial!A:C,3,0)</f>
        <v>Arrastre</v>
      </c>
    </row>
    <row r="472" spans="1:30" x14ac:dyDescent="0.25">
      <c r="A472" s="36" t="s">
        <v>27</v>
      </c>
      <c r="B472" s="36" t="s">
        <v>434</v>
      </c>
      <c r="C472" s="36" t="s">
        <v>28</v>
      </c>
      <c r="D472" s="36" t="s">
        <v>434</v>
      </c>
      <c r="E472" s="36" t="s">
        <v>30</v>
      </c>
      <c r="F472" s="36" t="s">
        <v>31</v>
      </c>
      <c r="G472" s="37" t="s">
        <v>356</v>
      </c>
      <c r="H472" s="36" t="s">
        <v>435</v>
      </c>
      <c r="I472" s="36" t="s">
        <v>436</v>
      </c>
      <c r="J472" s="36">
        <v>1</v>
      </c>
      <c r="K472" s="36" t="s">
        <v>359</v>
      </c>
      <c r="L472" s="36">
        <v>4</v>
      </c>
      <c r="M472" s="36">
        <v>1</v>
      </c>
      <c r="N472" s="38">
        <v>80000000</v>
      </c>
      <c r="O472" s="44">
        <v>6666666</v>
      </c>
      <c r="P472" s="36">
        <v>12</v>
      </c>
      <c r="Q472" s="36" t="s">
        <v>318</v>
      </c>
      <c r="R472" s="36" t="s">
        <v>319</v>
      </c>
      <c r="S472" s="36" t="s">
        <v>320</v>
      </c>
      <c r="T472" s="36" t="s">
        <v>437</v>
      </c>
      <c r="U472" s="36" t="s">
        <v>322</v>
      </c>
      <c r="V472" s="40">
        <v>45870</v>
      </c>
      <c r="W472" s="40">
        <v>45889</v>
      </c>
      <c r="X472" s="36">
        <v>0</v>
      </c>
      <c r="Y472" s="36"/>
      <c r="Z472" s="36">
        <v>1</v>
      </c>
      <c r="AA472" s="36">
        <v>6666666</v>
      </c>
      <c r="AB472" s="40">
        <v>46113</v>
      </c>
      <c r="AC472" s="36" t="s">
        <v>2196</v>
      </c>
      <c r="AD472" s="36" t="str">
        <f>VLOOKUP(D472,Oficial!A:C,3,0)</f>
        <v>Arrastre</v>
      </c>
    </row>
    <row r="473" spans="1:30" x14ac:dyDescent="0.25">
      <c r="A473" s="36" t="s">
        <v>27</v>
      </c>
      <c r="B473" s="36" t="s">
        <v>434</v>
      </c>
      <c r="C473" s="36" t="s">
        <v>28</v>
      </c>
      <c r="D473" s="36" t="s">
        <v>434</v>
      </c>
      <c r="E473" s="36" t="s">
        <v>30</v>
      </c>
      <c r="F473" s="36" t="s">
        <v>31</v>
      </c>
      <c r="G473" s="37" t="s">
        <v>356</v>
      </c>
      <c r="H473" s="36" t="s">
        <v>435</v>
      </c>
      <c r="I473" s="36" t="s">
        <v>436</v>
      </c>
      <c r="J473" s="36">
        <v>1</v>
      </c>
      <c r="K473" s="36" t="s">
        <v>359</v>
      </c>
      <c r="L473" s="36">
        <v>4</v>
      </c>
      <c r="M473" s="36">
        <v>1</v>
      </c>
      <c r="N473" s="38">
        <v>80000000</v>
      </c>
      <c r="O473" s="44">
        <v>6666666</v>
      </c>
      <c r="P473" s="36">
        <v>12</v>
      </c>
      <c r="Q473" s="36" t="s">
        <v>318</v>
      </c>
      <c r="R473" s="36" t="s">
        <v>319</v>
      </c>
      <c r="S473" s="36" t="s">
        <v>320</v>
      </c>
      <c r="T473" s="36" t="s">
        <v>437</v>
      </c>
      <c r="U473" s="36" t="s">
        <v>322</v>
      </c>
      <c r="V473" s="40">
        <v>45870</v>
      </c>
      <c r="W473" s="40">
        <v>45889</v>
      </c>
      <c r="X473" s="36">
        <v>0</v>
      </c>
      <c r="Y473" s="36"/>
      <c r="Z473" s="36">
        <v>1</v>
      </c>
      <c r="AA473" s="36">
        <v>6666666</v>
      </c>
      <c r="AB473" s="40">
        <v>46357</v>
      </c>
      <c r="AC473" s="36" t="s">
        <v>2196</v>
      </c>
      <c r="AD473" s="36" t="str">
        <f>VLOOKUP(D473,Oficial!A:C,3,0)</f>
        <v>Arrastre</v>
      </c>
    </row>
    <row r="474" spans="1:30" x14ac:dyDescent="0.25">
      <c r="A474" s="36" t="s">
        <v>27</v>
      </c>
      <c r="B474" s="36" t="s">
        <v>434</v>
      </c>
      <c r="C474" s="36" t="s">
        <v>28</v>
      </c>
      <c r="D474" s="36" t="s">
        <v>434</v>
      </c>
      <c r="E474" s="36" t="s">
        <v>30</v>
      </c>
      <c r="F474" s="36" t="s">
        <v>31</v>
      </c>
      <c r="G474" s="37" t="s">
        <v>356</v>
      </c>
      <c r="H474" s="36" t="s">
        <v>435</v>
      </c>
      <c r="I474" s="36" t="s">
        <v>436</v>
      </c>
      <c r="J474" s="36">
        <v>1</v>
      </c>
      <c r="K474" s="36" t="s">
        <v>359</v>
      </c>
      <c r="L474" s="36">
        <v>4</v>
      </c>
      <c r="M474" s="36">
        <v>1</v>
      </c>
      <c r="N474" s="38">
        <v>80000000</v>
      </c>
      <c r="O474" s="44">
        <v>6666666</v>
      </c>
      <c r="P474" s="36">
        <v>12</v>
      </c>
      <c r="Q474" s="36" t="s">
        <v>318</v>
      </c>
      <c r="R474" s="36" t="s">
        <v>319</v>
      </c>
      <c r="S474" s="36" t="s">
        <v>320</v>
      </c>
      <c r="T474" s="36" t="s">
        <v>437</v>
      </c>
      <c r="U474" s="36" t="s">
        <v>322</v>
      </c>
      <c r="V474" s="40">
        <v>45870</v>
      </c>
      <c r="W474" s="40">
        <v>45889</v>
      </c>
      <c r="X474" s="36">
        <v>0</v>
      </c>
      <c r="Y474" s="36"/>
      <c r="Z474" s="36">
        <v>1</v>
      </c>
      <c r="AA474" s="36">
        <v>6666666</v>
      </c>
      <c r="AB474" s="40">
        <v>46174</v>
      </c>
      <c r="AC474" s="36" t="s">
        <v>2196</v>
      </c>
      <c r="AD474" s="36" t="str">
        <f>VLOOKUP(D474,Oficial!A:C,3,0)</f>
        <v>Arrastre</v>
      </c>
    </row>
    <row r="475" spans="1:30" x14ac:dyDescent="0.25">
      <c r="A475" s="36" t="s">
        <v>27</v>
      </c>
      <c r="B475" s="36" t="s">
        <v>434</v>
      </c>
      <c r="C475" s="36" t="s">
        <v>28</v>
      </c>
      <c r="D475" s="36" t="s">
        <v>434</v>
      </c>
      <c r="E475" s="36" t="s">
        <v>30</v>
      </c>
      <c r="F475" s="36" t="s">
        <v>31</v>
      </c>
      <c r="G475" s="37" t="s">
        <v>356</v>
      </c>
      <c r="H475" s="36" t="s">
        <v>435</v>
      </c>
      <c r="I475" s="36" t="s">
        <v>436</v>
      </c>
      <c r="J475" s="36">
        <v>1</v>
      </c>
      <c r="K475" s="36" t="s">
        <v>359</v>
      </c>
      <c r="L475" s="36">
        <v>4</v>
      </c>
      <c r="M475" s="36">
        <v>1</v>
      </c>
      <c r="N475" s="38">
        <v>80000000</v>
      </c>
      <c r="O475" s="44">
        <v>6666666</v>
      </c>
      <c r="P475" s="36">
        <v>12</v>
      </c>
      <c r="Q475" s="36" t="s">
        <v>318</v>
      </c>
      <c r="R475" s="36" t="s">
        <v>319</v>
      </c>
      <c r="S475" s="36" t="s">
        <v>320</v>
      </c>
      <c r="T475" s="36" t="s">
        <v>437</v>
      </c>
      <c r="U475" s="36" t="s">
        <v>322</v>
      </c>
      <c r="V475" s="40">
        <v>45870</v>
      </c>
      <c r="W475" s="40">
        <v>45889</v>
      </c>
      <c r="X475" s="36">
        <v>0</v>
      </c>
      <c r="Y475" s="36"/>
      <c r="Z475" s="36">
        <v>1</v>
      </c>
      <c r="AA475" s="36">
        <v>6666666</v>
      </c>
      <c r="AB475" s="40">
        <v>46235</v>
      </c>
      <c r="AC475" s="36" t="s">
        <v>2196</v>
      </c>
      <c r="AD475" s="36" t="str">
        <f>VLOOKUP(D475,Oficial!A:C,3,0)</f>
        <v>Arrastre</v>
      </c>
    </row>
    <row r="476" spans="1:30" x14ac:dyDescent="0.25">
      <c r="A476" s="36" t="s">
        <v>27</v>
      </c>
      <c r="B476" s="36" t="s">
        <v>434</v>
      </c>
      <c r="C476" s="36" t="s">
        <v>28</v>
      </c>
      <c r="D476" s="36" t="s">
        <v>434</v>
      </c>
      <c r="E476" s="36" t="s">
        <v>30</v>
      </c>
      <c r="F476" s="36" t="s">
        <v>31</v>
      </c>
      <c r="G476" s="37" t="s">
        <v>356</v>
      </c>
      <c r="H476" s="36" t="s">
        <v>435</v>
      </c>
      <c r="I476" s="36" t="s">
        <v>436</v>
      </c>
      <c r="J476" s="36">
        <v>1</v>
      </c>
      <c r="K476" s="36" t="s">
        <v>359</v>
      </c>
      <c r="L476" s="36">
        <v>4</v>
      </c>
      <c r="M476" s="36">
        <v>1</v>
      </c>
      <c r="N476" s="38">
        <v>80000000</v>
      </c>
      <c r="O476" s="44">
        <v>6666666</v>
      </c>
      <c r="P476" s="36">
        <v>12</v>
      </c>
      <c r="Q476" s="36" t="s">
        <v>318</v>
      </c>
      <c r="R476" s="36" t="s">
        <v>319</v>
      </c>
      <c r="S476" s="36" t="s">
        <v>320</v>
      </c>
      <c r="T476" s="36" t="s">
        <v>437</v>
      </c>
      <c r="U476" s="36" t="s">
        <v>322</v>
      </c>
      <c r="V476" s="40">
        <v>45870</v>
      </c>
      <c r="W476" s="40">
        <v>45889</v>
      </c>
      <c r="X476" s="36">
        <v>0</v>
      </c>
      <c r="Y476" s="36"/>
      <c r="Z476" s="36">
        <v>1</v>
      </c>
      <c r="AA476" s="36">
        <v>6666666</v>
      </c>
      <c r="AB476" s="40">
        <v>46204</v>
      </c>
      <c r="AC476" s="36" t="s">
        <v>2196</v>
      </c>
      <c r="AD476" s="36" t="str">
        <f>VLOOKUP(D476,Oficial!A:C,3,0)</f>
        <v>Arrastre</v>
      </c>
    </row>
    <row r="477" spans="1:30" x14ac:dyDescent="0.25">
      <c r="A477" s="36" t="s">
        <v>27</v>
      </c>
      <c r="B477" s="36" t="s">
        <v>434</v>
      </c>
      <c r="C477" s="36" t="s">
        <v>28</v>
      </c>
      <c r="D477" s="36" t="s">
        <v>434</v>
      </c>
      <c r="E477" s="36" t="s">
        <v>30</v>
      </c>
      <c r="F477" s="36" t="s">
        <v>31</v>
      </c>
      <c r="G477" s="37" t="s">
        <v>356</v>
      </c>
      <c r="H477" s="36" t="s">
        <v>435</v>
      </c>
      <c r="I477" s="36" t="s">
        <v>436</v>
      </c>
      <c r="J477" s="36">
        <v>1</v>
      </c>
      <c r="K477" s="36" t="s">
        <v>359</v>
      </c>
      <c r="L477" s="36">
        <v>4</v>
      </c>
      <c r="M477" s="36">
        <v>1</v>
      </c>
      <c r="N477" s="38">
        <v>80000000</v>
      </c>
      <c r="O477" s="44">
        <v>6666666</v>
      </c>
      <c r="P477" s="36">
        <v>12</v>
      </c>
      <c r="Q477" s="36" t="s">
        <v>318</v>
      </c>
      <c r="R477" s="36" t="s">
        <v>319</v>
      </c>
      <c r="S477" s="36" t="s">
        <v>320</v>
      </c>
      <c r="T477" s="36" t="s">
        <v>437</v>
      </c>
      <c r="U477" s="36" t="s">
        <v>322</v>
      </c>
      <c r="V477" s="40">
        <v>45870</v>
      </c>
      <c r="W477" s="40">
        <v>45889</v>
      </c>
      <c r="X477" s="36">
        <v>0</v>
      </c>
      <c r="Y477" s="36"/>
      <c r="Z477" s="36">
        <v>1</v>
      </c>
      <c r="AA477" s="36">
        <v>6666666</v>
      </c>
      <c r="AB477" s="40">
        <v>46054</v>
      </c>
      <c r="AC477" s="36" t="s">
        <v>2196</v>
      </c>
      <c r="AD477" s="36" t="str">
        <f>VLOOKUP(D477,Oficial!A:C,3,0)</f>
        <v>Arrastre</v>
      </c>
    </row>
    <row r="478" spans="1:30" x14ac:dyDescent="0.25">
      <c r="A478" s="36" t="s">
        <v>27</v>
      </c>
      <c r="B478" s="36" t="s">
        <v>434</v>
      </c>
      <c r="C478" s="36" t="s">
        <v>28</v>
      </c>
      <c r="D478" s="36" t="s">
        <v>434</v>
      </c>
      <c r="E478" s="36" t="s">
        <v>30</v>
      </c>
      <c r="F478" s="36" t="s">
        <v>31</v>
      </c>
      <c r="G478" s="37" t="s">
        <v>356</v>
      </c>
      <c r="H478" s="36" t="s">
        <v>435</v>
      </c>
      <c r="I478" s="36" t="s">
        <v>436</v>
      </c>
      <c r="J478" s="36">
        <v>1</v>
      </c>
      <c r="K478" s="36" t="s">
        <v>359</v>
      </c>
      <c r="L478" s="36">
        <v>4</v>
      </c>
      <c r="M478" s="36">
        <v>1</v>
      </c>
      <c r="N478" s="38">
        <v>80000000</v>
      </c>
      <c r="O478" s="44">
        <v>6666666</v>
      </c>
      <c r="P478" s="36">
        <v>12</v>
      </c>
      <c r="Q478" s="36" t="s">
        <v>318</v>
      </c>
      <c r="R478" s="36" t="s">
        <v>319</v>
      </c>
      <c r="S478" s="36" t="s">
        <v>320</v>
      </c>
      <c r="T478" s="36" t="s">
        <v>437</v>
      </c>
      <c r="U478" s="36" t="s">
        <v>322</v>
      </c>
      <c r="V478" s="40">
        <v>45870</v>
      </c>
      <c r="W478" s="40">
        <v>45889</v>
      </c>
      <c r="X478" s="36">
        <v>0</v>
      </c>
      <c r="Y478" s="36"/>
      <c r="Z478" s="36">
        <v>1</v>
      </c>
      <c r="AA478" s="36">
        <v>6666666</v>
      </c>
      <c r="AB478" s="40">
        <v>46143</v>
      </c>
      <c r="AC478" s="36" t="s">
        <v>2196</v>
      </c>
      <c r="AD478" s="36" t="str">
        <f>VLOOKUP(D478,Oficial!A:C,3,0)</f>
        <v>Arrastre</v>
      </c>
    </row>
    <row r="479" spans="1:30" x14ac:dyDescent="0.25">
      <c r="A479" s="36" t="s">
        <v>27</v>
      </c>
      <c r="B479" s="36" t="s">
        <v>434</v>
      </c>
      <c r="C479" s="36" t="s">
        <v>28</v>
      </c>
      <c r="D479" s="36" t="s">
        <v>434</v>
      </c>
      <c r="E479" s="36" t="s">
        <v>30</v>
      </c>
      <c r="F479" s="36" t="s">
        <v>31</v>
      </c>
      <c r="G479" s="37" t="s">
        <v>356</v>
      </c>
      <c r="H479" s="36" t="s">
        <v>435</v>
      </c>
      <c r="I479" s="36" t="s">
        <v>436</v>
      </c>
      <c r="J479" s="36">
        <v>1</v>
      </c>
      <c r="K479" s="36" t="s">
        <v>359</v>
      </c>
      <c r="L479" s="36">
        <v>4</v>
      </c>
      <c r="M479" s="36">
        <v>1</v>
      </c>
      <c r="N479" s="38">
        <v>80000000</v>
      </c>
      <c r="O479" s="44">
        <v>6666666</v>
      </c>
      <c r="P479" s="36">
        <v>12</v>
      </c>
      <c r="Q479" s="36" t="s">
        <v>318</v>
      </c>
      <c r="R479" s="36" t="s">
        <v>319</v>
      </c>
      <c r="S479" s="36" t="s">
        <v>320</v>
      </c>
      <c r="T479" s="36" t="s">
        <v>437</v>
      </c>
      <c r="U479" s="36" t="s">
        <v>322</v>
      </c>
      <c r="V479" s="40">
        <v>45870</v>
      </c>
      <c r="W479" s="40">
        <v>45889</v>
      </c>
      <c r="X479" s="36">
        <v>0</v>
      </c>
      <c r="Y479" s="36"/>
      <c r="Z479" s="36">
        <v>1</v>
      </c>
      <c r="AA479" s="36">
        <v>6666666</v>
      </c>
      <c r="AB479" s="40">
        <v>46296</v>
      </c>
      <c r="AC479" s="36" t="s">
        <v>2196</v>
      </c>
      <c r="AD479" s="36" t="str">
        <f>VLOOKUP(D479,Oficial!A:C,3,0)</f>
        <v>Arrastre</v>
      </c>
    </row>
    <row r="480" spans="1:30" x14ac:dyDescent="0.25">
      <c r="A480" s="36" t="s">
        <v>27</v>
      </c>
      <c r="B480" s="36" t="s">
        <v>434</v>
      </c>
      <c r="C480" s="36" t="s">
        <v>28</v>
      </c>
      <c r="D480" s="36" t="s">
        <v>434</v>
      </c>
      <c r="E480" s="36" t="s">
        <v>30</v>
      </c>
      <c r="F480" s="36" t="s">
        <v>31</v>
      </c>
      <c r="G480" s="37" t="s">
        <v>356</v>
      </c>
      <c r="H480" s="36" t="s">
        <v>435</v>
      </c>
      <c r="I480" s="36" t="s">
        <v>436</v>
      </c>
      <c r="J480" s="36">
        <v>1</v>
      </c>
      <c r="K480" s="36" t="s">
        <v>359</v>
      </c>
      <c r="L480" s="36">
        <v>4</v>
      </c>
      <c r="M480" s="36">
        <v>1</v>
      </c>
      <c r="N480" s="38">
        <v>80000000</v>
      </c>
      <c r="O480" s="44">
        <v>6666666</v>
      </c>
      <c r="P480" s="36">
        <v>12</v>
      </c>
      <c r="Q480" s="36" t="s">
        <v>318</v>
      </c>
      <c r="R480" s="36" t="s">
        <v>319</v>
      </c>
      <c r="S480" s="36" t="s">
        <v>320</v>
      </c>
      <c r="T480" s="36" t="s">
        <v>437</v>
      </c>
      <c r="U480" s="36" t="s">
        <v>322</v>
      </c>
      <c r="V480" s="40">
        <v>45870</v>
      </c>
      <c r="W480" s="40">
        <v>45889</v>
      </c>
      <c r="X480" s="36">
        <v>0</v>
      </c>
      <c r="Y480" s="36"/>
      <c r="Z480" s="36">
        <v>1</v>
      </c>
      <c r="AA480" s="36">
        <v>6666666</v>
      </c>
      <c r="AB480" s="40">
        <v>46327</v>
      </c>
      <c r="AC480" s="36" t="s">
        <v>2196</v>
      </c>
      <c r="AD480" s="36" t="str">
        <f>VLOOKUP(D480,Oficial!A:C,3,0)</f>
        <v>Arrastre</v>
      </c>
    </row>
    <row r="481" spans="1:30" x14ac:dyDescent="0.25">
      <c r="A481" s="36" t="s">
        <v>27</v>
      </c>
      <c r="B481" s="36" t="s">
        <v>434</v>
      </c>
      <c r="C481" s="36" t="s">
        <v>28</v>
      </c>
      <c r="D481" s="36" t="s">
        <v>434</v>
      </c>
      <c r="E481" s="36" t="s">
        <v>30</v>
      </c>
      <c r="F481" s="36" t="s">
        <v>31</v>
      </c>
      <c r="G481" s="37" t="s">
        <v>356</v>
      </c>
      <c r="H481" s="36" t="s">
        <v>435</v>
      </c>
      <c r="I481" s="36" t="s">
        <v>436</v>
      </c>
      <c r="J481" s="36">
        <v>1</v>
      </c>
      <c r="K481" s="36" t="s">
        <v>359</v>
      </c>
      <c r="L481" s="36">
        <v>4</v>
      </c>
      <c r="M481" s="36">
        <v>1</v>
      </c>
      <c r="N481" s="38">
        <v>80000000</v>
      </c>
      <c r="O481" s="44">
        <v>6666666</v>
      </c>
      <c r="P481" s="36">
        <v>12</v>
      </c>
      <c r="Q481" s="36" t="s">
        <v>318</v>
      </c>
      <c r="R481" s="36" t="s">
        <v>319</v>
      </c>
      <c r="S481" s="36" t="s">
        <v>320</v>
      </c>
      <c r="T481" s="36" t="s">
        <v>437</v>
      </c>
      <c r="U481" s="36" t="s">
        <v>322</v>
      </c>
      <c r="V481" s="40">
        <v>45870</v>
      </c>
      <c r="W481" s="40">
        <v>45889</v>
      </c>
      <c r="X481" s="36">
        <v>0</v>
      </c>
      <c r="Y481" s="36"/>
      <c r="Z481" s="36">
        <v>1</v>
      </c>
      <c r="AA481" s="36">
        <v>6666666</v>
      </c>
      <c r="AB481" s="40">
        <v>46266</v>
      </c>
      <c r="AC481" s="36" t="s">
        <v>2196</v>
      </c>
      <c r="AD481" s="36" t="str">
        <f>VLOOKUP(D481,Oficial!A:C,3,0)</f>
        <v>Arrastre</v>
      </c>
    </row>
    <row r="482" spans="1:30" x14ac:dyDescent="0.25">
      <c r="A482" s="36" t="s">
        <v>27</v>
      </c>
      <c r="B482" s="36" t="s">
        <v>438</v>
      </c>
      <c r="C482" s="36" t="s">
        <v>28</v>
      </c>
      <c r="D482" s="36" t="s">
        <v>438</v>
      </c>
      <c r="E482" s="36" t="s">
        <v>30</v>
      </c>
      <c r="F482" s="36" t="s">
        <v>31</v>
      </c>
      <c r="G482" s="37" t="s">
        <v>439</v>
      </c>
      <c r="H482" s="36" t="s">
        <v>440</v>
      </c>
      <c r="I482" s="36" t="s">
        <v>441</v>
      </c>
      <c r="J482" s="36">
        <v>2</v>
      </c>
      <c r="K482" s="36" t="s">
        <v>442</v>
      </c>
      <c r="L482" s="36">
        <v>4</v>
      </c>
      <c r="M482" s="36">
        <v>65</v>
      </c>
      <c r="N482" s="38">
        <v>53900</v>
      </c>
      <c r="O482" s="41">
        <v>291958</v>
      </c>
      <c r="P482" s="36">
        <v>12</v>
      </c>
      <c r="Q482" s="36" t="s">
        <v>413</v>
      </c>
      <c r="R482" s="36" t="s">
        <v>360</v>
      </c>
      <c r="S482" s="36" t="s">
        <v>361</v>
      </c>
      <c r="T482" s="36" t="s">
        <v>362</v>
      </c>
      <c r="U482" s="36" t="s">
        <v>363</v>
      </c>
      <c r="V482" s="40">
        <v>45870</v>
      </c>
      <c r="W482" s="40">
        <v>45889</v>
      </c>
      <c r="X482" s="36">
        <v>0</v>
      </c>
      <c r="Y482" s="36"/>
      <c r="Z482" s="36">
        <v>1</v>
      </c>
      <c r="AA482" s="36">
        <v>291958</v>
      </c>
      <c r="AB482" s="40">
        <v>46054</v>
      </c>
      <c r="AC482" s="36" t="s">
        <v>2196</v>
      </c>
      <c r="AD482" s="36" t="str">
        <f>VLOOKUP(D482,Oficial!A:C,3,0)</f>
        <v>Arrastre</v>
      </c>
    </row>
    <row r="483" spans="1:30" x14ac:dyDescent="0.25">
      <c r="A483" s="36" t="s">
        <v>27</v>
      </c>
      <c r="B483" s="36" t="s">
        <v>438</v>
      </c>
      <c r="C483" s="36" t="s">
        <v>28</v>
      </c>
      <c r="D483" s="36" t="s">
        <v>438</v>
      </c>
      <c r="E483" s="36" t="s">
        <v>30</v>
      </c>
      <c r="F483" s="36" t="s">
        <v>31</v>
      </c>
      <c r="G483" s="37" t="s">
        <v>439</v>
      </c>
      <c r="H483" s="36" t="s">
        <v>440</v>
      </c>
      <c r="I483" s="36" t="s">
        <v>441</v>
      </c>
      <c r="J483" s="36">
        <v>2</v>
      </c>
      <c r="K483" s="36" t="s">
        <v>442</v>
      </c>
      <c r="L483" s="36">
        <v>4</v>
      </c>
      <c r="M483" s="36">
        <v>65</v>
      </c>
      <c r="N483" s="38">
        <v>53900</v>
      </c>
      <c r="O483" s="41">
        <v>291958</v>
      </c>
      <c r="P483" s="36">
        <v>12</v>
      </c>
      <c r="Q483" s="36" t="s">
        <v>413</v>
      </c>
      <c r="R483" s="36" t="s">
        <v>360</v>
      </c>
      <c r="S483" s="36" t="s">
        <v>361</v>
      </c>
      <c r="T483" s="36" t="s">
        <v>362</v>
      </c>
      <c r="U483" s="36" t="s">
        <v>363</v>
      </c>
      <c r="V483" s="40">
        <v>45870</v>
      </c>
      <c r="W483" s="40">
        <v>45889</v>
      </c>
      <c r="X483" s="36">
        <v>0</v>
      </c>
      <c r="Y483" s="36"/>
      <c r="Z483" s="36">
        <v>1</v>
      </c>
      <c r="AA483" s="36">
        <v>291958</v>
      </c>
      <c r="AB483" s="40">
        <v>46204</v>
      </c>
      <c r="AC483" s="36" t="s">
        <v>2196</v>
      </c>
      <c r="AD483" s="36" t="str">
        <f>VLOOKUP(D483,Oficial!A:C,3,0)</f>
        <v>Arrastre</v>
      </c>
    </row>
    <row r="484" spans="1:30" x14ac:dyDescent="0.25">
      <c r="A484" s="36" t="s">
        <v>27</v>
      </c>
      <c r="B484" s="36" t="s">
        <v>438</v>
      </c>
      <c r="C484" s="36" t="s">
        <v>28</v>
      </c>
      <c r="D484" s="36" t="s">
        <v>438</v>
      </c>
      <c r="E484" s="36" t="s">
        <v>30</v>
      </c>
      <c r="F484" s="36" t="s">
        <v>31</v>
      </c>
      <c r="G484" s="37" t="s">
        <v>439</v>
      </c>
      <c r="H484" s="36" t="s">
        <v>440</v>
      </c>
      <c r="I484" s="36" t="s">
        <v>441</v>
      </c>
      <c r="J484" s="36">
        <v>2</v>
      </c>
      <c r="K484" s="36" t="s">
        <v>442</v>
      </c>
      <c r="L484" s="36">
        <v>4</v>
      </c>
      <c r="M484" s="36">
        <v>65</v>
      </c>
      <c r="N484" s="38">
        <v>53900</v>
      </c>
      <c r="O484" s="41">
        <v>291958</v>
      </c>
      <c r="P484" s="36">
        <v>12</v>
      </c>
      <c r="Q484" s="36" t="s">
        <v>413</v>
      </c>
      <c r="R484" s="36" t="s">
        <v>360</v>
      </c>
      <c r="S484" s="36" t="s">
        <v>361</v>
      </c>
      <c r="T484" s="36" t="s">
        <v>362</v>
      </c>
      <c r="U484" s="36" t="s">
        <v>363</v>
      </c>
      <c r="V484" s="40">
        <v>45870</v>
      </c>
      <c r="W484" s="40">
        <v>45889</v>
      </c>
      <c r="X484" s="36">
        <v>0</v>
      </c>
      <c r="Y484" s="36"/>
      <c r="Z484" s="36">
        <v>1</v>
      </c>
      <c r="AA484" s="36">
        <v>291958</v>
      </c>
      <c r="AB484" s="40">
        <v>46023</v>
      </c>
      <c r="AC484" s="36" t="s">
        <v>2196</v>
      </c>
      <c r="AD484" s="36" t="str">
        <f>VLOOKUP(D484,Oficial!A:C,3,0)</f>
        <v>Arrastre</v>
      </c>
    </row>
    <row r="485" spans="1:30" x14ac:dyDescent="0.25">
      <c r="A485" s="36" t="s">
        <v>27</v>
      </c>
      <c r="B485" s="36" t="s">
        <v>438</v>
      </c>
      <c r="C485" s="36" t="s">
        <v>28</v>
      </c>
      <c r="D485" s="36" t="s">
        <v>438</v>
      </c>
      <c r="E485" s="36" t="s">
        <v>30</v>
      </c>
      <c r="F485" s="36" t="s">
        <v>31</v>
      </c>
      <c r="G485" s="37" t="s">
        <v>439</v>
      </c>
      <c r="H485" s="36" t="s">
        <v>440</v>
      </c>
      <c r="I485" s="36" t="s">
        <v>441</v>
      </c>
      <c r="J485" s="36">
        <v>2</v>
      </c>
      <c r="K485" s="36" t="s">
        <v>442</v>
      </c>
      <c r="L485" s="36">
        <v>4</v>
      </c>
      <c r="M485" s="36">
        <v>65</v>
      </c>
      <c r="N485" s="38">
        <v>53900</v>
      </c>
      <c r="O485" s="41">
        <v>291962</v>
      </c>
      <c r="P485" s="36">
        <v>12</v>
      </c>
      <c r="Q485" s="36" t="s">
        <v>413</v>
      </c>
      <c r="R485" s="36" t="s">
        <v>360</v>
      </c>
      <c r="S485" s="36" t="s">
        <v>361</v>
      </c>
      <c r="T485" s="36" t="s">
        <v>362</v>
      </c>
      <c r="U485" s="36" t="s">
        <v>363</v>
      </c>
      <c r="V485" s="40">
        <v>45870</v>
      </c>
      <c r="W485" s="40">
        <v>45889</v>
      </c>
      <c r="X485" s="36">
        <v>0</v>
      </c>
      <c r="Y485" s="36"/>
      <c r="Z485" s="36">
        <v>1</v>
      </c>
      <c r="AA485" s="36">
        <v>291962</v>
      </c>
      <c r="AB485" s="40">
        <v>46357</v>
      </c>
      <c r="AC485" s="36" t="s">
        <v>2196</v>
      </c>
      <c r="AD485" s="36" t="str">
        <f>VLOOKUP(D485,Oficial!A:C,3,0)</f>
        <v>Arrastre</v>
      </c>
    </row>
    <row r="486" spans="1:30" x14ac:dyDescent="0.25">
      <c r="A486" s="36" t="s">
        <v>27</v>
      </c>
      <c r="B486" s="36" t="s">
        <v>438</v>
      </c>
      <c r="C486" s="36" t="s">
        <v>28</v>
      </c>
      <c r="D486" s="36" t="s">
        <v>438</v>
      </c>
      <c r="E486" s="36" t="s">
        <v>30</v>
      </c>
      <c r="F486" s="36" t="s">
        <v>31</v>
      </c>
      <c r="G486" s="37" t="s">
        <v>439</v>
      </c>
      <c r="H486" s="36" t="s">
        <v>440</v>
      </c>
      <c r="I486" s="36" t="s">
        <v>441</v>
      </c>
      <c r="J486" s="36">
        <v>2</v>
      </c>
      <c r="K486" s="36" t="s">
        <v>442</v>
      </c>
      <c r="L486" s="36">
        <v>4</v>
      </c>
      <c r="M486" s="36">
        <v>65</v>
      </c>
      <c r="N486" s="38">
        <v>53900</v>
      </c>
      <c r="O486" s="41">
        <v>291958</v>
      </c>
      <c r="P486" s="36">
        <v>12</v>
      </c>
      <c r="Q486" s="36" t="s">
        <v>413</v>
      </c>
      <c r="R486" s="36" t="s">
        <v>360</v>
      </c>
      <c r="S486" s="36" t="s">
        <v>361</v>
      </c>
      <c r="T486" s="36" t="s">
        <v>362</v>
      </c>
      <c r="U486" s="36" t="s">
        <v>363</v>
      </c>
      <c r="V486" s="40">
        <v>45870</v>
      </c>
      <c r="W486" s="40">
        <v>45889</v>
      </c>
      <c r="X486" s="36">
        <v>0</v>
      </c>
      <c r="Y486" s="36"/>
      <c r="Z486" s="36">
        <v>1</v>
      </c>
      <c r="AA486" s="36">
        <v>291958</v>
      </c>
      <c r="AB486" s="40">
        <v>46113</v>
      </c>
      <c r="AC486" s="36" t="s">
        <v>2196</v>
      </c>
      <c r="AD486" s="36" t="str">
        <f>VLOOKUP(D486,Oficial!A:C,3,0)</f>
        <v>Arrastre</v>
      </c>
    </row>
    <row r="487" spans="1:30" x14ac:dyDescent="0.25">
      <c r="A487" s="36" t="s">
        <v>27</v>
      </c>
      <c r="B487" s="36" t="s">
        <v>438</v>
      </c>
      <c r="C487" s="36" t="s">
        <v>28</v>
      </c>
      <c r="D487" s="36" t="s">
        <v>438</v>
      </c>
      <c r="E487" s="36" t="s">
        <v>30</v>
      </c>
      <c r="F487" s="36" t="s">
        <v>31</v>
      </c>
      <c r="G487" s="37" t="s">
        <v>439</v>
      </c>
      <c r="H487" s="36" t="s">
        <v>440</v>
      </c>
      <c r="I487" s="36" t="s">
        <v>441</v>
      </c>
      <c r="J487" s="36">
        <v>2</v>
      </c>
      <c r="K487" s="36" t="s">
        <v>442</v>
      </c>
      <c r="L487" s="36">
        <v>4</v>
      </c>
      <c r="M487" s="36">
        <v>65</v>
      </c>
      <c r="N487" s="38">
        <v>53900</v>
      </c>
      <c r="O487" s="41">
        <v>291958</v>
      </c>
      <c r="P487" s="36">
        <v>12</v>
      </c>
      <c r="Q487" s="36" t="s">
        <v>413</v>
      </c>
      <c r="R487" s="36" t="s">
        <v>360</v>
      </c>
      <c r="S487" s="36" t="s">
        <v>361</v>
      </c>
      <c r="T487" s="36" t="s">
        <v>362</v>
      </c>
      <c r="U487" s="36" t="s">
        <v>363</v>
      </c>
      <c r="V487" s="40">
        <v>45870</v>
      </c>
      <c r="W487" s="40">
        <v>45889</v>
      </c>
      <c r="X487" s="36">
        <v>0</v>
      </c>
      <c r="Y487" s="36"/>
      <c r="Z487" s="36">
        <v>1</v>
      </c>
      <c r="AA487" s="36">
        <v>291958</v>
      </c>
      <c r="AB487" s="40">
        <v>46174</v>
      </c>
      <c r="AC487" s="36" t="s">
        <v>2196</v>
      </c>
      <c r="AD487" s="36" t="str">
        <f>VLOOKUP(D487,Oficial!A:C,3,0)</f>
        <v>Arrastre</v>
      </c>
    </row>
    <row r="488" spans="1:30" x14ac:dyDescent="0.25">
      <c r="A488" s="36" t="s">
        <v>27</v>
      </c>
      <c r="B488" s="36" t="s">
        <v>438</v>
      </c>
      <c r="C488" s="36" t="s">
        <v>28</v>
      </c>
      <c r="D488" s="36" t="s">
        <v>438</v>
      </c>
      <c r="E488" s="36" t="s">
        <v>30</v>
      </c>
      <c r="F488" s="36" t="s">
        <v>31</v>
      </c>
      <c r="G488" s="37" t="s">
        <v>439</v>
      </c>
      <c r="H488" s="36" t="s">
        <v>440</v>
      </c>
      <c r="I488" s="36" t="s">
        <v>441</v>
      </c>
      <c r="J488" s="36">
        <v>2</v>
      </c>
      <c r="K488" s="36" t="s">
        <v>442</v>
      </c>
      <c r="L488" s="36">
        <v>4</v>
      </c>
      <c r="M488" s="36">
        <v>65</v>
      </c>
      <c r="N488" s="38">
        <v>53900</v>
      </c>
      <c r="O488" s="41">
        <v>291958</v>
      </c>
      <c r="P488" s="36">
        <v>12</v>
      </c>
      <c r="Q488" s="36" t="s">
        <v>413</v>
      </c>
      <c r="R488" s="36" t="s">
        <v>360</v>
      </c>
      <c r="S488" s="36" t="s">
        <v>361</v>
      </c>
      <c r="T488" s="36" t="s">
        <v>362</v>
      </c>
      <c r="U488" s="36" t="s">
        <v>363</v>
      </c>
      <c r="V488" s="40">
        <v>45870</v>
      </c>
      <c r="W488" s="40">
        <v>45889</v>
      </c>
      <c r="X488" s="36">
        <v>0</v>
      </c>
      <c r="Y488" s="36"/>
      <c r="Z488" s="36">
        <v>1</v>
      </c>
      <c r="AA488" s="36">
        <v>291958</v>
      </c>
      <c r="AB488" s="40">
        <v>46143</v>
      </c>
      <c r="AC488" s="36" t="s">
        <v>2196</v>
      </c>
      <c r="AD488" s="36" t="str">
        <f>VLOOKUP(D488,Oficial!A:C,3,0)</f>
        <v>Arrastre</v>
      </c>
    </row>
    <row r="489" spans="1:30" x14ac:dyDescent="0.25">
      <c r="A489" s="36" t="s">
        <v>27</v>
      </c>
      <c r="B489" s="36" t="s">
        <v>438</v>
      </c>
      <c r="C489" s="36" t="s">
        <v>28</v>
      </c>
      <c r="D489" s="36" t="s">
        <v>438</v>
      </c>
      <c r="E489" s="36" t="s">
        <v>30</v>
      </c>
      <c r="F489" s="36" t="s">
        <v>31</v>
      </c>
      <c r="G489" s="37" t="s">
        <v>439</v>
      </c>
      <c r="H489" s="36" t="s">
        <v>440</v>
      </c>
      <c r="I489" s="36" t="s">
        <v>441</v>
      </c>
      <c r="J489" s="36">
        <v>2</v>
      </c>
      <c r="K489" s="36" t="s">
        <v>442</v>
      </c>
      <c r="L489" s="36">
        <v>4</v>
      </c>
      <c r="M489" s="36">
        <v>65</v>
      </c>
      <c r="N489" s="38">
        <v>53900</v>
      </c>
      <c r="O489" s="41">
        <v>291958</v>
      </c>
      <c r="P489" s="36">
        <v>12</v>
      </c>
      <c r="Q489" s="36" t="s">
        <v>413</v>
      </c>
      <c r="R489" s="36" t="s">
        <v>360</v>
      </c>
      <c r="S489" s="36" t="s">
        <v>361</v>
      </c>
      <c r="T489" s="36" t="s">
        <v>362</v>
      </c>
      <c r="U489" s="36" t="s">
        <v>363</v>
      </c>
      <c r="V489" s="40">
        <v>45870</v>
      </c>
      <c r="W489" s="40">
        <v>45889</v>
      </c>
      <c r="X489" s="36">
        <v>0</v>
      </c>
      <c r="Y489" s="36"/>
      <c r="Z489" s="36">
        <v>1</v>
      </c>
      <c r="AA489" s="36">
        <v>291958</v>
      </c>
      <c r="AB489" s="40">
        <v>46082</v>
      </c>
      <c r="AC489" s="36" t="s">
        <v>2196</v>
      </c>
      <c r="AD489" s="36" t="str">
        <f>VLOOKUP(D489,Oficial!A:C,3,0)</f>
        <v>Arrastre</v>
      </c>
    </row>
    <row r="490" spans="1:30" x14ac:dyDescent="0.25">
      <c r="A490" s="36" t="s">
        <v>27</v>
      </c>
      <c r="B490" s="36" t="s">
        <v>438</v>
      </c>
      <c r="C490" s="36" t="s">
        <v>28</v>
      </c>
      <c r="D490" s="36" t="s">
        <v>438</v>
      </c>
      <c r="E490" s="36" t="s">
        <v>30</v>
      </c>
      <c r="F490" s="36" t="s">
        <v>31</v>
      </c>
      <c r="G490" s="37" t="s">
        <v>439</v>
      </c>
      <c r="H490" s="36" t="s">
        <v>440</v>
      </c>
      <c r="I490" s="36" t="s">
        <v>441</v>
      </c>
      <c r="J490" s="36">
        <v>2</v>
      </c>
      <c r="K490" s="36" t="s">
        <v>442</v>
      </c>
      <c r="L490" s="36">
        <v>4</v>
      </c>
      <c r="M490" s="36">
        <v>65</v>
      </c>
      <c r="N490" s="38">
        <v>53900</v>
      </c>
      <c r="O490" s="41">
        <v>291958</v>
      </c>
      <c r="P490" s="36">
        <v>12</v>
      </c>
      <c r="Q490" s="36" t="s">
        <v>413</v>
      </c>
      <c r="R490" s="36" t="s">
        <v>360</v>
      </c>
      <c r="S490" s="36" t="s">
        <v>361</v>
      </c>
      <c r="T490" s="36" t="s">
        <v>362</v>
      </c>
      <c r="U490" s="36" t="s">
        <v>363</v>
      </c>
      <c r="V490" s="40">
        <v>45870</v>
      </c>
      <c r="W490" s="40">
        <v>45889</v>
      </c>
      <c r="X490" s="36">
        <v>0</v>
      </c>
      <c r="Y490" s="36"/>
      <c r="Z490" s="36">
        <v>1</v>
      </c>
      <c r="AA490" s="36">
        <v>291958</v>
      </c>
      <c r="AB490" s="40">
        <v>46296</v>
      </c>
      <c r="AC490" s="36" t="s">
        <v>2196</v>
      </c>
      <c r="AD490" s="36" t="str">
        <f>VLOOKUP(D490,Oficial!A:C,3,0)</f>
        <v>Arrastre</v>
      </c>
    </row>
    <row r="491" spans="1:30" x14ac:dyDescent="0.25">
      <c r="A491" s="36" t="s">
        <v>27</v>
      </c>
      <c r="B491" s="36" t="s">
        <v>438</v>
      </c>
      <c r="C491" s="36" t="s">
        <v>28</v>
      </c>
      <c r="D491" s="36" t="s">
        <v>438</v>
      </c>
      <c r="E491" s="36" t="s">
        <v>30</v>
      </c>
      <c r="F491" s="36" t="s">
        <v>31</v>
      </c>
      <c r="G491" s="37" t="s">
        <v>439</v>
      </c>
      <c r="H491" s="36" t="s">
        <v>440</v>
      </c>
      <c r="I491" s="36" t="s">
        <v>441</v>
      </c>
      <c r="J491" s="36">
        <v>2</v>
      </c>
      <c r="K491" s="36" t="s">
        <v>442</v>
      </c>
      <c r="L491" s="36">
        <v>4</v>
      </c>
      <c r="M491" s="36">
        <v>65</v>
      </c>
      <c r="N491" s="38">
        <v>53900</v>
      </c>
      <c r="O491" s="41">
        <v>291958</v>
      </c>
      <c r="P491" s="36">
        <v>12</v>
      </c>
      <c r="Q491" s="36" t="s">
        <v>413</v>
      </c>
      <c r="R491" s="36" t="s">
        <v>360</v>
      </c>
      <c r="S491" s="36" t="s">
        <v>361</v>
      </c>
      <c r="T491" s="36" t="s">
        <v>362</v>
      </c>
      <c r="U491" s="36" t="s">
        <v>363</v>
      </c>
      <c r="V491" s="40">
        <v>45870</v>
      </c>
      <c r="W491" s="40">
        <v>45889</v>
      </c>
      <c r="X491" s="36">
        <v>0</v>
      </c>
      <c r="Y491" s="36"/>
      <c r="Z491" s="36">
        <v>1</v>
      </c>
      <c r="AA491" s="36">
        <v>291958</v>
      </c>
      <c r="AB491" s="40">
        <v>46266</v>
      </c>
      <c r="AC491" s="36" t="s">
        <v>2196</v>
      </c>
      <c r="AD491" s="36" t="str">
        <f>VLOOKUP(D491,Oficial!A:C,3,0)</f>
        <v>Arrastre</v>
      </c>
    </row>
    <row r="492" spans="1:30" x14ac:dyDescent="0.25">
      <c r="A492" s="36" t="s">
        <v>27</v>
      </c>
      <c r="B492" s="36" t="s">
        <v>438</v>
      </c>
      <c r="C492" s="36" t="s">
        <v>28</v>
      </c>
      <c r="D492" s="36" t="s">
        <v>438</v>
      </c>
      <c r="E492" s="36" t="s">
        <v>30</v>
      </c>
      <c r="F492" s="36" t="s">
        <v>31</v>
      </c>
      <c r="G492" s="37" t="s">
        <v>439</v>
      </c>
      <c r="H492" s="36" t="s">
        <v>440</v>
      </c>
      <c r="I492" s="36" t="s">
        <v>441</v>
      </c>
      <c r="J492" s="36">
        <v>2</v>
      </c>
      <c r="K492" s="36" t="s">
        <v>442</v>
      </c>
      <c r="L492" s="36">
        <v>4</v>
      </c>
      <c r="M492" s="36">
        <v>65</v>
      </c>
      <c r="N492" s="38">
        <v>53900</v>
      </c>
      <c r="O492" s="41">
        <v>291958</v>
      </c>
      <c r="P492" s="36">
        <v>12</v>
      </c>
      <c r="Q492" s="36" t="s">
        <v>413</v>
      </c>
      <c r="R492" s="36" t="s">
        <v>360</v>
      </c>
      <c r="S492" s="36" t="s">
        <v>361</v>
      </c>
      <c r="T492" s="36" t="s">
        <v>362</v>
      </c>
      <c r="U492" s="36" t="s">
        <v>363</v>
      </c>
      <c r="V492" s="40">
        <v>45870</v>
      </c>
      <c r="W492" s="40">
        <v>45889</v>
      </c>
      <c r="X492" s="36">
        <v>0</v>
      </c>
      <c r="Y492" s="36"/>
      <c r="Z492" s="36">
        <v>1</v>
      </c>
      <c r="AA492" s="36">
        <v>291958</v>
      </c>
      <c r="AB492" s="40">
        <v>46235</v>
      </c>
      <c r="AC492" s="36" t="s">
        <v>2196</v>
      </c>
      <c r="AD492" s="36" t="str">
        <f>VLOOKUP(D492,Oficial!A:C,3,0)</f>
        <v>Arrastre</v>
      </c>
    </row>
    <row r="493" spans="1:30" x14ac:dyDescent="0.25">
      <c r="A493" s="36" t="s">
        <v>27</v>
      </c>
      <c r="B493" s="36" t="s">
        <v>438</v>
      </c>
      <c r="C493" s="36" t="s">
        <v>28</v>
      </c>
      <c r="D493" s="36" t="s">
        <v>438</v>
      </c>
      <c r="E493" s="36" t="s">
        <v>30</v>
      </c>
      <c r="F493" s="36" t="s">
        <v>31</v>
      </c>
      <c r="G493" s="37" t="s">
        <v>439</v>
      </c>
      <c r="H493" s="36" t="s">
        <v>440</v>
      </c>
      <c r="I493" s="36" t="s">
        <v>441</v>
      </c>
      <c r="J493" s="36">
        <v>2</v>
      </c>
      <c r="K493" s="36" t="s">
        <v>442</v>
      </c>
      <c r="L493" s="36">
        <v>4</v>
      </c>
      <c r="M493" s="36">
        <v>65</v>
      </c>
      <c r="N493" s="38">
        <v>53900</v>
      </c>
      <c r="O493" s="41">
        <v>291958</v>
      </c>
      <c r="P493" s="36">
        <v>12</v>
      </c>
      <c r="Q493" s="36" t="s">
        <v>413</v>
      </c>
      <c r="R493" s="36" t="s">
        <v>360</v>
      </c>
      <c r="S493" s="36" t="s">
        <v>361</v>
      </c>
      <c r="T493" s="36" t="s">
        <v>362</v>
      </c>
      <c r="U493" s="36" t="s">
        <v>363</v>
      </c>
      <c r="V493" s="40">
        <v>45870</v>
      </c>
      <c r="W493" s="40">
        <v>45889</v>
      </c>
      <c r="X493" s="36">
        <v>0</v>
      </c>
      <c r="Y493" s="36"/>
      <c r="Z493" s="36">
        <v>1</v>
      </c>
      <c r="AA493" s="36">
        <v>291958</v>
      </c>
      <c r="AB493" s="40">
        <v>46327</v>
      </c>
      <c r="AC493" s="36" t="s">
        <v>2196</v>
      </c>
      <c r="AD493" s="36" t="str">
        <f>VLOOKUP(D493,Oficial!A:C,3,0)</f>
        <v>Arrastre</v>
      </c>
    </row>
    <row r="494" spans="1:30" x14ac:dyDescent="0.25">
      <c r="A494" s="36" t="s">
        <v>27</v>
      </c>
      <c r="B494" s="36" t="s">
        <v>438</v>
      </c>
      <c r="C494" s="36" t="s">
        <v>28</v>
      </c>
      <c r="D494" s="36" t="s">
        <v>438</v>
      </c>
      <c r="E494" s="36" t="s">
        <v>30</v>
      </c>
      <c r="F494" s="36" t="s">
        <v>31</v>
      </c>
      <c r="G494" s="37" t="s">
        <v>439</v>
      </c>
      <c r="H494" s="36" t="s">
        <v>440</v>
      </c>
      <c r="I494" s="36" t="s">
        <v>441</v>
      </c>
      <c r="J494" s="36">
        <v>2</v>
      </c>
      <c r="K494" s="36" t="s">
        <v>443</v>
      </c>
      <c r="L494" s="36">
        <v>4</v>
      </c>
      <c r="M494" s="36">
        <v>50</v>
      </c>
      <c r="N494" s="38">
        <v>58280</v>
      </c>
      <c r="O494" s="41">
        <v>242833</v>
      </c>
      <c r="P494" s="36">
        <v>12</v>
      </c>
      <c r="Q494" s="36" t="s">
        <v>413</v>
      </c>
      <c r="R494" s="36" t="s">
        <v>360</v>
      </c>
      <c r="S494" s="36" t="s">
        <v>361</v>
      </c>
      <c r="T494" s="36" t="s">
        <v>362</v>
      </c>
      <c r="U494" s="36" t="s">
        <v>363</v>
      </c>
      <c r="V494" s="40">
        <v>45870</v>
      </c>
      <c r="W494" s="40">
        <v>45889</v>
      </c>
      <c r="X494" s="36">
        <v>0</v>
      </c>
      <c r="Y494" s="36"/>
      <c r="Z494" s="36">
        <v>1</v>
      </c>
      <c r="AA494" s="36">
        <v>242833</v>
      </c>
      <c r="AB494" s="40">
        <v>46023</v>
      </c>
      <c r="AC494" s="36" t="s">
        <v>2196</v>
      </c>
      <c r="AD494" s="36" t="str">
        <f>VLOOKUP(D494,Oficial!A:C,3,0)</f>
        <v>Arrastre</v>
      </c>
    </row>
    <row r="495" spans="1:30" x14ac:dyDescent="0.25">
      <c r="A495" s="36" t="s">
        <v>27</v>
      </c>
      <c r="B495" s="36" t="s">
        <v>438</v>
      </c>
      <c r="C495" s="36" t="s">
        <v>28</v>
      </c>
      <c r="D495" s="36" t="s">
        <v>438</v>
      </c>
      <c r="E495" s="36" t="s">
        <v>30</v>
      </c>
      <c r="F495" s="36" t="s">
        <v>31</v>
      </c>
      <c r="G495" s="37" t="s">
        <v>439</v>
      </c>
      <c r="H495" s="36" t="s">
        <v>440</v>
      </c>
      <c r="I495" s="36" t="s">
        <v>441</v>
      </c>
      <c r="J495" s="36">
        <v>2</v>
      </c>
      <c r="K495" s="36" t="s">
        <v>443</v>
      </c>
      <c r="L495" s="36">
        <v>4</v>
      </c>
      <c r="M495" s="36">
        <v>50</v>
      </c>
      <c r="N495" s="38">
        <v>58280</v>
      </c>
      <c r="O495" s="41">
        <v>242833</v>
      </c>
      <c r="P495" s="36">
        <v>12</v>
      </c>
      <c r="Q495" s="36" t="s">
        <v>413</v>
      </c>
      <c r="R495" s="36" t="s">
        <v>360</v>
      </c>
      <c r="S495" s="36" t="s">
        <v>361</v>
      </c>
      <c r="T495" s="36" t="s">
        <v>362</v>
      </c>
      <c r="U495" s="36" t="s">
        <v>363</v>
      </c>
      <c r="V495" s="40">
        <v>45870</v>
      </c>
      <c r="W495" s="40">
        <v>45889</v>
      </c>
      <c r="X495" s="36">
        <v>0</v>
      </c>
      <c r="Y495" s="36"/>
      <c r="Z495" s="36">
        <v>1</v>
      </c>
      <c r="AA495" s="36">
        <v>242833</v>
      </c>
      <c r="AB495" s="40">
        <v>46204</v>
      </c>
      <c r="AC495" s="36" t="s">
        <v>2196</v>
      </c>
      <c r="AD495" s="36" t="str">
        <f>VLOOKUP(D495,Oficial!A:C,3,0)</f>
        <v>Arrastre</v>
      </c>
    </row>
    <row r="496" spans="1:30" x14ac:dyDescent="0.25">
      <c r="A496" s="36" t="s">
        <v>27</v>
      </c>
      <c r="B496" s="36" t="s">
        <v>438</v>
      </c>
      <c r="C496" s="36" t="s">
        <v>28</v>
      </c>
      <c r="D496" s="36" t="s">
        <v>438</v>
      </c>
      <c r="E496" s="36" t="s">
        <v>30</v>
      </c>
      <c r="F496" s="36" t="s">
        <v>31</v>
      </c>
      <c r="G496" s="37" t="s">
        <v>439</v>
      </c>
      <c r="H496" s="36" t="s">
        <v>440</v>
      </c>
      <c r="I496" s="36" t="s">
        <v>441</v>
      </c>
      <c r="J496" s="36">
        <v>2</v>
      </c>
      <c r="K496" s="36" t="s">
        <v>443</v>
      </c>
      <c r="L496" s="36">
        <v>4</v>
      </c>
      <c r="M496" s="36">
        <v>50</v>
      </c>
      <c r="N496" s="38">
        <v>58280</v>
      </c>
      <c r="O496" s="41">
        <v>242833</v>
      </c>
      <c r="P496" s="36">
        <v>12</v>
      </c>
      <c r="Q496" s="36" t="s">
        <v>413</v>
      </c>
      <c r="R496" s="36" t="s">
        <v>360</v>
      </c>
      <c r="S496" s="36" t="s">
        <v>361</v>
      </c>
      <c r="T496" s="36" t="s">
        <v>362</v>
      </c>
      <c r="U496" s="36" t="s">
        <v>363</v>
      </c>
      <c r="V496" s="40">
        <v>45870</v>
      </c>
      <c r="W496" s="40">
        <v>45889</v>
      </c>
      <c r="X496" s="36">
        <v>0</v>
      </c>
      <c r="Y496" s="36"/>
      <c r="Z496" s="36">
        <v>1</v>
      </c>
      <c r="AA496" s="36">
        <v>242833</v>
      </c>
      <c r="AB496" s="40">
        <v>46143</v>
      </c>
      <c r="AC496" s="36" t="s">
        <v>2196</v>
      </c>
      <c r="AD496" s="36" t="str">
        <f>VLOOKUP(D496,Oficial!A:C,3,0)</f>
        <v>Arrastre</v>
      </c>
    </row>
    <row r="497" spans="1:30" x14ac:dyDescent="0.25">
      <c r="A497" s="36" t="s">
        <v>27</v>
      </c>
      <c r="B497" s="36" t="s">
        <v>438</v>
      </c>
      <c r="C497" s="36" t="s">
        <v>28</v>
      </c>
      <c r="D497" s="36" t="s">
        <v>438</v>
      </c>
      <c r="E497" s="36" t="s">
        <v>30</v>
      </c>
      <c r="F497" s="36" t="s">
        <v>31</v>
      </c>
      <c r="G497" s="37" t="s">
        <v>439</v>
      </c>
      <c r="H497" s="36" t="s">
        <v>440</v>
      </c>
      <c r="I497" s="36" t="s">
        <v>441</v>
      </c>
      <c r="J497" s="36">
        <v>2</v>
      </c>
      <c r="K497" s="36" t="s">
        <v>443</v>
      </c>
      <c r="L497" s="36">
        <v>4</v>
      </c>
      <c r="M497" s="36">
        <v>50</v>
      </c>
      <c r="N497" s="38">
        <v>58280</v>
      </c>
      <c r="O497" s="41">
        <v>242833</v>
      </c>
      <c r="P497" s="36">
        <v>12</v>
      </c>
      <c r="Q497" s="36" t="s">
        <v>413</v>
      </c>
      <c r="R497" s="36" t="s">
        <v>360</v>
      </c>
      <c r="S497" s="36" t="s">
        <v>361</v>
      </c>
      <c r="T497" s="36" t="s">
        <v>362</v>
      </c>
      <c r="U497" s="36" t="s">
        <v>363</v>
      </c>
      <c r="V497" s="40">
        <v>45870</v>
      </c>
      <c r="W497" s="40">
        <v>45889</v>
      </c>
      <c r="X497" s="36">
        <v>0</v>
      </c>
      <c r="Y497" s="36"/>
      <c r="Z497" s="36">
        <v>1</v>
      </c>
      <c r="AA497" s="36">
        <v>242833</v>
      </c>
      <c r="AB497" s="40">
        <v>46174</v>
      </c>
      <c r="AC497" s="36" t="s">
        <v>2196</v>
      </c>
      <c r="AD497" s="36" t="str">
        <f>VLOOKUP(D497,Oficial!A:C,3,0)</f>
        <v>Arrastre</v>
      </c>
    </row>
    <row r="498" spans="1:30" x14ac:dyDescent="0.25">
      <c r="A498" s="36" t="s">
        <v>27</v>
      </c>
      <c r="B498" s="36" t="s">
        <v>438</v>
      </c>
      <c r="C498" s="36" t="s">
        <v>28</v>
      </c>
      <c r="D498" s="36" t="s">
        <v>438</v>
      </c>
      <c r="E498" s="36" t="s">
        <v>30</v>
      </c>
      <c r="F498" s="36" t="s">
        <v>31</v>
      </c>
      <c r="G498" s="37" t="s">
        <v>439</v>
      </c>
      <c r="H498" s="36" t="s">
        <v>440</v>
      </c>
      <c r="I498" s="36" t="s">
        <v>441</v>
      </c>
      <c r="J498" s="36">
        <v>2</v>
      </c>
      <c r="K498" s="36" t="s">
        <v>443</v>
      </c>
      <c r="L498" s="36">
        <v>4</v>
      </c>
      <c r="M498" s="36">
        <v>50</v>
      </c>
      <c r="N498" s="38">
        <v>58280</v>
      </c>
      <c r="O498" s="41">
        <v>242833</v>
      </c>
      <c r="P498" s="36">
        <v>12</v>
      </c>
      <c r="Q498" s="36" t="s">
        <v>413</v>
      </c>
      <c r="R498" s="36" t="s">
        <v>360</v>
      </c>
      <c r="S498" s="36" t="s">
        <v>361</v>
      </c>
      <c r="T498" s="36" t="s">
        <v>362</v>
      </c>
      <c r="U498" s="36" t="s">
        <v>363</v>
      </c>
      <c r="V498" s="40">
        <v>45870</v>
      </c>
      <c r="W498" s="40">
        <v>45889</v>
      </c>
      <c r="X498" s="36">
        <v>0</v>
      </c>
      <c r="Y498" s="36"/>
      <c r="Z498" s="36">
        <v>1</v>
      </c>
      <c r="AA498" s="36">
        <v>242833</v>
      </c>
      <c r="AB498" s="40">
        <v>46327</v>
      </c>
      <c r="AC498" s="36" t="s">
        <v>2196</v>
      </c>
      <c r="AD498" s="36" t="str">
        <f>VLOOKUP(D498,Oficial!A:C,3,0)</f>
        <v>Arrastre</v>
      </c>
    </row>
    <row r="499" spans="1:30" x14ac:dyDescent="0.25">
      <c r="A499" s="36" t="s">
        <v>27</v>
      </c>
      <c r="B499" s="36" t="s">
        <v>438</v>
      </c>
      <c r="C499" s="36" t="s">
        <v>28</v>
      </c>
      <c r="D499" s="36" t="s">
        <v>438</v>
      </c>
      <c r="E499" s="36" t="s">
        <v>30</v>
      </c>
      <c r="F499" s="36" t="s">
        <v>31</v>
      </c>
      <c r="G499" s="37" t="s">
        <v>439</v>
      </c>
      <c r="H499" s="36" t="s">
        <v>440</v>
      </c>
      <c r="I499" s="36" t="s">
        <v>441</v>
      </c>
      <c r="J499" s="36">
        <v>2</v>
      </c>
      <c r="K499" s="36" t="s">
        <v>443</v>
      </c>
      <c r="L499" s="36">
        <v>4</v>
      </c>
      <c r="M499" s="36">
        <v>50</v>
      </c>
      <c r="N499" s="38">
        <v>58280</v>
      </c>
      <c r="O499" s="41">
        <v>242837</v>
      </c>
      <c r="P499" s="36">
        <v>12</v>
      </c>
      <c r="Q499" s="36" t="s">
        <v>413</v>
      </c>
      <c r="R499" s="36" t="s">
        <v>360</v>
      </c>
      <c r="S499" s="36" t="s">
        <v>361</v>
      </c>
      <c r="T499" s="36" t="s">
        <v>362</v>
      </c>
      <c r="U499" s="36" t="s">
        <v>363</v>
      </c>
      <c r="V499" s="40">
        <v>45870</v>
      </c>
      <c r="W499" s="40">
        <v>45889</v>
      </c>
      <c r="X499" s="36">
        <v>0</v>
      </c>
      <c r="Y499" s="36"/>
      <c r="Z499" s="36">
        <v>1</v>
      </c>
      <c r="AA499" s="36">
        <v>242837</v>
      </c>
      <c r="AB499" s="40">
        <v>46357</v>
      </c>
      <c r="AC499" s="36" t="s">
        <v>2196</v>
      </c>
      <c r="AD499" s="36" t="str">
        <f>VLOOKUP(D499,Oficial!A:C,3,0)</f>
        <v>Arrastre</v>
      </c>
    </row>
    <row r="500" spans="1:30" x14ac:dyDescent="0.25">
      <c r="A500" s="36" t="s">
        <v>27</v>
      </c>
      <c r="B500" s="36" t="s">
        <v>438</v>
      </c>
      <c r="C500" s="36" t="s">
        <v>28</v>
      </c>
      <c r="D500" s="36" t="s">
        <v>438</v>
      </c>
      <c r="E500" s="36" t="s">
        <v>30</v>
      </c>
      <c r="F500" s="36" t="s">
        <v>31</v>
      </c>
      <c r="G500" s="37" t="s">
        <v>439</v>
      </c>
      <c r="H500" s="36" t="s">
        <v>440</v>
      </c>
      <c r="I500" s="36" t="s">
        <v>441</v>
      </c>
      <c r="J500" s="36">
        <v>2</v>
      </c>
      <c r="K500" s="36" t="s">
        <v>443</v>
      </c>
      <c r="L500" s="36">
        <v>4</v>
      </c>
      <c r="M500" s="36">
        <v>50</v>
      </c>
      <c r="N500" s="38">
        <v>58280</v>
      </c>
      <c r="O500" s="41">
        <v>242833</v>
      </c>
      <c r="P500" s="36">
        <v>12</v>
      </c>
      <c r="Q500" s="36" t="s">
        <v>413</v>
      </c>
      <c r="R500" s="36" t="s">
        <v>360</v>
      </c>
      <c r="S500" s="36" t="s">
        <v>361</v>
      </c>
      <c r="T500" s="36" t="s">
        <v>362</v>
      </c>
      <c r="U500" s="36" t="s">
        <v>363</v>
      </c>
      <c r="V500" s="40">
        <v>45870</v>
      </c>
      <c r="W500" s="40">
        <v>45889</v>
      </c>
      <c r="X500" s="36">
        <v>0</v>
      </c>
      <c r="Y500" s="36"/>
      <c r="Z500" s="36">
        <v>1</v>
      </c>
      <c r="AA500" s="36">
        <v>242833</v>
      </c>
      <c r="AB500" s="40">
        <v>46235</v>
      </c>
      <c r="AC500" s="36" t="s">
        <v>2196</v>
      </c>
      <c r="AD500" s="36" t="str">
        <f>VLOOKUP(D500,Oficial!A:C,3,0)</f>
        <v>Arrastre</v>
      </c>
    </row>
    <row r="501" spans="1:30" x14ac:dyDescent="0.25">
      <c r="A501" s="36" t="s">
        <v>27</v>
      </c>
      <c r="B501" s="36" t="s">
        <v>438</v>
      </c>
      <c r="C501" s="36" t="s">
        <v>28</v>
      </c>
      <c r="D501" s="36" t="s">
        <v>438</v>
      </c>
      <c r="E501" s="36" t="s">
        <v>30</v>
      </c>
      <c r="F501" s="36" t="s">
        <v>31</v>
      </c>
      <c r="G501" s="37" t="s">
        <v>439</v>
      </c>
      <c r="H501" s="36" t="s">
        <v>440</v>
      </c>
      <c r="I501" s="36" t="s">
        <v>441</v>
      </c>
      <c r="J501" s="36">
        <v>2</v>
      </c>
      <c r="K501" s="36" t="s">
        <v>443</v>
      </c>
      <c r="L501" s="36">
        <v>4</v>
      </c>
      <c r="M501" s="36">
        <v>50</v>
      </c>
      <c r="N501" s="38">
        <v>58280</v>
      </c>
      <c r="O501" s="41">
        <v>242833</v>
      </c>
      <c r="P501" s="36">
        <v>12</v>
      </c>
      <c r="Q501" s="36" t="s">
        <v>413</v>
      </c>
      <c r="R501" s="36" t="s">
        <v>360</v>
      </c>
      <c r="S501" s="36" t="s">
        <v>361</v>
      </c>
      <c r="T501" s="36" t="s">
        <v>362</v>
      </c>
      <c r="U501" s="36" t="s">
        <v>363</v>
      </c>
      <c r="V501" s="40">
        <v>45870</v>
      </c>
      <c r="W501" s="40">
        <v>45889</v>
      </c>
      <c r="X501" s="36">
        <v>0</v>
      </c>
      <c r="Y501" s="36"/>
      <c r="Z501" s="36">
        <v>1</v>
      </c>
      <c r="AA501" s="36">
        <v>242833</v>
      </c>
      <c r="AB501" s="40">
        <v>46054</v>
      </c>
      <c r="AC501" s="36" t="s">
        <v>2196</v>
      </c>
      <c r="AD501" s="36" t="str">
        <f>VLOOKUP(D501,Oficial!A:C,3,0)</f>
        <v>Arrastre</v>
      </c>
    </row>
    <row r="502" spans="1:30" x14ac:dyDescent="0.25">
      <c r="A502" s="36" t="s">
        <v>27</v>
      </c>
      <c r="B502" s="36" t="s">
        <v>438</v>
      </c>
      <c r="C502" s="36" t="s">
        <v>28</v>
      </c>
      <c r="D502" s="36" t="s">
        <v>438</v>
      </c>
      <c r="E502" s="36" t="s">
        <v>30</v>
      </c>
      <c r="F502" s="36" t="s">
        <v>31</v>
      </c>
      <c r="G502" s="37" t="s">
        <v>439</v>
      </c>
      <c r="H502" s="36" t="s">
        <v>440</v>
      </c>
      <c r="I502" s="36" t="s">
        <v>441</v>
      </c>
      <c r="J502" s="36">
        <v>2</v>
      </c>
      <c r="K502" s="36" t="s">
        <v>443</v>
      </c>
      <c r="L502" s="36">
        <v>4</v>
      </c>
      <c r="M502" s="36">
        <v>50</v>
      </c>
      <c r="N502" s="38">
        <v>58280</v>
      </c>
      <c r="O502" s="41">
        <v>242833</v>
      </c>
      <c r="P502" s="36">
        <v>12</v>
      </c>
      <c r="Q502" s="36" t="s">
        <v>413</v>
      </c>
      <c r="R502" s="36" t="s">
        <v>360</v>
      </c>
      <c r="S502" s="36" t="s">
        <v>361</v>
      </c>
      <c r="T502" s="36" t="s">
        <v>362</v>
      </c>
      <c r="U502" s="36" t="s">
        <v>363</v>
      </c>
      <c r="V502" s="40">
        <v>45870</v>
      </c>
      <c r="W502" s="40">
        <v>45889</v>
      </c>
      <c r="X502" s="36">
        <v>0</v>
      </c>
      <c r="Y502" s="36"/>
      <c r="Z502" s="36">
        <v>1</v>
      </c>
      <c r="AA502" s="36">
        <v>242833</v>
      </c>
      <c r="AB502" s="40">
        <v>46113</v>
      </c>
      <c r="AC502" s="36" t="s">
        <v>2196</v>
      </c>
      <c r="AD502" s="36" t="str">
        <f>VLOOKUP(D502,Oficial!A:C,3,0)</f>
        <v>Arrastre</v>
      </c>
    </row>
    <row r="503" spans="1:30" x14ac:dyDescent="0.25">
      <c r="A503" s="36" t="s">
        <v>27</v>
      </c>
      <c r="B503" s="36" t="s">
        <v>438</v>
      </c>
      <c r="C503" s="36" t="s">
        <v>28</v>
      </c>
      <c r="D503" s="36" t="s">
        <v>438</v>
      </c>
      <c r="E503" s="36" t="s">
        <v>30</v>
      </c>
      <c r="F503" s="36" t="s">
        <v>31</v>
      </c>
      <c r="G503" s="37" t="s">
        <v>439</v>
      </c>
      <c r="H503" s="36" t="s">
        <v>440</v>
      </c>
      <c r="I503" s="36" t="s">
        <v>441</v>
      </c>
      <c r="J503" s="36">
        <v>2</v>
      </c>
      <c r="K503" s="36" t="s">
        <v>443</v>
      </c>
      <c r="L503" s="36">
        <v>4</v>
      </c>
      <c r="M503" s="36">
        <v>50</v>
      </c>
      <c r="N503" s="38">
        <v>58280</v>
      </c>
      <c r="O503" s="41">
        <v>242833</v>
      </c>
      <c r="P503" s="36">
        <v>12</v>
      </c>
      <c r="Q503" s="36" t="s">
        <v>413</v>
      </c>
      <c r="R503" s="36" t="s">
        <v>360</v>
      </c>
      <c r="S503" s="36" t="s">
        <v>361</v>
      </c>
      <c r="T503" s="36" t="s">
        <v>362</v>
      </c>
      <c r="U503" s="36" t="s">
        <v>363</v>
      </c>
      <c r="V503" s="40">
        <v>45870</v>
      </c>
      <c r="W503" s="40">
        <v>45889</v>
      </c>
      <c r="X503" s="36">
        <v>0</v>
      </c>
      <c r="Y503" s="36"/>
      <c r="Z503" s="36">
        <v>1</v>
      </c>
      <c r="AA503" s="36">
        <v>242833</v>
      </c>
      <c r="AB503" s="40">
        <v>46266</v>
      </c>
      <c r="AC503" s="36" t="s">
        <v>2196</v>
      </c>
      <c r="AD503" s="36" t="str">
        <f>VLOOKUP(D503,Oficial!A:C,3,0)</f>
        <v>Arrastre</v>
      </c>
    </row>
    <row r="504" spans="1:30" x14ac:dyDescent="0.25">
      <c r="A504" s="36" t="s">
        <v>27</v>
      </c>
      <c r="B504" s="36" t="s">
        <v>438</v>
      </c>
      <c r="C504" s="36" t="s">
        <v>28</v>
      </c>
      <c r="D504" s="36" t="s">
        <v>438</v>
      </c>
      <c r="E504" s="36" t="s">
        <v>30</v>
      </c>
      <c r="F504" s="36" t="s">
        <v>31</v>
      </c>
      <c r="G504" s="37" t="s">
        <v>439</v>
      </c>
      <c r="H504" s="36" t="s">
        <v>440</v>
      </c>
      <c r="I504" s="36" t="s">
        <v>441</v>
      </c>
      <c r="J504" s="36">
        <v>2</v>
      </c>
      <c r="K504" s="36" t="s">
        <v>443</v>
      </c>
      <c r="L504" s="36">
        <v>4</v>
      </c>
      <c r="M504" s="36">
        <v>50</v>
      </c>
      <c r="N504" s="38">
        <v>58280</v>
      </c>
      <c r="O504" s="41">
        <v>242833</v>
      </c>
      <c r="P504" s="36">
        <v>12</v>
      </c>
      <c r="Q504" s="36" t="s">
        <v>413</v>
      </c>
      <c r="R504" s="36" t="s">
        <v>360</v>
      </c>
      <c r="S504" s="36" t="s">
        <v>361</v>
      </c>
      <c r="T504" s="36" t="s">
        <v>362</v>
      </c>
      <c r="U504" s="36" t="s">
        <v>363</v>
      </c>
      <c r="V504" s="40">
        <v>45870</v>
      </c>
      <c r="W504" s="40">
        <v>45889</v>
      </c>
      <c r="X504" s="36">
        <v>0</v>
      </c>
      <c r="Y504" s="36"/>
      <c r="Z504" s="36">
        <v>1</v>
      </c>
      <c r="AA504" s="36">
        <v>242833</v>
      </c>
      <c r="AB504" s="40">
        <v>46296</v>
      </c>
      <c r="AC504" s="36" t="s">
        <v>2196</v>
      </c>
      <c r="AD504" s="36" t="str">
        <f>VLOOKUP(D504,Oficial!A:C,3,0)</f>
        <v>Arrastre</v>
      </c>
    </row>
    <row r="505" spans="1:30" x14ac:dyDescent="0.25">
      <c r="A505" s="36" t="s">
        <v>27</v>
      </c>
      <c r="B505" s="36" t="s">
        <v>438</v>
      </c>
      <c r="C505" s="36" t="s">
        <v>28</v>
      </c>
      <c r="D505" s="36" t="s">
        <v>438</v>
      </c>
      <c r="E505" s="36" t="s">
        <v>30</v>
      </c>
      <c r="F505" s="36" t="s">
        <v>31</v>
      </c>
      <c r="G505" s="37" t="s">
        <v>439</v>
      </c>
      <c r="H505" s="36" t="s">
        <v>440</v>
      </c>
      <c r="I505" s="36" t="s">
        <v>441</v>
      </c>
      <c r="J505" s="36">
        <v>2</v>
      </c>
      <c r="K505" s="36" t="s">
        <v>443</v>
      </c>
      <c r="L505" s="36">
        <v>4</v>
      </c>
      <c r="M505" s="36">
        <v>50</v>
      </c>
      <c r="N505" s="38">
        <v>58280</v>
      </c>
      <c r="O505" s="41">
        <v>242833</v>
      </c>
      <c r="P505" s="36">
        <v>12</v>
      </c>
      <c r="Q505" s="36" t="s">
        <v>413</v>
      </c>
      <c r="R505" s="36" t="s">
        <v>360</v>
      </c>
      <c r="S505" s="36" t="s">
        <v>361</v>
      </c>
      <c r="T505" s="36" t="s">
        <v>362</v>
      </c>
      <c r="U505" s="36" t="s">
        <v>363</v>
      </c>
      <c r="V505" s="40">
        <v>45870</v>
      </c>
      <c r="W505" s="40">
        <v>45889</v>
      </c>
      <c r="X505" s="36">
        <v>0</v>
      </c>
      <c r="Y505" s="36"/>
      <c r="Z505" s="36">
        <v>1</v>
      </c>
      <c r="AA505" s="36">
        <v>242833</v>
      </c>
      <c r="AB505" s="40">
        <v>46082</v>
      </c>
      <c r="AC505" s="36" t="s">
        <v>2196</v>
      </c>
      <c r="AD505" s="36" t="str">
        <f>VLOOKUP(D505,Oficial!A:C,3,0)</f>
        <v>Arrastre</v>
      </c>
    </row>
    <row r="506" spans="1:30" x14ac:dyDescent="0.25">
      <c r="A506" s="36" t="s">
        <v>27</v>
      </c>
      <c r="B506" s="36" t="s">
        <v>444</v>
      </c>
      <c r="C506" s="36" t="s">
        <v>28</v>
      </c>
      <c r="D506" s="36" t="s">
        <v>444</v>
      </c>
      <c r="E506" s="36" t="s">
        <v>30</v>
      </c>
      <c r="F506" s="36" t="s">
        <v>31</v>
      </c>
      <c r="G506" s="37" t="s">
        <v>192</v>
      </c>
      <c r="H506" s="36" t="s">
        <v>445</v>
      </c>
      <c r="I506" s="36" t="s">
        <v>446</v>
      </c>
      <c r="J506" s="36">
        <v>1</v>
      </c>
      <c r="K506" s="36" t="s">
        <v>447</v>
      </c>
      <c r="L506" s="36">
        <v>4</v>
      </c>
      <c r="M506" s="36">
        <v>1</v>
      </c>
      <c r="N506" s="38">
        <v>268434000</v>
      </c>
      <c r="O506" s="42">
        <v>7456500</v>
      </c>
      <c r="P506" s="36">
        <v>32</v>
      </c>
      <c r="Q506" s="36" t="s">
        <v>448</v>
      </c>
      <c r="R506" s="36" t="s">
        <v>37</v>
      </c>
      <c r="S506" s="36" t="s">
        <v>449</v>
      </c>
      <c r="T506" s="36" t="s">
        <v>450</v>
      </c>
      <c r="U506" s="36" t="s">
        <v>451</v>
      </c>
      <c r="V506" s="40">
        <v>45870</v>
      </c>
      <c r="W506" s="40">
        <v>45889</v>
      </c>
      <c r="X506" s="36">
        <v>0</v>
      </c>
      <c r="Y506" s="36"/>
      <c r="Z506" s="36">
        <v>1</v>
      </c>
      <c r="AA506" s="36">
        <v>7456500</v>
      </c>
      <c r="AB506" s="40">
        <v>46113</v>
      </c>
      <c r="AC506" s="36" t="s">
        <v>2196</v>
      </c>
      <c r="AD506" s="36" t="str">
        <f>VLOOKUP(D506,Oficial!A:C,3,0)</f>
        <v>Arrastre</v>
      </c>
    </row>
    <row r="507" spans="1:30" x14ac:dyDescent="0.25">
      <c r="A507" s="36" t="s">
        <v>27</v>
      </c>
      <c r="B507" s="36" t="s">
        <v>444</v>
      </c>
      <c r="C507" s="36" t="s">
        <v>28</v>
      </c>
      <c r="D507" s="36" t="s">
        <v>444</v>
      </c>
      <c r="E507" s="36" t="s">
        <v>30</v>
      </c>
      <c r="F507" s="36" t="s">
        <v>31</v>
      </c>
      <c r="G507" s="37" t="s">
        <v>192</v>
      </c>
      <c r="H507" s="36" t="s">
        <v>445</v>
      </c>
      <c r="I507" s="36" t="s">
        <v>446</v>
      </c>
      <c r="J507" s="36">
        <v>1</v>
      </c>
      <c r="K507" s="36" t="s">
        <v>447</v>
      </c>
      <c r="L507" s="36">
        <v>4</v>
      </c>
      <c r="M507" s="36">
        <v>1</v>
      </c>
      <c r="N507" s="38">
        <v>268434000</v>
      </c>
      <c r="O507" s="42">
        <v>7456500</v>
      </c>
      <c r="P507" s="36">
        <v>32</v>
      </c>
      <c r="Q507" s="36" t="s">
        <v>448</v>
      </c>
      <c r="R507" s="36" t="s">
        <v>37</v>
      </c>
      <c r="S507" s="36" t="s">
        <v>449</v>
      </c>
      <c r="T507" s="36" t="s">
        <v>450</v>
      </c>
      <c r="U507" s="36" t="s">
        <v>451</v>
      </c>
      <c r="V507" s="40">
        <v>45870</v>
      </c>
      <c r="W507" s="40">
        <v>45889</v>
      </c>
      <c r="X507" s="36">
        <v>0</v>
      </c>
      <c r="Y507" s="36"/>
      <c r="Z507" s="36">
        <v>1</v>
      </c>
      <c r="AA507" s="36">
        <v>7456500</v>
      </c>
      <c r="AB507" s="40">
        <v>46174</v>
      </c>
      <c r="AC507" s="36" t="s">
        <v>2196</v>
      </c>
      <c r="AD507" s="36" t="str">
        <f>VLOOKUP(D507,Oficial!A:C,3,0)</f>
        <v>Arrastre</v>
      </c>
    </row>
    <row r="508" spans="1:30" x14ac:dyDescent="0.25">
      <c r="A508" s="36" t="s">
        <v>27</v>
      </c>
      <c r="B508" s="36" t="s">
        <v>444</v>
      </c>
      <c r="C508" s="36" t="s">
        <v>28</v>
      </c>
      <c r="D508" s="36" t="s">
        <v>444</v>
      </c>
      <c r="E508" s="36" t="s">
        <v>30</v>
      </c>
      <c r="F508" s="36" t="s">
        <v>31</v>
      </c>
      <c r="G508" s="37" t="s">
        <v>192</v>
      </c>
      <c r="H508" s="36" t="s">
        <v>445</v>
      </c>
      <c r="I508" s="36" t="s">
        <v>446</v>
      </c>
      <c r="J508" s="36">
        <v>1</v>
      </c>
      <c r="K508" s="36" t="s">
        <v>447</v>
      </c>
      <c r="L508" s="36">
        <v>4</v>
      </c>
      <c r="M508" s="36">
        <v>1</v>
      </c>
      <c r="N508" s="38">
        <v>268434000</v>
      </c>
      <c r="O508" s="42">
        <v>7456500</v>
      </c>
      <c r="P508" s="36">
        <v>32</v>
      </c>
      <c r="Q508" s="36" t="s">
        <v>448</v>
      </c>
      <c r="R508" s="36" t="s">
        <v>37</v>
      </c>
      <c r="S508" s="36" t="s">
        <v>449</v>
      </c>
      <c r="T508" s="36" t="s">
        <v>450</v>
      </c>
      <c r="U508" s="36" t="s">
        <v>451</v>
      </c>
      <c r="V508" s="40">
        <v>45870</v>
      </c>
      <c r="W508" s="40">
        <v>45889</v>
      </c>
      <c r="X508" s="36">
        <v>0</v>
      </c>
      <c r="Y508" s="36"/>
      <c r="Z508" s="36">
        <v>1</v>
      </c>
      <c r="AA508" s="36">
        <v>7456500</v>
      </c>
      <c r="AB508" s="40">
        <v>46296</v>
      </c>
      <c r="AC508" s="36" t="s">
        <v>2196</v>
      </c>
      <c r="AD508" s="36" t="str">
        <f>VLOOKUP(D508,Oficial!A:C,3,0)</f>
        <v>Arrastre</v>
      </c>
    </row>
    <row r="509" spans="1:30" x14ac:dyDescent="0.25">
      <c r="A509" s="36" t="s">
        <v>27</v>
      </c>
      <c r="B509" s="36" t="s">
        <v>444</v>
      </c>
      <c r="C509" s="36" t="s">
        <v>28</v>
      </c>
      <c r="D509" s="36" t="s">
        <v>444</v>
      </c>
      <c r="E509" s="36" t="s">
        <v>30</v>
      </c>
      <c r="F509" s="36" t="s">
        <v>31</v>
      </c>
      <c r="G509" s="37" t="s">
        <v>192</v>
      </c>
      <c r="H509" s="36" t="s">
        <v>445</v>
      </c>
      <c r="I509" s="36" t="s">
        <v>446</v>
      </c>
      <c r="J509" s="36">
        <v>1</v>
      </c>
      <c r="K509" s="36" t="s">
        <v>447</v>
      </c>
      <c r="L509" s="36">
        <v>4</v>
      </c>
      <c r="M509" s="36">
        <v>1</v>
      </c>
      <c r="N509" s="38">
        <v>268434000</v>
      </c>
      <c r="O509" s="42">
        <v>7456500</v>
      </c>
      <c r="P509" s="36">
        <v>32</v>
      </c>
      <c r="Q509" s="36" t="s">
        <v>448</v>
      </c>
      <c r="R509" s="36" t="s">
        <v>37</v>
      </c>
      <c r="S509" s="36" t="s">
        <v>449</v>
      </c>
      <c r="T509" s="36" t="s">
        <v>450</v>
      </c>
      <c r="U509" s="36" t="s">
        <v>451</v>
      </c>
      <c r="V509" s="40">
        <v>45870</v>
      </c>
      <c r="W509" s="40">
        <v>45889</v>
      </c>
      <c r="X509" s="36">
        <v>0</v>
      </c>
      <c r="Y509" s="36"/>
      <c r="Z509" s="36">
        <v>1</v>
      </c>
      <c r="AA509" s="36">
        <v>7456500</v>
      </c>
      <c r="AB509" s="40">
        <v>46327</v>
      </c>
      <c r="AC509" s="36" t="s">
        <v>2196</v>
      </c>
      <c r="AD509" s="36" t="str">
        <f>VLOOKUP(D509,Oficial!A:C,3,0)</f>
        <v>Arrastre</v>
      </c>
    </row>
    <row r="510" spans="1:30" x14ac:dyDescent="0.25">
      <c r="A510" s="36" t="s">
        <v>27</v>
      </c>
      <c r="B510" s="36" t="s">
        <v>444</v>
      </c>
      <c r="C510" s="36" t="s">
        <v>28</v>
      </c>
      <c r="D510" s="36" t="s">
        <v>444</v>
      </c>
      <c r="E510" s="36" t="s">
        <v>30</v>
      </c>
      <c r="F510" s="36" t="s">
        <v>31</v>
      </c>
      <c r="G510" s="37" t="s">
        <v>192</v>
      </c>
      <c r="H510" s="36" t="s">
        <v>445</v>
      </c>
      <c r="I510" s="36" t="s">
        <v>446</v>
      </c>
      <c r="J510" s="36">
        <v>1</v>
      </c>
      <c r="K510" s="36" t="s">
        <v>447</v>
      </c>
      <c r="L510" s="36">
        <v>4</v>
      </c>
      <c r="M510" s="36">
        <v>1</v>
      </c>
      <c r="N510" s="38">
        <v>268434000</v>
      </c>
      <c r="O510" s="42">
        <v>7456500</v>
      </c>
      <c r="P510" s="36">
        <v>32</v>
      </c>
      <c r="Q510" s="36" t="s">
        <v>448</v>
      </c>
      <c r="R510" s="36" t="s">
        <v>37</v>
      </c>
      <c r="S510" s="36" t="s">
        <v>449</v>
      </c>
      <c r="T510" s="36" t="s">
        <v>450</v>
      </c>
      <c r="U510" s="36" t="s">
        <v>451</v>
      </c>
      <c r="V510" s="40">
        <v>45870</v>
      </c>
      <c r="W510" s="40">
        <v>45889</v>
      </c>
      <c r="X510" s="36">
        <v>0</v>
      </c>
      <c r="Y510" s="36"/>
      <c r="Z510" s="36">
        <v>1</v>
      </c>
      <c r="AA510" s="36">
        <v>7456500</v>
      </c>
      <c r="AB510" s="40">
        <v>46054</v>
      </c>
      <c r="AC510" s="36" t="s">
        <v>2196</v>
      </c>
      <c r="AD510" s="36" t="str">
        <f>VLOOKUP(D510,Oficial!A:C,3,0)</f>
        <v>Arrastre</v>
      </c>
    </row>
    <row r="511" spans="1:30" x14ac:dyDescent="0.25">
      <c r="A511" s="36" t="s">
        <v>27</v>
      </c>
      <c r="B511" s="36" t="s">
        <v>444</v>
      </c>
      <c r="C511" s="36" t="s">
        <v>28</v>
      </c>
      <c r="D511" s="36" t="s">
        <v>444</v>
      </c>
      <c r="E511" s="36" t="s">
        <v>30</v>
      </c>
      <c r="F511" s="36" t="s">
        <v>31</v>
      </c>
      <c r="G511" s="37" t="s">
        <v>192</v>
      </c>
      <c r="H511" s="36" t="s">
        <v>445</v>
      </c>
      <c r="I511" s="36" t="s">
        <v>446</v>
      </c>
      <c r="J511" s="36">
        <v>1</v>
      </c>
      <c r="K511" s="36" t="s">
        <v>447</v>
      </c>
      <c r="L511" s="36">
        <v>4</v>
      </c>
      <c r="M511" s="36">
        <v>1</v>
      </c>
      <c r="N511" s="38">
        <v>268434000</v>
      </c>
      <c r="O511" s="42">
        <v>7456500</v>
      </c>
      <c r="P511" s="36">
        <v>32</v>
      </c>
      <c r="Q511" s="36" t="s">
        <v>448</v>
      </c>
      <c r="R511" s="36" t="s">
        <v>37</v>
      </c>
      <c r="S511" s="36" t="s">
        <v>449</v>
      </c>
      <c r="T511" s="36" t="s">
        <v>450</v>
      </c>
      <c r="U511" s="36" t="s">
        <v>451</v>
      </c>
      <c r="V511" s="40">
        <v>45870</v>
      </c>
      <c r="W511" s="40">
        <v>45889</v>
      </c>
      <c r="X511" s="36">
        <v>0</v>
      </c>
      <c r="Y511" s="36"/>
      <c r="Z511" s="36">
        <v>1</v>
      </c>
      <c r="AA511" s="36">
        <v>7456500</v>
      </c>
      <c r="AB511" s="40">
        <v>46143</v>
      </c>
      <c r="AC511" s="36" t="s">
        <v>2196</v>
      </c>
      <c r="AD511" s="36" t="str">
        <f>VLOOKUP(D511,Oficial!A:C,3,0)</f>
        <v>Arrastre</v>
      </c>
    </row>
    <row r="512" spans="1:30" x14ac:dyDescent="0.25">
      <c r="A512" s="36" t="s">
        <v>27</v>
      </c>
      <c r="B512" s="36" t="s">
        <v>444</v>
      </c>
      <c r="C512" s="36" t="s">
        <v>28</v>
      </c>
      <c r="D512" s="36" t="s">
        <v>444</v>
      </c>
      <c r="E512" s="36" t="s">
        <v>30</v>
      </c>
      <c r="F512" s="36" t="s">
        <v>31</v>
      </c>
      <c r="G512" s="37" t="s">
        <v>192</v>
      </c>
      <c r="H512" s="36" t="s">
        <v>445</v>
      </c>
      <c r="I512" s="36" t="s">
        <v>446</v>
      </c>
      <c r="J512" s="36">
        <v>1</v>
      </c>
      <c r="K512" s="36" t="s">
        <v>447</v>
      </c>
      <c r="L512" s="36">
        <v>4</v>
      </c>
      <c r="M512" s="36">
        <v>1</v>
      </c>
      <c r="N512" s="38">
        <v>268434000</v>
      </c>
      <c r="O512" s="42">
        <v>7456500</v>
      </c>
      <c r="P512" s="36">
        <v>32</v>
      </c>
      <c r="Q512" s="36" t="s">
        <v>448</v>
      </c>
      <c r="R512" s="36" t="s">
        <v>37</v>
      </c>
      <c r="S512" s="36" t="s">
        <v>449</v>
      </c>
      <c r="T512" s="36" t="s">
        <v>450</v>
      </c>
      <c r="U512" s="36" t="s">
        <v>451</v>
      </c>
      <c r="V512" s="40">
        <v>45870</v>
      </c>
      <c r="W512" s="40">
        <v>45889</v>
      </c>
      <c r="X512" s="36">
        <v>0</v>
      </c>
      <c r="Y512" s="36"/>
      <c r="Z512" s="36">
        <v>1</v>
      </c>
      <c r="AA512" s="36">
        <v>7456500</v>
      </c>
      <c r="AB512" s="40">
        <v>46023</v>
      </c>
      <c r="AC512" s="36" t="s">
        <v>2196</v>
      </c>
      <c r="AD512" s="36" t="str">
        <f>VLOOKUP(D512,Oficial!A:C,3,0)</f>
        <v>Arrastre</v>
      </c>
    </row>
    <row r="513" spans="1:30" x14ac:dyDescent="0.25">
      <c r="A513" s="36" t="s">
        <v>27</v>
      </c>
      <c r="B513" s="36" t="s">
        <v>444</v>
      </c>
      <c r="C513" s="36" t="s">
        <v>28</v>
      </c>
      <c r="D513" s="36" t="s">
        <v>444</v>
      </c>
      <c r="E513" s="36" t="s">
        <v>30</v>
      </c>
      <c r="F513" s="36" t="s">
        <v>31</v>
      </c>
      <c r="G513" s="37" t="s">
        <v>192</v>
      </c>
      <c r="H513" s="36" t="s">
        <v>445</v>
      </c>
      <c r="I513" s="36" t="s">
        <v>446</v>
      </c>
      <c r="J513" s="36">
        <v>1</v>
      </c>
      <c r="K513" s="36" t="s">
        <v>447</v>
      </c>
      <c r="L513" s="36">
        <v>4</v>
      </c>
      <c r="M513" s="36">
        <v>1</v>
      </c>
      <c r="N513" s="38">
        <v>268434000</v>
      </c>
      <c r="O513" s="42">
        <v>7456500</v>
      </c>
      <c r="P513" s="36">
        <v>32</v>
      </c>
      <c r="Q513" s="36" t="s">
        <v>448</v>
      </c>
      <c r="R513" s="36" t="s">
        <v>37</v>
      </c>
      <c r="S513" s="36" t="s">
        <v>449</v>
      </c>
      <c r="T513" s="36" t="s">
        <v>450</v>
      </c>
      <c r="U513" s="36" t="s">
        <v>451</v>
      </c>
      <c r="V513" s="40">
        <v>45870</v>
      </c>
      <c r="W513" s="40">
        <v>45889</v>
      </c>
      <c r="X513" s="36">
        <v>0</v>
      </c>
      <c r="Y513" s="36"/>
      <c r="Z513" s="36">
        <v>1</v>
      </c>
      <c r="AA513" s="36">
        <v>7456500</v>
      </c>
      <c r="AB513" s="40">
        <v>46235</v>
      </c>
      <c r="AC513" s="36" t="s">
        <v>2196</v>
      </c>
      <c r="AD513" s="36" t="str">
        <f>VLOOKUP(D513,Oficial!A:C,3,0)</f>
        <v>Arrastre</v>
      </c>
    </row>
    <row r="514" spans="1:30" x14ac:dyDescent="0.25">
      <c r="A514" s="36" t="s">
        <v>27</v>
      </c>
      <c r="B514" s="36" t="s">
        <v>444</v>
      </c>
      <c r="C514" s="36" t="s">
        <v>28</v>
      </c>
      <c r="D514" s="36" t="s">
        <v>444</v>
      </c>
      <c r="E514" s="36" t="s">
        <v>30</v>
      </c>
      <c r="F514" s="36" t="s">
        <v>31</v>
      </c>
      <c r="G514" s="37" t="s">
        <v>192</v>
      </c>
      <c r="H514" s="36" t="s">
        <v>445</v>
      </c>
      <c r="I514" s="36" t="s">
        <v>446</v>
      </c>
      <c r="J514" s="36">
        <v>1</v>
      </c>
      <c r="K514" s="36" t="s">
        <v>447</v>
      </c>
      <c r="L514" s="36">
        <v>4</v>
      </c>
      <c r="M514" s="36">
        <v>1</v>
      </c>
      <c r="N514" s="38">
        <v>268434000</v>
      </c>
      <c r="O514" s="42">
        <v>7456500</v>
      </c>
      <c r="P514" s="36">
        <v>32</v>
      </c>
      <c r="Q514" s="36" t="s">
        <v>448</v>
      </c>
      <c r="R514" s="36" t="s">
        <v>37</v>
      </c>
      <c r="S514" s="36" t="s">
        <v>449</v>
      </c>
      <c r="T514" s="36" t="s">
        <v>450</v>
      </c>
      <c r="U514" s="36" t="s">
        <v>451</v>
      </c>
      <c r="V514" s="40">
        <v>45870</v>
      </c>
      <c r="W514" s="40">
        <v>45889</v>
      </c>
      <c r="X514" s="36">
        <v>0</v>
      </c>
      <c r="Y514" s="36"/>
      <c r="Z514" s="36">
        <v>1</v>
      </c>
      <c r="AA514" s="36">
        <v>7456500</v>
      </c>
      <c r="AB514" s="40">
        <v>46082</v>
      </c>
      <c r="AC514" s="36" t="s">
        <v>2196</v>
      </c>
      <c r="AD514" s="36" t="str">
        <f>VLOOKUP(D514,Oficial!A:C,3,0)</f>
        <v>Arrastre</v>
      </c>
    </row>
    <row r="515" spans="1:30" x14ac:dyDescent="0.25">
      <c r="A515" s="36" t="s">
        <v>27</v>
      </c>
      <c r="B515" s="36" t="s">
        <v>444</v>
      </c>
      <c r="C515" s="36" t="s">
        <v>28</v>
      </c>
      <c r="D515" s="36" t="s">
        <v>444</v>
      </c>
      <c r="E515" s="36" t="s">
        <v>30</v>
      </c>
      <c r="F515" s="36" t="s">
        <v>31</v>
      </c>
      <c r="G515" s="37" t="s">
        <v>192</v>
      </c>
      <c r="H515" s="36" t="s">
        <v>445</v>
      </c>
      <c r="I515" s="36" t="s">
        <v>446</v>
      </c>
      <c r="J515" s="36">
        <v>1</v>
      </c>
      <c r="K515" s="36" t="s">
        <v>447</v>
      </c>
      <c r="L515" s="36">
        <v>4</v>
      </c>
      <c r="M515" s="36">
        <v>1</v>
      </c>
      <c r="N515" s="38">
        <v>268434000</v>
      </c>
      <c r="O515" s="42">
        <v>7456500</v>
      </c>
      <c r="P515" s="36">
        <v>32</v>
      </c>
      <c r="Q515" s="36" t="s">
        <v>448</v>
      </c>
      <c r="R515" s="36" t="s">
        <v>37</v>
      </c>
      <c r="S515" s="36" t="s">
        <v>449</v>
      </c>
      <c r="T515" s="36" t="s">
        <v>450</v>
      </c>
      <c r="U515" s="36" t="s">
        <v>451</v>
      </c>
      <c r="V515" s="40">
        <v>45870</v>
      </c>
      <c r="W515" s="40">
        <v>45889</v>
      </c>
      <c r="X515" s="36">
        <v>0</v>
      </c>
      <c r="Y515" s="36"/>
      <c r="Z515" s="36">
        <v>1</v>
      </c>
      <c r="AA515" s="36">
        <v>7456500</v>
      </c>
      <c r="AB515" s="40">
        <v>46357</v>
      </c>
      <c r="AC515" s="36" t="s">
        <v>2196</v>
      </c>
      <c r="AD515" s="36" t="str">
        <f>VLOOKUP(D515,Oficial!A:C,3,0)</f>
        <v>Arrastre</v>
      </c>
    </row>
    <row r="516" spans="1:30" x14ac:dyDescent="0.25">
      <c r="A516" s="36" t="s">
        <v>27</v>
      </c>
      <c r="B516" s="36" t="s">
        <v>444</v>
      </c>
      <c r="C516" s="36" t="s">
        <v>28</v>
      </c>
      <c r="D516" s="36" t="s">
        <v>444</v>
      </c>
      <c r="E516" s="36" t="s">
        <v>30</v>
      </c>
      <c r="F516" s="36" t="s">
        <v>31</v>
      </c>
      <c r="G516" s="37" t="s">
        <v>192</v>
      </c>
      <c r="H516" s="36" t="s">
        <v>445</v>
      </c>
      <c r="I516" s="36" t="s">
        <v>446</v>
      </c>
      <c r="J516" s="36">
        <v>1</v>
      </c>
      <c r="K516" s="36" t="s">
        <v>447</v>
      </c>
      <c r="L516" s="36">
        <v>4</v>
      </c>
      <c r="M516" s="36">
        <v>1</v>
      </c>
      <c r="N516" s="38">
        <v>268434000</v>
      </c>
      <c r="O516" s="42">
        <v>7456500</v>
      </c>
      <c r="P516" s="36">
        <v>32</v>
      </c>
      <c r="Q516" s="36" t="s">
        <v>448</v>
      </c>
      <c r="R516" s="36" t="s">
        <v>37</v>
      </c>
      <c r="S516" s="36" t="s">
        <v>449</v>
      </c>
      <c r="T516" s="36" t="s">
        <v>450</v>
      </c>
      <c r="U516" s="36" t="s">
        <v>451</v>
      </c>
      <c r="V516" s="40">
        <v>45870</v>
      </c>
      <c r="W516" s="40">
        <v>45889</v>
      </c>
      <c r="X516" s="36">
        <v>0</v>
      </c>
      <c r="Y516" s="36"/>
      <c r="Z516" s="36">
        <v>1</v>
      </c>
      <c r="AA516" s="36">
        <v>7456500</v>
      </c>
      <c r="AB516" s="40">
        <v>46204</v>
      </c>
      <c r="AC516" s="36" t="s">
        <v>2196</v>
      </c>
      <c r="AD516" s="36" t="str">
        <f>VLOOKUP(D516,Oficial!A:C,3,0)</f>
        <v>Arrastre</v>
      </c>
    </row>
    <row r="517" spans="1:30" x14ac:dyDescent="0.25">
      <c r="A517" s="36" t="s">
        <v>27</v>
      </c>
      <c r="B517" s="36" t="s">
        <v>444</v>
      </c>
      <c r="C517" s="36" t="s">
        <v>28</v>
      </c>
      <c r="D517" s="36" t="s">
        <v>444</v>
      </c>
      <c r="E517" s="36" t="s">
        <v>30</v>
      </c>
      <c r="F517" s="36" t="s">
        <v>31</v>
      </c>
      <c r="G517" s="37" t="s">
        <v>192</v>
      </c>
      <c r="H517" s="36" t="s">
        <v>445</v>
      </c>
      <c r="I517" s="36" t="s">
        <v>446</v>
      </c>
      <c r="J517" s="36">
        <v>1</v>
      </c>
      <c r="K517" s="36" t="s">
        <v>447</v>
      </c>
      <c r="L517" s="36">
        <v>4</v>
      </c>
      <c r="M517" s="36">
        <v>1</v>
      </c>
      <c r="N517" s="38">
        <v>268434000</v>
      </c>
      <c r="O517" s="42">
        <v>7456500</v>
      </c>
      <c r="P517" s="36">
        <v>32</v>
      </c>
      <c r="Q517" s="36" t="s">
        <v>448</v>
      </c>
      <c r="R517" s="36" t="s">
        <v>37</v>
      </c>
      <c r="S517" s="36" t="s">
        <v>449</v>
      </c>
      <c r="T517" s="36" t="s">
        <v>450</v>
      </c>
      <c r="U517" s="36" t="s">
        <v>451</v>
      </c>
      <c r="V517" s="40">
        <v>45870</v>
      </c>
      <c r="W517" s="40">
        <v>45889</v>
      </c>
      <c r="X517" s="36">
        <v>0</v>
      </c>
      <c r="Y517" s="36"/>
      <c r="Z517" s="36">
        <v>1</v>
      </c>
      <c r="AA517" s="36">
        <v>7456500</v>
      </c>
      <c r="AB517" s="40">
        <v>46266</v>
      </c>
      <c r="AC517" s="36" t="s">
        <v>2196</v>
      </c>
      <c r="AD517" s="36" t="str">
        <f>VLOOKUP(D517,Oficial!A:C,3,0)</f>
        <v>Arrastre</v>
      </c>
    </row>
    <row r="518" spans="1:30" x14ac:dyDescent="0.25">
      <c r="A518" s="36" t="s">
        <v>27</v>
      </c>
      <c r="B518" s="36" t="s">
        <v>452</v>
      </c>
      <c r="C518" s="36" t="s">
        <v>28</v>
      </c>
      <c r="D518" s="36" t="s">
        <v>452</v>
      </c>
      <c r="E518" s="36" t="s">
        <v>30</v>
      </c>
      <c r="F518" s="36" t="s">
        <v>31</v>
      </c>
      <c r="G518" s="37" t="s">
        <v>453</v>
      </c>
      <c r="H518" s="36" t="s">
        <v>454</v>
      </c>
      <c r="I518" s="36" t="s">
        <v>455</v>
      </c>
      <c r="J518" s="36">
        <v>1</v>
      </c>
      <c r="K518" s="36" t="s">
        <v>456</v>
      </c>
      <c r="L518" s="36">
        <v>4</v>
      </c>
      <c r="M518" s="36">
        <v>1</v>
      </c>
      <c r="N518" s="38">
        <v>207200000</v>
      </c>
      <c r="O518" s="38">
        <v>17266666</v>
      </c>
      <c r="P518" s="36">
        <v>12</v>
      </c>
      <c r="Q518" s="36" t="s">
        <v>318</v>
      </c>
      <c r="R518" s="36" t="s">
        <v>457</v>
      </c>
      <c r="S518" s="36" t="s">
        <v>458</v>
      </c>
      <c r="T518" s="36" t="s">
        <v>459</v>
      </c>
      <c r="U518" s="36" t="s">
        <v>460</v>
      </c>
      <c r="V518" s="40">
        <v>45870</v>
      </c>
      <c r="W518" s="40">
        <v>45889</v>
      </c>
      <c r="X518" s="36">
        <v>0</v>
      </c>
      <c r="Y518" s="36"/>
      <c r="Z518" s="36">
        <v>1</v>
      </c>
      <c r="AA518" s="36">
        <v>17266666</v>
      </c>
      <c r="AB518" s="40">
        <v>46113</v>
      </c>
      <c r="AC518" s="36" t="s">
        <v>2196</v>
      </c>
      <c r="AD518" s="36" t="str">
        <f>VLOOKUP(D518,Oficial!A:C,3,0)</f>
        <v>Arrastre</v>
      </c>
    </row>
    <row r="519" spans="1:30" x14ac:dyDescent="0.25">
      <c r="A519" s="36" t="s">
        <v>27</v>
      </c>
      <c r="B519" s="36" t="s">
        <v>452</v>
      </c>
      <c r="C519" s="36" t="s">
        <v>28</v>
      </c>
      <c r="D519" s="36" t="s">
        <v>452</v>
      </c>
      <c r="E519" s="36" t="s">
        <v>30</v>
      </c>
      <c r="F519" s="36" t="s">
        <v>31</v>
      </c>
      <c r="G519" s="37" t="s">
        <v>453</v>
      </c>
      <c r="H519" s="36" t="s">
        <v>454</v>
      </c>
      <c r="I519" s="36" t="s">
        <v>455</v>
      </c>
      <c r="J519" s="36">
        <v>1</v>
      </c>
      <c r="K519" s="36" t="s">
        <v>456</v>
      </c>
      <c r="L519" s="36">
        <v>4</v>
      </c>
      <c r="M519" s="36">
        <v>1</v>
      </c>
      <c r="N519" s="38">
        <v>207200000</v>
      </c>
      <c r="O519" s="38">
        <v>17266666</v>
      </c>
      <c r="P519" s="36">
        <v>12</v>
      </c>
      <c r="Q519" s="36" t="s">
        <v>318</v>
      </c>
      <c r="R519" s="36" t="s">
        <v>457</v>
      </c>
      <c r="S519" s="36" t="s">
        <v>458</v>
      </c>
      <c r="T519" s="36" t="s">
        <v>459</v>
      </c>
      <c r="U519" s="36" t="s">
        <v>460</v>
      </c>
      <c r="V519" s="40">
        <v>45870</v>
      </c>
      <c r="W519" s="40">
        <v>45889</v>
      </c>
      <c r="X519" s="36">
        <v>0</v>
      </c>
      <c r="Y519" s="36"/>
      <c r="Z519" s="36">
        <v>1</v>
      </c>
      <c r="AA519" s="36">
        <v>17266666</v>
      </c>
      <c r="AB519" s="40">
        <v>46143</v>
      </c>
      <c r="AC519" s="36" t="s">
        <v>2196</v>
      </c>
      <c r="AD519" s="36" t="str">
        <f>VLOOKUP(D519,Oficial!A:C,3,0)</f>
        <v>Arrastre</v>
      </c>
    </row>
    <row r="520" spans="1:30" x14ac:dyDescent="0.25">
      <c r="A520" s="36" t="s">
        <v>27</v>
      </c>
      <c r="B520" s="36" t="s">
        <v>452</v>
      </c>
      <c r="C520" s="36" t="s">
        <v>28</v>
      </c>
      <c r="D520" s="36" t="s">
        <v>452</v>
      </c>
      <c r="E520" s="36" t="s">
        <v>30</v>
      </c>
      <c r="F520" s="36" t="s">
        <v>31</v>
      </c>
      <c r="G520" s="37" t="s">
        <v>453</v>
      </c>
      <c r="H520" s="36" t="s">
        <v>454</v>
      </c>
      <c r="I520" s="36" t="s">
        <v>455</v>
      </c>
      <c r="J520" s="36">
        <v>1</v>
      </c>
      <c r="K520" s="36" t="s">
        <v>456</v>
      </c>
      <c r="L520" s="36">
        <v>4</v>
      </c>
      <c r="M520" s="36">
        <v>1</v>
      </c>
      <c r="N520" s="38">
        <v>207200000</v>
      </c>
      <c r="O520" s="38">
        <v>17266666</v>
      </c>
      <c r="P520" s="36">
        <v>12</v>
      </c>
      <c r="Q520" s="36" t="s">
        <v>318</v>
      </c>
      <c r="R520" s="36" t="s">
        <v>457</v>
      </c>
      <c r="S520" s="36" t="s">
        <v>458</v>
      </c>
      <c r="T520" s="36" t="s">
        <v>459</v>
      </c>
      <c r="U520" s="36" t="s">
        <v>460</v>
      </c>
      <c r="V520" s="40">
        <v>45870</v>
      </c>
      <c r="W520" s="40">
        <v>45889</v>
      </c>
      <c r="X520" s="36">
        <v>0</v>
      </c>
      <c r="Y520" s="36"/>
      <c r="Z520" s="36">
        <v>1</v>
      </c>
      <c r="AA520" s="36">
        <v>17266666</v>
      </c>
      <c r="AB520" s="40">
        <v>46054</v>
      </c>
      <c r="AC520" s="36" t="s">
        <v>2196</v>
      </c>
      <c r="AD520" s="36" t="str">
        <f>VLOOKUP(D520,Oficial!A:C,3,0)</f>
        <v>Arrastre</v>
      </c>
    </row>
    <row r="521" spans="1:30" x14ac:dyDescent="0.25">
      <c r="A521" s="36" t="s">
        <v>27</v>
      </c>
      <c r="B521" s="36" t="s">
        <v>452</v>
      </c>
      <c r="C521" s="36" t="s">
        <v>28</v>
      </c>
      <c r="D521" s="36" t="s">
        <v>452</v>
      </c>
      <c r="E521" s="36" t="s">
        <v>30</v>
      </c>
      <c r="F521" s="36" t="s">
        <v>31</v>
      </c>
      <c r="G521" s="37" t="s">
        <v>453</v>
      </c>
      <c r="H521" s="36" t="s">
        <v>454</v>
      </c>
      <c r="I521" s="36" t="s">
        <v>455</v>
      </c>
      <c r="J521" s="36">
        <v>1</v>
      </c>
      <c r="K521" s="36" t="s">
        <v>456</v>
      </c>
      <c r="L521" s="36">
        <v>4</v>
      </c>
      <c r="M521" s="36">
        <v>1</v>
      </c>
      <c r="N521" s="38">
        <v>207200000</v>
      </c>
      <c r="O521" s="38">
        <v>17266666</v>
      </c>
      <c r="P521" s="36">
        <v>12</v>
      </c>
      <c r="Q521" s="36" t="s">
        <v>318</v>
      </c>
      <c r="R521" s="36" t="s">
        <v>457</v>
      </c>
      <c r="S521" s="36" t="s">
        <v>458</v>
      </c>
      <c r="T521" s="36" t="s">
        <v>459</v>
      </c>
      <c r="U521" s="36" t="s">
        <v>460</v>
      </c>
      <c r="V521" s="40">
        <v>45870</v>
      </c>
      <c r="W521" s="40">
        <v>45889</v>
      </c>
      <c r="X521" s="36">
        <v>0</v>
      </c>
      <c r="Y521" s="36"/>
      <c r="Z521" s="36">
        <v>1</v>
      </c>
      <c r="AA521" s="36">
        <v>17266666</v>
      </c>
      <c r="AB521" s="40">
        <v>46235</v>
      </c>
      <c r="AC521" s="36" t="s">
        <v>2196</v>
      </c>
      <c r="AD521" s="36" t="str">
        <f>VLOOKUP(D521,Oficial!A:C,3,0)</f>
        <v>Arrastre</v>
      </c>
    </row>
    <row r="522" spans="1:30" x14ac:dyDescent="0.25">
      <c r="A522" s="36" t="s">
        <v>27</v>
      </c>
      <c r="B522" s="36" t="s">
        <v>452</v>
      </c>
      <c r="C522" s="36" t="s">
        <v>28</v>
      </c>
      <c r="D522" s="36" t="s">
        <v>452</v>
      </c>
      <c r="E522" s="36" t="s">
        <v>30</v>
      </c>
      <c r="F522" s="36" t="s">
        <v>31</v>
      </c>
      <c r="G522" s="37" t="s">
        <v>453</v>
      </c>
      <c r="H522" s="36" t="s">
        <v>454</v>
      </c>
      <c r="I522" s="36" t="s">
        <v>455</v>
      </c>
      <c r="J522" s="36">
        <v>1</v>
      </c>
      <c r="K522" s="36" t="s">
        <v>456</v>
      </c>
      <c r="L522" s="36">
        <v>4</v>
      </c>
      <c r="M522" s="36">
        <v>1</v>
      </c>
      <c r="N522" s="38">
        <v>207200000</v>
      </c>
      <c r="O522" s="38">
        <v>17266666</v>
      </c>
      <c r="P522" s="36">
        <v>12</v>
      </c>
      <c r="Q522" s="36" t="s">
        <v>318</v>
      </c>
      <c r="R522" s="36" t="s">
        <v>457</v>
      </c>
      <c r="S522" s="36" t="s">
        <v>458</v>
      </c>
      <c r="T522" s="36" t="s">
        <v>459</v>
      </c>
      <c r="U522" s="36" t="s">
        <v>460</v>
      </c>
      <c r="V522" s="40">
        <v>45870</v>
      </c>
      <c r="W522" s="40">
        <v>45889</v>
      </c>
      <c r="X522" s="36">
        <v>0</v>
      </c>
      <c r="Y522" s="36"/>
      <c r="Z522" s="36">
        <v>1</v>
      </c>
      <c r="AA522" s="36">
        <v>17266666</v>
      </c>
      <c r="AB522" s="40">
        <v>46327</v>
      </c>
      <c r="AC522" s="36" t="s">
        <v>2196</v>
      </c>
      <c r="AD522" s="36" t="str">
        <f>VLOOKUP(D522,Oficial!A:C,3,0)</f>
        <v>Arrastre</v>
      </c>
    </row>
    <row r="523" spans="1:30" x14ac:dyDescent="0.25">
      <c r="A523" s="36" t="s">
        <v>27</v>
      </c>
      <c r="B523" s="36" t="s">
        <v>452</v>
      </c>
      <c r="C523" s="36" t="s">
        <v>28</v>
      </c>
      <c r="D523" s="36" t="s">
        <v>452</v>
      </c>
      <c r="E523" s="36" t="s">
        <v>30</v>
      </c>
      <c r="F523" s="36" t="s">
        <v>31</v>
      </c>
      <c r="G523" s="37" t="s">
        <v>453</v>
      </c>
      <c r="H523" s="36" t="s">
        <v>454</v>
      </c>
      <c r="I523" s="36" t="s">
        <v>455</v>
      </c>
      <c r="J523" s="36">
        <v>1</v>
      </c>
      <c r="K523" s="36" t="s">
        <v>456</v>
      </c>
      <c r="L523" s="36">
        <v>4</v>
      </c>
      <c r="M523" s="36">
        <v>1</v>
      </c>
      <c r="N523" s="38">
        <v>207200000</v>
      </c>
      <c r="O523" s="38">
        <v>17266666</v>
      </c>
      <c r="P523" s="36">
        <v>12</v>
      </c>
      <c r="Q523" s="36" t="s">
        <v>318</v>
      </c>
      <c r="R523" s="36" t="s">
        <v>457</v>
      </c>
      <c r="S523" s="36" t="s">
        <v>458</v>
      </c>
      <c r="T523" s="36" t="s">
        <v>459</v>
      </c>
      <c r="U523" s="36" t="s">
        <v>460</v>
      </c>
      <c r="V523" s="40">
        <v>45870</v>
      </c>
      <c r="W523" s="40">
        <v>45889</v>
      </c>
      <c r="X523" s="36">
        <v>0</v>
      </c>
      <c r="Y523" s="36"/>
      <c r="Z523" s="36">
        <v>1</v>
      </c>
      <c r="AA523" s="36">
        <v>17266666</v>
      </c>
      <c r="AB523" s="40">
        <v>46174</v>
      </c>
      <c r="AC523" s="36" t="s">
        <v>2196</v>
      </c>
      <c r="AD523" s="36" t="str">
        <f>VLOOKUP(D523,Oficial!A:C,3,0)</f>
        <v>Arrastre</v>
      </c>
    </row>
    <row r="524" spans="1:30" x14ac:dyDescent="0.25">
      <c r="A524" s="36" t="s">
        <v>27</v>
      </c>
      <c r="B524" s="36" t="s">
        <v>452</v>
      </c>
      <c r="C524" s="36" t="s">
        <v>28</v>
      </c>
      <c r="D524" s="36" t="s">
        <v>452</v>
      </c>
      <c r="E524" s="36" t="s">
        <v>30</v>
      </c>
      <c r="F524" s="36" t="s">
        <v>31</v>
      </c>
      <c r="G524" s="37" t="s">
        <v>453</v>
      </c>
      <c r="H524" s="36" t="s">
        <v>454</v>
      </c>
      <c r="I524" s="36" t="s">
        <v>455</v>
      </c>
      <c r="J524" s="36">
        <v>1</v>
      </c>
      <c r="K524" s="36" t="s">
        <v>456</v>
      </c>
      <c r="L524" s="36">
        <v>4</v>
      </c>
      <c r="M524" s="36">
        <v>1</v>
      </c>
      <c r="N524" s="38">
        <v>207200000</v>
      </c>
      <c r="O524" s="38">
        <v>17266666</v>
      </c>
      <c r="P524" s="36">
        <v>12</v>
      </c>
      <c r="Q524" s="36" t="s">
        <v>318</v>
      </c>
      <c r="R524" s="36" t="s">
        <v>457</v>
      </c>
      <c r="S524" s="36" t="s">
        <v>458</v>
      </c>
      <c r="T524" s="36" t="s">
        <v>459</v>
      </c>
      <c r="U524" s="36" t="s">
        <v>460</v>
      </c>
      <c r="V524" s="40">
        <v>45870</v>
      </c>
      <c r="W524" s="40">
        <v>45889</v>
      </c>
      <c r="X524" s="36">
        <v>0</v>
      </c>
      <c r="Y524" s="36"/>
      <c r="Z524" s="36">
        <v>1</v>
      </c>
      <c r="AA524" s="36">
        <v>17266666</v>
      </c>
      <c r="AB524" s="40">
        <v>46082</v>
      </c>
      <c r="AC524" s="36" t="s">
        <v>2196</v>
      </c>
      <c r="AD524" s="36" t="str">
        <f>VLOOKUP(D524,Oficial!A:C,3,0)</f>
        <v>Arrastre</v>
      </c>
    </row>
    <row r="525" spans="1:30" x14ac:dyDescent="0.25">
      <c r="A525" s="36" t="s">
        <v>27</v>
      </c>
      <c r="B525" s="36" t="s">
        <v>452</v>
      </c>
      <c r="C525" s="36" t="s">
        <v>28</v>
      </c>
      <c r="D525" s="36" t="s">
        <v>452</v>
      </c>
      <c r="E525" s="36" t="s">
        <v>30</v>
      </c>
      <c r="F525" s="36" t="s">
        <v>31</v>
      </c>
      <c r="G525" s="37" t="s">
        <v>453</v>
      </c>
      <c r="H525" s="36" t="s">
        <v>454</v>
      </c>
      <c r="I525" s="36" t="s">
        <v>455</v>
      </c>
      <c r="J525" s="36">
        <v>1</v>
      </c>
      <c r="K525" s="36" t="s">
        <v>456</v>
      </c>
      <c r="L525" s="36">
        <v>4</v>
      </c>
      <c r="M525" s="36">
        <v>1</v>
      </c>
      <c r="N525" s="38">
        <v>207200000</v>
      </c>
      <c r="O525" s="38">
        <v>17266666</v>
      </c>
      <c r="P525" s="36">
        <v>12</v>
      </c>
      <c r="Q525" s="36" t="s">
        <v>318</v>
      </c>
      <c r="R525" s="36" t="s">
        <v>457</v>
      </c>
      <c r="S525" s="36" t="s">
        <v>458</v>
      </c>
      <c r="T525" s="36" t="s">
        <v>459</v>
      </c>
      <c r="U525" s="36" t="s">
        <v>460</v>
      </c>
      <c r="V525" s="40">
        <v>45870</v>
      </c>
      <c r="W525" s="40">
        <v>45889</v>
      </c>
      <c r="X525" s="36">
        <v>0</v>
      </c>
      <c r="Y525" s="36"/>
      <c r="Z525" s="36">
        <v>1</v>
      </c>
      <c r="AA525" s="36">
        <v>17266666</v>
      </c>
      <c r="AB525" s="40">
        <v>46204</v>
      </c>
      <c r="AC525" s="36" t="s">
        <v>2196</v>
      </c>
      <c r="AD525" s="36" t="str">
        <f>VLOOKUP(D525,Oficial!A:C,3,0)</f>
        <v>Arrastre</v>
      </c>
    </row>
    <row r="526" spans="1:30" x14ac:dyDescent="0.25">
      <c r="A526" s="36" t="s">
        <v>27</v>
      </c>
      <c r="B526" s="36" t="s">
        <v>452</v>
      </c>
      <c r="C526" s="36" t="s">
        <v>28</v>
      </c>
      <c r="D526" s="36" t="s">
        <v>452</v>
      </c>
      <c r="E526" s="36" t="s">
        <v>30</v>
      </c>
      <c r="F526" s="36" t="s">
        <v>31</v>
      </c>
      <c r="G526" s="37" t="s">
        <v>453</v>
      </c>
      <c r="H526" s="36" t="s">
        <v>454</v>
      </c>
      <c r="I526" s="36" t="s">
        <v>455</v>
      </c>
      <c r="J526" s="36">
        <v>1</v>
      </c>
      <c r="K526" s="36" t="s">
        <v>456</v>
      </c>
      <c r="L526" s="36">
        <v>4</v>
      </c>
      <c r="M526" s="36">
        <v>1</v>
      </c>
      <c r="N526" s="38">
        <v>207200000</v>
      </c>
      <c r="O526" s="38">
        <v>17266666</v>
      </c>
      <c r="P526" s="36">
        <v>12</v>
      </c>
      <c r="Q526" s="36" t="s">
        <v>318</v>
      </c>
      <c r="R526" s="36" t="s">
        <v>457</v>
      </c>
      <c r="S526" s="36" t="s">
        <v>458</v>
      </c>
      <c r="T526" s="36" t="s">
        <v>459</v>
      </c>
      <c r="U526" s="36" t="s">
        <v>460</v>
      </c>
      <c r="V526" s="40">
        <v>45870</v>
      </c>
      <c r="W526" s="40">
        <v>45889</v>
      </c>
      <c r="X526" s="36">
        <v>0</v>
      </c>
      <c r="Y526" s="36"/>
      <c r="Z526" s="36">
        <v>1</v>
      </c>
      <c r="AA526" s="36">
        <v>17266666</v>
      </c>
      <c r="AB526" s="40">
        <v>46296</v>
      </c>
      <c r="AC526" s="36" t="s">
        <v>2196</v>
      </c>
      <c r="AD526" s="36" t="str">
        <f>VLOOKUP(D526,Oficial!A:C,3,0)</f>
        <v>Arrastre</v>
      </c>
    </row>
    <row r="527" spans="1:30" x14ac:dyDescent="0.25">
      <c r="A527" s="36" t="s">
        <v>27</v>
      </c>
      <c r="B527" s="36" t="s">
        <v>452</v>
      </c>
      <c r="C527" s="36" t="s">
        <v>28</v>
      </c>
      <c r="D527" s="36" t="s">
        <v>452</v>
      </c>
      <c r="E527" s="36" t="s">
        <v>30</v>
      </c>
      <c r="F527" s="36" t="s">
        <v>31</v>
      </c>
      <c r="G527" s="37" t="s">
        <v>453</v>
      </c>
      <c r="H527" s="36" t="s">
        <v>454</v>
      </c>
      <c r="I527" s="36" t="s">
        <v>455</v>
      </c>
      <c r="J527" s="36">
        <v>1</v>
      </c>
      <c r="K527" s="36" t="s">
        <v>456</v>
      </c>
      <c r="L527" s="36">
        <v>4</v>
      </c>
      <c r="M527" s="36">
        <v>1</v>
      </c>
      <c r="N527" s="38">
        <v>207200000</v>
      </c>
      <c r="O527" s="38">
        <v>17266666</v>
      </c>
      <c r="P527" s="36">
        <v>12</v>
      </c>
      <c r="Q527" s="36" t="s">
        <v>318</v>
      </c>
      <c r="R527" s="36" t="s">
        <v>457</v>
      </c>
      <c r="S527" s="36" t="s">
        <v>458</v>
      </c>
      <c r="T527" s="36" t="s">
        <v>459</v>
      </c>
      <c r="U527" s="36" t="s">
        <v>460</v>
      </c>
      <c r="V527" s="40">
        <v>45870</v>
      </c>
      <c r="W527" s="40">
        <v>45889</v>
      </c>
      <c r="X527" s="36">
        <v>0</v>
      </c>
      <c r="Y527" s="36"/>
      <c r="Z527" s="36">
        <v>1</v>
      </c>
      <c r="AA527" s="36">
        <v>17266666</v>
      </c>
      <c r="AB527" s="40">
        <v>46266</v>
      </c>
      <c r="AC527" s="36" t="s">
        <v>2196</v>
      </c>
      <c r="AD527" s="36" t="str">
        <f>VLOOKUP(D527,Oficial!A:C,3,0)</f>
        <v>Arrastre</v>
      </c>
    </row>
    <row r="528" spans="1:30" x14ac:dyDescent="0.25">
      <c r="A528" s="36" t="s">
        <v>27</v>
      </c>
      <c r="B528" s="36" t="s">
        <v>452</v>
      </c>
      <c r="C528" s="36" t="s">
        <v>28</v>
      </c>
      <c r="D528" s="36" t="s">
        <v>452</v>
      </c>
      <c r="E528" s="36" t="s">
        <v>30</v>
      </c>
      <c r="F528" s="36" t="s">
        <v>31</v>
      </c>
      <c r="G528" s="37" t="s">
        <v>453</v>
      </c>
      <c r="H528" s="36" t="s">
        <v>454</v>
      </c>
      <c r="I528" s="36" t="s">
        <v>455</v>
      </c>
      <c r="J528" s="36">
        <v>1</v>
      </c>
      <c r="K528" s="36" t="s">
        <v>456</v>
      </c>
      <c r="L528" s="36">
        <v>4</v>
      </c>
      <c r="M528" s="36">
        <v>1</v>
      </c>
      <c r="N528" s="38">
        <v>207200000</v>
      </c>
      <c r="O528" s="38">
        <v>17266666</v>
      </c>
      <c r="P528" s="36">
        <v>12</v>
      </c>
      <c r="Q528" s="36" t="s">
        <v>318</v>
      </c>
      <c r="R528" s="36" t="s">
        <v>457</v>
      </c>
      <c r="S528" s="36" t="s">
        <v>458</v>
      </c>
      <c r="T528" s="36" t="s">
        <v>459</v>
      </c>
      <c r="U528" s="36" t="s">
        <v>460</v>
      </c>
      <c r="V528" s="40">
        <v>45870</v>
      </c>
      <c r="W528" s="40">
        <v>45889</v>
      </c>
      <c r="X528" s="36">
        <v>0</v>
      </c>
      <c r="Y528" s="36"/>
      <c r="Z528" s="36">
        <v>1</v>
      </c>
      <c r="AA528" s="36">
        <v>17266666</v>
      </c>
      <c r="AB528" s="40">
        <v>46357</v>
      </c>
      <c r="AC528" s="36" t="s">
        <v>2196</v>
      </c>
      <c r="AD528" s="36" t="str">
        <f>VLOOKUP(D528,Oficial!A:C,3,0)</f>
        <v>Arrastre</v>
      </c>
    </row>
    <row r="529" spans="1:30" x14ac:dyDescent="0.25">
      <c r="A529" s="36" t="s">
        <v>27</v>
      </c>
      <c r="B529" s="36" t="s">
        <v>461</v>
      </c>
      <c r="C529" s="36" t="s">
        <v>28</v>
      </c>
      <c r="D529" s="36" t="s">
        <v>461</v>
      </c>
      <c r="E529" s="36" t="s">
        <v>45</v>
      </c>
      <c r="F529" s="36" t="s">
        <v>31</v>
      </c>
      <c r="G529" s="37" t="s">
        <v>69</v>
      </c>
      <c r="H529" s="36" t="s">
        <v>462</v>
      </c>
      <c r="I529" s="36" t="s">
        <v>463</v>
      </c>
      <c r="J529" s="36">
        <v>1</v>
      </c>
      <c r="K529" s="36" t="s">
        <v>464</v>
      </c>
      <c r="L529" s="36">
        <v>4</v>
      </c>
      <c r="M529" s="36">
        <v>11040</v>
      </c>
      <c r="N529" s="38">
        <v>22315</v>
      </c>
      <c r="O529" s="42">
        <v>20529800</v>
      </c>
      <c r="P529" s="36">
        <v>12</v>
      </c>
      <c r="Q529" s="36" t="s">
        <v>413</v>
      </c>
      <c r="R529" s="36" t="s">
        <v>465</v>
      </c>
      <c r="S529" s="36" t="s">
        <v>466</v>
      </c>
      <c r="T529" s="36" t="s">
        <v>467</v>
      </c>
      <c r="U529" s="36" t="s">
        <v>77</v>
      </c>
      <c r="V529" s="40">
        <v>45992</v>
      </c>
      <c r="W529" s="40">
        <v>45889</v>
      </c>
      <c r="X529" s="36">
        <v>0</v>
      </c>
      <c r="Y529" s="36"/>
      <c r="Z529" s="36">
        <v>1</v>
      </c>
      <c r="AA529" s="36">
        <v>20529800</v>
      </c>
      <c r="AB529" s="40">
        <v>46327</v>
      </c>
      <c r="AC529" s="36" t="s">
        <v>2196</v>
      </c>
      <c r="AD529" s="36" t="str">
        <f>VLOOKUP(D529,Oficial!A:C,3,0)</f>
        <v>Arrastre</v>
      </c>
    </row>
    <row r="530" spans="1:30" x14ac:dyDescent="0.25">
      <c r="A530" s="36" t="s">
        <v>27</v>
      </c>
      <c r="B530" s="36" t="s">
        <v>461</v>
      </c>
      <c r="C530" s="36" t="s">
        <v>28</v>
      </c>
      <c r="D530" s="36" t="s">
        <v>461</v>
      </c>
      <c r="E530" s="36" t="s">
        <v>45</v>
      </c>
      <c r="F530" s="36" t="s">
        <v>31</v>
      </c>
      <c r="G530" s="37" t="s">
        <v>69</v>
      </c>
      <c r="H530" s="36" t="s">
        <v>462</v>
      </c>
      <c r="I530" s="36" t="s">
        <v>463</v>
      </c>
      <c r="J530" s="36">
        <v>1</v>
      </c>
      <c r="K530" s="36" t="s">
        <v>464</v>
      </c>
      <c r="L530" s="36">
        <v>4</v>
      </c>
      <c r="M530" s="36">
        <v>11040</v>
      </c>
      <c r="N530" s="38">
        <v>22315</v>
      </c>
      <c r="O530" s="42">
        <v>20529800</v>
      </c>
      <c r="P530" s="36">
        <v>12</v>
      </c>
      <c r="Q530" s="36" t="s">
        <v>413</v>
      </c>
      <c r="R530" s="36" t="s">
        <v>465</v>
      </c>
      <c r="S530" s="36" t="s">
        <v>466</v>
      </c>
      <c r="T530" s="36" t="s">
        <v>467</v>
      </c>
      <c r="U530" s="36" t="s">
        <v>77</v>
      </c>
      <c r="V530" s="40">
        <v>45992</v>
      </c>
      <c r="W530" s="40">
        <v>45889</v>
      </c>
      <c r="X530" s="36">
        <v>0</v>
      </c>
      <c r="Y530" s="36"/>
      <c r="Z530" s="36">
        <v>1</v>
      </c>
      <c r="AA530" s="36">
        <v>20529800</v>
      </c>
      <c r="AB530" s="40">
        <v>46143</v>
      </c>
      <c r="AC530" s="36" t="s">
        <v>2196</v>
      </c>
      <c r="AD530" s="36" t="str">
        <f>VLOOKUP(D530,Oficial!A:C,3,0)</f>
        <v>Arrastre</v>
      </c>
    </row>
    <row r="531" spans="1:30" x14ac:dyDescent="0.25">
      <c r="A531" s="36" t="s">
        <v>27</v>
      </c>
      <c r="B531" s="36" t="s">
        <v>461</v>
      </c>
      <c r="C531" s="36" t="s">
        <v>28</v>
      </c>
      <c r="D531" s="36" t="s">
        <v>461</v>
      </c>
      <c r="E531" s="36" t="s">
        <v>45</v>
      </c>
      <c r="F531" s="36" t="s">
        <v>31</v>
      </c>
      <c r="G531" s="37" t="s">
        <v>69</v>
      </c>
      <c r="H531" s="36" t="s">
        <v>462</v>
      </c>
      <c r="I531" s="36" t="s">
        <v>463</v>
      </c>
      <c r="J531" s="36">
        <v>1</v>
      </c>
      <c r="K531" s="36" t="s">
        <v>464</v>
      </c>
      <c r="L531" s="36">
        <v>4</v>
      </c>
      <c r="M531" s="36">
        <v>11040</v>
      </c>
      <c r="N531" s="38">
        <v>22315</v>
      </c>
      <c r="O531" s="42">
        <v>20529800</v>
      </c>
      <c r="P531" s="36">
        <v>12</v>
      </c>
      <c r="Q531" s="36" t="s">
        <v>413</v>
      </c>
      <c r="R531" s="36" t="s">
        <v>465</v>
      </c>
      <c r="S531" s="36" t="s">
        <v>466</v>
      </c>
      <c r="T531" s="36" t="s">
        <v>467</v>
      </c>
      <c r="U531" s="36" t="s">
        <v>77</v>
      </c>
      <c r="V531" s="40">
        <v>45992</v>
      </c>
      <c r="W531" s="40">
        <v>45889</v>
      </c>
      <c r="X531" s="36">
        <v>0</v>
      </c>
      <c r="Y531" s="36"/>
      <c r="Z531" s="36">
        <v>1</v>
      </c>
      <c r="AA531" s="36">
        <v>20529800</v>
      </c>
      <c r="AB531" s="40">
        <v>46054</v>
      </c>
      <c r="AC531" s="36" t="s">
        <v>2196</v>
      </c>
      <c r="AD531" s="36" t="str">
        <f>VLOOKUP(D531,Oficial!A:C,3,0)</f>
        <v>Arrastre</v>
      </c>
    </row>
    <row r="532" spans="1:30" x14ac:dyDescent="0.25">
      <c r="A532" s="36" t="s">
        <v>27</v>
      </c>
      <c r="B532" s="36" t="s">
        <v>461</v>
      </c>
      <c r="C532" s="36" t="s">
        <v>28</v>
      </c>
      <c r="D532" s="36" t="s">
        <v>461</v>
      </c>
      <c r="E532" s="36" t="s">
        <v>45</v>
      </c>
      <c r="F532" s="36" t="s">
        <v>31</v>
      </c>
      <c r="G532" s="37" t="s">
        <v>69</v>
      </c>
      <c r="H532" s="36" t="s">
        <v>462</v>
      </c>
      <c r="I532" s="36" t="s">
        <v>463</v>
      </c>
      <c r="J532" s="36">
        <v>1</v>
      </c>
      <c r="K532" s="36" t="s">
        <v>464</v>
      </c>
      <c r="L532" s="36">
        <v>4</v>
      </c>
      <c r="M532" s="36">
        <v>11040</v>
      </c>
      <c r="N532" s="38">
        <v>22315</v>
      </c>
      <c r="O532" s="42">
        <v>20529800</v>
      </c>
      <c r="P532" s="36">
        <v>12</v>
      </c>
      <c r="Q532" s="36" t="s">
        <v>413</v>
      </c>
      <c r="R532" s="36" t="s">
        <v>465</v>
      </c>
      <c r="S532" s="36" t="s">
        <v>466</v>
      </c>
      <c r="T532" s="36" t="s">
        <v>467</v>
      </c>
      <c r="U532" s="36" t="s">
        <v>77</v>
      </c>
      <c r="V532" s="40">
        <v>45992</v>
      </c>
      <c r="W532" s="40">
        <v>45889</v>
      </c>
      <c r="X532" s="36">
        <v>0</v>
      </c>
      <c r="Y532" s="36"/>
      <c r="Z532" s="36">
        <v>1</v>
      </c>
      <c r="AA532" s="36">
        <v>20529800</v>
      </c>
      <c r="AB532" s="40">
        <v>46113</v>
      </c>
      <c r="AC532" s="36" t="s">
        <v>2196</v>
      </c>
      <c r="AD532" s="36" t="str">
        <f>VLOOKUP(D532,Oficial!A:C,3,0)</f>
        <v>Arrastre</v>
      </c>
    </row>
    <row r="533" spans="1:30" x14ac:dyDescent="0.25">
      <c r="A533" s="36" t="s">
        <v>27</v>
      </c>
      <c r="B533" s="36" t="s">
        <v>461</v>
      </c>
      <c r="C533" s="36" t="s">
        <v>28</v>
      </c>
      <c r="D533" s="36" t="s">
        <v>461</v>
      </c>
      <c r="E533" s="36" t="s">
        <v>45</v>
      </c>
      <c r="F533" s="36" t="s">
        <v>31</v>
      </c>
      <c r="G533" s="37" t="s">
        <v>69</v>
      </c>
      <c r="H533" s="36" t="s">
        <v>462</v>
      </c>
      <c r="I533" s="36" t="s">
        <v>463</v>
      </c>
      <c r="J533" s="36">
        <v>1</v>
      </c>
      <c r="K533" s="36" t="s">
        <v>464</v>
      </c>
      <c r="L533" s="36">
        <v>4</v>
      </c>
      <c r="M533" s="36">
        <v>11040</v>
      </c>
      <c r="N533" s="38">
        <v>22315</v>
      </c>
      <c r="O533" s="42">
        <v>20529800</v>
      </c>
      <c r="P533" s="36">
        <v>12</v>
      </c>
      <c r="Q533" s="36" t="s">
        <v>413</v>
      </c>
      <c r="R533" s="36" t="s">
        <v>465</v>
      </c>
      <c r="S533" s="36" t="s">
        <v>466</v>
      </c>
      <c r="T533" s="36" t="s">
        <v>467</v>
      </c>
      <c r="U533" s="36" t="s">
        <v>77</v>
      </c>
      <c r="V533" s="40">
        <v>45992</v>
      </c>
      <c r="W533" s="40">
        <v>45889</v>
      </c>
      <c r="X533" s="36">
        <v>0</v>
      </c>
      <c r="Y533" s="36"/>
      <c r="Z533" s="36">
        <v>1</v>
      </c>
      <c r="AA533" s="36">
        <v>20529800</v>
      </c>
      <c r="AB533" s="40">
        <v>46235</v>
      </c>
      <c r="AC533" s="36" t="s">
        <v>2196</v>
      </c>
      <c r="AD533" s="36" t="str">
        <f>VLOOKUP(D533,Oficial!A:C,3,0)</f>
        <v>Arrastre</v>
      </c>
    </row>
    <row r="534" spans="1:30" x14ac:dyDescent="0.25">
      <c r="A534" s="36" t="s">
        <v>27</v>
      </c>
      <c r="B534" s="36" t="s">
        <v>461</v>
      </c>
      <c r="C534" s="36" t="s">
        <v>28</v>
      </c>
      <c r="D534" s="36" t="s">
        <v>461</v>
      </c>
      <c r="E534" s="36" t="s">
        <v>45</v>
      </c>
      <c r="F534" s="36" t="s">
        <v>31</v>
      </c>
      <c r="G534" s="37" t="s">
        <v>69</v>
      </c>
      <c r="H534" s="36" t="s">
        <v>462</v>
      </c>
      <c r="I534" s="36" t="s">
        <v>463</v>
      </c>
      <c r="J534" s="36">
        <v>1</v>
      </c>
      <c r="K534" s="36" t="s">
        <v>464</v>
      </c>
      <c r="L534" s="36">
        <v>4</v>
      </c>
      <c r="M534" s="36">
        <v>11040</v>
      </c>
      <c r="N534" s="38">
        <v>22315</v>
      </c>
      <c r="O534" s="42">
        <v>20529800</v>
      </c>
      <c r="P534" s="36">
        <v>12</v>
      </c>
      <c r="Q534" s="36" t="s">
        <v>413</v>
      </c>
      <c r="R534" s="36" t="s">
        <v>465</v>
      </c>
      <c r="S534" s="36" t="s">
        <v>466</v>
      </c>
      <c r="T534" s="36" t="s">
        <v>467</v>
      </c>
      <c r="U534" s="36" t="s">
        <v>77</v>
      </c>
      <c r="V534" s="40">
        <v>45992</v>
      </c>
      <c r="W534" s="40">
        <v>45889</v>
      </c>
      <c r="X534" s="36">
        <v>0</v>
      </c>
      <c r="Y534" s="36"/>
      <c r="Z534" s="36">
        <v>1</v>
      </c>
      <c r="AA534" s="36">
        <v>20529800</v>
      </c>
      <c r="AB534" s="40">
        <v>46174</v>
      </c>
      <c r="AC534" s="36" t="s">
        <v>2196</v>
      </c>
      <c r="AD534" s="36" t="str">
        <f>VLOOKUP(D534,Oficial!A:C,3,0)</f>
        <v>Arrastre</v>
      </c>
    </row>
    <row r="535" spans="1:30" x14ac:dyDescent="0.25">
      <c r="A535" s="36" t="s">
        <v>27</v>
      </c>
      <c r="B535" s="36" t="s">
        <v>461</v>
      </c>
      <c r="C535" s="36" t="s">
        <v>28</v>
      </c>
      <c r="D535" s="36" t="s">
        <v>461</v>
      </c>
      <c r="E535" s="36" t="s">
        <v>45</v>
      </c>
      <c r="F535" s="36" t="s">
        <v>31</v>
      </c>
      <c r="G535" s="37" t="s">
        <v>69</v>
      </c>
      <c r="H535" s="36" t="s">
        <v>462</v>
      </c>
      <c r="I535" s="36" t="s">
        <v>463</v>
      </c>
      <c r="J535" s="36">
        <v>1</v>
      </c>
      <c r="K535" s="36" t="s">
        <v>464</v>
      </c>
      <c r="L535" s="36">
        <v>4</v>
      </c>
      <c r="M535" s="36">
        <v>11040</v>
      </c>
      <c r="N535" s="38">
        <v>22315</v>
      </c>
      <c r="O535" s="42">
        <v>20529800</v>
      </c>
      <c r="P535" s="36">
        <v>12</v>
      </c>
      <c r="Q535" s="36" t="s">
        <v>413</v>
      </c>
      <c r="R535" s="36" t="s">
        <v>465</v>
      </c>
      <c r="S535" s="36" t="s">
        <v>466</v>
      </c>
      <c r="T535" s="36" t="s">
        <v>467</v>
      </c>
      <c r="U535" s="36" t="s">
        <v>77</v>
      </c>
      <c r="V535" s="40">
        <v>45992</v>
      </c>
      <c r="W535" s="40">
        <v>45889</v>
      </c>
      <c r="X535" s="36">
        <v>0</v>
      </c>
      <c r="Y535" s="36"/>
      <c r="Z535" s="36">
        <v>1</v>
      </c>
      <c r="AA535" s="36">
        <v>20529800</v>
      </c>
      <c r="AB535" s="40">
        <v>46357</v>
      </c>
      <c r="AC535" s="36" t="s">
        <v>2196</v>
      </c>
      <c r="AD535" s="36" t="str">
        <f>VLOOKUP(D535,Oficial!A:C,3,0)</f>
        <v>Arrastre</v>
      </c>
    </row>
    <row r="536" spans="1:30" x14ac:dyDescent="0.25">
      <c r="A536" s="36" t="s">
        <v>27</v>
      </c>
      <c r="B536" s="36" t="s">
        <v>461</v>
      </c>
      <c r="C536" s="36" t="s">
        <v>28</v>
      </c>
      <c r="D536" s="36" t="s">
        <v>461</v>
      </c>
      <c r="E536" s="36" t="s">
        <v>45</v>
      </c>
      <c r="F536" s="36" t="s">
        <v>31</v>
      </c>
      <c r="G536" s="37" t="s">
        <v>69</v>
      </c>
      <c r="H536" s="36" t="s">
        <v>462</v>
      </c>
      <c r="I536" s="36" t="s">
        <v>463</v>
      </c>
      <c r="J536" s="36">
        <v>1</v>
      </c>
      <c r="K536" s="36" t="s">
        <v>464</v>
      </c>
      <c r="L536" s="36">
        <v>4</v>
      </c>
      <c r="M536" s="36">
        <v>11040</v>
      </c>
      <c r="N536" s="38">
        <v>22315</v>
      </c>
      <c r="O536" s="42">
        <v>20529800</v>
      </c>
      <c r="P536" s="36">
        <v>12</v>
      </c>
      <c r="Q536" s="36" t="s">
        <v>413</v>
      </c>
      <c r="R536" s="36" t="s">
        <v>465</v>
      </c>
      <c r="S536" s="36" t="s">
        <v>466</v>
      </c>
      <c r="T536" s="36" t="s">
        <v>467</v>
      </c>
      <c r="U536" s="36" t="s">
        <v>77</v>
      </c>
      <c r="V536" s="40">
        <v>45992</v>
      </c>
      <c r="W536" s="40">
        <v>45889</v>
      </c>
      <c r="X536" s="36">
        <v>0</v>
      </c>
      <c r="Y536" s="36"/>
      <c r="Z536" s="36">
        <v>1</v>
      </c>
      <c r="AA536" s="36">
        <v>20529800</v>
      </c>
      <c r="AB536" s="40">
        <v>46204</v>
      </c>
      <c r="AC536" s="36" t="s">
        <v>2196</v>
      </c>
      <c r="AD536" s="36" t="str">
        <f>VLOOKUP(D536,Oficial!A:C,3,0)</f>
        <v>Arrastre</v>
      </c>
    </row>
    <row r="537" spans="1:30" x14ac:dyDescent="0.25">
      <c r="A537" s="36" t="s">
        <v>27</v>
      </c>
      <c r="B537" s="36" t="s">
        <v>461</v>
      </c>
      <c r="C537" s="36" t="s">
        <v>28</v>
      </c>
      <c r="D537" s="36" t="s">
        <v>461</v>
      </c>
      <c r="E537" s="36" t="s">
        <v>45</v>
      </c>
      <c r="F537" s="36" t="s">
        <v>31</v>
      </c>
      <c r="G537" s="37" t="s">
        <v>69</v>
      </c>
      <c r="H537" s="36" t="s">
        <v>462</v>
      </c>
      <c r="I537" s="36" t="s">
        <v>463</v>
      </c>
      <c r="J537" s="36">
        <v>1</v>
      </c>
      <c r="K537" s="36" t="s">
        <v>464</v>
      </c>
      <c r="L537" s="36">
        <v>4</v>
      </c>
      <c r="M537" s="36">
        <v>11040</v>
      </c>
      <c r="N537" s="38">
        <v>22315</v>
      </c>
      <c r="O537" s="42">
        <v>20529800</v>
      </c>
      <c r="P537" s="36">
        <v>12</v>
      </c>
      <c r="Q537" s="36" t="s">
        <v>413</v>
      </c>
      <c r="R537" s="36" t="s">
        <v>465</v>
      </c>
      <c r="S537" s="36" t="s">
        <v>466</v>
      </c>
      <c r="T537" s="36" t="s">
        <v>467</v>
      </c>
      <c r="U537" s="36" t="s">
        <v>77</v>
      </c>
      <c r="V537" s="40">
        <v>45992</v>
      </c>
      <c r="W537" s="40">
        <v>45889</v>
      </c>
      <c r="X537" s="36">
        <v>0</v>
      </c>
      <c r="Y537" s="36"/>
      <c r="Z537" s="36">
        <v>1</v>
      </c>
      <c r="AA537" s="36">
        <v>20529800</v>
      </c>
      <c r="AB537" s="40">
        <v>46296</v>
      </c>
      <c r="AC537" s="36" t="s">
        <v>2196</v>
      </c>
      <c r="AD537" s="36" t="str">
        <f>VLOOKUP(D537,Oficial!A:C,3,0)</f>
        <v>Arrastre</v>
      </c>
    </row>
    <row r="538" spans="1:30" x14ac:dyDescent="0.25">
      <c r="A538" s="36" t="s">
        <v>27</v>
      </c>
      <c r="B538" s="36" t="s">
        <v>461</v>
      </c>
      <c r="C538" s="36" t="s">
        <v>28</v>
      </c>
      <c r="D538" s="36" t="s">
        <v>461</v>
      </c>
      <c r="E538" s="36" t="s">
        <v>45</v>
      </c>
      <c r="F538" s="36" t="s">
        <v>31</v>
      </c>
      <c r="G538" s="37" t="s">
        <v>69</v>
      </c>
      <c r="H538" s="36" t="s">
        <v>462</v>
      </c>
      <c r="I538" s="36" t="s">
        <v>463</v>
      </c>
      <c r="J538" s="36">
        <v>1</v>
      </c>
      <c r="K538" s="36" t="s">
        <v>464</v>
      </c>
      <c r="L538" s="36">
        <v>4</v>
      </c>
      <c r="M538" s="36">
        <v>11040</v>
      </c>
      <c r="N538" s="38">
        <v>22315</v>
      </c>
      <c r="O538" s="42">
        <v>20529800</v>
      </c>
      <c r="P538" s="36">
        <v>12</v>
      </c>
      <c r="Q538" s="36" t="s">
        <v>413</v>
      </c>
      <c r="R538" s="36" t="s">
        <v>465</v>
      </c>
      <c r="S538" s="36" t="s">
        <v>466</v>
      </c>
      <c r="T538" s="36" t="s">
        <v>467</v>
      </c>
      <c r="U538" s="36" t="s">
        <v>77</v>
      </c>
      <c r="V538" s="40">
        <v>45992</v>
      </c>
      <c r="W538" s="40">
        <v>45889</v>
      </c>
      <c r="X538" s="36">
        <v>0</v>
      </c>
      <c r="Y538" s="36"/>
      <c r="Z538" s="36">
        <v>1</v>
      </c>
      <c r="AA538" s="36">
        <v>20529800</v>
      </c>
      <c r="AB538" s="40">
        <v>46023</v>
      </c>
      <c r="AC538" s="36" t="s">
        <v>2196</v>
      </c>
      <c r="AD538" s="36" t="str">
        <f>VLOOKUP(D538,Oficial!A:C,3,0)</f>
        <v>Arrastre</v>
      </c>
    </row>
    <row r="539" spans="1:30" x14ac:dyDescent="0.25">
      <c r="A539" s="36" t="s">
        <v>27</v>
      </c>
      <c r="B539" s="36" t="s">
        <v>461</v>
      </c>
      <c r="C539" s="36" t="s">
        <v>28</v>
      </c>
      <c r="D539" s="36" t="s">
        <v>461</v>
      </c>
      <c r="E539" s="36" t="s">
        <v>45</v>
      </c>
      <c r="F539" s="36" t="s">
        <v>31</v>
      </c>
      <c r="G539" s="37" t="s">
        <v>69</v>
      </c>
      <c r="H539" s="36" t="s">
        <v>462</v>
      </c>
      <c r="I539" s="36" t="s">
        <v>463</v>
      </c>
      <c r="J539" s="36">
        <v>1</v>
      </c>
      <c r="K539" s="36" t="s">
        <v>464</v>
      </c>
      <c r="L539" s="36">
        <v>4</v>
      </c>
      <c r="M539" s="36">
        <v>11040</v>
      </c>
      <c r="N539" s="38">
        <v>22315</v>
      </c>
      <c r="O539" s="42">
        <v>20529800</v>
      </c>
      <c r="P539" s="36">
        <v>12</v>
      </c>
      <c r="Q539" s="36" t="s">
        <v>413</v>
      </c>
      <c r="R539" s="36" t="s">
        <v>465</v>
      </c>
      <c r="S539" s="36" t="s">
        <v>466</v>
      </c>
      <c r="T539" s="36" t="s">
        <v>467</v>
      </c>
      <c r="U539" s="36" t="s">
        <v>77</v>
      </c>
      <c r="V539" s="40">
        <v>45992</v>
      </c>
      <c r="W539" s="40">
        <v>45889</v>
      </c>
      <c r="X539" s="36">
        <v>0</v>
      </c>
      <c r="Y539" s="36"/>
      <c r="Z539" s="36">
        <v>1</v>
      </c>
      <c r="AA539" s="36">
        <v>20529800</v>
      </c>
      <c r="AB539" s="40">
        <v>46266</v>
      </c>
      <c r="AC539" s="36" t="s">
        <v>2196</v>
      </c>
      <c r="AD539" s="36" t="str">
        <f>VLOOKUP(D539,Oficial!A:C,3,0)</f>
        <v>Arrastre</v>
      </c>
    </row>
    <row r="540" spans="1:30" x14ac:dyDescent="0.25">
      <c r="A540" s="36" t="s">
        <v>27</v>
      </c>
      <c r="B540" s="36" t="s">
        <v>461</v>
      </c>
      <c r="C540" s="36" t="s">
        <v>28</v>
      </c>
      <c r="D540" s="36" t="s">
        <v>461</v>
      </c>
      <c r="E540" s="36" t="s">
        <v>45</v>
      </c>
      <c r="F540" s="36" t="s">
        <v>31</v>
      </c>
      <c r="G540" s="37" t="s">
        <v>69</v>
      </c>
      <c r="H540" s="36" t="s">
        <v>462</v>
      </c>
      <c r="I540" s="36" t="s">
        <v>463</v>
      </c>
      <c r="J540" s="36">
        <v>1</v>
      </c>
      <c r="K540" s="36" t="s">
        <v>464</v>
      </c>
      <c r="L540" s="36">
        <v>4</v>
      </c>
      <c r="M540" s="36">
        <v>11040</v>
      </c>
      <c r="N540" s="38">
        <v>22315</v>
      </c>
      <c r="O540" s="42">
        <v>20529800</v>
      </c>
      <c r="P540" s="36">
        <v>12</v>
      </c>
      <c r="Q540" s="36" t="s">
        <v>413</v>
      </c>
      <c r="R540" s="36" t="s">
        <v>465</v>
      </c>
      <c r="S540" s="36" t="s">
        <v>466</v>
      </c>
      <c r="T540" s="36" t="s">
        <v>467</v>
      </c>
      <c r="U540" s="36" t="s">
        <v>77</v>
      </c>
      <c r="V540" s="40">
        <v>45992</v>
      </c>
      <c r="W540" s="40">
        <v>45889</v>
      </c>
      <c r="X540" s="36">
        <v>0</v>
      </c>
      <c r="Y540" s="36"/>
      <c r="Z540" s="36">
        <v>1</v>
      </c>
      <c r="AA540" s="36">
        <v>20529800</v>
      </c>
      <c r="AB540" s="40">
        <v>46082</v>
      </c>
      <c r="AC540" s="36" t="s">
        <v>2196</v>
      </c>
      <c r="AD540" s="36" t="str">
        <f>VLOOKUP(D540,Oficial!A:C,3,0)</f>
        <v>Arrastre</v>
      </c>
    </row>
    <row r="541" spans="1:30" x14ac:dyDescent="0.25">
      <c r="A541" s="36" t="s">
        <v>27</v>
      </c>
      <c r="B541" s="36" t="s">
        <v>468</v>
      </c>
      <c r="C541" s="36" t="s">
        <v>374</v>
      </c>
      <c r="D541" s="36" t="s">
        <v>468</v>
      </c>
      <c r="E541" s="36" t="s">
        <v>30</v>
      </c>
      <c r="F541" s="36" t="s">
        <v>31</v>
      </c>
      <c r="G541" s="37" t="s">
        <v>469</v>
      </c>
      <c r="H541" s="36" t="s">
        <v>470</v>
      </c>
      <c r="I541" s="36" t="s">
        <v>471</v>
      </c>
      <c r="J541" s="36">
        <v>1</v>
      </c>
      <c r="K541" s="36" t="s">
        <v>472</v>
      </c>
      <c r="L541" s="36">
        <v>4</v>
      </c>
      <c r="M541" s="36">
        <v>4692</v>
      </c>
      <c r="N541" s="38">
        <v>84050</v>
      </c>
      <c r="O541" s="41">
        <v>32863550</v>
      </c>
      <c r="P541" s="36">
        <v>12</v>
      </c>
      <c r="Q541" s="36" t="s">
        <v>413</v>
      </c>
      <c r="R541" s="36" t="s">
        <v>473</v>
      </c>
      <c r="S541" s="36" t="s">
        <v>474</v>
      </c>
      <c r="T541" s="36" t="s">
        <v>432</v>
      </c>
      <c r="U541" s="36" t="s">
        <v>475</v>
      </c>
      <c r="V541" s="40">
        <v>45870</v>
      </c>
      <c r="W541" s="40">
        <v>45889</v>
      </c>
      <c r="X541" s="36">
        <v>0</v>
      </c>
      <c r="Y541" s="36"/>
      <c r="Z541" s="36">
        <v>1</v>
      </c>
      <c r="AA541" s="36">
        <v>32863550</v>
      </c>
      <c r="AB541" s="40">
        <v>46235</v>
      </c>
      <c r="AC541" s="36" t="s">
        <v>2196</v>
      </c>
      <c r="AD541" s="36" t="str">
        <f>VLOOKUP(D541,Oficial!A:C,3,0)</f>
        <v>Arrastre</v>
      </c>
    </row>
    <row r="542" spans="1:30" x14ac:dyDescent="0.25">
      <c r="A542" s="36" t="s">
        <v>27</v>
      </c>
      <c r="B542" s="36" t="s">
        <v>468</v>
      </c>
      <c r="C542" s="36" t="s">
        <v>374</v>
      </c>
      <c r="D542" s="36" t="s">
        <v>468</v>
      </c>
      <c r="E542" s="36" t="s">
        <v>30</v>
      </c>
      <c r="F542" s="36" t="s">
        <v>31</v>
      </c>
      <c r="G542" s="37" t="s">
        <v>469</v>
      </c>
      <c r="H542" s="36" t="s">
        <v>470</v>
      </c>
      <c r="I542" s="36" t="s">
        <v>471</v>
      </c>
      <c r="J542" s="36">
        <v>1</v>
      </c>
      <c r="K542" s="36" t="s">
        <v>472</v>
      </c>
      <c r="L542" s="36">
        <v>4</v>
      </c>
      <c r="M542" s="36">
        <v>4692</v>
      </c>
      <c r="N542" s="38">
        <v>84050</v>
      </c>
      <c r="O542" s="41">
        <v>32863550</v>
      </c>
      <c r="P542" s="36">
        <v>12</v>
      </c>
      <c r="Q542" s="36" t="s">
        <v>413</v>
      </c>
      <c r="R542" s="36" t="s">
        <v>473</v>
      </c>
      <c r="S542" s="36" t="s">
        <v>474</v>
      </c>
      <c r="T542" s="36" t="s">
        <v>432</v>
      </c>
      <c r="U542" s="36" t="s">
        <v>475</v>
      </c>
      <c r="V542" s="40">
        <v>45870</v>
      </c>
      <c r="W542" s="40">
        <v>45889</v>
      </c>
      <c r="X542" s="36">
        <v>0</v>
      </c>
      <c r="Y542" s="36"/>
      <c r="Z542" s="36">
        <v>1</v>
      </c>
      <c r="AA542" s="36">
        <v>32863550</v>
      </c>
      <c r="AB542" s="40">
        <v>46023</v>
      </c>
      <c r="AC542" s="36" t="s">
        <v>2196</v>
      </c>
      <c r="AD542" s="36" t="str">
        <f>VLOOKUP(D542,Oficial!A:C,3,0)</f>
        <v>Arrastre</v>
      </c>
    </row>
    <row r="543" spans="1:30" x14ac:dyDescent="0.25">
      <c r="A543" s="36" t="s">
        <v>27</v>
      </c>
      <c r="B543" s="36" t="s">
        <v>468</v>
      </c>
      <c r="C543" s="36" t="s">
        <v>374</v>
      </c>
      <c r="D543" s="36" t="s">
        <v>468</v>
      </c>
      <c r="E543" s="36" t="s">
        <v>30</v>
      </c>
      <c r="F543" s="36" t="s">
        <v>31</v>
      </c>
      <c r="G543" s="37" t="s">
        <v>469</v>
      </c>
      <c r="H543" s="36" t="s">
        <v>470</v>
      </c>
      <c r="I543" s="36" t="s">
        <v>471</v>
      </c>
      <c r="J543" s="36">
        <v>1</v>
      </c>
      <c r="K543" s="36" t="s">
        <v>472</v>
      </c>
      <c r="L543" s="36">
        <v>4</v>
      </c>
      <c r="M543" s="36">
        <v>4692</v>
      </c>
      <c r="N543" s="38">
        <v>84050</v>
      </c>
      <c r="O543" s="41">
        <v>32863550</v>
      </c>
      <c r="P543" s="36">
        <v>12</v>
      </c>
      <c r="Q543" s="36" t="s">
        <v>413</v>
      </c>
      <c r="R543" s="36" t="s">
        <v>473</v>
      </c>
      <c r="S543" s="36" t="s">
        <v>474</v>
      </c>
      <c r="T543" s="36" t="s">
        <v>432</v>
      </c>
      <c r="U543" s="36" t="s">
        <v>475</v>
      </c>
      <c r="V543" s="40">
        <v>45870</v>
      </c>
      <c r="W543" s="40">
        <v>45889</v>
      </c>
      <c r="X543" s="36">
        <v>0</v>
      </c>
      <c r="Y543" s="36"/>
      <c r="Z543" s="36">
        <v>1</v>
      </c>
      <c r="AA543" s="36">
        <v>32863550</v>
      </c>
      <c r="AB543" s="40">
        <v>46174</v>
      </c>
      <c r="AC543" s="36" t="s">
        <v>2196</v>
      </c>
      <c r="AD543" s="36" t="str">
        <f>VLOOKUP(D543,Oficial!A:C,3,0)</f>
        <v>Arrastre</v>
      </c>
    </row>
    <row r="544" spans="1:30" x14ac:dyDescent="0.25">
      <c r="A544" s="36" t="s">
        <v>27</v>
      </c>
      <c r="B544" s="36" t="s">
        <v>468</v>
      </c>
      <c r="C544" s="36" t="s">
        <v>374</v>
      </c>
      <c r="D544" s="36" t="s">
        <v>468</v>
      </c>
      <c r="E544" s="36" t="s">
        <v>30</v>
      </c>
      <c r="F544" s="36" t="s">
        <v>31</v>
      </c>
      <c r="G544" s="37" t="s">
        <v>469</v>
      </c>
      <c r="H544" s="36" t="s">
        <v>470</v>
      </c>
      <c r="I544" s="36" t="s">
        <v>471</v>
      </c>
      <c r="J544" s="36">
        <v>1</v>
      </c>
      <c r="K544" s="36" t="s">
        <v>472</v>
      </c>
      <c r="L544" s="36">
        <v>4</v>
      </c>
      <c r="M544" s="36">
        <v>4692</v>
      </c>
      <c r="N544" s="38">
        <v>84050</v>
      </c>
      <c r="O544" s="41">
        <v>32863550</v>
      </c>
      <c r="P544" s="36">
        <v>12</v>
      </c>
      <c r="Q544" s="36" t="s">
        <v>413</v>
      </c>
      <c r="R544" s="36" t="s">
        <v>473</v>
      </c>
      <c r="S544" s="36" t="s">
        <v>474</v>
      </c>
      <c r="T544" s="36" t="s">
        <v>432</v>
      </c>
      <c r="U544" s="36" t="s">
        <v>475</v>
      </c>
      <c r="V544" s="40">
        <v>45870</v>
      </c>
      <c r="W544" s="40">
        <v>45889</v>
      </c>
      <c r="X544" s="36">
        <v>0</v>
      </c>
      <c r="Y544" s="36"/>
      <c r="Z544" s="36">
        <v>1</v>
      </c>
      <c r="AA544" s="36">
        <v>32863550</v>
      </c>
      <c r="AB544" s="40">
        <v>46054</v>
      </c>
      <c r="AC544" s="36" t="s">
        <v>2196</v>
      </c>
      <c r="AD544" s="36" t="str">
        <f>VLOOKUP(D544,Oficial!A:C,3,0)</f>
        <v>Arrastre</v>
      </c>
    </row>
    <row r="545" spans="1:30" x14ac:dyDescent="0.25">
      <c r="A545" s="36" t="s">
        <v>27</v>
      </c>
      <c r="B545" s="36" t="s">
        <v>468</v>
      </c>
      <c r="C545" s="36" t="s">
        <v>374</v>
      </c>
      <c r="D545" s="36" t="s">
        <v>468</v>
      </c>
      <c r="E545" s="36" t="s">
        <v>30</v>
      </c>
      <c r="F545" s="36" t="s">
        <v>31</v>
      </c>
      <c r="G545" s="37" t="s">
        <v>469</v>
      </c>
      <c r="H545" s="36" t="s">
        <v>470</v>
      </c>
      <c r="I545" s="36" t="s">
        <v>471</v>
      </c>
      <c r="J545" s="36">
        <v>1</v>
      </c>
      <c r="K545" s="36" t="s">
        <v>472</v>
      </c>
      <c r="L545" s="36">
        <v>4</v>
      </c>
      <c r="M545" s="36">
        <v>4692</v>
      </c>
      <c r="N545" s="38">
        <v>84050</v>
      </c>
      <c r="O545" s="41">
        <v>32863550</v>
      </c>
      <c r="P545" s="36">
        <v>12</v>
      </c>
      <c r="Q545" s="36" t="s">
        <v>413</v>
      </c>
      <c r="R545" s="36" t="s">
        <v>473</v>
      </c>
      <c r="S545" s="36" t="s">
        <v>474</v>
      </c>
      <c r="T545" s="36" t="s">
        <v>432</v>
      </c>
      <c r="U545" s="36" t="s">
        <v>475</v>
      </c>
      <c r="V545" s="40">
        <v>45870</v>
      </c>
      <c r="W545" s="40">
        <v>45889</v>
      </c>
      <c r="X545" s="36">
        <v>0</v>
      </c>
      <c r="Y545" s="36"/>
      <c r="Z545" s="36">
        <v>1</v>
      </c>
      <c r="AA545" s="36">
        <v>32863550</v>
      </c>
      <c r="AB545" s="40">
        <v>46204</v>
      </c>
      <c r="AC545" s="36" t="s">
        <v>2196</v>
      </c>
      <c r="AD545" s="36" t="str">
        <f>VLOOKUP(D545,Oficial!A:C,3,0)</f>
        <v>Arrastre</v>
      </c>
    </row>
    <row r="546" spans="1:30" x14ac:dyDescent="0.25">
      <c r="A546" s="36" t="s">
        <v>27</v>
      </c>
      <c r="B546" s="36" t="s">
        <v>468</v>
      </c>
      <c r="C546" s="36" t="s">
        <v>374</v>
      </c>
      <c r="D546" s="36" t="s">
        <v>468</v>
      </c>
      <c r="E546" s="36" t="s">
        <v>30</v>
      </c>
      <c r="F546" s="36" t="s">
        <v>31</v>
      </c>
      <c r="G546" s="37" t="s">
        <v>469</v>
      </c>
      <c r="H546" s="36" t="s">
        <v>470</v>
      </c>
      <c r="I546" s="36" t="s">
        <v>471</v>
      </c>
      <c r="J546" s="36">
        <v>1</v>
      </c>
      <c r="K546" s="36" t="s">
        <v>472</v>
      </c>
      <c r="L546" s="36">
        <v>4</v>
      </c>
      <c r="M546" s="36">
        <v>4692</v>
      </c>
      <c r="N546" s="38">
        <v>84050</v>
      </c>
      <c r="O546" s="41">
        <v>32863550</v>
      </c>
      <c r="P546" s="36">
        <v>12</v>
      </c>
      <c r="Q546" s="36" t="s">
        <v>413</v>
      </c>
      <c r="R546" s="36" t="s">
        <v>473</v>
      </c>
      <c r="S546" s="36" t="s">
        <v>474</v>
      </c>
      <c r="T546" s="36" t="s">
        <v>432</v>
      </c>
      <c r="U546" s="36" t="s">
        <v>475</v>
      </c>
      <c r="V546" s="40">
        <v>45870</v>
      </c>
      <c r="W546" s="40">
        <v>45889</v>
      </c>
      <c r="X546" s="36">
        <v>0</v>
      </c>
      <c r="Y546" s="36"/>
      <c r="Z546" s="36">
        <v>1</v>
      </c>
      <c r="AA546" s="36">
        <v>32863550</v>
      </c>
      <c r="AB546" s="40">
        <v>46327</v>
      </c>
      <c r="AC546" s="36" t="s">
        <v>2196</v>
      </c>
      <c r="AD546" s="36" t="str">
        <f>VLOOKUP(D546,Oficial!A:C,3,0)</f>
        <v>Arrastre</v>
      </c>
    </row>
    <row r="547" spans="1:30" x14ac:dyDescent="0.25">
      <c r="A547" s="36" t="s">
        <v>27</v>
      </c>
      <c r="B547" s="36" t="s">
        <v>468</v>
      </c>
      <c r="C547" s="36" t="s">
        <v>374</v>
      </c>
      <c r="D547" s="36" t="s">
        <v>468</v>
      </c>
      <c r="E547" s="36" t="s">
        <v>30</v>
      </c>
      <c r="F547" s="36" t="s">
        <v>31</v>
      </c>
      <c r="G547" s="37" t="s">
        <v>469</v>
      </c>
      <c r="H547" s="36" t="s">
        <v>470</v>
      </c>
      <c r="I547" s="36" t="s">
        <v>471</v>
      </c>
      <c r="J547" s="36">
        <v>1</v>
      </c>
      <c r="K547" s="36" t="s">
        <v>472</v>
      </c>
      <c r="L547" s="36">
        <v>4</v>
      </c>
      <c r="M547" s="36">
        <v>4692</v>
      </c>
      <c r="N547" s="38">
        <v>84050</v>
      </c>
      <c r="O547" s="41">
        <v>32863550</v>
      </c>
      <c r="P547" s="36">
        <v>12</v>
      </c>
      <c r="Q547" s="36" t="s">
        <v>413</v>
      </c>
      <c r="R547" s="36" t="s">
        <v>473</v>
      </c>
      <c r="S547" s="36" t="s">
        <v>474</v>
      </c>
      <c r="T547" s="36" t="s">
        <v>432</v>
      </c>
      <c r="U547" s="36" t="s">
        <v>475</v>
      </c>
      <c r="V547" s="40">
        <v>45870</v>
      </c>
      <c r="W547" s="40">
        <v>45889</v>
      </c>
      <c r="X547" s="36">
        <v>0</v>
      </c>
      <c r="Y547" s="36"/>
      <c r="Z547" s="36">
        <v>1</v>
      </c>
      <c r="AA547" s="36">
        <v>32863550</v>
      </c>
      <c r="AB547" s="40">
        <v>46113</v>
      </c>
      <c r="AC547" s="36" t="s">
        <v>2196</v>
      </c>
      <c r="AD547" s="36" t="str">
        <f>VLOOKUP(D547,Oficial!A:C,3,0)</f>
        <v>Arrastre</v>
      </c>
    </row>
    <row r="548" spans="1:30" x14ac:dyDescent="0.25">
      <c r="A548" s="36" t="s">
        <v>27</v>
      </c>
      <c r="B548" s="36" t="s">
        <v>468</v>
      </c>
      <c r="C548" s="36" t="s">
        <v>374</v>
      </c>
      <c r="D548" s="36" t="s">
        <v>468</v>
      </c>
      <c r="E548" s="36" t="s">
        <v>30</v>
      </c>
      <c r="F548" s="36" t="s">
        <v>31</v>
      </c>
      <c r="G548" s="37" t="s">
        <v>469</v>
      </c>
      <c r="H548" s="36" t="s">
        <v>470</v>
      </c>
      <c r="I548" s="36" t="s">
        <v>471</v>
      </c>
      <c r="J548" s="36">
        <v>1</v>
      </c>
      <c r="K548" s="36" t="s">
        <v>472</v>
      </c>
      <c r="L548" s="36">
        <v>4</v>
      </c>
      <c r="M548" s="36">
        <v>4692</v>
      </c>
      <c r="N548" s="38">
        <v>84050</v>
      </c>
      <c r="O548" s="41">
        <v>32863550</v>
      </c>
      <c r="P548" s="36">
        <v>12</v>
      </c>
      <c r="Q548" s="36" t="s">
        <v>413</v>
      </c>
      <c r="R548" s="36" t="s">
        <v>473</v>
      </c>
      <c r="S548" s="36" t="s">
        <v>474</v>
      </c>
      <c r="T548" s="36" t="s">
        <v>432</v>
      </c>
      <c r="U548" s="36" t="s">
        <v>475</v>
      </c>
      <c r="V548" s="40">
        <v>45870</v>
      </c>
      <c r="W548" s="40">
        <v>45889</v>
      </c>
      <c r="X548" s="36">
        <v>0</v>
      </c>
      <c r="Y548" s="36"/>
      <c r="Z548" s="36">
        <v>1</v>
      </c>
      <c r="AA548" s="36">
        <v>32863550</v>
      </c>
      <c r="AB548" s="40">
        <v>46357</v>
      </c>
      <c r="AC548" s="36" t="s">
        <v>2196</v>
      </c>
      <c r="AD548" s="36" t="str">
        <f>VLOOKUP(D548,Oficial!A:C,3,0)</f>
        <v>Arrastre</v>
      </c>
    </row>
    <row r="549" spans="1:30" x14ac:dyDescent="0.25">
      <c r="A549" s="36" t="s">
        <v>27</v>
      </c>
      <c r="B549" s="36" t="s">
        <v>468</v>
      </c>
      <c r="C549" s="36" t="s">
        <v>374</v>
      </c>
      <c r="D549" s="36" t="s">
        <v>468</v>
      </c>
      <c r="E549" s="36" t="s">
        <v>30</v>
      </c>
      <c r="F549" s="36" t="s">
        <v>31</v>
      </c>
      <c r="G549" s="37" t="s">
        <v>469</v>
      </c>
      <c r="H549" s="36" t="s">
        <v>470</v>
      </c>
      <c r="I549" s="36" t="s">
        <v>471</v>
      </c>
      <c r="J549" s="36">
        <v>1</v>
      </c>
      <c r="K549" s="36" t="s">
        <v>472</v>
      </c>
      <c r="L549" s="36">
        <v>4</v>
      </c>
      <c r="M549" s="36">
        <v>4692</v>
      </c>
      <c r="N549" s="38">
        <v>84050</v>
      </c>
      <c r="O549" s="41">
        <v>32863550</v>
      </c>
      <c r="P549" s="36">
        <v>12</v>
      </c>
      <c r="Q549" s="36" t="s">
        <v>413</v>
      </c>
      <c r="R549" s="36" t="s">
        <v>473</v>
      </c>
      <c r="S549" s="36" t="s">
        <v>474</v>
      </c>
      <c r="T549" s="36" t="s">
        <v>432</v>
      </c>
      <c r="U549" s="36" t="s">
        <v>475</v>
      </c>
      <c r="V549" s="40">
        <v>45870</v>
      </c>
      <c r="W549" s="40">
        <v>45889</v>
      </c>
      <c r="X549" s="36">
        <v>0</v>
      </c>
      <c r="Y549" s="36"/>
      <c r="Z549" s="36">
        <v>1</v>
      </c>
      <c r="AA549" s="36">
        <v>32863550</v>
      </c>
      <c r="AB549" s="40">
        <v>46143</v>
      </c>
      <c r="AC549" s="36" t="s">
        <v>2196</v>
      </c>
      <c r="AD549" s="36" t="str">
        <f>VLOOKUP(D549,Oficial!A:C,3,0)</f>
        <v>Arrastre</v>
      </c>
    </row>
    <row r="550" spans="1:30" x14ac:dyDescent="0.25">
      <c r="A550" s="36" t="s">
        <v>27</v>
      </c>
      <c r="B550" s="36" t="s">
        <v>468</v>
      </c>
      <c r="C550" s="36" t="s">
        <v>374</v>
      </c>
      <c r="D550" s="36" t="s">
        <v>468</v>
      </c>
      <c r="E550" s="36" t="s">
        <v>30</v>
      </c>
      <c r="F550" s="36" t="s">
        <v>31</v>
      </c>
      <c r="G550" s="37" t="s">
        <v>469</v>
      </c>
      <c r="H550" s="36" t="s">
        <v>470</v>
      </c>
      <c r="I550" s="36" t="s">
        <v>471</v>
      </c>
      <c r="J550" s="36">
        <v>1</v>
      </c>
      <c r="K550" s="36" t="s">
        <v>472</v>
      </c>
      <c r="L550" s="36">
        <v>4</v>
      </c>
      <c r="M550" s="36">
        <v>4692</v>
      </c>
      <c r="N550" s="38">
        <v>84050</v>
      </c>
      <c r="O550" s="41">
        <v>32863550</v>
      </c>
      <c r="P550" s="36">
        <v>12</v>
      </c>
      <c r="Q550" s="36" t="s">
        <v>413</v>
      </c>
      <c r="R550" s="36" t="s">
        <v>473</v>
      </c>
      <c r="S550" s="36" t="s">
        <v>474</v>
      </c>
      <c r="T550" s="36" t="s">
        <v>432</v>
      </c>
      <c r="U550" s="36" t="s">
        <v>475</v>
      </c>
      <c r="V550" s="40">
        <v>45870</v>
      </c>
      <c r="W550" s="40">
        <v>45889</v>
      </c>
      <c r="X550" s="36">
        <v>0</v>
      </c>
      <c r="Y550" s="36"/>
      <c r="Z550" s="36">
        <v>1</v>
      </c>
      <c r="AA550" s="36">
        <v>32863550</v>
      </c>
      <c r="AB550" s="40">
        <v>46082</v>
      </c>
      <c r="AC550" s="36" t="s">
        <v>2196</v>
      </c>
      <c r="AD550" s="36" t="str">
        <f>VLOOKUP(D550,Oficial!A:C,3,0)</f>
        <v>Arrastre</v>
      </c>
    </row>
    <row r="551" spans="1:30" x14ac:dyDescent="0.25">
      <c r="A551" s="36" t="s">
        <v>27</v>
      </c>
      <c r="B551" s="36" t="s">
        <v>468</v>
      </c>
      <c r="C551" s="36" t="s">
        <v>374</v>
      </c>
      <c r="D551" s="36" t="s">
        <v>468</v>
      </c>
      <c r="E551" s="36" t="s">
        <v>30</v>
      </c>
      <c r="F551" s="36" t="s">
        <v>31</v>
      </c>
      <c r="G551" s="37" t="s">
        <v>469</v>
      </c>
      <c r="H551" s="36" t="s">
        <v>470</v>
      </c>
      <c r="I551" s="36" t="s">
        <v>471</v>
      </c>
      <c r="J551" s="36">
        <v>1</v>
      </c>
      <c r="K551" s="36" t="s">
        <v>472</v>
      </c>
      <c r="L551" s="36">
        <v>4</v>
      </c>
      <c r="M551" s="36">
        <v>4692</v>
      </c>
      <c r="N551" s="38">
        <v>84050</v>
      </c>
      <c r="O551" s="41">
        <v>32863550</v>
      </c>
      <c r="P551" s="36">
        <v>12</v>
      </c>
      <c r="Q551" s="36" t="s">
        <v>413</v>
      </c>
      <c r="R551" s="36" t="s">
        <v>473</v>
      </c>
      <c r="S551" s="36" t="s">
        <v>474</v>
      </c>
      <c r="T551" s="36" t="s">
        <v>432</v>
      </c>
      <c r="U551" s="36" t="s">
        <v>475</v>
      </c>
      <c r="V551" s="40">
        <v>45870</v>
      </c>
      <c r="W551" s="40">
        <v>45889</v>
      </c>
      <c r="X551" s="36">
        <v>0</v>
      </c>
      <c r="Y551" s="36"/>
      <c r="Z551" s="36">
        <v>1</v>
      </c>
      <c r="AA551" s="36">
        <v>32863550</v>
      </c>
      <c r="AB551" s="40">
        <v>46266</v>
      </c>
      <c r="AC551" s="36" t="s">
        <v>2196</v>
      </c>
      <c r="AD551" s="36" t="str">
        <f>VLOOKUP(D551,Oficial!A:C,3,0)</f>
        <v>Arrastre</v>
      </c>
    </row>
    <row r="552" spans="1:30" x14ac:dyDescent="0.25">
      <c r="A552" s="36" t="s">
        <v>27</v>
      </c>
      <c r="B552" s="36" t="s">
        <v>468</v>
      </c>
      <c r="C552" s="36" t="s">
        <v>374</v>
      </c>
      <c r="D552" s="36" t="s">
        <v>468</v>
      </c>
      <c r="E552" s="36" t="s">
        <v>30</v>
      </c>
      <c r="F552" s="36" t="s">
        <v>31</v>
      </c>
      <c r="G552" s="37" t="s">
        <v>469</v>
      </c>
      <c r="H552" s="36" t="s">
        <v>470</v>
      </c>
      <c r="I552" s="36" t="s">
        <v>471</v>
      </c>
      <c r="J552" s="36">
        <v>1</v>
      </c>
      <c r="K552" s="36" t="s">
        <v>472</v>
      </c>
      <c r="L552" s="36">
        <v>4</v>
      </c>
      <c r="M552" s="36">
        <v>4692</v>
      </c>
      <c r="N552" s="38">
        <v>84050</v>
      </c>
      <c r="O552" s="41">
        <v>32863550</v>
      </c>
      <c r="P552" s="36">
        <v>12</v>
      </c>
      <c r="Q552" s="36" t="s">
        <v>413</v>
      </c>
      <c r="R552" s="36" t="s">
        <v>473</v>
      </c>
      <c r="S552" s="36" t="s">
        <v>474</v>
      </c>
      <c r="T552" s="36" t="s">
        <v>432</v>
      </c>
      <c r="U552" s="36" t="s">
        <v>475</v>
      </c>
      <c r="V552" s="40">
        <v>45870</v>
      </c>
      <c r="W552" s="40">
        <v>45889</v>
      </c>
      <c r="X552" s="36">
        <v>0</v>
      </c>
      <c r="Y552" s="36"/>
      <c r="Z552" s="36">
        <v>1</v>
      </c>
      <c r="AA552" s="36">
        <v>32863550</v>
      </c>
      <c r="AB552" s="40">
        <v>46296</v>
      </c>
      <c r="AC552" s="36" t="s">
        <v>2196</v>
      </c>
      <c r="AD552" s="36" t="str">
        <f>VLOOKUP(D552,Oficial!A:C,3,0)</f>
        <v>Arrastre</v>
      </c>
    </row>
    <row r="553" spans="1:30" x14ac:dyDescent="0.25">
      <c r="A553" s="36" t="s">
        <v>27</v>
      </c>
      <c r="B553" s="36" t="s">
        <v>476</v>
      </c>
      <c r="C553" s="36" t="s">
        <v>28</v>
      </c>
      <c r="D553" s="36" t="s">
        <v>476</v>
      </c>
      <c r="E553" s="36" t="s">
        <v>30</v>
      </c>
      <c r="F553" s="36" t="s">
        <v>31</v>
      </c>
      <c r="G553" s="37" t="s">
        <v>69</v>
      </c>
      <c r="H553" s="36" t="s">
        <v>477</v>
      </c>
      <c r="I553" s="36" t="s">
        <v>478</v>
      </c>
      <c r="J553" s="36">
        <v>2</v>
      </c>
      <c r="K553" s="36" t="s">
        <v>479</v>
      </c>
      <c r="L553" s="36">
        <v>4</v>
      </c>
      <c r="M553" s="36">
        <v>7</v>
      </c>
      <c r="N553" s="38">
        <v>12957500</v>
      </c>
      <c r="O553" s="44">
        <v>7558541</v>
      </c>
      <c r="P553" s="36">
        <v>12</v>
      </c>
      <c r="Q553" s="36" t="s">
        <v>413</v>
      </c>
      <c r="R553" s="36" t="s">
        <v>227</v>
      </c>
      <c r="S553" s="36" t="s">
        <v>480</v>
      </c>
      <c r="T553" s="36" t="s">
        <v>467</v>
      </c>
      <c r="U553" s="36" t="s">
        <v>230</v>
      </c>
      <c r="V553" s="40">
        <v>46023</v>
      </c>
      <c r="W553" s="40">
        <v>45889</v>
      </c>
      <c r="X553" s="36">
        <v>0</v>
      </c>
      <c r="Y553" s="36"/>
      <c r="Z553" s="36">
        <v>1</v>
      </c>
      <c r="AA553" s="36">
        <v>7558541</v>
      </c>
      <c r="AB553" s="40">
        <v>46054</v>
      </c>
      <c r="AC553" s="36" t="s">
        <v>2196</v>
      </c>
      <c r="AD553" s="36" t="str">
        <f>VLOOKUP(D553,Oficial!A:C,3,0)</f>
        <v>Arrastre</v>
      </c>
    </row>
    <row r="554" spans="1:30" x14ac:dyDescent="0.25">
      <c r="A554" s="36" t="s">
        <v>27</v>
      </c>
      <c r="B554" s="36" t="s">
        <v>476</v>
      </c>
      <c r="C554" s="36" t="s">
        <v>28</v>
      </c>
      <c r="D554" s="36" t="s">
        <v>476</v>
      </c>
      <c r="E554" s="36" t="s">
        <v>30</v>
      </c>
      <c r="F554" s="36" t="s">
        <v>31</v>
      </c>
      <c r="G554" s="37" t="s">
        <v>69</v>
      </c>
      <c r="H554" s="36" t="s">
        <v>477</v>
      </c>
      <c r="I554" s="36" t="s">
        <v>478</v>
      </c>
      <c r="J554" s="36">
        <v>2</v>
      </c>
      <c r="K554" s="36" t="s">
        <v>479</v>
      </c>
      <c r="L554" s="36">
        <v>4</v>
      </c>
      <c r="M554" s="36">
        <v>7</v>
      </c>
      <c r="N554" s="38">
        <v>12957500</v>
      </c>
      <c r="O554" s="44">
        <v>7558541</v>
      </c>
      <c r="P554" s="36">
        <v>12</v>
      </c>
      <c r="Q554" s="36" t="s">
        <v>413</v>
      </c>
      <c r="R554" s="36" t="s">
        <v>227</v>
      </c>
      <c r="S554" s="36" t="s">
        <v>480</v>
      </c>
      <c r="T554" s="36" t="s">
        <v>467</v>
      </c>
      <c r="U554" s="36" t="s">
        <v>230</v>
      </c>
      <c r="V554" s="40">
        <v>46023</v>
      </c>
      <c r="W554" s="40">
        <v>45889</v>
      </c>
      <c r="X554" s="36">
        <v>0</v>
      </c>
      <c r="Y554" s="36"/>
      <c r="Z554" s="36">
        <v>1</v>
      </c>
      <c r="AA554" s="36">
        <v>7558541</v>
      </c>
      <c r="AB554" s="40">
        <v>46174</v>
      </c>
      <c r="AC554" s="36" t="s">
        <v>2196</v>
      </c>
      <c r="AD554" s="36" t="str">
        <f>VLOOKUP(D554,Oficial!A:C,3,0)</f>
        <v>Arrastre</v>
      </c>
    </row>
    <row r="555" spans="1:30" x14ac:dyDescent="0.25">
      <c r="A555" s="36" t="s">
        <v>27</v>
      </c>
      <c r="B555" s="36" t="s">
        <v>476</v>
      </c>
      <c r="C555" s="36" t="s">
        <v>28</v>
      </c>
      <c r="D555" s="36" t="s">
        <v>476</v>
      </c>
      <c r="E555" s="36" t="s">
        <v>30</v>
      </c>
      <c r="F555" s="36" t="s">
        <v>31</v>
      </c>
      <c r="G555" s="37" t="s">
        <v>69</v>
      </c>
      <c r="H555" s="36" t="s">
        <v>477</v>
      </c>
      <c r="I555" s="36" t="s">
        <v>478</v>
      </c>
      <c r="J555" s="36">
        <v>2</v>
      </c>
      <c r="K555" s="36" t="s">
        <v>479</v>
      </c>
      <c r="L555" s="36">
        <v>4</v>
      </c>
      <c r="M555" s="36">
        <v>7</v>
      </c>
      <c r="N555" s="38">
        <v>12957500</v>
      </c>
      <c r="O555" s="44">
        <v>7558541</v>
      </c>
      <c r="P555" s="36">
        <v>12</v>
      </c>
      <c r="Q555" s="36" t="s">
        <v>413</v>
      </c>
      <c r="R555" s="36" t="s">
        <v>227</v>
      </c>
      <c r="S555" s="36" t="s">
        <v>480</v>
      </c>
      <c r="T555" s="36" t="s">
        <v>467</v>
      </c>
      <c r="U555" s="36" t="s">
        <v>230</v>
      </c>
      <c r="V555" s="40">
        <v>46023</v>
      </c>
      <c r="W555" s="40">
        <v>45889</v>
      </c>
      <c r="X555" s="36">
        <v>0</v>
      </c>
      <c r="Y555" s="36"/>
      <c r="Z555" s="36">
        <v>1</v>
      </c>
      <c r="AA555" s="36">
        <v>7558541</v>
      </c>
      <c r="AB555" s="40">
        <v>46204</v>
      </c>
      <c r="AC555" s="36" t="s">
        <v>2196</v>
      </c>
      <c r="AD555" s="36" t="str">
        <f>VLOOKUP(D555,Oficial!A:C,3,0)</f>
        <v>Arrastre</v>
      </c>
    </row>
    <row r="556" spans="1:30" x14ac:dyDescent="0.25">
      <c r="A556" s="36" t="s">
        <v>27</v>
      </c>
      <c r="B556" s="36" t="s">
        <v>476</v>
      </c>
      <c r="C556" s="36" t="s">
        <v>28</v>
      </c>
      <c r="D556" s="36" t="s">
        <v>476</v>
      </c>
      <c r="E556" s="36" t="s">
        <v>30</v>
      </c>
      <c r="F556" s="36" t="s">
        <v>31</v>
      </c>
      <c r="G556" s="37" t="s">
        <v>69</v>
      </c>
      <c r="H556" s="36" t="s">
        <v>477</v>
      </c>
      <c r="I556" s="36" t="s">
        <v>478</v>
      </c>
      <c r="J556" s="36">
        <v>2</v>
      </c>
      <c r="K556" s="36" t="s">
        <v>479</v>
      </c>
      <c r="L556" s="36">
        <v>4</v>
      </c>
      <c r="M556" s="36">
        <v>7</v>
      </c>
      <c r="N556" s="38">
        <v>12957500</v>
      </c>
      <c r="O556" s="44">
        <v>7558541</v>
      </c>
      <c r="P556" s="36">
        <v>12</v>
      </c>
      <c r="Q556" s="36" t="s">
        <v>413</v>
      </c>
      <c r="R556" s="36" t="s">
        <v>227</v>
      </c>
      <c r="S556" s="36" t="s">
        <v>480</v>
      </c>
      <c r="T556" s="36" t="s">
        <v>467</v>
      </c>
      <c r="U556" s="36" t="s">
        <v>230</v>
      </c>
      <c r="V556" s="40">
        <v>46023</v>
      </c>
      <c r="W556" s="40">
        <v>45889</v>
      </c>
      <c r="X556" s="36">
        <v>0</v>
      </c>
      <c r="Y556" s="36"/>
      <c r="Z556" s="36">
        <v>1</v>
      </c>
      <c r="AA556" s="36">
        <v>7558541</v>
      </c>
      <c r="AB556" s="40">
        <v>46143</v>
      </c>
      <c r="AC556" s="36" t="s">
        <v>2196</v>
      </c>
      <c r="AD556" s="36" t="str">
        <f>VLOOKUP(D556,Oficial!A:C,3,0)</f>
        <v>Arrastre</v>
      </c>
    </row>
    <row r="557" spans="1:30" x14ac:dyDescent="0.25">
      <c r="A557" s="36" t="s">
        <v>27</v>
      </c>
      <c r="B557" s="36" t="s">
        <v>476</v>
      </c>
      <c r="C557" s="36" t="s">
        <v>28</v>
      </c>
      <c r="D557" s="36" t="s">
        <v>476</v>
      </c>
      <c r="E557" s="36" t="s">
        <v>30</v>
      </c>
      <c r="F557" s="36" t="s">
        <v>31</v>
      </c>
      <c r="G557" s="37" t="s">
        <v>69</v>
      </c>
      <c r="H557" s="36" t="s">
        <v>477</v>
      </c>
      <c r="I557" s="36" t="s">
        <v>478</v>
      </c>
      <c r="J557" s="36">
        <v>2</v>
      </c>
      <c r="K557" s="36" t="s">
        <v>479</v>
      </c>
      <c r="L557" s="36">
        <v>4</v>
      </c>
      <c r="M557" s="36">
        <v>7</v>
      </c>
      <c r="N557" s="38">
        <v>12957500</v>
      </c>
      <c r="O557" s="44">
        <v>7558541</v>
      </c>
      <c r="P557" s="36">
        <v>12</v>
      </c>
      <c r="Q557" s="36" t="s">
        <v>413</v>
      </c>
      <c r="R557" s="36" t="s">
        <v>227</v>
      </c>
      <c r="S557" s="36" t="s">
        <v>480</v>
      </c>
      <c r="T557" s="36" t="s">
        <v>467</v>
      </c>
      <c r="U557" s="36" t="s">
        <v>230</v>
      </c>
      <c r="V557" s="40">
        <v>46023</v>
      </c>
      <c r="W557" s="40">
        <v>45889</v>
      </c>
      <c r="X557" s="36">
        <v>0</v>
      </c>
      <c r="Y557" s="36"/>
      <c r="Z557" s="36">
        <v>1</v>
      </c>
      <c r="AA557" s="36">
        <v>7558541</v>
      </c>
      <c r="AB557" s="40">
        <v>46113</v>
      </c>
      <c r="AC557" s="36" t="s">
        <v>2196</v>
      </c>
      <c r="AD557" s="36" t="str">
        <f>VLOOKUP(D557,Oficial!A:C,3,0)</f>
        <v>Arrastre</v>
      </c>
    </row>
    <row r="558" spans="1:30" x14ac:dyDescent="0.25">
      <c r="A558" s="36" t="s">
        <v>27</v>
      </c>
      <c r="B558" s="36" t="s">
        <v>476</v>
      </c>
      <c r="C558" s="36" t="s">
        <v>28</v>
      </c>
      <c r="D558" s="36" t="s">
        <v>476</v>
      </c>
      <c r="E558" s="36" t="s">
        <v>30</v>
      </c>
      <c r="F558" s="36" t="s">
        <v>31</v>
      </c>
      <c r="G558" s="37" t="s">
        <v>69</v>
      </c>
      <c r="H558" s="36" t="s">
        <v>477</v>
      </c>
      <c r="I558" s="36" t="s">
        <v>478</v>
      </c>
      <c r="J558" s="36">
        <v>2</v>
      </c>
      <c r="K558" s="36" t="s">
        <v>479</v>
      </c>
      <c r="L558" s="36">
        <v>4</v>
      </c>
      <c r="M558" s="36">
        <v>7</v>
      </c>
      <c r="N558" s="38">
        <v>12957500</v>
      </c>
      <c r="O558" s="44">
        <v>7558541</v>
      </c>
      <c r="P558" s="36">
        <v>12</v>
      </c>
      <c r="Q558" s="36" t="s">
        <v>413</v>
      </c>
      <c r="R558" s="36" t="s">
        <v>227</v>
      </c>
      <c r="S558" s="36" t="s">
        <v>480</v>
      </c>
      <c r="T558" s="36" t="s">
        <v>467</v>
      </c>
      <c r="U558" s="36" t="s">
        <v>230</v>
      </c>
      <c r="V558" s="40">
        <v>46023</v>
      </c>
      <c r="W558" s="40">
        <v>45889</v>
      </c>
      <c r="X558" s="36">
        <v>0</v>
      </c>
      <c r="Y558" s="36"/>
      <c r="Z558" s="36">
        <v>1</v>
      </c>
      <c r="AA558" s="36">
        <v>7558541</v>
      </c>
      <c r="AB558" s="40">
        <v>46023</v>
      </c>
      <c r="AC558" s="36" t="s">
        <v>2196</v>
      </c>
      <c r="AD558" s="36" t="str">
        <f>VLOOKUP(D558,Oficial!A:C,3,0)</f>
        <v>Arrastre</v>
      </c>
    </row>
    <row r="559" spans="1:30" x14ac:dyDescent="0.25">
      <c r="A559" s="36" t="s">
        <v>27</v>
      </c>
      <c r="B559" s="36" t="s">
        <v>476</v>
      </c>
      <c r="C559" s="36" t="s">
        <v>28</v>
      </c>
      <c r="D559" s="36" t="s">
        <v>476</v>
      </c>
      <c r="E559" s="36" t="s">
        <v>30</v>
      </c>
      <c r="F559" s="36" t="s">
        <v>31</v>
      </c>
      <c r="G559" s="37" t="s">
        <v>69</v>
      </c>
      <c r="H559" s="36" t="s">
        <v>477</v>
      </c>
      <c r="I559" s="36" t="s">
        <v>478</v>
      </c>
      <c r="J559" s="36">
        <v>2</v>
      </c>
      <c r="K559" s="36" t="s">
        <v>479</v>
      </c>
      <c r="L559" s="36">
        <v>4</v>
      </c>
      <c r="M559" s="36">
        <v>7</v>
      </c>
      <c r="N559" s="38">
        <v>12957500</v>
      </c>
      <c r="O559" s="44">
        <v>7558541</v>
      </c>
      <c r="P559" s="36">
        <v>12</v>
      </c>
      <c r="Q559" s="36" t="s">
        <v>413</v>
      </c>
      <c r="R559" s="36" t="s">
        <v>227</v>
      </c>
      <c r="S559" s="36" t="s">
        <v>480</v>
      </c>
      <c r="T559" s="36" t="s">
        <v>467</v>
      </c>
      <c r="U559" s="36" t="s">
        <v>230</v>
      </c>
      <c r="V559" s="40">
        <v>46023</v>
      </c>
      <c r="W559" s="40">
        <v>45889</v>
      </c>
      <c r="X559" s="36">
        <v>0</v>
      </c>
      <c r="Y559" s="36"/>
      <c r="Z559" s="36">
        <v>1</v>
      </c>
      <c r="AA559" s="36">
        <v>7558541</v>
      </c>
      <c r="AB559" s="40">
        <v>46082</v>
      </c>
      <c r="AC559" s="36" t="s">
        <v>2196</v>
      </c>
      <c r="AD559" s="36" t="str">
        <f>VLOOKUP(D559,Oficial!A:C,3,0)</f>
        <v>Arrastre</v>
      </c>
    </row>
    <row r="560" spans="1:30" x14ac:dyDescent="0.25">
      <c r="A560" s="36" t="s">
        <v>27</v>
      </c>
      <c r="B560" s="36" t="s">
        <v>476</v>
      </c>
      <c r="C560" s="36" t="s">
        <v>28</v>
      </c>
      <c r="D560" s="36" t="s">
        <v>476</v>
      </c>
      <c r="E560" s="36" t="s">
        <v>30</v>
      </c>
      <c r="F560" s="36" t="s">
        <v>31</v>
      </c>
      <c r="G560" s="37" t="s">
        <v>69</v>
      </c>
      <c r="H560" s="36" t="s">
        <v>477</v>
      </c>
      <c r="I560" s="36" t="s">
        <v>478</v>
      </c>
      <c r="J560" s="36">
        <v>2</v>
      </c>
      <c r="K560" s="36" t="s">
        <v>479</v>
      </c>
      <c r="L560" s="36">
        <v>4</v>
      </c>
      <c r="M560" s="36">
        <v>7</v>
      </c>
      <c r="N560" s="38">
        <v>12957500</v>
      </c>
      <c r="O560" s="44">
        <v>7558541</v>
      </c>
      <c r="P560" s="36">
        <v>12</v>
      </c>
      <c r="Q560" s="36" t="s">
        <v>413</v>
      </c>
      <c r="R560" s="36" t="s">
        <v>227</v>
      </c>
      <c r="S560" s="36" t="s">
        <v>480</v>
      </c>
      <c r="T560" s="36" t="s">
        <v>467</v>
      </c>
      <c r="U560" s="36" t="s">
        <v>230</v>
      </c>
      <c r="V560" s="40">
        <v>46023</v>
      </c>
      <c r="W560" s="40">
        <v>45889</v>
      </c>
      <c r="X560" s="36">
        <v>0</v>
      </c>
      <c r="Y560" s="36"/>
      <c r="Z560" s="36">
        <v>1</v>
      </c>
      <c r="AA560" s="36">
        <v>7558541</v>
      </c>
      <c r="AB560" s="40">
        <v>46327</v>
      </c>
      <c r="AC560" s="36" t="s">
        <v>2196</v>
      </c>
      <c r="AD560" s="36" t="str">
        <f>VLOOKUP(D560,Oficial!A:C,3,0)</f>
        <v>Arrastre</v>
      </c>
    </row>
    <row r="561" spans="1:30" x14ac:dyDescent="0.25">
      <c r="A561" s="36" t="s">
        <v>27</v>
      </c>
      <c r="B561" s="36" t="s">
        <v>476</v>
      </c>
      <c r="C561" s="36" t="s">
        <v>28</v>
      </c>
      <c r="D561" s="36" t="s">
        <v>476</v>
      </c>
      <c r="E561" s="36" t="s">
        <v>30</v>
      </c>
      <c r="F561" s="36" t="s">
        <v>31</v>
      </c>
      <c r="G561" s="37" t="s">
        <v>69</v>
      </c>
      <c r="H561" s="36" t="s">
        <v>477</v>
      </c>
      <c r="I561" s="36" t="s">
        <v>478</v>
      </c>
      <c r="J561" s="36">
        <v>2</v>
      </c>
      <c r="K561" s="36" t="s">
        <v>479</v>
      </c>
      <c r="L561" s="36">
        <v>4</v>
      </c>
      <c r="M561" s="36">
        <v>7</v>
      </c>
      <c r="N561" s="38">
        <v>12957500</v>
      </c>
      <c r="O561" s="44">
        <v>7558541</v>
      </c>
      <c r="P561" s="36">
        <v>12</v>
      </c>
      <c r="Q561" s="36" t="s">
        <v>413</v>
      </c>
      <c r="R561" s="36" t="s">
        <v>227</v>
      </c>
      <c r="S561" s="36" t="s">
        <v>480</v>
      </c>
      <c r="T561" s="36" t="s">
        <v>467</v>
      </c>
      <c r="U561" s="36" t="s">
        <v>230</v>
      </c>
      <c r="V561" s="40">
        <v>46023</v>
      </c>
      <c r="W561" s="40">
        <v>45889</v>
      </c>
      <c r="X561" s="36">
        <v>0</v>
      </c>
      <c r="Y561" s="36"/>
      <c r="Z561" s="36">
        <v>1</v>
      </c>
      <c r="AA561" s="36">
        <v>7558541</v>
      </c>
      <c r="AB561" s="40">
        <v>46296</v>
      </c>
      <c r="AC561" s="36" t="s">
        <v>2196</v>
      </c>
      <c r="AD561" s="36" t="str">
        <f>VLOOKUP(D561,Oficial!A:C,3,0)</f>
        <v>Arrastre</v>
      </c>
    </row>
    <row r="562" spans="1:30" x14ac:dyDescent="0.25">
      <c r="A562" s="36" t="s">
        <v>27</v>
      </c>
      <c r="B562" s="36" t="s">
        <v>476</v>
      </c>
      <c r="C562" s="36" t="s">
        <v>28</v>
      </c>
      <c r="D562" s="36" t="s">
        <v>476</v>
      </c>
      <c r="E562" s="36" t="s">
        <v>30</v>
      </c>
      <c r="F562" s="36" t="s">
        <v>31</v>
      </c>
      <c r="G562" s="37" t="s">
        <v>69</v>
      </c>
      <c r="H562" s="36" t="s">
        <v>477</v>
      </c>
      <c r="I562" s="36" t="s">
        <v>478</v>
      </c>
      <c r="J562" s="36">
        <v>2</v>
      </c>
      <c r="K562" s="36" t="s">
        <v>479</v>
      </c>
      <c r="L562" s="36">
        <v>4</v>
      </c>
      <c r="M562" s="36">
        <v>7</v>
      </c>
      <c r="N562" s="38">
        <v>12957500</v>
      </c>
      <c r="O562" s="44">
        <v>7558541</v>
      </c>
      <c r="P562" s="36">
        <v>12</v>
      </c>
      <c r="Q562" s="36" t="s">
        <v>413</v>
      </c>
      <c r="R562" s="36" t="s">
        <v>227</v>
      </c>
      <c r="S562" s="36" t="s">
        <v>480</v>
      </c>
      <c r="T562" s="36" t="s">
        <v>467</v>
      </c>
      <c r="U562" s="36" t="s">
        <v>230</v>
      </c>
      <c r="V562" s="40">
        <v>46023</v>
      </c>
      <c r="W562" s="40">
        <v>45889</v>
      </c>
      <c r="X562" s="36">
        <v>0</v>
      </c>
      <c r="Y562" s="36"/>
      <c r="Z562" s="36">
        <v>1</v>
      </c>
      <c r="AA562" s="36">
        <v>7558541</v>
      </c>
      <c r="AB562" s="40">
        <v>46235</v>
      </c>
      <c r="AC562" s="36" t="s">
        <v>2196</v>
      </c>
      <c r="AD562" s="36" t="str">
        <f>VLOOKUP(D562,Oficial!A:C,3,0)</f>
        <v>Arrastre</v>
      </c>
    </row>
    <row r="563" spans="1:30" x14ac:dyDescent="0.25">
      <c r="A563" s="36" t="s">
        <v>27</v>
      </c>
      <c r="B563" s="36" t="s">
        <v>476</v>
      </c>
      <c r="C563" s="36" t="s">
        <v>28</v>
      </c>
      <c r="D563" s="36" t="s">
        <v>476</v>
      </c>
      <c r="E563" s="36" t="s">
        <v>30</v>
      </c>
      <c r="F563" s="36" t="s">
        <v>31</v>
      </c>
      <c r="G563" s="37" t="s">
        <v>69</v>
      </c>
      <c r="H563" s="36" t="s">
        <v>477</v>
      </c>
      <c r="I563" s="36" t="s">
        <v>478</v>
      </c>
      <c r="J563" s="36">
        <v>2</v>
      </c>
      <c r="K563" s="36" t="s">
        <v>479</v>
      </c>
      <c r="L563" s="36">
        <v>4</v>
      </c>
      <c r="M563" s="36">
        <v>7</v>
      </c>
      <c r="N563" s="38">
        <v>12957500</v>
      </c>
      <c r="O563" s="44">
        <v>7558541</v>
      </c>
      <c r="P563" s="36">
        <v>12</v>
      </c>
      <c r="Q563" s="36" t="s">
        <v>413</v>
      </c>
      <c r="R563" s="36" t="s">
        <v>227</v>
      </c>
      <c r="S563" s="36" t="s">
        <v>480</v>
      </c>
      <c r="T563" s="36" t="s">
        <v>467</v>
      </c>
      <c r="U563" s="36" t="s">
        <v>230</v>
      </c>
      <c r="V563" s="40">
        <v>46023</v>
      </c>
      <c r="W563" s="40">
        <v>45889</v>
      </c>
      <c r="X563" s="36">
        <v>0</v>
      </c>
      <c r="Y563" s="36"/>
      <c r="Z563" s="36">
        <v>1</v>
      </c>
      <c r="AA563" s="36">
        <v>7558541</v>
      </c>
      <c r="AB563" s="40">
        <v>46266</v>
      </c>
      <c r="AC563" s="36" t="s">
        <v>2196</v>
      </c>
      <c r="AD563" s="36" t="str">
        <f>VLOOKUP(D563,Oficial!A:C,3,0)</f>
        <v>Arrastre</v>
      </c>
    </row>
    <row r="564" spans="1:30" x14ac:dyDescent="0.25">
      <c r="A564" s="36" t="s">
        <v>27</v>
      </c>
      <c r="B564" s="36" t="s">
        <v>476</v>
      </c>
      <c r="C564" s="36" t="s">
        <v>28</v>
      </c>
      <c r="D564" s="36" t="s">
        <v>476</v>
      </c>
      <c r="E564" s="36" t="s">
        <v>30</v>
      </c>
      <c r="F564" s="36" t="s">
        <v>31</v>
      </c>
      <c r="G564" s="37" t="s">
        <v>69</v>
      </c>
      <c r="H564" s="36" t="s">
        <v>477</v>
      </c>
      <c r="I564" s="36" t="s">
        <v>478</v>
      </c>
      <c r="J564" s="36">
        <v>2</v>
      </c>
      <c r="K564" s="36" t="s">
        <v>479</v>
      </c>
      <c r="L564" s="36">
        <v>4</v>
      </c>
      <c r="M564" s="36">
        <v>7</v>
      </c>
      <c r="N564" s="38">
        <v>12957500</v>
      </c>
      <c r="O564" s="44">
        <v>7558549</v>
      </c>
      <c r="P564" s="36">
        <v>12</v>
      </c>
      <c r="Q564" s="36" t="s">
        <v>413</v>
      </c>
      <c r="R564" s="36" t="s">
        <v>227</v>
      </c>
      <c r="S564" s="36" t="s">
        <v>480</v>
      </c>
      <c r="T564" s="36" t="s">
        <v>467</v>
      </c>
      <c r="U564" s="36" t="s">
        <v>230</v>
      </c>
      <c r="V564" s="40">
        <v>46023</v>
      </c>
      <c r="W564" s="40">
        <v>45889</v>
      </c>
      <c r="X564" s="36">
        <v>0</v>
      </c>
      <c r="Y564" s="36"/>
      <c r="Z564" s="36">
        <v>1</v>
      </c>
      <c r="AA564" s="36">
        <v>7558549</v>
      </c>
      <c r="AB564" s="40">
        <v>46357</v>
      </c>
      <c r="AC564" s="36" t="s">
        <v>2196</v>
      </c>
      <c r="AD564" s="36" t="str">
        <f>VLOOKUP(D564,Oficial!A:C,3,0)</f>
        <v>Arrastre</v>
      </c>
    </row>
    <row r="565" spans="1:30" x14ac:dyDescent="0.25">
      <c r="A565" s="36" t="s">
        <v>27</v>
      </c>
      <c r="B565" s="36" t="s">
        <v>476</v>
      </c>
      <c r="C565" s="36" t="s">
        <v>28</v>
      </c>
      <c r="D565" s="36" t="s">
        <v>476</v>
      </c>
      <c r="E565" s="36" t="s">
        <v>30</v>
      </c>
      <c r="F565" s="36" t="s">
        <v>31</v>
      </c>
      <c r="G565" s="37" t="s">
        <v>69</v>
      </c>
      <c r="H565" s="36" t="s">
        <v>477</v>
      </c>
      <c r="I565" s="36" t="s">
        <v>478</v>
      </c>
      <c r="J565" s="36">
        <v>2</v>
      </c>
      <c r="K565" s="36" t="s">
        <v>481</v>
      </c>
      <c r="L565" s="36">
        <v>4</v>
      </c>
      <c r="M565" s="36">
        <v>1</v>
      </c>
      <c r="N565" s="38">
        <v>23924290</v>
      </c>
      <c r="O565" s="44">
        <v>1993690</v>
      </c>
      <c r="P565" s="36">
        <v>12</v>
      </c>
      <c r="Q565" s="36" t="s">
        <v>413</v>
      </c>
      <c r="R565" s="36" t="s">
        <v>227</v>
      </c>
      <c r="S565" s="36" t="s">
        <v>480</v>
      </c>
      <c r="T565" s="36" t="s">
        <v>467</v>
      </c>
      <c r="U565" s="36" t="s">
        <v>230</v>
      </c>
      <c r="V565" s="40">
        <v>45870</v>
      </c>
      <c r="W565" s="40">
        <v>45889</v>
      </c>
      <c r="X565" s="36">
        <v>0</v>
      </c>
      <c r="Y565" s="36"/>
      <c r="Z565" s="36">
        <v>1</v>
      </c>
      <c r="AA565" s="36">
        <v>1993690</v>
      </c>
      <c r="AB565" s="40">
        <v>46023</v>
      </c>
      <c r="AC565" s="36" t="s">
        <v>2196</v>
      </c>
      <c r="AD565" s="36" t="str">
        <f>VLOOKUP(D565,Oficial!A:C,3,0)</f>
        <v>Arrastre</v>
      </c>
    </row>
    <row r="566" spans="1:30" x14ac:dyDescent="0.25">
      <c r="A566" s="36" t="s">
        <v>27</v>
      </c>
      <c r="B566" s="36" t="s">
        <v>476</v>
      </c>
      <c r="C566" s="36" t="s">
        <v>28</v>
      </c>
      <c r="D566" s="36" t="s">
        <v>476</v>
      </c>
      <c r="E566" s="36" t="s">
        <v>30</v>
      </c>
      <c r="F566" s="36" t="s">
        <v>31</v>
      </c>
      <c r="G566" s="37" t="s">
        <v>69</v>
      </c>
      <c r="H566" s="36" t="s">
        <v>477</v>
      </c>
      <c r="I566" s="36" t="s">
        <v>478</v>
      </c>
      <c r="J566" s="36">
        <v>2</v>
      </c>
      <c r="K566" s="36" t="s">
        <v>481</v>
      </c>
      <c r="L566" s="36">
        <v>4</v>
      </c>
      <c r="M566" s="36">
        <v>1</v>
      </c>
      <c r="N566" s="38">
        <v>23924290</v>
      </c>
      <c r="O566" s="44">
        <v>1993690</v>
      </c>
      <c r="P566" s="36">
        <v>12</v>
      </c>
      <c r="Q566" s="36" t="s">
        <v>413</v>
      </c>
      <c r="R566" s="36" t="s">
        <v>227</v>
      </c>
      <c r="S566" s="36" t="s">
        <v>480</v>
      </c>
      <c r="T566" s="36" t="s">
        <v>467</v>
      </c>
      <c r="U566" s="36" t="s">
        <v>230</v>
      </c>
      <c r="V566" s="40">
        <v>45870</v>
      </c>
      <c r="W566" s="40">
        <v>45889</v>
      </c>
      <c r="X566" s="36">
        <v>0</v>
      </c>
      <c r="Y566" s="36"/>
      <c r="Z566" s="36">
        <v>1</v>
      </c>
      <c r="AA566" s="36">
        <v>1993690</v>
      </c>
      <c r="AB566" s="40">
        <v>46054</v>
      </c>
      <c r="AC566" s="36" t="s">
        <v>2196</v>
      </c>
      <c r="AD566" s="36" t="str">
        <f>VLOOKUP(D566,Oficial!A:C,3,0)</f>
        <v>Arrastre</v>
      </c>
    </row>
    <row r="567" spans="1:30" x14ac:dyDescent="0.25">
      <c r="A567" s="36" t="s">
        <v>27</v>
      </c>
      <c r="B567" s="36" t="s">
        <v>476</v>
      </c>
      <c r="C567" s="36" t="s">
        <v>28</v>
      </c>
      <c r="D567" s="36" t="s">
        <v>476</v>
      </c>
      <c r="E567" s="36" t="s">
        <v>30</v>
      </c>
      <c r="F567" s="36" t="s">
        <v>31</v>
      </c>
      <c r="G567" s="37" t="s">
        <v>69</v>
      </c>
      <c r="H567" s="36" t="s">
        <v>477</v>
      </c>
      <c r="I567" s="36" t="s">
        <v>478</v>
      </c>
      <c r="J567" s="36">
        <v>2</v>
      </c>
      <c r="K567" s="36" t="s">
        <v>481</v>
      </c>
      <c r="L567" s="36">
        <v>4</v>
      </c>
      <c r="M567" s="36">
        <v>1</v>
      </c>
      <c r="N567" s="38">
        <v>23924290</v>
      </c>
      <c r="O567" s="44">
        <v>1993690</v>
      </c>
      <c r="P567" s="36">
        <v>12</v>
      </c>
      <c r="Q567" s="36" t="s">
        <v>413</v>
      </c>
      <c r="R567" s="36" t="s">
        <v>227</v>
      </c>
      <c r="S567" s="36" t="s">
        <v>480</v>
      </c>
      <c r="T567" s="36" t="s">
        <v>467</v>
      </c>
      <c r="U567" s="36" t="s">
        <v>230</v>
      </c>
      <c r="V567" s="40">
        <v>45870</v>
      </c>
      <c r="W567" s="40">
        <v>45889</v>
      </c>
      <c r="X567" s="36">
        <v>0</v>
      </c>
      <c r="Y567" s="36"/>
      <c r="Z567" s="36">
        <v>1</v>
      </c>
      <c r="AA567" s="36">
        <v>1993690</v>
      </c>
      <c r="AB567" s="40">
        <v>46082</v>
      </c>
      <c r="AC567" s="36" t="s">
        <v>2196</v>
      </c>
      <c r="AD567" s="36" t="str">
        <f>VLOOKUP(D567,Oficial!A:C,3,0)</f>
        <v>Arrastre</v>
      </c>
    </row>
    <row r="568" spans="1:30" x14ac:dyDescent="0.25">
      <c r="A568" s="36" t="s">
        <v>27</v>
      </c>
      <c r="B568" s="36" t="s">
        <v>476</v>
      </c>
      <c r="C568" s="36" t="s">
        <v>28</v>
      </c>
      <c r="D568" s="36" t="s">
        <v>476</v>
      </c>
      <c r="E568" s="36" t="s">
        <v>30</v>
      </c>
      <c r="F568" s="36" t="s">
        <v>31</v>
      </c>
      <c r="G568" s="37" t="s">
        <v>69</v>
      </c>
      <c r="H568" s="36" t="s">
        <v>477</v>
      </c>
      <c r="I568" s="36" t="s">
        <v>478</v>
      </c>
      <c r="J568" s="36">
        <v>2</v>
      </c>
      <c r="K568" s="36" t="s">
        <v>481</v>
      </c>
      <c r="L568" s="36">
        <v>4</v>
      </c>
      <c r="M568" s="36">
        <v>1</v>
      </c>
      <c r="N568" s="38">
        <v>23924290</v>
      </c>
      <c r="O568" s="44">
        <v>1993690</v>
      </c>
      <c r="P568" s="36">
        <v>12</v>
      </c>
      <c r="Q568" s="36" t="s">
        <v>413</v>
      </c>
      <c r="R568" s="36" t="s">
        <v>227</v>
      </c>
      <c r="S568" s="36" t="s">
        <v>480</v>
      </c>
      <c r="T568" s="36" t="s">
        <v>467</v>
      </c>
      <c r="U568" s="36" t="s">
        <v>230</v>
      </c>
      <c r="V568" s="40">
        <v>45870</v>
      </c>
      <c r="W568" s="40">
        <v>45889</v>
      </c>
      <c r="X568" s="36">
        <v>0</v>
      </c>
      <c r="Y568" s="36"/>
      <c r="Z568" s="36">
        <v>1</v>
      </c>
      <c r="AA568" s="36">
        <v>1993690</v>
      </c>
      <c r="AB568" s="40">
        <v>46143</v>
      </c>
      <c r="AC568" s="36" t="s">
        <v>2196</v>
      </c>
      <c r="AD568" s="36" t="str">
        <f>VLOOKUP(D568,Oficial!A:C,3,0)</f>
        <v>Arrastre</v>
      </c>
    </row>
    <row r="569" spans="1:30" x14ac:dyDescent="0.25">
      <c r="A569" s="36" t="s">
        <v>27</v>
      </c>
      <c r="B569" s="36" t="s">
        <v>476</v>
      </c>
      <c r="C569" s="36" t="s">
        <v>28</v>
      </c>
      <c r="D569" s="36" t="s">
        <v>476</v>
      </c>
      <c r="E569" s="36" t="s">
        <v>30</v>
      </c>
      <c r="F569" s="36" t="s">
        <v>31</v>
      </c>
      <c r="G569" s="37" t="s">
        <v>69</v>
      </c>
      <c r="H569" s="36" t="s">
        <v>477</v>
      </c>
      <c r="I569" s="36" t="s">
        <v>478</v>
      </c>
      <c r="J569" s="36">
        <v>2</v>
      </c>
      <c r="K569" s="36" t="s">
        <v>481</v>
      </c>
      <c r="L569" s="36">
        <v>4</v>
      </c>
      <c r="M569" s="36">
        <v>1</v>
      </c>
      <c r="N569" s="38">
        <v>23924290</v>
      </c>
      <c r="O569" s="44">
        <v>1993700</v>
      </c>
      <c r="P569" s="36">
        <v>12</v>
      </c>
      <c r="Q569" s="36" t="s">
        <v>413</v>
      </c>
      <c r="R569" s="36" t="s">
        <v>227</v>
      </c>
      <c r="S569" s="36" t="s">
        <v>480</v>
      </c>
      <c r="T569" s="36" t="s">
        <v>467</v>
      </c>
      <c r="U569" s="36" t="s">
        <v>230</v>
      </c>
      <c r="V569" s="40">
        <v>45870</v>
      </c>
      <c r="W569" s="40">
        <v>45889</v>
      </c>
      <c r="X569" s="36">
        <v>0</v>
      </c>
      <c r="Y569" s="36"/>
      <c r="Z569" s="36">
        <v>1</v>
      </c>
      <c r="AA569" s="36">
        <v>1993700</v>
      </c>
      <c r="AB569" s="40">
        <v>46357</v>
      </c>
      <c r="AC569" s="36" t="s">
        <v>2196</v>
      </c>
      <c r="AD569" s="36" t="str">
        <f>VLOOKUP(D569,Oficial!A:C,3,0)</f>
        <v>Arrastre</v>
      </c>
    </row>
    <row r="570" spans="1:30" x14ac:dyDescent="0.25">
      <c r="A570" s="36" t="s">
        <v>27</v>
      </c>
      <c r="B570" s="36" t="s">
        <v>476</v>
      </c>
      <c r="C570" s="36" t="s">
        <v>28</v>
      </c>
      <c r="D570" s="36" t="s">
        <v>476</v>
      </c>
      <c r="E570" s="36" t="s">
        <v>30</v>
      </c>
      <c r="F570" s="36" t="s">
        <v>31</v>
      </c>
      <c r="G570" s="37" t="s">
        <v>69</v>
      </c>
      <c r="H570" s="36" t="s">
        <v>477</v>
      </c>
      <c r="I570" s="36" t="s">
        <v>478</v>
      </c>
      <c r="J570" s="36">
        <v>2</v>
      </c>
      <c r="K570" s="36" t="s">
        <v>481</v>
      </c>
      <c r="L570" s="36">
        <v>4</v>
      </c>
      <c r="M570" s="36">
        <v>1</v>
      </c>
      <c r="N570" s="38">
        <v>23924290</v>
      </c>
      <c r="O570" s="44">
        <v>1993690</v>
      </c>
      <c r="P570" s="36">
        <v>12</v>
      </c>
      <c r="Q570" s="36" t="s">
        <v>413</v>
      </c>
      <c r="R570" s="36" t="s">
        <v>227</v>
      </c>
      <c r="S570" s="36" t="s">
        <v>480</v>
      </c>
      <c r="T570" s="36" t="s">
        <v>467</v>
      </c>
      <c r="U570" s="36" t="s">
        <v>230</v>
      </c>
      <c r="V570" s="40">
        <v>45870</v>
      </c>
      <c r="W570" s="40">
        <v>45889</v>
      </c>
      <c r="X570" s="36">
        <v>0</v>
      </c>
      <c r="Y570" s="36"/>
      <c r="Z570" s="36">
        <v>1</v>
      </c>
      <c r="AA570" s="36">
        <v>1993690</v>
      </c>
      <c r="AB570" s="40">
        <v>46204</v>
      </c>
      <c r="AC570" s="36" t="s">
        <v>2196</v>
      </c>
      <c r="AD570" s="36" t="str">
        <f>VLOOKUP(D570,Oficial!A:C,3,0)</f>
        <v>Arrastre</v>
      </c>
    </row>
    <row r="571" spans="1:30" x14ac:dyDescent="0.25">
      <c r="A571" s="36" t="s">
        <v>27</v>
      </c>
      <c r="B571" s="36" t="s">
        <v>476</v>
      </c>
      <c r="C571" s="36" t="s">
        <v>28</v>
      </c>
      <c r="D571" s="36" t="s">
        <v>476</v>
      </c>
      <c r="E571" s="36" t="s">
        <v>30</v>
      </c>
      <c r="F571" s="36" t="s">
        <v>31</v>
      </c>
      <c r="G571" s="37" t="s">
        <v>69</v>
      </c>
      <c r="H571" s="36" t="s">
        <v>477</v>
      </c>
      <c r="I571" s="36" t="s">
        <v>478</v>
      </c>
      <c r="J571" s="36">
        <v>2</v>
      </c>
      <c r="K571" s="36" t="s">
        <v>481</v>
      </c>
      <c r="L571" s="36">
        <v>4</v>
      </c>
      <c r="M571" s="36">
        <v>1</v>
      </c>
      <c r="N571" s="38">
        <v>23924290</v>
      </c>
      <c r="O571" s="44">
        <v>1993690</v>
      </c>
      <c r="P571" s="36">
        <v>12</v>
      </c>
      <c r="Q571" s="36" t="s">
        <v>413</v>
      </c>
      <c r="R571" s="36" t="s">
        <v>227</v>
      </c>
      <c r="S571" s="36" t="s">
        <v>480</v>
      </c>
      <c r="T571" s="36" t="s">
        <v>467</v>
      </c>
      <c r="U571" s="36" t="s">
        <v>230</v>
      </c>
      <c r="V571" s="40">
        <v>45870</v>
      </c>
      <c r="W571" s="40">
        <v>45889</v>
      </c>
      <c r="X571" s="36">
        <v>0</v>
      </c>
      <c r="Y571" s="36"/>
      <c r="Z571" s="36">
        <v>1</v>
      </c>
      <c r="AA571" s="36">
        <v>1993690</v>
      </c>
      <c r="AB571" s="40">
        <v>46174</v>
      </c>
      <c r="AC571" s="36" t="s">
        <v>2196</v>
      </c>
      <c r="AD571" s="36" t="str">
        <f>VLOOKUP(D571,Oficial!A:C,3,0)</f>
        <v>Arrastre</v>
      </c>
    </row>
    <row r="572" spans="1:30" x14ac:dyDescent="0.25">
      <c r="A572" s="36" t="s">
        <v>27</v>
      </c>
      <c r="B572" s="36" t="s">
        <v>476</v>
      </c>
      <c r="C572" s="36" t="s">
        <v>28</v>
      </c>
      <c r="D572" s="36" t="s">
        <v>476</v>
      </c>
      <c r="E572" s="36" t="s">
        <v>30</v>
      </c>
      <c r="F572" s="36" t="s">
        <v>31</v>
      </c>
      <c r="G572" s="37" t="s">
        <v>69</v>
      </c>
      <c r="H572" s="36" t="s">
        <v>477</v>
      </c>
      <c r="I572" s="36" t="s">
        <v>478</v>
      </c>
      <c r="J572" s="36">
        <v>2</v>
      </c>
      <c r="K572" s="36" t="s">
        <v>481</v>
      </c>
      <c r="L572" s="36">
        <v>4</v>
      </c>
      <c r="M572" s="36">
        <v>1</v>
      </c>
      <c r="N572" s="38">
        <v>23924290</v>
      </c>
      <c r="O572" s="44">
        <v>1993690</v>
      </c>
      <c r="P572" s="36">
        <v>12</v>
      </c>
      <c r="Q572" s="36" t="s">
        <v>413</v>
      </c>
      <c r="R572" s="36" t="s">
        <v>227</v>
      </c>
      <c r="S572" s="36" t="s">
        <v>480</v>
      </c>
      <c r="T572" s="36" t="s">
        <v>467</v>
      </c>
      <c r="U572" s="36" t="s">
        <v>230</v>
      </c>
      <c r="V572" s="40">
        <v>45870</v>
      </c>
      <c r="W572" s="40">
        <v>45889</v>
      </c>
      <c r="X572" s="36">
        <v>0</v>
      </c>
      <c r="Y572" s="36"/>
      <c r="Z572" s="36">
        <v>1</v>
      </c>
      <c r="AA572" s="36">
        <v>1993690</v>
      </c>
      <c r="AB572" s="40">
        <v>46235</v>
      </c>
      <c r="AC572" s="36" t="s">
        <v>2196</v>
      </c>
      <c r="AD572" s="36" t="str">
        <f>VLOOKUP(D572,Oficial!A:C,3,0)</f>
        <v>Arrastre</v>
      </c>
    </row>
    <row r="573" spans="1:30" x14ac:dyDescent="0.25">
      <c r="A573" s="36" t="s">
        <v>27</v>
      </c>
      <c r="B573" s="36" t="s">
        <v>476</v>
      </c>
      <c r="C573" s="36" t="s">
        <v>28</v>
      </c>
      <c r="D573" s="36" t="s">
        <v>476</v>
      </c>
      <c r="E573" s="36" t="s">
        <v>30</v>
      </c>
      <c r="F573" s="36" t="s">
        <v>31</v>
      </c>
      <c r="G573" s="37" t="s">
        <v>69</v>
      </c>
      <c r="H573" s="36" t="s">
        <v>477</v>
      </c>
      <c r="I573" s="36" t="s">
        <v>478</v>
      </c>
      <c r="J573" s="36">
        <v>2</v>
      </c>
      <c r="K573" s="36" t="s">
        <v>481</v>
      </c>
      <c r="L573" s="36">
        <v>4</v>
      </c>
      <c r="M573" s="36">
        <v>1</v>
      </c>
      <c r="N573" s="38">
        <v>23924290</v>
      </c>
      <c r="O573" s="44">
        <v>1993690</v>
      </c>
      <c r="P573" s="36">
        <v>12</v>
      </c>
      <c r="Q573" s="36" t="s">
        <v>413</v>
      </c>
      <c r="R573" s="36" t="s">
        <v>227</v>
      </c>
      <c r="S573" s="36" t="s">
        <v>480</v>
      </c>
      <c r="T573" s="36" t="s">
        <v>467</v>
      </c>
      <c r="U573" s="36" t="s">
        <v>230</v>
      </c>
      <c r="V573" s="40">
        <v>45870</v>
      </c>
      <c r="W573" s="40">
        <v>45889</v>
      </c>
      <c r="X573" s="36">
        <v>0</v>
      </c>
      <c r="Y573" s="36"/>
      <c r="Z573" s="36">
        <v>1</v>
      </c>
      <c r="AA573" s="36">
        <v>1993690</v>
      </c>
      <c r="AB573" s="40">
        <v>46327</v>
      </c>
      <c r="AC573" s="36" t="s">
        <v>2196</v>
      </c>
      <c r="AD573" s="36" t="str">
        <f>VLOOKUP(D573,Oficial!A:C,3,0)</f>
        <v>Arrastre</v>
      </c>
    </row>
    <row r="574" spans="1:30" x14ac:dyDescent="0.25">
      <c r="A574" s="36" t="s">
        <v>27</v>
      </c>
      <c r="B574" s="36" t="s">
        <v>476</v>
      </c>
      <c r="C574" s="36" t="s">
        <v>28</v>
      </c>
      <c r="D574" s="36" t="s">
        <v>476</v>
      </c>
      <c r="E574" s="36" t="s">
        <v>30</v>
      </c>
      <c r="F574" s="36" t="s">
        <v>31</v>
      </c>
      <c r="G574" s="37" t="s">
        <v>69</v>
      </c>
      <c r="H574" s="36" t="s">
        <v>477</v>
      </c>
      <c r="I574" s="36" t="s">
        <v>478</v>
      </c>
      <c r="J574" s="36">
        <v>2</v>
      </c>
      <c r="K574" s="36" t="s">
        <v>481</v>
      </c>
      <c r="L574" s="36">
        <v>4</v>
      </c>
      <c r="M574" s="36">
        <v>1</v>
      </c>
      <c r="N574" s="38">
        <v>23924290</v>
      </c>
      <c r="O574" s="44">
        <v>1993690</v>
      </c>
      <c r="P574" s="36">
        <v>12</v>
      </c>
      <c r="Q574" s="36" t="s">
        <v>413</v>
      </c>
      <c r="R574" s="36" t="s">
        <v>227</v>
      </c>
      <c r="S574" s="36" t="s">
        <v>480</v>
      </c>
      <c r="T574" s="36" t="s">
        <v>467</v>
      </c>
      <c r="U574" s="36" t="s">
        <v>230</v>
      </c>
      <c r="V574" s="40">
        <v>45870</v>
      </c>
      <c r="W574" s="40">
        <v>45889</v>
      </c>
      <c r="X574" s="36">
        <v>0</v>
      </c>
      <c r="Y574" s="36"/>
      <c r="Z574" s="36">
        <v>1</v>
      </c>
      <c r="AA574" s="36">
        <v>1993690</v>
      </c>
      <c r="AB574" s="40">
        <v>46266</v>
      </c>
      <c r="AC574" s="36" t="s">
        <v>2196</v>
      </c>
      <c r="AD574" s="36" t="str">
        <f>VLOOKUP(D574,Oficial!A:C,3,0)</f>
        <v>Arrastre</v>
      </c>
    </row>
    <row r="575" spans="1:30" x14ac:dyDescent="0.25">
      <c r="A575" s="36" t="s">
        <v>27</v>
      </c>
      <c r="B575" s="36" t="s">
        <v>476</v>
      </c>
      <c r="C575" s="36" t="s">
        <v>28</v>
      </c>
      <c r="D575" s="36" t="s">
        <v>476</v>
      </c>
      <c r="E575" s="36" t="s">
        <v>30</v>
      </c>
      <c r="F575" s="36" t="s">
        <v>31</v>
      </c>
      <c r="G575" s="37" t="s">
        <v>69</v>
      </c>
      <c r="H575" s="36" t="s">
        <v>477</v>
      </c>
      <c r="I575" s="36" t="s">
        <v>478</v>
      </c>
      <c r="J575" s="36">
        <v>2</v>
      </c>
      <c r="K575" s="36" t="s">
        <v>481</v>
      </c>
      <c r="L575" s="36">
        <v>4</v>
      </c>
      <c r="M575" s="36">
        <v>1</v>
      </c>
      <c r="N575" s="38">
        <v>23924290</v>
      </c>
      <c r="O575" s="44">
        <v>1993690</v>
      </c>
      <c r="P575" s="36">
        <v>12</v>
      </c>
      <c r="Q575" s="36" t="s">
        <v>413</v>
      </c>
      <c r="R575" s="36" t="s">
        <v>227</v>
      </c>
      <c r="S575" s="36" t="s">
        <v>480</v>
      </c>
      <c r="T575" s="36" t="s">
        <v>467</v>
      </c>
      <c r="U575" s="36" t="s">
        <v>230</v>
      </c>
      <c r="V575" s="40">
        <v>45870</v>
      </c>
      <c r="W575" s="40">
        <v>45889</v>
      </c>
      <c r="X575" s="36">
        <v>0</v>
      </c>
      <c r="Y575" s="36"/>
      <c r="Z575" s="36">
        <v>1</v>
      </c>
      <c r="AA575" s="36">
        <v>1993690</v>
      </c>
      <c r="AB575" s="40">
        <v>46113</v>
      </c>
      <c r="AC575" s="36" t="s">
        <v>2196</v>
      </c>
      <c r="AD575" s="36" t="str">
        <f>VLOOKUP(D575,Oficial!A:C,3,0)</f>
        <v>Arrastre</v>
      </c>
    </row>
    <row r="576" spans="1:30" x14ac:dyDescent="0.25">
      <c r="A576" s="36" t="s">
        <v>27</v>
      </c>
      <c r="B576" s="36" t="s">
        <v>476</v>
      </c>
      <c r="C576" s="36" t="s">
        <v>28</v>
      </c>
      <c r="D576" s="36" t="s">
        <v>476</v>
      </c>
      <c r="E576" s="36" t="s">
        <v>30</v>
      </c>
      <c r="F576" s="36" t="s">
        <v>31</v>
      </c>
      <c r="G576" s="37" t="s">
        <v>69</v>
      </c>
      <c r="H576" s="36" t="s">
        <v>477</v>
      </c>
      <c r="I576" s="36" t="s">
        <v>478</v>
      </c>
      <c r="J576" s="36">
        <v>2</v>
      </c>
      <c r="K576" s="36" t="s">
        <v>481</v>
      </c>
      <c r="L576" s="36">
        <v>4</v>
      </c>
      <c r="M576" s="36">
        <v>1</v>
      </c>
      <c r="N576" s="38">
        <v>23924290</v>
      </c>
      <c r="O576" s="44">
        <v>1993690</v>
      </c>
      <c r="P576" s="36">
        <v>12</v>
      </c>
      <c r="Q576" s="36" t="s">
        <v>413</v>
      </c>
      <c r="R576" s="36" t="s">
        <v>227</v>
      </c>
      <c r="S576" s="36" t="s">
        <v>480</v>
      </c>
      <c r="T576" s="36" t="s">
        <v>467</v>
      </c>
      <c r="U576" s="36" t="s">
        <v>230</v>
      </c>
      <c r="V576" s="40">
        <v>45870</v>
      </c>
      <c r="W576" s="40">
        <v>45889</v>
      </c>
      <c r="X576" s="36">
        <v>0</v>
      </c>
      <c r="Y576" s="36"/>
      <c r="Z576" s="36">
        <v>1</v>
      </c>
      <c r="AA576" s="36">
        <v>1993690</v>
      </c>
      <c r="AB576" s="40">
        <v>46296</v>
      </c>
      <c r="AC576" s="36" t="s">
        <v>2196</v>
      </c>
      <c r="AD576" s="36" t="str">
        <f>VLOOKUP(D576,Oficial!A:C,3,0)</f>
        <v>Arrastre</v>
      </c>
    </row>
    <row r="577" spans="1:30" x14ac:dyDescent="0.25">
      <c r="A577" s="36" t="s">
        <v>27</v>
      </c>
      <c r="B577" s="36" t="s">
        <v>482</v>
      </c>
      <c r="C577" s="36" t="s">
        <v>28</v>
      </c>
      <c r="D577" s="36" t="s">
        <v>482</v>
      </c>
      <c r="E577" s="36" t="s">
        <v>30</v>
      </c>
      <c r="F577" s="36" t="s">
        <v>31</v>
      </c>
      <c r="G577" s="37" t="s">
        <v>483</v>
      </c>
      <c r="H577" s="36" t="s">
        <v>484</v>
      </c>
      <c r="I577" s="36" t="s">
        <v>485</v>
      </c>
      <c r="J577" s="36">
        <v>1</v>
      </c>
      <c r="K577" s="36" t="s">
        <v>486</v>
      </c>
      <c r="L577" s="36">
        <v>4</v>
      </c>
      <c r="M577" s="36">
        <v>100</v>
      </c>
      <c r="N577" s="38">
        <v>288300</v>
      </c>
      <c r="O577" s="42">
        <v>2402500</v>
      </c>
      <c r="P577" s="36">
        <v>12</v>
      </c>
      <c r="Q577" s="36" t="s">
        <v>308</v>
      </c>
      <c r="R577" s="36" t="s">
        <v>487</v>
      </c>
      <c r="S577" s="36" t="s">
        <v>488</v>
      </c>
      <c r="T577" s="36" t="s">
        <v>489</v>
      </c>
      <c r="U577" s="36" t="s">
        <v>490</v>
      </c>
      <c r="V577" s="40">
        <v>45870</v>
      </c>
      <c r="W577" s="40">
        <v>45889</v>
      </c>
      <c r="X577" s="36">
        <v>2</v>
      </c>
      <c r="Y577" s="36" t="s">
        <v>491</v>
      </c>
      <c r="Z577" s="36">
        <v>1</v>
      </c>
      <c r="AA577" s="36">
        <v>2402500</v>
      </c>
      <c r="AB577" s="40">
        <v>46204</v>
      </c>
      <c r="AC577" s="36" t="s">
        <v>2196</v>
      </c>
      <c r="AD577" s="36" t="str">
        <f>VLOOKUP(D577,Oficial!A:C,3,0)</f>
        <v>Arrastre</v>
      </c>
    </row>
    <row r="578" spans="1:30" x14ac:dyDescent="0.25">
      <c r="A578" s="36" t="s">
        <v>27</v>
      </c>
      <c r="B578" s="36" t="s">
        <v>482</v>
      </c>
      <c r="C578" s="36" t="s">
        <v>28</v>
      </c>
      <c r="D578" s="36" t="s">
        <v>482</v>
      </c>
      <c r="E578" s="36" t="s">
        <v>30</v>
      </c>
      <c r="F578" s="36" t="s">
        <v>31</v>
      </c>
      <c r="G578" s="37" t="s">
        <v>483</v>
      </c>
      <c r="H578" s="36" t="s">
        <v>484</v>
      </c>
      <c r="I578" s="36" t="s">
        <v>485</v>
      </c>
      <c r="J578" s="36">
        <v>1</v>
      </c>
      <c r="K578" s="36" t="s">
        <v>486</v>
      </c>
      <c r="L578" s="36">
        <v>4</v>
      </c>
      <c r="M578" s="36">
        <v>100</v>
      </c>
      <c r="N578" s="38">
        <v>288300</v>
      </c>
      <c r="O578" s="42">
        <v>2402500</v>
      </c>
      <c r="P578" s="36">
        <v>12</v>
      </c>
      <c r="Q578" s="36" t="s">
        <v>308</v>
      </c>
      <c r="R578" s="36" t="s">
        <v>487</v>
      </c>
      <c r="S578" s="36" t="s">
        <v>488</v>
      </c>
      <c r="T578" s="36" t="s">
        <v>489</v>
      </c>
      <c r="U578" s="36" t="s">
        <v>490</v>
      </c>
      <c r="V578" s="40">
        <v>45870</v>
      </c>
      <c r="W578" s="40">
        <v>45889</v>
      </c>
      <c r="X578" s="36">
        <v>2</v>
      </c>
      <c r="Y578" s="36" t="s">
        <v>491</v>
      </c>
      <c r="Z578" s="36">
        <v>1</v>
      </c>
      <c r="AA578" s="36">
        <v>2402500</v>
      </c>
      <c r="AB578" s="40">
        <v>46143</v>
      </c>
      <c r="AC578" s="36" t="s">
        <v>2196</v>
      </c>
      <c r="AD578" s="36" t="str">
        <f>VLOOKUP(D578,Oficial!A:C,3,0)</f>
        <v>Arrastre</v>
      </c>
    </row>
    <row r="579" spans="1:30" x14ac:dyDescent="0.25">
      <c r="A579" s="36" t="s">
        <v>27</v>
      </c>
      <c r="B579" s="36" t="s">
        <v>482</v>
      </c>
      <c r="C579" s="36" t="s">
        <v>28</v>
      </c>
      <c r="D579" s="36" t="s">
        <v>482</v>
      </c>
      <c r="E579" s="36" t="s">
        <v>30</v>
      </c>
      <c r="F579" s="36" t="s">
        <v>31</v>
      </c>
      <c r="G579" s="37" t="s">
        <v>483</v>
      </c>
      <c r="H579" s="36" t="s">
        <v>484</v>
      </c>
      <c r="I579" s="36" t="s">
        <v>485</v>
      </c>
      <c r="J579" s="36">
        <v>1</v>
      </c>
      <c r="K579" s="36" t="s">
        <v>486</v>
      </c>
      <c r="L579" s="36">
        <v>4</v>
      </c>
      <c r="M579" s="36">
        <v>100</v>
      </c>
      <c r="N579" s="38">
        <v>288300</v>
      </c>
      <c r="O579" s="42">
        <v>2402500</v>
      </c>
      <c r="P579" s="36">
        <v>12</v>
      </c>
      <c r="Q579" s="36" t="s">
        <v>308</v>
      </c>
      <c r="R579" s="36" t="s">
        <v>487</v>
      </c>
      <c r="S579" s="36" t="s">
        <v>488</v>
      </c>
      <c r="T579" s="36" t="s">
        <v>489</v>
      </c>
      <c r="U579" s="36" t="s">
        <v>490</v>
      </c>
      <c r="V579" s="40">
        <v>45870</v>
      </c>
      <c r="W579" s="40">
        <v>45889</v>
      </c>
      <c r="X579" s="36">
        <v>2</v>
      </c>
      <c r="Y579" s="36" t="s">
        <v>492</v>
      </c>
      <c r="Z579" s="36">
        <v>1</v>
      </c>
      <c r="AA579" s="36">
        <v>2402500</v>
      </c>
      <c r="AB579" s="40">
        <v>46174</v>
      </c>
      <c r="AC579" s="36" t="s">
        <v>2196</v>
      </c>
      <c r="AD579" s="36" t="str">
        <f>VLOOKUP(D579,Oficial!A:C,3,0)</f>
        <v>Arrastre</v>
      </c>
    </row>
    <row r="580" spans="1:30" x14ac:dyDescent="0.25">
      <c r="A580" s="36" t="s">
        <v>27</v>
      </c>
      <c r="B580" s="36" t="s">
        <v>482</v>
      </c>
      <c r="C580" s="36" t="s">
        <v>28</v>
      </c>
      <c r="D580" s="36" t="s">
        <v>482</v>
      </c>
      <c r="E580" s="36" t="s">
        <v>30</v>
      </c>
      <c r="F580" s="36" t="s">
        <v>31</v>
      </c>
      <c r="G580" s="37" t="s">
        <v>483</v>
      </c>
      <c r="H580" s="36" t="s">
        <v>484</v>
      </c>
      <c r="I580" s="36" t="s">
        <v>485</v>
      </c>
      <c r="J580" s="36">
        <v>1</v>
      </c>
      <c r="K580" s="36" t="s">
        <v>486</v>
      </c>
      <c r="L580" s="36">
        <v>4</v>
      </c>
      <c r="M580" s="36">
        <v>100</v>
      </c>
      <c r="N580" s="38">
        <v>288300</v>
      </c>
      <c r="O580" s="42">
        <v>2402500</v>
      </c>
      <c r="P580" s="36">
        <v>12</v>
      </c>
      <c r="Q580" s="36" t="s">
        <v>308</v>
      </c>
      <c r="R580" s="36" t="s">
        <v>487</v>
      </c>
      <c r="S580" s="36" t="s">
        <v>488</v>
      </c>
      <c r="T580" s="36" t="s">
        <v>489</v>
      </c>
      <c r="U580" s="36" t="s">
        <v>490</v>
      </c>
      <c r="V580" s="40">
        <v>45870</v>
      </c>
      <c r="W580" s="40">
        <v>45889</v>
      </c>
      <c r="X580" s="36">
        <v>2</v>
      </c>
      <c r="Y580" s="36" t="s">
        <v>492</v>
      </c>
      <c r="Z580" s="36">
        <v>1</v>
      </c>
      <c r="AA580" s="36">
        <v>2402500</v>
      </c>
      <c r="AB580" s="40">
        <v>46023</v>
      </c>
      <c r="AC580" s="36" t="s">
        <v>2196</v>
      </c>
      <c r="AD580" s="36" t="str">
        <f>VLOOKUP(D580,Oficial!A:C,3,0)</f>
        <v>Arrastre</v>
      </c>
    </row>
    <row r="581" spans="1:30" x14ac:dyDescent="0.25">
      <c r="A581" s="36" t="s">
        <v>27</v>
      </c>
      <c r="B581" s="36" t="s">
        <v>482</v>
      </c>
      <c r="C581" s="36" t="s">
        <v>28</v>
      </c>
      <c r="D581" s="36" t="s">
        <v>482</v>
      </c>
      <c r="E581" s="36" t="s">
        <v>30</v>
      </c>
      <c r="F581" s="36" t="s">
        <v>31</v>
      </c>
      <c r="G581" s="37" t="s">
        <v>483</v>
      </c>
      <c r="H581" s="36" t="s">
        <v>484</v>
      </c>
      <c r="I581" s="36" t="s">
        <v>485</v>
      </c>
      <c r="J581" s="36">
        <v>1</v>
      </c>
      <c r="K581" s="36" t="s">
        <v>486</v>
      </c>
      <c r="L581" s="36">
        <v>4</v>
      </c>
      <c r="M581" s="36">
        <v>100</v>
      </c>
      <c r="N581" s="38">
        <v>288300</v>
      </c>
      <c r="O581" s="42">
        <v>2402500</v>
      </c>
      <c r="P581" s="36">
        <v>12</v>
      </c>
      <c r="Q581" s="36" t="s">
        <v>308</v>
      </c>
      <c r="R581" s="36" t="s">
        <v>487</v>
      </c>
      <c r="S581" s="36" t="s">
        <v>488</v>
      </c>
      <c r="T581" s="36" t="s">
        <v>489</v>
      </c>
      <c r="U581" s="36" t="s">
        <v>490</v>
      </c>
      <c r="V581" s="40">
        <v>45870</v>
      </c>
      <c r="W581" s="40">
        <v>45889</v>
      </c>
      <c r="X581" s="36">
        <v>2</v>
      </c>
      <c r="Y581" s="36" t="s">
        <v>491</v>
      </c>
      <c r="Z581" s="36">
        <v>1</v>
      </c>
      <c r="AA581" s="36">
        <v>2402500</v>
      </c>
      <c r="AB581" s="40">
        <v>46174</v>
      </c>
      <c r="AC581" s="36" t="s">
        <v>2196</v>
      </c>
      <c r="AD581" s="36" t="str">
        <f>VLOOKUP(D581,Oficial!A:C,3,0)</f>
        <v>Arrastre</v>
      </c>
    </row>
    <row r="582" spans="1:30" x14ac:dyDescent="0.25">
      <c r="A582" s="36" t="s">
        <v>27</v>
      </c>
      <c r="B582" s="36" t="s">
        <v>482</v>
      </c>
      <c r="C582" s="36" t="s">
        <v>28</v>
      </c>
      <c r="D582" s="36" t="s">
        <v>482</v>
      </c>
      <c r="E582" s="36" t="s">
        <v>30</v>
      </c>
      <c r="F582" s="36" t="s">
        <v>31</v>
      </c>
      <c r="G582" s="37" t="s">
        <v>483</v>
      </c>
      <c r="H582" s="36" t="s">
        <v>484</v>
      </c>
      <c r="I582" s="36" t="s">
        <v>485</v>
      </c>
      <c r="J582" s="36">
        <v>1</v>
      </c>
      <c r="K582" s="36" t="s">
        <v>486</v>
      </c>
      <c r="L582" s="36">
        <v>4</v>
      </c>
      <c r="M582" s="36">
        <v>100</v>
      </c>
      <c r="N582" s="38">
        <v>288300</v>
      </c>
      <c r="O582" s="42">
        <v>2402500</v>
      </c>
      <c r="P582" s="36">
        <v>12</v>
      </c>
      <c r="Q582" s="36" t="s">
        <v>308</v>
      </c>
      <c r="R582" s="36" t="s">
        <v>487</v>
      </c>
      <c r="S582" s="36" t="s">
        <v>488</v>
      </c>
      <c r="T582" s="36" t="s">
        <v>489</v>
      </c>
      <c r="U582" s="36" t="s">
        <v>490</v>
      </c>
      <c r="V582" s="40">
        <v>45870</v>
      </c>
      <c r="W582" s="40">
        <v>45889</v>
      </c>
      <c r="X582" s="36">
        <v>2</v>
      </c>
      <c r="Y582" s="36" t="s">
        <v>491</v>
      </c>
      <c r="Z582" s="36">
        <v>1</v>
      </c>
      <c r="AA582" s="36">
        <v>2402500</v>
      </c>
      <c r="AB582" s="40">
        <v>46023</v>
      </c>
      <c r="AC582" s="36" t="s">
        <v>2196</v>
      </c>
      <c r="AD582" s="36" t="str">
        <f>VLOOKUP(D582,Oficial!A:C,3,0)</f>
        <v>Arrastre</v>
      </c>
    </row>
    <row r="583" spans="1:30" x14ac:dyDescent="0.25">
      <c r="A583" s="36" t="s">
        <v>27</v>
      </c>
      <c r="B583" s="36" t="s">
        <v>482</v>
      </c>
      <c r="C583" s="36" t="s">
        <v>28</v>
      </c>
      <c r="D583" s="36" t="s">
        <v>482</v>
      </c>
      <c r="E583" s="36" t="s">
        <v>30</v>
      </c>
      <c r="F583" s="36" t="s">
        <v>31</v>
      </c>
      <c r="G583" s="37" t="s">
        <v>483</v>
      </c>
      <c r="H583" s="36" t="s">
        <v>484</v>
      </c>
      <c r="I583" s="36" t="s">
        <v>485</v>
      </c>
      <c r="J583" s="36">
        <v>1</v>
      </c>
      <c r="K583" s="36" t="s">
        <v>486</v>
      </c>
      <c r="L583" s="36">
        <v>4</v>
      </c>
      <c r="M583" s="36">
        <v>100</v>
      </c>
      <c r="N583" s="38">
        <v>288300</v>
      </c>
      <c r="O583" s="42">
        <v>2402500</v>
      </c>
      <c r="P583" s="36">
        <v>12</v>
      </c>
      <c r="Q583" s="36" t="s">
        <v>308</v>
      </c>
      <c r="R583" s="36" t="s">
        <v>487</v>
      </c>
      <c r="S583" s="36" t="s">
        <v>488</v>
      </c>
      <c r="T583" s="36" t="s">
        <v>489</v>
      </c>
      <c r="U583" s="36" t="s">
        <v>490</v>
      </c>
      <c r="V583" s="40">
        <v>45870</v>
      </c>
      <c r="W583" s="40">
        <v>45889</v>
      </c>
      <c r="X583" s="36">
        <v>2</v>
      </c>
      <c r="Y583" s="36" t="s">
        <v>492</v>
      </c>
      <c r="Z583" s="36">
        <v>1</v>
      </c>
      <c r="AA583" s="36">
        <v>2402500</v>
      </c>
      <c r="AB583" s="40">
        <v>46204</v>
      </c>
      <c r="AC583" s="36" t="s">
        <v>2196</v>
      </c>
      <c r="AD583" s="36" t="str">
        <f>VLOOKUP(D583,Oficial!A:C,3,0)</f>
        <v>Arrastre</v>
      </c>
    </row>
    <row r="584" spans="1:30" x14ac:dyDescent="0.25">
      <c r="A584" s="36" t="s">
        <v>27</v>
      </c>
      <c r="B584" s="36" t="s">
        <v>493</v>
      </c>
      <c r="C584" s="36" t="s">
        <v>28</v>
      </c>
      <c r="D584" s="36" t="s">
        <v>493</v>
      </c>
      <c r="E584" s="36" t="s">
        <v>30</v>
      </c>
      <c r="F584" s="36" t="s">
        <v>31</v>
      </c>
      <c r="G584" s="37" t="s">
        <v>439</v>
      </c>
      <c r="H584" s="36" t="s">
        <v>494</v>
      </c>
      <c r="I584" s="36" t="s">
        <v>495</v>
      </c>
      <c r="J584" s="36">
        <v>1</v>
      </c>
      <c r="K584" s="36" t="s">
        <v>496</v>
      </c>
      <c r="L584" s="36">
        <v>4</v>
      </c>
      <c r="M584" s="36">
        <v>1</v>
      </c>
      <c r="N584" s="38">
        <v>146000000</v>
      </c>
      <c r="O584" s="44">
        <v>6083333</v>
      </c>
      <c r="P584" s="36">
        <v>24</v>
      </c>
      <c r="Q584" s="36" t="s">
        <v>278</v>
      </c>
      <c r="R584" s="36" t="s">
        <v>497</v>
      </c>
      <c r="S584" s="36" t="s">
        <v>302</v>
      </c>
      <c r="T584" s="36" t="s">
        <v>184</v>
      </c>
      <c r="U584" s="36" t="s">
        <v>498</v>
      </c>
      <c r="V584" s="40">
        <v>45870</v>
      </c>
      <c r="W584" s="40">
        <v>45889</v>
      </c>
      <c r="X584" s="36">
        <v>0</v>
      </c>
      <c r="Y584" s="36"/>
      <c r="Z584" s="36">
        <v>1</v>
      </c>
      <c r="AA584" s="36">
        <v>6083333</v>
      </c>
      <c r="AB584" s="40">
        <v>46054</v>
      </c>
      <c r="AC584" s="36" t="s">
        <v>2196</v>
      </c>
      <c r="AD584" s="36" t="str">
        <f>VLOOKUP(D584,Oficial!A:C,3,0)</f>
        <v>Arrastre</v>
      </c>
    </row>
    <row r="585" spans="1:30" x14ac:dyDescent="0.25">
      <c r="A585" s="36" t="s">
        <v>27</v>
      </c>
      <c r="B585" s="36" t="s">
        <v>493</v>
      </c>
      <c r="C585" s="36" t="s">
        <v>28</v>
      </c>
      <c r="D585" s="36" t="s">
        <v>493</v>
      </c>
      <c r="E585" s="36" t="s">
        <v>30</v>
      </c>
      <c r="F585" s="36" t="s">
        <v>31</v>
      </c>
      <c r="G585" s="37" t="s">
        <v>439</v>
      </c>
      <c r="H585" s="36" t="s">
        <v>494</v>
      </c>
      <c r="I585" s="36" t="s">
        <v>495</v>
      </c>
      <c r="J585" s="36">
        <v>1</v>
      </c>
      <c r="K585" s="36" t="s">
        <v>496</v>
      </c>
      <c r="L585" s="36">
        <v>4</v>
      </c>
      <c r="M585" s="36">
        <v>1</v>
      </c>
      <c r="N585" s="38">
        <v>146000000</v>
      </c>
      <c r="O585" s="44">
        <v>6083333</v>
      </c>
      <c r="P585" s="36">
        <v>24</v>
      </c>
      <c r="Q585" s="36" t="s">
        <v>278</v>
      </c>
      <c r="R585" s="36" t="s">
        <v>497</v>
      </c>
      <c r="S585" s="36" t="s">
        <v>302</v>
      </c>
      <c r="T585" s="36" t="s">
        <v>184</v>
      </c>
      <c r="U585" s="36" t="s">
        <v>498</v>
      </c>
      <c r="V585" s="40">
        <v>45870</v>
      </c>
      <c r="W585" s="40">
        <v>45889</v>
      </c>
      <c r="X585" s="36">
        <v>0</v>
      </c>
      <c r="Y585" s="36"/>
      <c r="Z585" s="36">
        <v>1</v>
      </c>
      <c r="AA585" s="36">
        <v>6083333</v>
      </c>
      <c r="AB585" s="40">
        <v>46174</v>
      </c>
      <c r="AC585" s="36" t="s">
        <v>2196</v>
      </c>
      <c r="AD585" s="36" t="str">
        <f>VLOOKUP(D585,Oficial!A:C,3,0)</f>
        <v>Arrastre</v>
      </c>
    </row>
    <row r="586" spans="1:30" x14ac:dyDescent="0.25">
      <c r="A586" s="36" t="s">
        <v>27</v>
      </c>
      <c r="B586" s="36" t="s">
        <v>493</v>
      </c>
      <c r="C586" s="36" t="s">
        <v>28</v>
      </c>
      <c r="D586" s="36" t="s">
        <v>493</v>
      </c>
      <c r="E586" s="36" t="s">
        <v>30</v>
      </c>
      <c r="F586" s="36" t="s">
        <v>31</v>
      </c>
      <c r="G586" s="37" t="s">
        <v>439</v>
      </c>
      <c r="H586" s="36" t="s">
        <v>494</v>
      </c>
      <c r="I586" s="36" t="s">
        <v>495</v>
      </c>
      <c r="J586" s="36">
        <v>1</v>
      </c>
      <c r="K586" s="36" t="s">
        <v>496</v>
      </c>
      <c r="L586" s="36">
        <v>4</v>
      </c>
      <c r="M586" s="36">
        <v>1</v>
      </c>
      <c r="N586" s="38">
        <v>146000000</v>
      </c>
      <c r="O586" s="44">
        <v>6083333</v>
      </c>
      <c r="P586" s="36">
        <v>24</v>
      </c>
      <c r="Q586" s="36" t="s">
        <v>278</v>
      </c>
      <c r="R586" s="36" t="s">
        <v>497</v>
      </c>
      <c r="S586" s="36" t="s">
        <v>302</v>
      </c>
      <c r="T586" s="36" t="s">
        <v>184</v>
      </c>
      <c r="U586" s="36" t="s">
        <v>498</v>
      </c>
      <c r="V586" s="40">
        <v>45870</v>
      </c>
      <c r="W586" s="40">
        <v>45889</v>
      </c>
      <c r="X586" s="36">
        <v>0</v>
      </c>
      <c r="Y586" s="36"/>
      <c r="Z586" s="36">
        <v>1</v>
      </c>
      <c r="AA586" s="36">
        <v>6083333</v>
      </c>
      <c r="AB586" s="40">
        <v>46023</v>
      </c>
      <c r="AC586" s="36" t="s">
        <v>2196</v>
      </c>
      <c r="AD586" s="36" t="str">
        <f>VLOOKUP(D586,Oficial!A:C,3,0)</f>
        <v>Arrastre</v>
      </c>
    </row>
    <row r="587" spans="1:30" x14ac:dyDescent="0.25">
      <c r="A587" s="36" t="s">
        <v>27</v>
      </c>
      <c r="B587" s="36" t="s">
        <v>493</v>
      </c>
      <c r="C587" s="36" t="s">
        <v>28</v>
      </c>
      <c r="D587" s="36" t="s">
        <v>493</v>
      </c>
      <c r="E587" s="36" t="s">
        <v>30</v>
      </c>
      <c r="F587" s="36" t="s">
        <v>31</v>
      </c>
      <c r="G587" s="37" t="s">
        <v>439</v>
      </c>
      <c r="H587" s="36" t="s">
        <v>494</v>
      </c>
      <c r="I587" s="36" t="s">
        <v>495</v>
      </c>
      <c r="J587" s="36">
        <v>1</v>
      </c>
      <c r="K587" s="36" t="s">
        <v>496</v>
      </c>
      <c r="L587" s="36">
        <v>4</v>
      </c>
      <c r="M587" s="36">
        <v>1</v>
      </c>
      <c r="N587" s="38">
        <v>146000000</v>
      </c>
      <c r="O587" s="44">
        <v>6083333</v>
      </c>
      <c r="P587" s="36">
        <v>24</v>
      </c>
      <c r="Q587" s="36" t="s">
        <v>278</v>
      </c>
      <c r="R587" s="36" t="s">
        <v>497</v>
      </c>
      <c r="S587" s="36" t="s">
        <v>302</v>
      </c>
      <c r="T587" s="36" t="s">
        <v>184</v>
      </c>
      <c r="U587" s="36" t="s">
        <v>498</v>
      </c>
      <c r="V587" s="40">
        <v>45870</v>
      </c>
      <c r="W587" s="40">
        <v>45889</v>
      </c>
      <c r="X587" s="36">
        <v>0</v>
      </c>
      <c r="Y587" s="36"/>
      <c r="Z587" s="36">
        <v>1</v>
      </c>
      <c r="AA587" s="36">
        <v>6083333</v>
      </c>
      <c r="AB587" s="40">
        <v>46357</v>
      </c>
      <c r="AC587" s="36" t="s">
        <v>2196</v>
      </c>
      <c r="AD587" s="36" t="str">
        <f>VLOOKUP(D587,Oficial!A:C,3,0)</f>
        <v>Arrastre</v>
      </c>
    </row>
    <row r="588" spans="1:30" x14ac:dyDescent="0.25">
      <c r="A588" s="36" t="s">
        <v>27</v>
      </c>
      <c r="B588" s="36" t="s">
        <v>493</v>
      </c>
      <c r="C588" s="36" t="s">
        <v>28</v>
      </c>
      <c r="D588" s="36" t="s">
        <v>493</v>
      </c>
      <c r="E588" s="36" t="s">
        <v>30</v>
      </c>
      <c r="F588" s="36" t="s">
        <v>31</v>
      </c>
      <c r="G588" s="37" t="s">
        <v>439</v>
      </c>
      <c r="H588" s="36" t="s">
        <v>494</v>
      </c>
      <c r="I588" s="36" t="s">
        <v>495</v>
      </c>
      <c r="J588" s="36">
        <v>1</v>
      </c>
      <c r="K588" s="36" t="s">
        <v>496</v>
      </c>
      <c r="L588" s="36">
        <v>4</v>
      </c>
      <c r="M588" s="36">
        <v>1</v>
      </c>
      <c r="N588" s="38">
        <v>146000000</v>
      </c>
      <c r="O588" s="44">
        <v>6083333</v>
      </c>
      <c r="P588" s="36">
        <v>24</v>
      </c>
      <c r="Q588" s="36" t="s">
        <v>278</v>
      </c>
      <c r="R588" s="36" t="s">
        <v>497</v>
      </c>
      <c r="S588" s="36" t="s">
        <v>302</v>
      </c>
      <c r="T588" s="36" t="s">
        <v>184</v>
      </c>
      <c r="U588" s="36" t="s">
        <v>498</v>
      </c>
      <c r="V588" s="40">
        <v>45870</v>
      </c>
      <c r="W588" s="40">
        <v>45889</v>
      </c>
      <c r="X588" s="36">
        <v>0</v>
      </c>
      <c r="Y588" s="36"/>
      <c r="Z588" s="36">
        <v>1</v>
      </c>
      <c r="AA588" s="36">
        <v>6083333</v>
      </c>
      <c r="AB588" s="40">
        <v>46113</v>
      </c>
      <c r="AC588" s="36" t="s">
        <v>2196</v>
      </c>
      <c r="AD588" s="36" t="str">
        <f>VLOOKUP(D588,Oficial!A:C,3,0)</f>
        <v>Arrastre</v>
      </c>
    </row>
    <row r="589" spans="1:30" x14ac:dyDescent="0.25">
      <c r="A589" s="36" t="s">
        <v>27</v>
      </c>
      <c r="B589" s="36" t="s">
        <v>493</v>
      </c>
      <c r="C589" s="36" t="s">
        <v>28</v>
      </c>
      <c r="D589" s="36" t="s">
        <v>493</v>
      </c>
      <c r="E589" s="36" t="s">
        <v>30</v>
      </c>
      <c r="F589" s="36" t="s">
        <v>31</v>
      </c>
      <c r="G589" s="37" t="s">
        <v>439</v>
      </c>
      <c r="H589" s="36" t="s">
        <v>494</v>
      </c>
      <c r="I589" s="36" t="s">
        <v>495</v>
      </c>
      <c r="J589" s="36">
        <v>1</v>
      </c>
      <c r="K589" s="36" t="s">
        <v>496</v>
      </c>
      <c r="L589" s="36">
        <v>4</v>
      </c>
      <c r="M589" s="36">
        <v>1</v>
      </c>
      <c r="N589" s="38">
        <v>146000000</v>
      </c>
      <c r="O589" s="44">
        <v>6083333</v>
      </c>
      <c r="P589" s="36">
        <v>24</v>
      </c>
      <c r="Q589" s="36" t="s">
        <v>278</v>
      </c>
      <c r="R589" s="36" t="s">
        <v>497</v>
      </c>
      <c r="S589" s="36" t="s">
        <v>302</v>
      </c>
      <c r="T589" s="36" t="s">
        <v>184</v>
      </c>
      <c r="U589" s="36" t="s">
        <v>498</v>
      </c>
      <c r="V589" s="40">
        <v>45870</v>
      </c>
      <c r="W589" s="40">
        <v>45889</v>
      </c>
      <c r="X589" s="36">
        <v>0</v>
      </c>
      <c r="Y589" s="36"/>
      <c r="Z589" s="36">
        <v>1</v>
      </c>
      <c r="AA589" s="36">
        <v>6083333</v>
      </c>
      <c r="AB589" s="40">
        <v>46204</v>
      </c>
      <c r="AC589" s="36" t="s">
        <v>2196</v>
      </c>
      <c r="AD589" s="36" t="str">
        <f>VLOOKUP(D589,Oficial!A:C,3,0)</f>
        <v>Arrastre</v>
      </c>
    </row>
    <row r="590" spans="1:30" x14ac:dyDescent="0.25">
      <c r="A590" s="36" t="s">
        <v>27</v>
      </c>
      <c r="B590" s="36" t="s">
        <v>493</v>
      </c>
      <c r="C590" s="36" t="s">
        <v>28</v>
      </c>
      <c r="D590" s="36" t="s">
        <v>493</v>
      </c>
      <c r="E590" s="36" t="s">
        <v>30</v>
      </c>
      <c r="F590" s="36" t="s">
        <v>31</v>
      </c>
      <c r="G590" s="37" t="s">
        <v>439</v>
      </c>
      <c r="H590" s="36" t="s">
        <v>494</v>
      </c>
      <c r="I590" s="36" t="s">
        <v>495</v>
      </c>
      <c r="J590" s="36">
        <v>1</v>
      </c>
      <c r="K590" s="36" t="s">
        <v>496</v>
      </c>
      <c r="L590" s="36">
        <v>4</v>
      </c>
      <c r="M590" s="36">
        <v>1</v>
      </c>
      <c r="N590" s="38">
        <v>146000000</v>
      </c>
      <c r="O590" s="44">
        <v>6083333</v>
      </c>
      <c r="P590" s="36">
        <v>24</v>
      </c>
      <c r="Q590" s="36" t="s">
        <v>278</v>
      </c>
      <c r="R590" s="36" t="s">
        <v>497</v>
      </c>
      <c r="S590" s="36" t="s">
        <v>302</v>
      </c>
      <c r="T590" s="36" t="s">
        <v>184</v>
      </c>
      <c r="U590" s="36" t="s">
        <v>498</v>
      </c>
      <c r="V590" s="40">
        <v>45870</v>
      </c>
      <c r="W590" s="40">
        <v>45889</v>
      </c>
      <c r="X590" s="36">
        <v>0</v>
      </c>
      <c r="Y590" s="36"/>
      <c r="Z590" s="36">
        <v>1</v>
      </c>
      <c r="AA590" s="36">
        <v>6083333</v>
      </c>
      <c r="AB590" s="40">
        <v>46235</v>
      </c>
      <c r="AC590" s="36" t="s">
        <v>2196</v>
      </c>
      <c r="AD590" s="36" t="str">
        <f>VLOOKUP(D590,Oficial!A:C,3,0)</f>
        <v>Arrastre</v>
      </c>
    </row>
    <row r="591" spans="1:30" x14ac:dyDescent="0.25">
      <c r="A591" s="36" t="s">
        <v>27</v>
      </c>
      <c r="B591" s="36" t="s">
        <v>493</v>
      </c>
      <c r="C591" s="36" t="s">
        <v>28</v>
      </c>
      <c r="D591" s="36" t="s">
        <v>493</v>
      </c>
      <c r="E591" s="36" t="s">
        <v>30</v>
      </c>
      <c r="F591" s="36" t="s">
        <v>31</v>
      </c>
      <c r="G591" s="37" t="s">
        <v>439</v>
      </c>
      <c r="H591" s="36" t="s">
        <v>494</v>
      </c>
      <c r="I591" s="36" t="s">
        <v>495</v>
      </c>
      <c r="J591" s="36">
        <v>1</v>
      </c>
      <c r="K591" s="36" t="s">
        <v>496</v>
      </c>
      <c r="L591" s="36">
        <v>4</v>
      </c>
      <c r="M591" s="36">
        <v>1</v>
      </c>
      <c r="N591" s="38">
        <v>146000000</v>
      </c>
      <c r="O591" s="44">
        <v>6083333</v>
      </c>
      <c r="P591" s="36">
        <v>24</v>
      </c>
      <c r="Q591" s="36" t="s">
        <v>278</v>
      </c>
      <c r="R591" s="36" t="s">
        <v>497</v>
      </c>
      <c r="S591" s="36" t="s">
        <v>302</v>
      </c>
      <c r="T591" s="36" t="s">
        <v>184</v>
      </c>
      <c r="U591" s="36" t="s">
        <v>498</v>
      </c>
      <c r="V591" s="40">
        <v>45870</v>
      </c>
      <c r="W591" s="40">
        <v>45889</v>
      </c>
      <c r="X591" s="36">
        <v>0</v>
      </c>
      <c r="Y591" s="36"/>
      <c r="Z591" s="36">
        <v>1</v>
      </c>
      <c r="AA591" s="36">
        <v>6083333</v>
      </c>
      <c r="AB591" s="40">
        <v>46082</v>
      </c>
      <c r="AC591" s="36" t="s">
        <v>2196</v>
      </c>
      <c r="AD591" s="36" t="str">
        <f>VLOOKUP(D591,Oficial!A:C,3,0)</f>
        <v>Arrastre</v>
      </c>
    </row>
    <row r="592" spans="1:30" x14ac:dyDescent="0.25">
      <c r="A592" s="36" t="s">
        <v>27</v>
      </c>
      <c r="B592" s="36" t="s">
        <v>493</v>
      </c>
      <c r="C592" s="36" t="s">
        <v>28</v>
      </c>
      <c r="D592" s="36" t="s">
        <v>493</v>
      </c>
      <c r="E592" s="36" t="s">
        <v>30</v>
      </c>
      <c r="F592" s="36" t="s">
        <v>31</v>
      </c>
      <c r="G592" s="37" t="s">
        <v>439</v>
      </c>
      <c r="H592" s="36" t="s">
        <v>494</v>
      </c>
      <c r="I592" s="36" t="s">
        <v>495</v>
      </c>
      <c r="J592" s="36">
        <v>1</v>
      </c>
      <c r="K592" s="36" t="s">
        <v>496</v>
      </c>
      <c r="L592" s="36">
        <v>4</v>
      </c>
      <c r="M592" s="36">
        <v>1</v>
      </c>
      <c r="N592" s="38">
        <v>146000000</v>
      </c>
      <c r="O592" s="44">
        <v>6083333</v>
      </c>
      <c r="P592" s="36">
        <v>24</v>
      </c>
      <c r="Q592" s="36" t="s">
        <v>278</v>
      </c>
      <c r="R592" s="36" t="s">
        <v>497</v>
      </c>
      <c r="S592" s="36" t="s">
        <v>302</v>
      </c>
      <c r="T592" s="36" t="s">
        <v>184</v>
      </c>
      <c r="U592" s="36" t="s">
        <v>498</v>
      </c>
      <c r="V592" s="40">
        <v>45870</v>
      </c>
      <c r="W592" s="40">
        <v>45889</v>
      </c>
      <c r="X592" s="36">
        <v>0</v>
      </c>
      <c r="Y592" s="36"/>
      <c r="Z592" s="36">
        <v>1</v>
      </c>
      <c r="AA592" s="36">
        <v>6083333</v>
      </c>
      <c r="AB592" s="40">
        <v>46296</v>
      </c>
      <c r="AC592" s="36" t="s">
        <v>2196</v>
      </c>
      <c r="AD592" s="36" t="str">
        <f>VLOOKUP(D592,Oficial!A:C,3,0)</f>
        <v>Arrastre</v>
      </c>
    </row>
    <row r="593" spans="1:30" x14ac:dyDescent="0.25">
      <c r="A593" s="36" t="s">
        <v>27</v>
      </c>
      <c r="B593" s="36" t="s">
        <v>493</v>
      </c>
      <c r="C593" s="36" t="s">
        <v>28</v>
      </c>
      <c r="D593" s="36" t="s">
        <v>493</v>
      </c>
      <c r="E593" s="36" t="s">
        <v>30</v>
      </c>
      <c r="F593" s="36" t="s">
        <v>31</v>
      </c>
      <c r="G593" s="37" t="s">
        <v>439</v>
      </c>
      <c r="H593" s="36" t="s">
        <v>494</v>
      </c>
      <c r="I593" s="36" t="s">
        <v>495</v>
      </c>
      <c r="J593" s="36">
        <v>1</v>
      </c>
      <c r="K593" s="36" t="s">
        <v>496</v>
      </c>
      <c r="L593" s="36">
        <v>4</v>
      </c>
      <c r="M593" s="36">
        <v>1</v>
      </c>
      <c r="N593" s="38">
        <v>146000000</v>
      </c>
      <c r="O593" s="44">
        <v>6083333</v>
      </c>
      <c r="P593" s="36">
        <v>24</v>
      </c>
      <c r="Q593" s="36" t="s">
        <v>278</v>
      </c>
      <c r="R593" s="36" t="s">
        <v>497</v>
      </c>
      <c r="S593" s="36" t="s">
        <v>302</v>
      </c>
      <c r="T593" s="36" t="s">
        <v>184</v>
      </c>
      <c r="U593" s="36" t="s">
        <v>498</v>
      </c>
      <c r="V593" s="40">
        <v>45870</v>
      </c>
      <c r="W593" s="40">
        <v>45889</v>
      </c>
      <c r="X593" s="36">
        <v>0</v>
      </c>
      <c r="Y593" s="36"/>
      <c r="Z593" s="36">
        <v>1</v>
      </c>
      <c r="AA593" s="36">
        <v>6083333</v>
      </c>
      <c r="AB593" s="40">
        <v>46266</v>
      </c>
      <c r="AC593" s="36" t="s">
        <v>2196</v>
      </c>
      <c r="AD593" s="36" t="str">
        <f>VLOOKUP(D593,Oficial!A:C,3,0)</f>
        <v>Arrastre</v>
      </c>
    </row>
    <row r="594" spans="1:30" x14ac:dyDescent="0.25">
      <c r="A594" s="36" t="s">
        <v>27</v>
      </c>
      <c r="B594" s="36" t="s">
        <v>493</v>
      </c>
      <c r="C594" s="36" t="s">
        <v>28</v>
      </c>
      <c r="D594" s="36" t="s">
        <v>493</v>
      </c>
      <c r="E594" s="36" t="s">
        <v>30</v>
      </c>
      <c r="F594" s="36" t="s">
        <v>31</v>
      </c>
      <c r="G594" s="37" t="s">
        <v>439</v>
      </c>
      <c r="H594" s="36" t="s">
        <v>494</v>
      </c>
      <c r="I594" s="36" t="s">
        <v>495</v>
      </c>
      <c r="J594" s="36">
        <v>1</v>
      </c>
      <c r="K594" s="36" t="s">
        <v>496</v>
      </c>
      <c r="L594" s="36">
        <v>4</v>
      </c>
      <c r="M594" s="36">
        <v>1</v>
      </c>
      <c r="N594" s="38">
        <v>146000000</v>
      </c>
      <c r="O594" s="44">
        <v>6083333</v>
      </c>
      <c r="P594" s="36">
        <v>24</v>
      </c>
      <c r="Q594" s="36" t="s">
        <v>278</v>
      </c>
      <c r="R594" s="36" t="s">
        <v>497</v>
      </c>
      <c r="S594" s="36" t="s">
        <v>302</v>
      </c>
      <c r="T594" s="36" t="s">
        <v>184</v>
      </c>
      <c r="U594" s="36" t="s">
        <v>498</v>
      </c>
      <c r="V594" s="40">
        <v>45870</v>
      </c>
      <c r="W594" s="40">
        <v>45889</v>
      </c>
      <c r="X594" s="36">
        <v>0</v>
      </c>
      <c r="Y594" s="36"/>
      <c r="Z594" s="36">
        <v>1</v>
      </c>
      <c r="AA594" s="36">
        <v>6083333</v>
      </c>
      <c r="AB594" s="40">
        <v>46143</v>
      </c>
      <c r="AC594" s="36" t="s">
        <v>2196</v>
      </c>
      <c r="AD594" s="36" t="str">
        <f>VLOOKUP(D594,Oficial!A:C,3,0)</f>
        <v>Arrastre</v>
      </c>
    </row>
    <row r="595" spans="1:30" x14ac:dyDescent="0.25">
      <c r="A595" s="36" t="s">
        <v>27</v>
      </c>
      <c r="B595" s="36" t="s">
        <v>493</v>
      </c>
      <c r="C595" s="36" t="s">
        <v>28</v>
      </c>
      <c r="D595" s="36" t="s">
        <v>493</v>
      </c>
      <c r="E595" s="36" t="s">
        <v>30</v>
      </c>
      <c r="F595" s="36" t="s">
        <v>31</v>
      </c>
      <c r="G595" s="37" t="s">
        <v>439</v>
      </c>
      <c r="H595" s="36" t="s">
        <v>494</v>
      </c>
      <c r="I595" s="36" t="s">
        <v>495</v>
      </c>
      <c r="J595" s="36">
        <v>1</v>
      </c>
      <c r="K595" s="36" t="s">
        <v>496</v>
      </c>
      <c r="L595" s="36">
        <v>4</v>
      </c>
      <c r="M595" s="36">
        <v>1</v>
      </c>
      <c r="N595" s="38">
        <v>146000000</v>
      </c>
      <c r="O595" s="44">
        <v>6083333</v>
      </c>
      <c r="P595" s="36">
        <v>24</v>
      </c>
      <c r="Q595" s="36" t="s">
        <v>278</v>
      </c>
      <c r="R595" s="36" t="s">
        <v>497</v>
      </c>
      <c r="S595" s="36" t="s">
        <v>302</v>
      </c>
      <c r="T595" s="36" t="s">
        <v>184</v>
      </c>
      <c r="U595" s="36" t="s">
        <v>498</v>
      </c>
      <c r="V595" s="40">
        <v>45870</v>
      </c>
      <c r="W595" s="40">
        <v>45889</v>
      </c>
      <c r="X595" s="36">
        <v>0</v>
      </c>
      <c r="Y595" s="36"/>
      <c r="Z595" s="36">
        <v>1</v>
      </c>
      <c r="AA595" s="36">
        <v>6083333</v>
      </c>
      <c r="AB595" s="40">
        <v>46327</v>
      </c>
      <c r="AC595" s="36" t="s">
        <v>2196</v>
      </c>
      <c r="AD595" s="36" t="str">
        <f>VLOOKUP(D595,Oficial!A:C,3,0)</f>
        <v>Arrastre</v>
      </c>
    </row>
    <row r="596" spans="1:30" x14ac:dyDescent="0.25">
      <c r="A596" s="36" t="s">
        <v>27</v>
      </c>
      <c r="B596" s="36" t="s">
        <v>499</v>
      </c>
      <c r="C596" s="36" t="s">
        <v>28</v>
      </c>
      <c r="D596" s="36" t="s">
        <v>499</v>
      </c>
      <c r="E596" s="36" t="s">
        <v>30</v>
      </c>
      <c r="F596" s="36" t="s">
        <v>31</v>
      </c>
      <c r="G596" s="37" t="s">
        <v>500</v>
      </c>
      <c r="H596" s="36" t="s">
        <v>501</v>
      </c>
      <c r="I596" s="36" t="s">
        <v>502</v>
      </c>
      <c r="J596" s="36">
        <v>1</v>
      </c>
      <c r="K596" s="36" t="s">
        <v>503</v>
      </c>
      <c r="L596" s="36">
        <v>4</v>
      </c>
      <c r="M596" s="36">
        <v>16</v>
      </c>
      <c r="N596" s="38">
        <v>4687500</v>
      </c>
      <c r="O596" s="38">
        <v>4687500</v>
      </c>
      <c r="P596" s="36">
        <v>16</v>
      </c>
      <c r="Q596" s="36" t="s">
        <v>504</v>
      </c>
      <c r="R596" s="36" t="s">
        <v>505</v>
      </c>
      <c r="S596" s="36" t="s">
        <v>506</v>
      </c>
      <c r="T596" s="36" t="s">
        <v>507</v>
      </c>
      <c r="U596" s="36" t="s">
        <v>508</v>
      </c>
      <c r="V596" s="40">
        <v>45870</v>
      </c>
      <c r="W596" s="40">
        <v>45889</v>
      </c>
      <c r="X596" s="36">
        <v>0</v>
      </c>
      <c r="Y596" s="36"/>
      <c r="Z596" s="36">
        <v>1</v>
      </c>
      <c r="AA596" s="36">
        <v>4687500</v>
      </c>
      <c r="AB596" s="40">
        <v>46054</v>
      </c>
      <c r="AC596" s="36" t="s">
        <v>2196</v>
      </c>
      <c r="AD596" s="36" t="str">
        <f>VLOOKUP(D596,Oficial!A:C,3,0)</f>
        <v>Arrastre</v>
      </c>
    </row>
    <row r="597" spans="1:30" x14ac:dyDescent="0.25">
      <c r="A597" s="36" t="s">
        <v>27</v>
      </c>
      <c r="B597" s="36" t="s">
        <v>499</v>
      </c>
      <c r="C597" s="36" t="s">
        <v>28</v>
      </c>
      <c r="D597" s="36" t="s">
        <v>499</v>
      </c>
      <c r="E597" s="36" t="s">
        <v>30</v>
      </c>
      <c r="F597" s="36" t="s">
        <v>31</v>
      </c>
      <c r="G597" s="37" t="s">
        <v>500</v>
      </c>
      <c r="H597" s="36" t="s">
        <v>501</v>
      </c>
      <c r="I597" s="36" t="s">
        <v>502</v>
      </c>
      <c r="J597" s="36">
        <v>1</v>
      </c>
      <c r="K597" s="36" t="s">
        <v>503</v>
      </c>
      <c r="L597" s="36">
        <v>4</v>
      </c>
      <c r="M597" s="36">
        <v>16</v>
      </c>
      <c r="N597" s="38">
        <v>4687500</v>
      </c>
      <c r="O597" s="38">
        <v>4687500</v>
      </c>
      <c r="P597" s="36">
        <v>16</v>
      </c>
      <c r="Q597" s="36" t="s">
        <v>504</v>
      </c>
      <c r="R597" s="36" t="s">
        <v>505</v>
      </c>
      <c r="S597" s="36" t="s">
        <v>506</v>
      </c>
      <c r="T597" s="36" t="s">
        <v>507</v>
      </c>
      <c r="U597" s="36" t="s">
        <v>508</v>
      </c>
      <c r="V597" s="40">
        <v>45870</v>
      </c>
      <c r="W597" s="40">
        <v>45889</v>
      </c>
      <c r="X597" s="36">
        <v>0</v>
      </c>
      <c r="Y597" s="36"/>
      <c r="Z597" s="36">
        <v>1</v>
      </c>
      <c r="AA597" s="36">
        <v>4687500</v>
      </c>
      <c r="AB597" s="40">
        <v>46327</v>
      </c>
      <c r="AC597" s="36" t="s">
        <v>2196</v>
      </c>
      <c r="AD597" s="36" t="str">
        <f>VLOOKUP(D597,Oficial!A:C,3,0)</f>
        <v>Arrastre</v>
      </c>
    </row>
    <row r="598" spans="1:30" x14ac:dyDescent="0.25">
      <c r="A598" s="36" t="s">
        <v>27</v>
      </c>
      <c r="B598" s="36" t="s">
        <v>499</v>
      </c>
      <c r="C598" s="36" t="s">
        <v>28</v>
      </c>
      <c r="D598" s="36" t="s">
        <v>499</v>
      </c>
      <c r="E598" s="36" t="s">
        <v>30</v>
      </c>
      <c r="F598" s="36" t="s">
        <v>31</v>
      </c>
      <c r="G598" s="37" t="s">
        <v>500</v>
      </c>
      <c r="H598" s="36" t="s">
        <v>501</v>
      </c>
      <c r="I598" s="36" t="s">
        <v>502</v>
      </c>
      <c r="J598" s="36">
        <v>1</v>
      </c>
      <c r="K598" s="36" t="s">
        <v>503</v>
      </c>
      <c r="L598" s="36">
        <v>4</v>
      </c>
      <c r="M598" s="36">
        <v>16</v>
      </c>
      <c r="N598" s="38">
        <v>4687500</v>
      </c>
      <c r="O598" s="38">
        <v>4687500</v>
      </c>
      <c r="P598" s="36">
        <v>16</v>
      </c>
      <c r="Q598" s="36" t="s">
        <v>504</v>
      </c>
      <c r="R598" s="36" t="s">
        <v>505</v>
      </c>
      <c r="S598" s="36" t="s">
        <v>506</v>
      </c>
      <c r="T598" s="36" t="s">
        <v>507</v>
      </c>
      <c r="U598" s="36" t="s">
        <v>508</v>
      </c>
      <c r="V598" s="40">
        <v>45870</v>
      </c>
      <c r="W598" s="40">
        <v>45889</v>
      </c>
      <c r="X598" s="36">
        <v>0</v>
      </c>
      <c r="Y598" s="36"/>
      <c r="Z598" s="36">
        <v>1</v>
      </c>
      <c r="AA598" s="36">
        <v>4687500</v>
      </c>
      <c r="AB598" s="40">
        <v>46082</v>
      </c>
      <c r="AC598" s="36" t="s">
        <v>2196</v>
      </c>
      <c r="AD598" s="36" t="str">
        <f>VLOOKUP(D598,Oficial!A:C,3,0)</f>
        <v>Arrastre</v>
      </c>
    </row>
    <row r="599" spans="1:30" x14ac:dyDescent="0.25">
      <c r="A599" s="36" t="s">
        <v>27</v>
      </c>
      <c r="B599" s="36" t="s">
        <v>499</v>
      </c>
      <c r="C599" s="36" t="s">
        <v>28</v>
      </c>
      <c r="D599" s="36" t="s">
        <v>499</v>
      </c>
      <c r="E599" s="36" t="s">
        <v>30</v>
      </c>
      <c r="F599" s="36" t="s">
        <v>31</v>
      </c>
      <c r="G599" s="37" t="s">
        <v>500</v>
      </c>
      <c r="H599" s="36" t="s">
        <v>501</v>
      </c>
      <c r="I599" s="36" t="s">
        <v>502</v>
      </c>
      <c r="J599" s="36">
        <v>1</v>
      </c>
      <c r="K599" s="36" t="s">
        <v>503</v>
      </c>
      <c r="L599" s="36">
        <v>4</v>
      </c>
      <c r="M599" s="36">
        <v>16</v>
      </c>
      <c r="N599" s="38">
        <v>4687500</v>
      </c>
      <c r="O599" s="38">
        <v>4687500</v>
      </c>
      <c r="P599" s="36">
        <v>16</v>
      </c>
      <c r="Q599" s="36" t="s">
        <v>504</v>
      </c>
      <c r="R599" s="36" t="s">
        <v>505</v>
      </c>
      <c r="S599" s="36" t="s">
        <v>506</v>
      </c>
      <c r="T599" s="36" t="s">
        <v>507</v>
      </c>
      <c r="U599" s="36" t="s">
        <v>508</v>
      </c>
      <c r="V599" s="40">
        <v>45870</v>
      </c>
      <c r="W599" s="40">
        <v>45889</v>
      </c>
      <c r="X599" s="36">
        <v>0</v>
      </c>
      <c r="Y599" s="36"/>
      <c r="Z599" s="36">
        <v>1</v>
      </c>
      <c r="AA599" s="36">
        <v>4687500</v>
      </c>
      <c r="AB599" s="40">
        <v>46023</v>
      </c>
      <c r="AC599" s="36" t="s">
        <v>2196</v>
      </c>
      <c r="AD599" s="36" t="str">
        <f>VLOOKUP(D599,Oficial!A:C,3,0)</f>
        <v>Arrastre</v>
      </c>
    </row>
    <row r="600" spans="1:30" x14ac:dyDescent="0.25">
      <c r="A600" s="36" t="s">
        <v>27</v>
      </c>
      <c r="B600" s="36" t="s">
        <v>499</v>
      </c>
      <c r="C600" s="36" t="s">
        <v>28</v>
      </c>
      <c r="D600" s="36" t="s">
        <v>499</v>
      </c>
      <c r="E600" s="36" t="s">
        <v>30</v>
      </c>
      <c r="F600" s="36" t="s">
        <v>31</v>
      </c>
      <c r="G600" s="37" t="s">
        <v>500</v>
      </c>
      <c r="H600" s="36" t="s">
        <v>501</v>
      </c>
      <c r="I600" s="36" t="s">
        <v>502</v>
      </c>
      <c r="J600" s="36">
        <v>1</v>
      </c>
      <c r="K600" s="36" t="s">
        <v>503</v>
      </c>
      <c r="L600" s="36">
        <v>4</v>
      </c>
      <c r="M600" s="36">
        <v>16</v>
      </c>
      <c r="N600" s="38">
        <v>4687500</v>
      </c>
      <c r="O600" s="38">
        <v>4687500</v>
      </c>
      <c r="P600" s="36">
        <v>16</v>
      </c>
      <c r="Q600" s="36" t="s">
        <v>504</v>
      </c>
      <c r="R600" s="36" t="s">
        <v>505</v>
      </c>
      <c r="S600" s="36" t="s">
        <v>506</v>
      </c>
      <c r="T600" s="36" t="s">
        <v>507</v>
      </c>
      <c r="U600" s="36" t="s">
        <v>508</v>
      </c>
      <c r="V600" s="40">
        <v>45870</v>
      </c>
      <c r="W600" s="40">
        <v>45889</v>
      </c>
      <c r="X600" s="36">
        <v>0</v>
      </c>
      <c r="Y600" s="36"/>
      <c r="Z600" s="36">
        <v>1</v>
      </c>
      <c r="AA600" s="36">
        <v>4687500</v>
      </c>
      <c r="AB600" s="40">
        <v>46174</v>
      </c>
      <c r="AC600" s="36" t="s">
        <v>2196</v>
      </c>
      <c r="AD600" s="36" t="str">
        <f>VLOOKUP(D600,Oficial!A:C,3,0)</f>
        <v>Arrastre</v>
      </c>
    </row>
    <row r="601" spans="1:30" x14ac:dyDescent="0.25">
      <c r="A601" s="36" t="s">
        <v>27</v>
      </c>
      <c r="B601" s="36" t="s">
        <v>499</v>
      </c>
      <c r="C601" s="36" t="s">
        <v>28</v>
      </c>
      <c r="D601" s="36" t="s">
        <v>499</v>
      </c>
      <c r="E601" s="36" t="s">
        <v>30</v>
      </c>
      <c r="F601" s="36" t="s">
        <v>31</v>
      </c>
      <c r="G601" s="37" t="s">
        <v>500</v>
      </c>
      <c r="H601" s="36" t="s">
        <v>501</v>
      </c>
      <c r="I601" s="36" t="s">
        <v>502</v>
      </c>
      <c r="J601" s="36">
        <v>1</v>
      </c>
      <c r="K601" s="36" t="s">
        <v>503</v>
      </c>
      <c r="L601" s="36">
        <v>4</v>
      </c>
      <c r="M601" s="36">
        <v>16</v>
      </c>
      <c r="N601" s="38">
        <v>4687500</v>
      </c>
      <c r="O601" s="38">
        <v>4687500</v>
      </c>
      <c r="P601" s="36">
        <v>16</v>
      </c>
      <c r="Q601" s="36" t="s">
        <v>504</v>
      </c>
      <c r="R601" s="36" t="s">
        <v>505</v>
      </c>
      <c r="S601" s="36" t="s">
        <v>506</v>
      </c>
      <c r="T601" s="36" t="s">
        <v>507</v>
      </c>
      <c r="U601" s="36" t="s">
        <v>508</v>
      </c>
      <c r="V601" s="40">
        <v>45870</v>
      </c>
      <c r="W601" s="40">
        <v>45889</v>
      </c>
      <c r="X601" s="36">
        <v>0</v>
      </c>
      <c r="Y601" s="36"/>
      <c r="Z601" s="36">
        <v>1</v>
      </c>
      <c r="AA601" s="36">
        <v>4687500</v>
      </c>
      <c r="AB601" s="40">
        <v>46113</v>
      </c>
      <c r="AC601" s="36" t="s">
        <v>2196</v>
      </c>
      <c r="AD601" s="36" t="str">
        <f>VLOOKUP(D601,Oficial!A:C,3,0)</f>
        <v>Arrastre</v>
      </c>
    </row>
    <row r="602" spans="1:30" x14ac:dyDescent="0.25">
      <c r="A602" s="36" t="s">
        <v>27</v>
      </c>
      <c r="B602" s="36" t="s">
        <v>499</v>
      </c>
      <c r="C602" s="36" t="s">
        <v>28</v>
      </c>
      <c r="D602" s="36" t="s">
        <v>499</v>
      </c>
      <c r="E602" s="36" t="s">
        <v>30</v>
      </c>
      <c r="F602" s="36" t="s">
        <v>31</v>
      </c>
      <c r="G602" s="37" t="s">
        <v>500</v>
      </c>
      <c r="H602" s="36" t="s">
        <v>501</v>
      </c>
      <c r="I602" s="36" t="s">
        <v>502</v>
      </c>
      <c r="J602" s="36">
        <v>1</v>
      </c>
      <c r="K602" s="36" t="s">
        <v>503</v>
      </c>
      <c r="L602" s="36">
        <v>4</v>
      </c>
      <c r="M602" s="36">
        <v>16</v>
      </c>
      <c r="N602" s="38">
        <v>4687500</v>
      </c>
      <c r="O602" s="38">
        <v>4687500</v>
      </c>
      <c r="P602" s="36">
        <v>16</v>
      </c>
      <c r="Q602" s="36" t="s">
        <v>504</v>
      </c>
      <c r="R602" s="36" t="s">
        <v>505</v>
      </c>
      <c r="S602" s="36" t="s">
        <v>506</v>
      </c>
      <c r="T602" s="36" t="s">
        <v>507</v>
      </c>
      <c r="U602" s="36" t="s">
        <v>508</v>
      </c>
      <c r="V602" s="40">
        <v>45870</v>
      </c>
      <c r="W602" s="40">
        <v>45889</v>
      </c>
      <c r="X602" s="36">
        <v>0</v>
      </c>
      <c r="Y602" s="36"/>
      <c r="Z602" s="36">
        <v>1</v>
      </c>
      <c r="AA602" s="36">
        <v>4687500</v>
      </c>
      <c r="AB602" s="40">
        <v>46204</v>
      </c>
      <c r="AC602" s="36" t="s">
        <v>2196</v>
      </c>
      <c r="AD602" s="36" t="str">
        <f>VLOOKUP(D602,Oficial!A:C,3,0)</f>
        <v>Arrastre</v>
      </c>
    </row>
    <row r="603" spans="1:30" x14ac:dyDescent="0.25">
      <c r="A603" s="36" t="s">
        <v>27</v>
      </c>
      <c r="B603" s="36" t="s">
        <v>499</v>
      </c>
      <c r="C603" s="36" t="s">
        <v>28</v>
      </c>
      <c r="D603" s="36" t="s">
        <v>499</v>
      </c>
      <c r="E603" s="36" t="s">
        <v>30</v>
      </c>
      <c r="F603" s="36" t="s">
        <v>31</v>
      </c>
      <c r="G603" s="37" t="s">
        <v>500</v>
      </c>
      <c r="H603" s="36" t="s">
        <v>501</v>
      </c>
      <c r="I603" s="36" t="s">
        <v>502</v>
      </c>
      <c r="J603" s="36">
        <v>1</v>
      </c>
      <c r="K603" s="36" t="s">
        <v>503</v>
      </c>
      <c r="L603" s="36">
        <v>4</v>
      </c>
      <c r="M603" s="36">
        <v>16</v>
      </c>
      <c r="N603" s="38">
        <v>4687500</v>
      </c>
      <c r="O603" s="38">
        <v>4687500</v>
      </c>
      <c r="P603" s="36">
        <v>16</v>
      </c>
      <c r="Q603" s="36" t="s">
        <v>504</v>
      </c>
      <c r="R603" s="36" t="s">
        <v>505</v>
      </c>
      <c r="S603" s="36" t="s">
        <v>506</v>
      </c>
      <c r="T603" s="36" t="s">
        <v>507</v>
      </c>
      <c r="U603" s="36" t="s">
        <v>508</v>
      </c>
      <c r="V603" s="40">
        <v>45870</v>
      </c>
      <c r="W603" s="40">
        <v>45889</v>
      </c>
      <c r="X603" s="36">
        <v>0</v>
      </c>
      <c r="Y603" s="36"/>
      <c r="Z603" s="36">
        <v>1</v>
      </c>
      <c r="AA603" s="36">
        <v>4687500</v>
      </c>
      <c r="AB603" s="40">
        <v>46143</v>
      </c>
      <c r="AC603" s="36" t="s">
        <v>2196</v>
      </c>
      <c r="AD603" s="36" t="str">
        <f>VLOOKUP(D603,Oficial!A:C,3,0)</f>
        <v>Arrastre</v>
      </c>
    </row>
    <row r="604" spans="1:30" x14ac:dyDescent="0.25">
      <c r="A604" s="36" t="s">
        <v>27</v>
      </c>
      <c r="B604" s="36" t="s">
        <v>499</v>
      </c>
      <c r="C604" s="36" t="s">
        <v>28</v>
      </c>
      <c r="D604" s="36" t="s">
        <v>499</v>
      </c>
      <c r="E604" s="36" t="s">
        <v>30</v>
      </c>
      <c r="F604" s="36" t="s">
        <v>31</v>
      </c>
      <c r="G604" s="37" t="s">
        <v>500</v>
      </c>
      <c r="H604" s="36" t="s">
        <v>501</v>
      </c>
      <c r="I604" s="36" t="s">
        <v>502</v>
      </c>
      <c r="J604" s="36">
        <v>1</v>
      </c>
      <c r="K604" s="36" t="s">
        <v>503</v>
      </c>
      <c r="L604" s="36">
        <v>4</v>
      </c>
      <c r="M604" s="36">
        <v>16</v>
      </c>
      <c r="N604" s="38">
        <v>4687500</v>
      </c>
      <c r="O604" s="38">
        <v>4687500</v>
      </c>
      <c r="P604" s="36">
        <v>16</v>
      </c>
      <c r="Q604" s="36" t="s">
        <v>504</v>
      </c>
      <c r="R604" s="36" t="s">
        <v>505</v>
      </c>
      <c r="S604" s="36" t="s">
        <v>506</v>
      </c>
      <c r="T604" s="36" t="s">
        <v>507</v>
      </c>
      <c r="U604" s="36" t="s">
        <v>508</v>
      </c>
      <c r="V604" s="40">
        <v>45870</v>
      </c>
      <c r="W604" s="40">
        <v>45889</v>
      </c>
      <c r="X604" s="36">
        <v>0</v>
      </c>
      <c r="Y604" s="36"/>
      <c r="Z604" s="36">
        <v>1</v>
      </c>
      <c r="AA604" s="36">
        <v>4687500</v>
      </c>
      <c r="AB604" s="40">
        <v>46357</v>
      </c>
      <c r="AC604" s="36" t="s">
        <v>2196</v>
      </c>
      <c r="AD604" s="36" t="str">
        <f>VLOOKUP(D604,Oficial!A:C,3,0)</f>
        <v>Arrastre</v>
      </c>
    </row>
    <row r="605" spans="1:30" x14ac:dyDescent="0.25">
      <c r="A605" s="36" t="s">
        <v>27</v>
      </c>
      <c r="B605" s="36" t="s">
        <v>499</v>
      </c>
      <c r="C605" s="36" t="s">
        <v>28</v>
      </c>
      <c r="D605" s="36" t="s">
        <v>499</v>
      </c>
      <c r="E605" s="36" t="s">
        <v>30</v>
      </c>
      <c r="F605" s="36" t="s">
        <v>31</v>
      </c>
      <c r="G605" s="37" t="s">
        <v>500</v>
      </c>
      <c r="H605" s="36" t="s">
        <v>501</v>
      </c>
      <c r="I605" s="36" t="s">
        <v>502</v>
      </c>
      <c r="J605" s="36">
        <v>1</v>
      </c>
      <c r="K605" s="36" t="s">
        <v>503</v>
      </c>
      <c r="L605" s="36">
        <v>4</v>
      </c>
      <c r="M605" s="36">
        <v>16</v>
      </c>
      <c r="N605" s="38">
        <v>4687500</v>
      </c>
      <c r="O605" s="38">
        <v>4687500</v>
      </c>
      <c r="P605" s="36">
        <v>16</v>
      </c>
      <c r="Q605" s="36" t="s">
        <v>504</v>
      </c>
      <c r="R605" s="36" t="s">
        <v>505</v>
      </c>
      <c r="S605" s="36" t="s">
        <v>506</v>
      </c>
      <c r="T605" s="36" t="s">
        <v>507</v>
      </c>
      <c r="U605" s="36" t="s">
        <v>508</v>
      </c>
      <c r="V605" s="40">
        <v>45870</v>
      </c>
      <c r="W605" s="40">
        <v>45889</v>
      </c>
      <c r="X605" s="36">
        <v>0</v>
      </c>
      <c r="Y605" s="36"/>
      <c r="Z605" s="36">
        <v>1</v>
      </c>
      <c r="AA605" s="36">
        <v>4687500</v>
      </c>
      <c r="AB605" s="40">
        <v>46296</v>
      </c>
      <c r="AC605" s="36" t="s">
        <v>2196</v>
      </c>
      <c r="AD605" s="36" t="str">
        <f>VLOOKUP(D605,Oficial!A:C,3,0)</f>
        <v>Arrastre</v>
      </c>
    </row>
    <row r="606" spans="1:30" x14ac:dyDescent="0.25">
      <c r="A606" s="36" t="s">
        <v>27</v>
      </c>
      <c r="B606" s="36" t="s">
        <v>499</v>
      </c>
      <c r="C606" s="36" t="s">
        <v>28</v>
      </c>
      <c r="D606" s="36" t="s">
        <v>499</v>
      </c>
      <c r="E606" s="36" t="s">
        <v>30</v>
      </c>
      <c r="F606" s="36" t="s">
        <v>31</v>
      </c>
      <c r="G606" s="37" t="s">
        <v>500</v>
      </c>
      <c r="H606" s="36" t="s">
        <v>501</v>
      </c>
      <c r="I606" s="36" t="s">
        <v>502</v>
      </c>
      <c r="J606" s="36">
        <v>1</v>
      </c>
      <c r="K606" s="36" t="s">
        <v>503</v>
      </c>
      <c r="L606" s="36">
        <v>4</v>
      </c>
      <c r="M606" s="36">
        <v>16</v>
      </c>
      <c r="N606" s="38">
        <v>4687500</v>
      </c>
      <c r="O606" s="38">
        <v>4687500</v>
      </c>
      <c r="P606" s="36">
        <v>16</v>
      </c>
      <c r="Q606" s="36" t="s">
        <v>504</v>
      </c>
      <c r="R606" s="36" t="s">
        <v>505</v>
      </c>
      <c r="S606" s="36" t="s">
        <v>506</v>
      </c>
      <c r="T606" s="36" t="s">
        <v>507</v>
      </c>
      <c r="U606" s="36" t="s">
        <v>508</v>
      </c>
      <c r="V606" s="40">
        <v>45870</v>
      </c>
      <c r="W606" s="40">
        <v>45889</v>
      </c>
      <c r="X606" s="36">
        <v>0</v>
      </c>
      <c r="Y606" s="36"/>
      <c r="Z606" s="36">
        <v>1</v>
      </c>
      <c r="AA606" s="36">
        <v>4687500</v>
      </c>
      <c r="AB606" s="40">
        <v>46266</v>
      </c>
      <c r="AC606" s="36" t="s">
        <v>2196</v>
      </c>
      <c r="AD606" s="36" t="str">
        <f>VLOOKUP(D606,Oficial!A:C,3,0)</f>
        <v>Arrastre</v>
      </c>
    </row>
    <row r="607" spans="1:30" x14ac:dyDescent="0.25">
      <c r="A607" s="36" t="s">
        <v>27</v>
      </c>
      <c r="B607" s="36" t="s">
        <v>499</v>
      </c>
      <c r="C607" s="36" t="s">
        <v>28</v>
      </c>
      <c r="D607" s="36" t="s">
        <v>499</v>
      </c>
      <c r="E607" s="36" t="s">
        <v>30</v>
      </c>
      <c r="F607" s="36" t="s">
        <v>31</v>
      </c>
      <c r="G607" s="37" t="s">
        <v>500</v>
      </c>
      <c r="H607" s="36" t="s">
        <v>501</v>
      </c>
      <c r="I607" s="36" t="s">
        <v>502</v>
      </c>
      <c r="J607" s="36">
        <v>1</v>
      </c>
      <c r="K607" s="36" t="s">
        <v>503</v>
      </c>
      <c r="L607" s="36">
        <v>4</v>
      </c>
      <c r="M607" s="36">
        <v>16</v>
      </c>
      <c r="N607" s="38">
        <v>4687500</v>
      </c>
      <c r="O607" s="38">
        <v>4687500</v>
      </c>
      <c r="P607" s="36">
        <v>16</v>
      </c>
      <c r="Q607" s="36" t="s">
        <v>504</v>
      </c>
      <c r="R607" s="36" t="s">
        <v>505</v>
      </c>
      <c r="S607" s="36" t="s">
        <v>506</v>
      </c>
      <c r="T607" s="36" t="s">
        <v>507</v>
      </c>
      <c r="U607" s="36" t="s">
        <v>508</v>
      </c>
      <c r="V607" s="40">
        <v>45870</v>
      </c>
      <c r="W607" s="40">
        <v>45889</v>
      </c>
      <c r="X607" s="36">
        <v>0</v>
      </c>
      <c r="Y607" s="36"/>
      <c r="Z607" s="36">
        <v>1</v>
      </c>
      <c r="AA607" s="36">
        <v>4687500</v>
      </c>
      <c r="AB607" s="40">
        <v>46235</v>
      </c>
      <c r="AC607" s="36" t="s">
        <v>2196</v>
      </c>
      <c r="AD607" s="36" t="str">
        <f>VLOOKUP(D607,Oficial!A:C,3,0)</f>
        <v>Arrastre</v>
      </c>
    </row>
    <row r="608" spans="1:30" x14ac:dyDescent="0.25">
      <c r="A608" s="36" t="s">
        <v>27</v>
      </c>
      <c r="B608" s="36" t="s">
        <v>509</v>
      </c>
      <c r="C608" s="36" t="s">
        <v>28</v>
      </c>
      <c r="D608" s="36" t="s">
        <v>509</v>
      </c>
      <c r="E608" s="36" t="s">
        <v>30</v>
      </c>
      <c r="F608" s="36" t="s">
        <v>31</v>
      </c>
      <c r="G608" s="37" t="s">
        <v>215</v>
      </c>
      <c r="H608" s="36" t="s">
        <v>510</v>
      </c>
      <c r="I608" s="36" t="s">
        <v>511</v>
      </c>
      <c r="J608" s="36">
        <v>1</v>
      </c>
      <c r="K608" s="36" t="s">
        <v>512</v>
      </c>
      <c r="L608" s="36">
        <v>4</v>
      </c>
      <c r="M608" s="36">
        <v>1</v>
      </c>
      <c r="N608" s="38">
        <v>83594337</v>
      </c>
      <c r="O608" s="38">
        <v>6966194</v>
      </c>
      <c r="P608" s="36">
        <v>12</v>
      </c>
      <c r="Q608" s="36" t="s">
        <v>413</v>
      </c>
      <c r="R608" s="36" t="s">
        <v>513</v>
      </c>
      <c r="S608" s="36" t="s">
        <v>514</v>
      </c>
      <c r="T608" s="36" t="s">
        <v>515</v>
      </c>
      <c r="U608" s="36" t="s">
        <v>516</v>
      </c>
      <c r="V608" s="40">
        <v>45870</v>
      </c>
      <c r="W608" s="40">
        <v>45889</v>
      </c>
      <c r="X608" s="36">
        <v>0</v>
      </c>
      <c r="Y608" s="36"/>
      <c r="Z608" s="36">
        <v>1</v>
      </c>
      <c r="AA608" s="36">
        <v>6966194</v>
      </c>
      <c r="AB608" s="40">
        <v>46296</v>
      </c>
      <c r="AC608" s="36" t="s">
        <v>2196</v>
      </c>
      <c r="AD608" s="36" t="str">
        <f>VLOOKUP(D608,Oficial!A:C,3,0)</f>
        <v>Arrastre</v>
      </c>
    </row>
    <row r="609" spans="1:30" x14ac:dyDescent="0.25">
      <c r="A609" s="36" t="s">
        <v>27</v>
      </c>
      <c r="B609" s="36" t="s">
        <v>509</v>
      </c>
      <c r="C609" s="36" t="s">
        <v>28</v>
      </c>
      <c r="D609" s="36" t="s">
        <v>509</v>
      </c>
      <c r="E609" s="36" t="s">
        <v>30</v>
      </c>
      <c r="F609" s="36" t="s">
        <v>31</v>
      </c>
      <c r="G609" s="37" t="s">
        <v>215</v>
      </c>
      <c r="H609" s="36" t="s">
        <v>510</v>
      </c>
      <c r="I609" s="36" t="s">
        <v>511</v>
      </c>
      <c r="J609" s="36">
        <v>1</v>
      </c>
      <c r="K609" s="36" t="s">
        <v>512</v>
      </c>
      <c r="L609" s="36">
        <v>4</v>
      </c>
      <c r="M609" s="36">
        <v>1</v>
      </c>
      <c r="N609" s="38">
        <v>83594337</v>
      </c>
      <c r="O609" s="38">
        <v>6966194</v>
      </c>
      <c r="P609" s="36">
        <v>12</v>
      </c>
      <c r="Q609" s="36" t="s">
        <v>413</v>
      </c>
      <c r="R609" s="36" t="s">
        <v>513</v>
      </c>
      <c r="S609" s="36" t="s">
        <v>514</v>
      </c>
      <c r="T609" s="36" t="s">
        <v>515</v>
      </c>
      <c r="U609" s="36" t="s">
        <v>516</v>
      </c>
      <c r="V609" s="40">
        <v>45870</v>
      </c>
      <c r="W609" s="40">
        <v>45889</v>
      </c>
      <c r="X609" s="36">
        <v>0</v>
      </c>
      <c r="Y609" s="36"/>
      <c r="Z609" s="36">
        <v>1</v>
      </c>
      <c r="AA609" s="36">
        <v>6966194</v>
      </c>
      <c r="AB609" s="40">
        <v>46204</v>
      </c>
      <c r="AC609" s="36" t="s">
        <v>2196</v>
      </c>
      <c r="AD609" s="36" t="str">
        <f>VLOOKUP(D609,Oficial!A:C,3,0)</f>
        <v>Arrastre</v>
      </c>
    </row>
    <row r="610" spans="1:30" x14ac:dyDescent="0.25">
      <c r="A610" s="36" t="s">
        <v>27</v>
      </c>
      <c r="B610" s="36" t="s">
        <v>509</v>
      </c>
      <c r="C610" s="36" t="s">
        <v>28</v>
      </c>
      <c r="D610" s="36" t="s">
        <v>509</v>
      </c>
      <c r="E610" s="36" t="s">
        <v>30</v>
      </c>
      <c r="F610" s="36" t="s">
        <v>31</v>
      </c>
      <c r="G610" s="37" t="s">
        <v>215</v>
      </c>
      <c r="H610" s="36" t="s">
        <v>510</v>
      </c>
      <c r="I610" s="36" t="s">
        <v>511</v>
      </c>
      <c r="J610" s="36">
        <v>1</v>
      </c>
      <c r="K610" s="36" t="s">
        <v>512</v>
      </c>
      <c r="L610" s="36">
        <v>4</v>
      </c>
      <c r="M610" s="36">
        <v>1</v>
      </c>
      <c r="N610" s="38">
        <v>83594337</v>
      </c>
      <c r="O610" s="38">
        <v>6966194</v>
      </c>
      <c r="P610" s="36">
        <v>12</v>
      </c>
      <c r="Q610" s="36" t="s">
        <v>413</v>
      </c>
      <c r="R610" s="36" t="s">
        <v>513</v>
      </c>
      <c r="S610" s="36" t="s">
        <v>514</v>
      </c>
      <c r="T610" s="36" t="s">
        <v>515</v>
      </c>
      <c r="U610" s="36" t="s">
        <v>516</v>
      </c>
      <c r="V610" s="40">
        <v>45870</v>
      </c>
      <c r="W610" s="40">
        <v>45889</v>
      </c>
      <c r="X610" s="36">
        <v>0</v>
      </c>
      <c r="Y610" s="36"/>
      <c r="Z610" s="36">
        <v>1</v>
      </c>
      <c r="AA610" s="36">
        <v>6966194</v>
      </c>
      <c r="AB610" s="40">
        <v>46023</v>
      </c>
      <c r="AC610" s="36" t="s">
        <v>2196</v>
      </c>
      <c r="AD610" s="36" t="str">
        <f>VLOOKUP(D610,Oficial!A:C,3,0)</f>
        <v>Arrastre</v>
      </c>
    </row>
    <row r="611" spans="1:30" x14ac:dyDescent="0.25">
      <c r="A611" s="36" t="s">
        <v>27</v>
      </c>
      <c r="B611" s="36" t="s">
        <v>509</v>
      </c>
      <c r="C611" s="36" t="s">
        <v>28</v>
      </c>
      <c r="D611" s="36" t="s">
        <v>509</v>
      </c>
      <c r="E611" s="36" t="s">
        <v>30</v>
      </c>
      <c r="F611" s="36" t="s">
        <v>31</v>
      </c>
      <c r="G611" s="37" t="s">
        <v>215</v>
      </c>
      <c r="H611" s="36" t="s">
        <v>510</v>
      </c>
      <c r="I611" s="36" t="s">
        <v>511</v>
      </c>
      <c r="J611" s="36">
        <v>1</v>
      </c>
      <c r="K611" s="36" t="s">
        <v>512</v>
      </c>
      <c r="L611" s="36">
        <v>4</v>
      </c>
      <c r="M611" s="36">
        <v>1</v>
      </c>
      <c r="N611" s="38">
        <v>83594337</v>
      </c>
      <c r="O611" s="38">
        <v>6966194</v>
      </c>
      <c r="P611" s="36">
        <v>12</v>
      </c>
      <c r="Q611" s="36" t="s">
        <v>413</v>
      </c>
      <c r="R611" s="36" t="s">
        <v>513</v>
      </c>
      <c r="S611" s="36" t="s">
        <v>514</v>
      </c>
      <c r="T611" s="36" t="s">
        <v>515</v>
      </c>
      <c r="U611" s="36" t="s">
        <v>516</v>
      </c>
      <c r="V611" s="40">
        <v>45870</v>
      </c>
      <c r="W611" s="40">
        <v>45889</v>
      </c>
      <c r="X611" s="36">
        <v>0</v>
      </c>
      <c r="Y611" s="36"/>
      <c r="Z611" s="36">
        <v>1</v>
      </c>
      <c r="AA611" s="36">
        <v>6966194</v>
      </c>
      <c r="AB611" s="40">
        <v>46143</v>
      </c>
      <c r="AC611" s="36" t="s">
        <v>2196</v>
      </c>
      <c r="AD611" s="36" t="str">
        <f>VLOOKUP(D611,Oficial!A:C,3,0)</f>
        <v>Arrastre</v>
      </c>
    </row>
    <row r="612" spans="1:30" x14ac:dyDescent="0.25">
      <c r="A612" s="36" t="s">
        <v>27</v>
      </c>
      <c r="B612" s="36" t="s">
        <v>509</v>
      </c>
      <c r="C612" s="36" t="s">
        <v>28</v>
      </c>
      <c r="D612" s="36" t="s">
        <v>509</v>
      </c>
      <c r="E612" s="36" t="s">
        <v>30</v>
      </c>
      <c r="F612" s="36" t="s">
        <v>31</v>
      </c>
      <c r="G612" s="37" t="s">
        <v>215</v>
      </c>
      <c r="H612" s="36" t="s">
        <v>510</v>
      </c>
      <c r="I612" s="36" t="s">
        <v>511</v>
      </c>
      <c r="J612" s="36">
        <v>1</v>
      </c>
      <c r="K612" s="36" t="s">
        <v>512</v>
      </c>
      <c r="L612" s="36">
        <v>4</v>
      </c>
      <c r="M612" s="36">
        <v>1</v>
      </c>
      <c r="N612" s="38">
        <v>83594337</v>
      </c>
      <c r="O612" s="38">
        <v>6966194</v>
      </c>
      <c r="P612" s="36">
        <v>12</v>
      </c>
      <c r="Q612" s="36" t="s">
        <v>413</v>
      </c>
      <c r="R612" s="36" t="s">
        <v>513</v>
      </c>
      <c r="S612" s="36" t="s">
        <v>514</v>
      </c>
      <c r="T612" s="36" t="s">
        <v>515</v>
      </c>
      <c r="U612" s="36" t="s">
        <v>516</v>
      </c>
      <c r="V612" s="40">
        <v>45870</v>
      </c>
      <c r="W612" s="40">
        <v>45889</v>
      </c>
      <c r="X612" s="36">
        <v>0</v>
      </c>
      <c r="Y612" s="36"/>
      <c r="Z612" s="36">
        <v>1</v>
      </c>
      <c r="AA612" s="36">
        <v>6966194</v>
      </c>
      <c r="AB612" s="40">
        <v>46174</v>
      </c>
      <c r="AC612" s="36" t="s">
        <v>2196</v>
      </c>
      <c r="AD612" s="36" t="str">
        <f>VLOOKUP(D612,Oficial!A:C,3,0)</f>
        <v>Arrastre</v>
      </c>
    </row>
    <row r="613" spans="1:30" x14ac:dyDescent="0.25">
      <c r="A613" s="36" t="s">
        <v>27</v>
      </c>
      <c r="B613" s="36" t="s">
        <v>509</v>
      </c>
      <c r="C613" s="36" t="s">
        <v>28</v>
      </c>
      <c r="D613" s="36" t="s">
        <v>509</v>
      </c>
      <c r="E613" s="36" t="s">
        <v>30</v>
      </c>
      <c r="F613" s="36" t="s">
        <v>31</v>
      </c>
      <c r="G613" s="37" t="s">
        <v>215</v>
      </c>
      <c r="H613" s="36" t="s">
        <v>510</v>
      </c>
      <c r="I613" s="36" t="s">
        <v>511</v>
      </c>
      <c r="J613" s="36">
        <v>1</v>
      </c>
      <c r="K613" s="36" t="s">
        <v>512</v>
      </c>
      <c r="L613" s="36">
        <v>4</v>
      </c>
      <c r="M613" s="36">
        <v>1</v>
      </c>
      <c r="N613" s="38">
        <v>83594337</v>
      </c>
      <c r="O613" s="38">
        <v>6966194</v>
      </c>
      <c r="P613" s="36">
        <v>12</v>
      </c>
      <c r="Q613" s="36" t="s">
        <v>413</v>
      </c>
      <c r="R613" s="36" t="s">
        <v>513</v>
      </c>
      <c r="S613" s="36" t="s">
        <v>514</v>
      </c>
      <c r="T613" s="36" t="s">
        <v>515</v>
      </c>
      <c r="U613" s="36" t="s">
        <v>516</v>
      </c>
      <c r="V613" s="40">
        <v>45870</v>
      </c>
      <c r="W613" s="40">
        <v>45889</v>
      </c>
      <c r="X613" s="36">
        <v>0</v>
      </c>
      <c r="Y613" s="36"/>
      <c r="Z613" s="36">
        <v>1</v>
      </c>
      <c r="AA613" s="36">
        <v>6966194</v>
      </c>
      <c r="AB613" s="40">
        <v>46113</v>
      </c>
      <c r="AC613" s="36" t="s">
        <v>2196</v>
      </c>
      <c r="AD613" s="36" t="str">
        <f>VLOOKUP(D613,Oficial!A:C,3,0)</f>
        <v>Arrastre</v>
      </c>
    </row>
    <row r="614" spans="1:30" x14ac:dyDescent="0.25">
      <c r="A614" s="36" t="s">
        <v>27</v>
      </c>
      <c r="B614" s="36" t="s">
        <v>509</v>
      </c>
      <c r="C614" s="36" t="s">
        <v>28</v>
      </c>
      <c r="D614" s="36" t="s">
        <v>509</v>
      </c>
      <c r="E614" s="36" t="s">
        <v>30</v>
      </c>
      <c r="F614" s="36" t="s">
        <v>31</v>
      </c>
      <c r="G614" s="37" t="s">
        <v>215</v>
      </c>
      <c r="H614" s="36" t="s">
        <v>510</v>
      </c>
      <c r="I614" s="36" t="s">
        <v>511</v>
      </c>
      <c r="J614" s="36">
        <v>1</v>
      </c>
      <c r="K614" s="36" t="s">
        <v>512</v>
      </c>
      <c r="L614" s="36">
        <v>4</v>
      </c>
      <c r="M614" s="36">
        <v>1</v>
      </c>
      <c r="N614" s="38">
        <v>83594337</v>
      </c>
      <c r="O614" s="38">
        <v>6966194</v>
      </c>
      <c r="P614" s="36">
        <v>12</v>
      </c>
      <c r="Q614" s="36" t="s">
        <v>413</v>
      </c>
      <c r="R614" s="36" t="s">
        <v>513</v>
      </c>
      <c r="S614" s="36" t="s">
        <v>514</v>
      </c>
      <c r="T614" s="36" t="s">
        <v>515</v>
      </c>
      <c r="U614" s="36" t="s">
        <v>516</v>
      </c>
      <c r="V614" s="40">
        <v>45870</v>
      </c>
      <c r="W614" s="40">
        <v>45889</v>
      </c>
      <c r="X614" s="36">
        <v>0</v>
      </c>
      <c r="Y614" s="36"/>
      <c r="Z614" s="36">
        <v>1</v>
      </c>
      <c r="AA614" s="36">
        <v>6966194</v>
      </c>
      <c r="AB614" s="40">
        <v>46082</v>
      </c>
      <c r="AC614" s="36" t="s">
        <v>2196</v>
      </c>
      <c r="AD614" s="36" t="str">
        <f>VLOOKUP(D614,Oficial!A:C,3,0)</f>
        <v>Arrastre</v>
      </c>
    </row>
    <row r="615" spans="1:30" x14ac:dyDescent="0.25">
      <c r="A615" s="36" t="s">
        <v>27</v>
      </c>
      <c r="B615" s="36" t="s">
        <v>509</v>
      </c>
      <c r="C615" s="36" t="s">
        <v>28</v>
      </c>
      <c r="D615" s="36" t="s">
        <v>509</v>
      </c>
      <c r="E615" s="36" t="s">
        <v>30</v>
      </c>
      <c r="F615" s="36" t="s">
        <v>31</v>
      </c>
      <c r="G615" s="37" t="s">
        <v>215</v>
      </c>
      <c r="H615" s="36" t="s">
        <v>510</v>
      </c>
      <c r="I615" s="36" t="s">
        <v>511</v>
      </c>
      <c r="J615" s="36">
        <v>1</v>
      </c>
      <c r="K615" s="36" t="s">
        <v>512</v>
      </c>
      <c r="L615" s="36">
        <v>4</v>
      </c>
      <c r="M615" s="36">
        <v>1</v>
      </c>
      <c r="N615" s="38">
        <v>83594337</v>
      </c>
      <c r="O615" s="38">
        <v>6966194</v>
      </c>
      <c r="P615" s="36">
        <v>12</v>
      </c>
      <c r="Q615" s="36" t="s">
        <v>413</v>
      </c>
      <c r="R615" s="36" t="s">
        <v>513</v>
      </c>
      <c r="S615" s="36" t="s">
        <v>514</v>
      </c>
      <c r="T615" s="36" t="s">
        <v>515</v>
      </c>
      <c r="U615" s="36" t="s">
        <v>516</v>
      </c>
      <c r="V615" s="40">
        <v>45870</v>
      </c>
      <c r="W615" s="40">
        <v>45889</v>
      </c>
      <c r="X615" s="36">
        <v>0</v>
      </c>
      <c r="Y615" s="36"/>
      <c r="Z615" s="36">
        <v>1</v>
      </c>
      <c r="AA615" s="36">
        <v>6966194</v>
      </c>
      <c r="AB615" s="40">
        <v>46327</v>
      </c>
      <c r="AC615" s="36" t="s">
        <v>2196</v>
      </c>
      <c r="AD615" s="36" t="str">
        <f>VLOOKUP(D615,Oficial!A:C,3,0)</f>
        <v>Arrastre</v>
      </c>
    </row>
    <row r="616" spans="1:30" x14ac:dyDescent="0.25">
      <c r="A616" s="36" t="s">
        <v>27</v>
      </c>
      <c r="B616" s="36" t="s">
        <v>509</v>
      </c>
      <c r="C616" s="36" t="s">
        <v>28</v>
      </c>
      <c r="D616" s="36" t="s">
        <v>509</v>
      </c>
      <c r="E616" s="36" t="s">
        <v>30</v>
      </c>
      <c r="F616" s="36" t="s">
        <v>31</v>
      </c>
      <c r="G616" s="37" t="s">
        <v>215</v>
      </c>
      <c r="H616" s="36" t="s">
        <v>510</v>
      </c>
      <c r="I616" s="36" t="s">
        <v>511</v>
      </c>
      <c r="J616" s="36">
        <v>1</v>
      </c>
      <c r="K616" s="36" t="s">
        <v>512</v>
      </c>
      <c r="L616" s="36">
        <v>4</v>
      </c>
      <c r="M616" s="36">
        <v>1</v>
      </c>
      <c r="N616" s="38">
        <v>83594337</v>
      </c>
      <c r="O616" s="38">
        <v>6966203</v>
      </c>
      <c r="P616" s="36">
        <v>12</v>
      </c>
      <c r="Q616" s="36" t="s">
        <v>413</v>
      </c>
      <c r="R616" s="36" t="s">
        <v>513</v>
      </c>
      <c r="S616" s="36" t="s">
        <v>514</v>
      </c>
      <c r="T616" s="36" t="s">
        <v>515</v>
      </c>
      <c r="U616" s="36" t="s">
        <v>516</v>
      </c>
      <c r="V616" s="40">
        <v>45870</v>
      </c>
      <c r="W616" s="40">
        <v>45889</v>
      </c>
      <c r="X616" s="36">
        <v>0</v>
      </c>
      <c r="Y616" s="36"/>
      <c r="Z616" s="36">
        <v>1</v>
      </c>
      <c r="AA616" s="36">
        <v>6966203</v>
      </c>
      <c r="AB616" s="40">
        <v>46357</v>
      </c>
      <c r="AC616" s="36" t="s">
        <v>2196</v>
      </c>
      <c r="AD616" s="36" t="str">
        <f>VLOOKUP(D616,Oficial!A:C,3,0)</f>
        <v>Arrastre</v>
      </c>
    </row>
    <row r="617" spans="1:30" x14ac:dyDescent="0.25">
      <c r="A617" s="36" t="s">
        <v>27</v>
      </c>
      <c r="B617" s="36" t="s">
        <v>509</v>
      </c>
      <c r="C617" s="36" t="s">
        <v>28</v>
      </c>
      <c r="D617" s="36" t="s">
        <v>509</v>
      </c>
      <c r="E617" s="36" t="s">
        <v>30</v>
      </c>
      <c r="F617" s="36" t="s">
        <v>31</v>
      </c>
      <c r="G617" s="37" t="s">
        <v>215</v>
      </c>
      <c r="H617" s="36" t="s">
        <v>510</v>
      </c>
      <c r="I617" s="36" t="s">
        <v>511</v>
      </c>
      <c r="J617" s="36">
        <v>1</v>
      </c>
      <c r="K617" s="36" t="s">
        <v>512</v>
      </c>
      <c r="L617" s="36">
        <v>4</v>
      </c>
      <c r="M617" s="36">
        <v>1</v>
      </c>
      <c r="N617" s="38">
        <v>83594337</v>
      </c>
      <c r="O617" s="38">
        <v>6966194</v>
      </c>
      <c r="P617" s="36">
        <v>12</v>
      </c>
      <c r="Q617" s="36" t="s">
        <v>413</v>
      </c>
      <c r="R617" s="36" t="s">
        <v>513</v>
      </c>
      <c r="S617" s="36" t="s">
        <v>514</v>
      </c>
      <c r="T617" s="36" t="s">
        <v>515</v>
      </c>
      <c r="U617" s="36" t="s">
        <v>516</v>
      </c>
      <c r="V617" s="40">
        <v>45870</v>
      </c>
      <c r="W617" s="40">
        <v>45889</v>
      </c>
      <c r="X617" s="36">
        <v>0</v>
      </c>
      <c r="Y617" s="36"/>
      <c r="Z617" s="36">
        <v>1</v>
      </c>
      <c r="AA617" s="36">
        <v>6966194</v>
      </c>
      <c r="AB617" s="40">
        <v>46235</v>
      </c>
      <c r="AC617" s="36" t="s">
        <v>2196</v>
      </c>
      <c r="AD617" s="36" t="str">
        <f>VLOOKUP(D617,Oficial!A:C,3,0)</f>
        <v>Arrastre</v>
      </c>
    </row>
    <row r="618" spans="1:30" x14ac:dyDescent="0.25">
      <c r="A618" s="36" t="s">
        <v>27</v>
      </c>
      <c r="B618" s="36" t="s">
        <v>509</v>
      </c>
      <c r="C618" s="36" t="s">
        <v>28</v>
      </c>
      <c r="D618" s="36" t="s">
        <v>509</v>
      </c>
      <c r="E618" s="36" t="s">
        <v>30</v>
      </c>
      <c r="F618" s="36" t="s">
        <v>31</v>
      </c>
      <c r="G618" s="37" t="s">
        <v>215</v>
      </c>
      <c r="H618" s="36" t="s">
        <v>510</v>
      </c>
      <c r="I618" s="36" t="s">
        <v>511</v>
      </c>
      <c r="J618" s="36">
        <v>1</v>
      </c>
      <c r="K618" s="36" t="s">
        <v>512</v>
      </c>
      <c r="L618" s="36">
        <v>4</v>
      </c>
      <c r="M618" s="36">
        <v>1</v>
      </c>
      <c r="N618" s="38">
        <v>83594337</v>
      </c>
      <c r="O618" s="38">
        <v>6966194</v>
      </c>
      <c r="P618" s="36">
        <v>12</v>
      </c>
      <c r="Q618" s="36" t="s">
        <v>413</v>
      </c>
      <c r="R618" s="36" t="s">
        <v>513</v>
      </c>
      <c r="S618" s="36" t="s">
        <v>514</v>
      </c>
      <c r="T618" s="36" t="s">
        <v>515</v>
      </c>
      <c r="U618" s="36" t="s">
        <v>516</v>
      </c>
      <c r="V618" s="40">
        <v>45870</v>
      </c>
      <c r="W618" s="40">
        <v>45889</v>
      </c>
      <c r="X618" s="36">
        <v>0</v>
      </c>
      <c r="Y618" s="36"/>
      <c r="Z618" s="36">
        <v>1</v>
      </c>
      <c r="AA618" s="36">
        <v>6966194</v>
      </c>
      <c r="AB618" s="40">
        <v>46054</v>
      </c>
      <c r="AC618" s="36" t="s">
        <v>2196</v>
      </c>
      <c r="AD618" s="36" t="str">
        <f>VLOOKUP(D618,Oficial!A:C,3,0)</f>
        <v>Arrastre</v>
      </c>
    </row>
    <row r="619" spans="1:30" x14ac:dyDescent="0.25">
      <c r="A619" s="36" t="s">
        <v>27</v>
      </c>
      <c r="B619" s="36" t="s">
        <v>509</v>
      </c>
      <c r="C619" s="36" t="s">
        <v>28</v>
      </c>
      <c r="D619" s="36" t="s">
        <v>509</v>
      </c>
      <c r="E619" s="36" t="s">
        <v>30</v>
      </c>
      <c r="F619" s="36" t="s">
        <v>31</v>
      </c>
      <c r="G619" s="37" t="s">
        <v>215</v>
      </c>
      <c r="H619" s="36" t="s">
        <v>510</v>
      </c>
      <c r="I619" s="36" t="s">
        <v>511</v>
      </c>
      <c r="J619" s="36">
        <v>1</v>
      </c>
      <c r="K619" s="36" t="s">
        <v>512</v>
      </c>
      <c r="L619" s="36">
        <v>4</v>
      </c>
      <c r="M619" s="36">
        <v>1</v>
      </c>
      <c r="N619" s="38">
        <v>83594337</v>
      </c>
      <c r="O619" s="38">
        <v>6966194</v>
      </c>
      <c r="P619" s="36">
        <v>12</v>
      </c>
      <c r="Q619" s="36" t="s">
        <v>413</v>
      </c>
      <c r="R619" s="36" t="s">
        <v>513</v>
      </c>
      <c r="S619" s="36" t="s">
        <v>514</v>
      </c>
      <c r="T619" s="36" t="s">
        <v>515</v>
      </c>
      <c r="U619" s="36" t="s">
        <v>516</v>
      </c>
      <c r="V619" s="40">
        <v>45870</v>
      </c>
      <c r="W619" s="40">
        <v>45889</v>
      </c>
      <c r="X619" s="36">
        <v>0</v>
      </c>
      <c r="Y619" s="36"/>
      <c r="Z619" s="36">
        <v>1</v>
      </c>
      <c r="AA619" s="36">
        <v>6966194</v>
      </c>
      <c r="AB619" s="40">
        <v>46266</v>
      </c>
      <c r="AC619" s="36" t="s">
        <v>2196</v>
      </c>
      <c r="AD619" s="36" t="str">
        <f>VLOOKUP(D619,Oficial!A:C,3,0)</f>
        <v>Arrastre</v>
      </c>
    </row>
    <row r="620" spans="1:30" x14ac:dyDescent="0.25">
      <c r="A620" s="36" t="s">
        <v>27</v>
      </c>
      <c r="B620" s="36" t="s">
        <v>517</v>
      </c>
      <c r="C620" s="36" t="s">
        <v>28</v>
      </c>
      <c r="D620" s="36" t="s">
        <v>517</v>
      </c>
      <c r="E620" s="36" t="s">
        <v>30</v>
      </c>
      <c r="F620" s="36" t="s">
        <v>31</v>
      </c>
      <c r="G620" s="37" t="s">
        <v>149</v>
      </c>
      <c r="H620" s="36" t="s">
        <v>518</v>
      </c>
      <c r="I620" s="36" t="s">
        <v>519</v>
      </c>
      <c r="J620" s="36">
        <v>1</v>
      </c>
      <c r="K620" s="36" t="s">
        <v>520</v>
      </c>
      <c r="L620" s="36">
        <v>4</v>
      </c>
      <c r="M620" s="36">
        <v>1</v>
      </c>
      <c r="N620" s="38">
        <v>12740000</v>
      </c>
      <c r="O620" s="44">
        <v>849333</v>
      </c>
      <c r="P620" s="36">
        <v>15</v>
      </c>
      <c r="Q620" s="36" t="s">
        <v>521</v>
      </c>
      <c r="R620" s="36" t="s">
        <v>522</v>
      </c>
      <c r="S620" s="36" t="s">
        <v>523</v>
      </c>
      <c r="T620" s="36" t="s">
        <v>524</v>
      </c>
      <c r="U620" s="36" t="s">
        <v>525</v>
      </c>
      <c r="V620" s="40">
        <v>45870</v>
      </c>
      <c r="W620" s="40">
        <v>45889</v>
      </c>
      <c r="X620" s="36">
        <v>1</v>
      </c>
      <c r="Y620" s="36" t="s">
        <v>526</v>
      </c>
      <c r="Z620" s="36">
        <v>1</v>
      </c>
      <c r="AA620" s="36">
        <v>849333</v>
      </c>
      <c r="AB620" s="40">
        <v>46143</v>
      </c>
      <c r="AC620" s="36" t="s">
        <v>2196</v>
      </c>
      <c r="AD620" s="36" t="str">
        <f>VLOOKUP(D620,Oficial!A:C,3,0)</f>
        <v>Arrastre</v>
      </c>
    </row>
    <row r="621" spans="1:30" x14ac:dyDescent="0.25">
      <c r="A621" s="36" t="s">
        <v>27</v>
      </c>
      <c r="B621" s="36" t="s">
        <v>517</v>
      </c>
      <c r="C621" s="36" t="s">
        <v>28</v>
      </c>
      <c r="D621" s="36" t="s">
        <v>517</v>
      </c>
      <c r="E621" s="36" t="s">
        <v>30</v>
      </c>
      <c r="F621" s="36" t="s">
        <v>31</v>
      </c>
      <c r="G621" s="37" t="s">
        <v>149</v>
      </c>
      <c r="H621" s="36" t="s">
        <v>518</v>
      </c>
      <c r="I621" s="36" t="s">
        <v>519</v>
      </c>
      <c r="J621" s="36">
        <v>1</v>
      </c>
      <c r="K621" s="36" t="s">
        <v>520</v>
      </c>
      <c r="L621" s="36">
        <v>4</v>
      </c>
      <c r="M621" s="36">
        <v>1</v>
      </c>
      <c r="N621" s="38">
        <v>12740000</v>
      </c>
      <c r="O621" s="44">
        <v>849333</v>
      </c>
      <c r="P621" s="36">
        <v>15</v>
      </c>
      <c r="Q621" s="36" t="s">
        <v>521</v>
      </c>
      <c r="R621" s="36" t="s">
        <v>522</v>
      </c>
      <c r="S621" s="36" t="s">
        <v>523</v>
      </c>
      <c r="T621" s="36" t="s">
        <v>524</v>
      </c>
      <c r="U621" s="36" t="s">
        <v>525</v>
      </c>
      <c r="V621" s="40">
        <v>45870</v>
      </c>
      <c r="W621" s="40">
        <v>45889</v>
      </c>
      <c r="X621" s="36">
        <v>1</v>
      </c>
      <c r="Y621" s="36" t="s">
        <v>526</v>
      </c>
      <c r="Z621" s="36">
        <v>1</v>
      </c>
      <c r="AA621" s="36">
        <v>849333</v>
      </c>
      <c r="AB621" s="40">
        <v>46113</v>
      </c>
      <c r="AC621" s="36" t="s">
        <v>2196</v>
      </c>
      <c r="AD621" s="36" t="str">
        <f>VLOOKUP(D621,Oficial!A:C,3,0)</f>
        <v>Arrastre</v>
      </c>
    </row>
    <row r="622" spans="1:30" x14ac:dyDescent="0.25">
      <c r="A622" s="36" t="s">
        <v>27</v>
      </c>
      <c r="B622" s="36" t="s">
        <v>517</v>
      </c>
      <c r="C622" s="36" t="s">
        <v>28</v>
      </c>
      <c r="D622" s="36" t="s">
        <v>517</v>
      </c>
      <c r="E622" s="36" t="s">
        <v>30</v>
      </c>
      <c r="F622" s="36" t="s">
        <v>31</v>
      </c>
      <c r="G622" s="37" t="s">
        <v>149</v>
      </c>
      <c r="H622" s="36" t="s">
        <v>518</v>
      </c>
      <c r="I622" s="36" t="s">
        <v>519</v>
      </c>
      <c r="J622" s="36">
        <v>1</v>
      </c>
      <c r="K622" s="36" t="s">
        <v>520</v>
      </c>
      <c r="L622" s="36">
        <v>4</v>
      </c>
      <c r="M622" s="36">
        <v>1</v>
      </c>
      <c r="N622" s="38">
        <v>12740000</v>
      </c>
      <c r="O622" s="44">
        <v>849333</v>
      </c>
      <c r="P622" s="36">
        <v>15</v>
      </c>
      <c r="Q622" s="36" t="s">
        <v>521</v>
      </c>
      <c r="R622" s="36" t="s">
        <v>522</v>
      </c>
      <c r="S622" s="36" t="s">
        <v>523</v>
      </c>
      <c r="T622" s="36" t="s">
        <v>524</v>
      </c>
      <c r="U622" s="36" t="s">
        <v>525</v>
      </c>
      <c r="V622" s="40">
        <v>45870</v>
      </c>
      <c r="W622" s="40">
        <v>45889</v>
      </c>
      <c r="X622" s="36">
        <v>1</v>
      </c>
      <c r="Y622" s="36" t="s">
        <v>526</v>
      </c>
      <c r="Z622" s="36">
        <v>1</v>
      </c>
      <c r="AA622" s="36">
        <v>849333</v>
      </c>
      <c r="AB622" s="40">
        <v>46082</v>
      </c>
      <c r="AC622" s="36" t="s">
        <v>2196</v>
      </c>
      <c r="AD622" s="36" t="str">
        <f>VLOOKUP(D622,Oficial!A:C,3,0)</f>
        <v>Arrastre</v>
      </c>
    </row>
    <row r="623" spans="1:30" x14ac:dyDescent="0.25">
      <c r="A623" s="36" t="s">
        <v>27</v>
      </c>
      <c r="B623" s="36" t="s">
        <v>517</v>
      </c>
      <c r="C623" s="36" t="s">
        <v>28</v>
      </c>
      <c r="D623" s="36" t="s">
        <v>517</v>
      </c>
      <c r="E623" s="36" t="s">
        <v>30</v>
      </c>
      <c r="F623" s="36" t="s">
        <v>31</v>
      </c>
      <c r="G623" s="37" t="s">
        <v>149</v>
      </c>
      <c r="H623" s="36" t="s">
        <v>518</v>
      </c>
      <c r="I623" s="36" t="s">
        <v>519</v>
      </c>
      <c r="J623" s="36">
        <v>1</v>
      </c>
      <c r="K623" s="36" t="s">
        <v>520</v>
      </c>
      <c r="L623" s="36">
        <v>4</v>
      </c>
      <c r="M623" s="36">
        <v>1</v>
      </c>
      <c r="N623" s="38">
        <v>12740000</v>
      </c>
      <c r="O623" s="44">
        <v>849333</v>
      </c>
      <c r="P623" s="36">
        <v>15</v>
      </c>
      <c r="Q623" s="36" t="s">
        <v>521</v>
      </c>
      <c r="R623" s="36" t="s">
        <v>522</v>
      </c>
      <c r="S623" s="36" t="s">
        <v>523</v>
      </c>
      <c r="T623" s="36" t="s">
        <v>524</v>
      </c>
      <c r="U623" s="36" t="s">
        <v>525</v>
      </c>
      <c r="V623" s="40">
        <v>45870</v>
      </c>
      <c r="W623" s="40">
        <v>45889</v>
      </c>
      <c r="X623" s="36">
        <v>1</v>
      </c>
      <c r="Y623" s="36" t="s">
        <v>526</v>
      </c>
      <c r="Z623" s="36">
        <v>1</v>
      </c>
      <c r="AA623" s="36">
        <v>849333</v>
      </c>
      <c r="AB623" s="40">
        <v>46054</v>
      </c>
      <c r="AC623" s="36" t="s">
        <v>2196</v>
      </c>
      <c r="AD623" s="36" t="str">
        <f>VLOOKUP(D623,Oficial!A:C,3,0)</f>
        <v>Arrastre</v>
      </c>
    </row>
    <row r="624" spans="1:30" x14ac:dyDescent="0.25">
      <c r="A624" s="36" t="s">
        <v>27</v>
      </c>
      <c r="B624" s="36" t="s">
        <v>517</v>
      </c>
      <c r="C624" s="36" t="s">
        <v>28</v>
      </c>
      <c r="D624" s="36" t="s">
        <v>517</v>
      </c>
      <c r="E624" s="36" t="s">
        <v>30</v>
      </c>
      <c r="F624" s="36" t="s">
        <v>31</v>
      </c>
      <c r="G624" s="37" t="s">
        <v>149</v>
      </c>
      <c r="H624" s="36" t="s">
        <v>518</v>
      </c>
      <c r="I624" s="36" t="s">
        <v>519</v>
      </c>
      <c r="J624" s="36">
        <v>1</v>
      </c>
      <c r="K624" s="36" t="s">
        <v>520</v>
      </c>
      <c r="L624" s="36">
        <v>4</v>
      </c>
      <c r="M624" s="36">
        <v>1</v>
      </c>
      <c r="N624" s="38">
        <v>12740000</v>
      </c>
      <c r="O624" s="44">
        <v>849333</v>
      </c>
      <c r="P624" s="36">
        <v>15</v>
      </c>
      <c r="Q624" s="36" t="s">
        <v>521</v>
      </c>
      <c r="R624" s="36" t="s">
        <v>522</v>
      </c>
      <c r="S624" s="36" t="s">
        <v>523</v>
      </c>
      <c r="T624" s="36" t="s">
        <v>524</v>
      </c>
      <c r="U624" s="36" t="s">
        <v>525</v>
      </c>
      <c r="V624" s="40">
        <v>45870</v>
      </c>
      <c r="W624" s="40">
        <v>45889</v>
      </c>
      <c r="X624" s="36">
        <v>1</v>
      </c>
      <c r="Y624" s="36" t="s">
        <v>526</v>
      </c>
      <c r="Z624" s="36">
        <v>1</v>
      </c>
      <c r="AA624" s="36">
        <v>849333</v>
      </c>
      <c r="AB624" s="40">
        <v>46174</v>
      </c>
      <c r="AC624" s="36" t="s">
        <v>2196</v>
      </c>
      <c r="AD624" s="36" t="str">
        <f>VLOOKUP(D624,Oficial!A:C,3,0)</f>
        <v>Arrastre</v>
      </c>
    </row>
    <row r="625" spans="1:30" x14ac:dyDescent="0.25">
      <c r="A625" s="36" t="s">
        <v>27</v>
      </c>
      <c r="B625" s="36" t="s">
        <v>517</v>
      </c>
      <c r="C625" s="36" t="s">
        <v>28</v>
      </c>
      <c r="D625" s="36" t="s">
        <v>517</v>
      </c>
      <c r="E625" s="36" t="s">
        <v>30</v>
      </c>
      <c r="F625" s="36" t="s">
        <v>31</v>
      </c>
      <c r="G625" s="37" t="s">
        <v>149</v>
      </c>
      <c r="H625" s="36" t="s">
        <v>518</v>
      </c>
      <c r="I625" s="36" t="s">
        <v>519</v>
      </c>
      <c r="J625" s="36">
        <v>1</v>
      </c>
      <c r="K625" s="36" t="s">
        <v>520</v>
      </c>
      <c r="L625" s="36">
        <v>4</v>
      </c>
      <c r="M625" s="36">
        <v>1</v>
      </c>
      <c r="N625" s="38">
        <v>12740000</v>
      </c>
      <c r="O625" s="44">
        <v>849333</v>
      </c>
      <c r="P625" s="36">
        <v>15</v>
      </c>
      <c r="Q625" s="36" t="s">
        <v>521</v>
      </c>
      <c r="R625" s="36" t="s">
        <v>522</v>
      </c>
      <c r="S625" s="36" t="s">
        <v>523</v>
      </c>
      <c r="T625" s="36" t="s">
        <v>524</v>
      </c>
      <c r="U625" s="36" t="s">
        <v>525</v>
      </c>
      <c r="V625" s="40">
        <v>45870</v>
      </c>
      <c r="W625" s="40">
        <v>45889</v>
      </c>
      <c r="X625" s="36">
        <v>1</v>
      </c>
      <c r="Y625" s="36" t="s">
        <v>526</v>
      </c>
      <c r="Z625" s="36">
        <v>1</v>
      </c>
      <c r="AA625" s="36">
        <v>849333</v>
      </c>
      <c r="AB625" s="40">
        <v>46235</v>
      </c>
      <c r="AC625" s="36" t="s">
        <v>2196</v>
      </c>
      <c r="AD625" s="36" t="str">
        <f>VLOOKUP(D625,Oficial!A:C,3,0)</f>
        <v>Arrastre</v>
      </c>
    </row>
    <row r="626" spans="1:30" x14ac:dyDescent="0.25">
      <c r="A626" s="36" t="s">
        <v>27</v>
      </c>
      <c r="B626" s="36" t="s">
        <v>517</v>
      </c>
      <c r="C626" s="36" t="s">
        <v>28</v>
      </c>
      <c r="D626" s="36" t="s">
        <v>517</v>
      </c>
      <c r="E626" s="36" t="s">
        <v>30</v>
      </c>
      <c r="F626" s="36" t="s">
        <v>31</v>
      </c>
      <c r="G626" s="37" t="s">
        <v>149</v>
      </c>
      <c r="H626" s="36" t="s">
        <v>518</v>
      </c>
      <c r="I626" s="36" t="s">
        <v>519</v>
      </c>
      <c r="J626" s="36">
        <v>1</v>
      </c>
      <c r="K626" s="36" t="s">
        <v>520</v>
      </c>
      <c r="L626" s="36">
        <v>4</v>
      </c>
      <c r="M626" s="36">
        <v>1</v>
      </c>
      <c r="N626" s="38">
        <v>12740000</v>
      </c>
      <c r="O626" s="44">
        <v>849333</v>
      </c>
      <c r="P626" s="36">
        <v>15</v>
      </c>
      <c r="Q626" s="36" t="s">
        <v>521</v>
      </c>
      <c r="R626" s="36" t="s">
        <v>522</v>
      </c>
      <c r="S626" s="36" t="s">
        <v>523</v>
      </c>
      <c r="T626" s="36" t="s">
        <v>524</v>
      </c>
      <c r="U626" s="36" t="s">
        <v>525</v>
      </c>
      <c r="V626" s="40">
        <v>45870</v>
      </c>
      <c r="W626" s="40">
        <v>45889</v>
      </c>
      <c r="X626" s="36">
        <v>1</v>
      </c>
      <c r="Y626" s="36" t="s">
        <v>526</v>
      </c>
      <c r="Z626" s="36">
        <v>1</v>
      </c>
      <c r="AA626" s="36">
        <v>849333</v>
      </c>
      <c r="AB626" s="40">
        <v>46204</v>
      </c>
      <c r="AC626" s="36" t="s">
        <v>2196</v>
      </c>
      <c r="AD626" s="36" t="str">
        <f>VLOOKUP(D626,Oficial!A:C,3,0)</f>
        <v>Arrastre</v>
      </c>
    </row>
    <row r="627" spans="1:30" x14ac:dyDescent="0.25">
      <c r="A627" s="36" t="s">
        <v>27</v>
      </c>
      <c r="B627" s="36" t="s">
        <v>517</v>
      </c>
      <c r="C627" s="36" t="s">
        <v>28</v>
      </c>
      <c r="D627" s="36" t="s">
        <v>517</v>
      </c>
      <c r="E627" s="36" t="s">
        <v>30</v>
      </c>
      <c r="F627" s="36" t="s">
        <v>31</v>
      </c>
      <c r="G627" s="37" t="s">
        <v>149</v>
      </c>
      <c r="H627" s="36" t="s">
        <v>518</v>
      </c>
      <c r="I627" s="36" t="s">
        <v>519</v>
      </c>
      <c r="J627" s="36">
        <v>1</v>
      </c>
      <c r="K627" s="36" t="s">
        <v>520</v>
      </c>
      <c r="L627" s="36">
        <v>4</v>
      </c>
      <c r="M627" s="36">
        <v>1</v>
      </c>
      <c r="N627" s="38">
        <v>12740000</v>
      </c>
      <c r="O627" s="44">
        <v>849333</v>
      </c>
      <c r="P627" s="36">
        <v>15</v>
      </c>
      <c r="Q627" s="36" t="s">
        <v>521</v>
      </c>
      <c r="R627" s="36" t="s">
        <v>522</v>
      </c>
      <c r="S627" s="36" t="s">
        <v>523</v>
      </c>
      <c r="T627" s="36" t="s">
        <v>524</v>
      </c>
      <c r="U627" s="36" t="s">
        <v>525</v>
      </c>
      <c r="V627" s="40">
        <v>45870</v>
      </c>
      <c r="W627" s="40">
        <v>45889</v>
      </c>
      <c r="X627" s="36">
        <v>1</v>
      </c>
      <c r="Y627" s="36" t="s">
        <v>526</v>
      </c>
      <c r="Z627" s="36">
        <v>1</v>
      </c>
      <c r="AA627" s="36">
        <v>849333</v>
      </c>
      <c r="AB627" s="40">
        <v>46296</v>
      </c>
      <c r="AC627" s="36" t="s">
        <v>2196</v>
      </c>
      <c r="AD627" s="36" t="str">
        <f>VLOOKUP(D627,Oficial!A:C,3,0)</f>
        <v>Arrastre</v>
      </c>
    </row>
    <row r="628" spans="1:30" x14ac:dyDescent="0.25">
      <c r="A628" s="36" t="s">
        <v>27</v>
      </c>
      <c r="B628" s="36" t="s">
        <v>517</v>
      </c>
      <c r="C628" s="36" t="s">
        <v>28</v>
      </c>
      <c r="D628" s="36" t="s">
        <v>517</v>
      </c>
      <c r="E628" s="36" t="s">
        <v>30</v>
      </c>
      <c r="F628" s="36" t="s">
        <v>31</v>
      </c>
      <c r="G628" s="37" t="s">
        <v>149</v>
      </c>
      <c r="H628" s="36" t="s">
        <v>518</v>
      </c>
      <c r="I628" s="36" t="s">
        <v>519</v>
      </c>
      <c r="J628" s="36">
        <v>1</v>
      </c>
      <c r="K628" s="36" t="s">
        <v>520</v>
      </c>
      <c r="L628" s="36">
        <v>4</v>
      </c>
      <c r="M628" s="36">
        <v>1</v>
      </c>
      <c r="N628" s="38">
        <v>12740000</v>
      </c>
      <c r="O628" s="44">
        <v>849333</v>
      </c>
      <c r="P628" s="36">
        <v>15</v>
      </c>
      <c r="Q628" s="36" t="s">
        <v>521</v>
      </c>
      <c r="R628" s="36" t="s">
        <v>522</v>
      </c>
      <c r="S628" s="36" t="s">
        <v>523</v>
      </c>
      <c r="T628" s="36" t="s">
        <v>524</v>
      </c>
      <c r="U628" s="36" t="s">
        <v>525</v>
      </c>
      <c r="V628" s="40">
        <v>45870</v>
      </c>
      <c r="W628" s="40">
        <v>45889</v>
      </c>
      <c r="X628" s="36">
        <v>1</v>
      </c>
      <c r="Y628" s="36" t="s">
        <v>526</v>
      </c>
      <c r="Z628" s="36">
        <v>1</v>
      </c>
      <c r="AA628" s="36">
        <v>849333</v>
      </c>
      <c r="AB628" s="40">
        <v>46266</v>
      </c>
      <c r="AC628" s="36" t="s">
        <v>2196</v>
      </c>
      <c r="AD628" s="36" t="str">
        <f>VLOOKUP(D628,Oficial!A:C,3,0)</f>
        <v>Arrastre</v>
      </c>
    </row>
    <row r="629" spans="1:30" x14ac:dyDescent="0.25">
      <c r="A629" s="36" t="s">
        <v>27</v>
      </c>
      <c r="B629" s="36" t="s">
        <v>517</v>
      </c>
      <c r="C629" s="36" t="s">
        <v>28</v>
      </c>
      <c r="D629" s="36" t="s">
        <v>517</v>
      </c>
      <c r="E629" s="36" t="s">
        <v>30</v>
      </c>
      <c r="F629" s="36" t="s">
        <v>31</v>
      </c>
      <c r="G629" s="37" t="s">
        <v>149</v>
      </c>
      <c r="H629" s="36" t="s">
        <v>518</v>
      </c>
      <c r="I629" s="36" t="s">
        <v>519</v>
      </c>
      <c r="J629" s="36">
        <v>1</v>
      </c>
      <c r="K629" s="36" t="s">
        <v>520</v>
      </c>
      <c r="L629" s="36">
        <v>4</v>
      </c>
      <c r="M629" s="36">
        <v>1</v>
      </c>
      <c r="N629" s="38">
        <v>12740000</v>
      </c>
      <c r="O629" s="44">
        <v>849333</v>
      </c>
      <c r="P629" s="36">
        <v>15</v>
      </c>
      <c r="Q629" s="36" t="s">
        <v>521</v>
      </c>
      <c r="R629" s="36" t="s">
        <v>522</v>
      </c>
      <c r="S629" s="36" t="s">
        <v>523</v>
      </c>
      <c r="T629" s="36" t="s">
        <v>524</v>
      </c>
      <c r="U629" s="36" t="s">
        <v>525</v>
      </c>
      <c r="V629" s="40">
        <v>45870</v>
      </c>
      <c r="W629" s="40">
        <v>45889</v>
      </c>
      <c r="X629" s="36">
        <v>1</v>
      </c>
      <c r="Y629" s="36" t="s">
        <v>526</v>
      </c>
      <c r="Z629" s="36">
        <v>1</v>
      </c>
      <c r="AA629" s="36">
        <v>849333</v>
      </c>
      <c r="AB629" s="40">
        <v>46023</v>
      </c>
      <c r="AC629" s="36" t="s">
        <v>2196</v>
      </c>
      <c r="AD629" s="36" t="str">
        <f>VLOOKUP(D629,Oficial!A:C,3,0)</f>
        <v>Arrastre</v>
      </c>
    </row>
    <row r="630" spans="1:30" x14ac:dyDescent="0.25">
      <c r="A630" s="36" t="s">
        <v>27</v>
      </c>
      <c r="B630" s="36" t="s">
        <v>517</v>
      </c>
      <c r="C630" s="36" t="s">
        <v>28</v>
      </c>
      <c r="D630" s="36" t="s">
        <v>517</v>
      </c>
      <c r="E630" s="36" t="s">
        <v>30</v>
      </c>
      <c r="F630" s="36" t="s">
        <v>31</v>
      </c>
      <c r="G630" s="37" t="s">
        <v>149</v>
      </c>
      <c r="H630" s="36" t="s">
        <v>518</v>
      </c>
      <c r="I630" s="36" t="s">
        <v>519</v>
      </c>
      <c r="J630" s="36">
        <v>1</v>
      </c>
      <c r="K630" s="36" t="s">
        <v>520</v>
      </c>
      <c r="L630" s="36">
        <v>4</v>
      </c>
      <c r="M630" s="36">
        <v>1</v>
      </c>
      <c r="N630" s="38">
        <v>12740000</v>
      </c>
      <c r="O630" s="44">
        <v>849333</v>
      </c>
      <c r="P630" s="36">
        <v>15</v>
      </c>
      <c r="Q630" s="36" t="s">
        <v>521</v>
      </c>
      <c r="R630" s="36" t="s">
        <v>522</v>
      </c>
      <c r="S630" s="36" t="s">
        <v>523</v>
      </c>
      <c r="T630" s="36" t="s">
        <v>524</v>
      </c>
      <c r="U630" s="36" t="s">
        <v>525</v>
      </c>
      <c r="V630" s="40">
        <v>45870</v>
      </c>
      <c r="W630" s="40">
        <v>45889</v>
      </c>
      <c r="X630" s="36">
        <v>1</v>
      </c>
      <c r="Y630" s="36" t="s">
        <v>526</v>
      </c>
      <c r="Z630" s="36">
        <v>1</v>
      </c>
      <c r="AA630" s="36">
        <v>849333</v>
      </c>
      <c r="AB630" s="40">
        <v>46327</v>
      </c>
      <c r="AC630" s="36" t="s">
        <v>2196</v>
      </c>
      <c r="AD630" s="36" t="str">
        <f>VLOOKUP(D630,Oficial!A:C,3,0)</f>
        <v>Arrastre</v>
      </c>
    </row>
    <row r="631" spans="1:30" x14ac:dyDescent="0.25">
      <c r="A631" s="36" t="s">
        <v>27</v>
      </c>
      <c r="B631" s="36" t="s">
        <v>517</v>
      </c>
      <c r="C631" s="36" t="s">
        <v>28</v>
      </c>
      <c r="D631" s="36" t="s">
        <v>517</v>
      </c>
      <c r="E631" s="36" t="s">
        <v>30</v>
      </c>
      <c r="F631" s="36" t="s">
        <v>31</v>
      </c>
      <c r="G631" s="37" t="s">
        <v>149</v>
      </c>
      <c r="H631" s="36" t="s">
        <v>518</v>
      </c>
      <c r="I631" s="36" t="s">
        <v>519</v>
      </c>
      <c r="J631" s="36">
        <v>1</v>
      </c>
      <c r="K631" s="36" t="s">
        <v>520</v>
      </c>
      <c r="L631" s="36">
        <v>4</v>
      </c>
      <c r="M631" s="36">
        <v>1</v>
      </c>
      <c r="N631" s="38">
        <v>12740000</v>
      </c>
      <c r="O631" s="44">
        <v>849338</v>
      </c>
      <c r="P631" s="36">
        <v>15</v>
      </c>
      <c r="Q631" s="36" t="s">
        <v>521</v>
      </c>
      <c r="R631" s="36" t="s">
        <v>522</v>
      </c>
      <c r="S631" s="36" t="s">
        <v>523</v>
      </c>
      <c r="T631" s="36" t="s">
        <v>524</v>
      </c>
      <c r="U631" s="36" t="s">
        <v>525</v>
      </c>
      <c r="V631" s="40">
        <v>45870</v>
      </c>
      <c r="W631" s="40">
        <v>45889</v>
      </c>
      <c r="X631" s="36">
        <v>1</v>
      </c>
      <c r="Y631" s="36" t="s">
        <v>526</v>
      </c>
      <c r="Z631" s="36">
        <v>1</v>
      </c>
      <c r="AA631" s="36">
        <v>849338</v>
      </c>
      <c r="AB631" s="40">
        <v>46357</v>
      </c>
      <c r="AC631" s="36" t="s">
        <v>2196</v>
      </c>
      <c r="AD631" s="36" t="str">
        <f>VLOOKUP(D631,Oficial!A:C,3,0)</f>
        <v>Arrastre</v>
      </c>
    </row>
    <row r="632" spans="1:30" x14ac:dyDescent="0.25">
      <c r="A632" s="36" t="s">
        <v>27</v>
      </c>
      <c r="B632" s="36" t="s">
        <v>527</v>
      </c>
      <c r="C632" s="36" t="s">
        <v>28</v>
      </c>
      <c r="D632" s="36" t="s">
        <v>527</v>
      </c>
      <c r="E632" s="36" t="s">
        <v>30</v>
      </c>
      <c r="F632" s="36" t="s">
        <v>31</v>
      </c>
      <c r="G632" s="37" t="s">
        <v>439</v>
      </c>
      <c r="H632" s="36" t="s">
        <v>528</v>
      </c>
      <c r="I632" s="36" t="s">
        <v>529</v>
      </c>
      <c r="J632" s="36">
        <v>1</v>
      </c>
      <c r="K632" s="36" t="s">
        <v>530</v>
      </c>
      <c r="L632" s="36">
        <v>4</v>
      </c>
      <c r="M632" s="36">
        <v>1</v>
      </c>
      <c r="N632" s="38">
        <v>40000000</v>
      </c>
      <c r="O632" s="41">
        <v>3333333</v>
      </c>
      <c r="P632" s="36">
        <v>12</v>
      </c>
      <c r="Q632" s="36" t="s">
        <v>413</v>
      </c>
      <c r="R632" s="36" t="s">
        <v>531</v>
      </c>
      <c r="S632" s="36" t="s">
        <v>532</v>
      </c>
      <c r="T632" s="36" t="s">
        <v>533</v>
      </c>
      <c r="U632" s="36" t="s">
        <v>534</v>
      </c>
      <c r="V632" s="40">
        <v>45870</v>
      </c>
      <c r="W632" s="40">
        <v>45889</v>
      </c>
      <c r="X632" s="36">
        <v>0</v>
      </c>
      <c r="Y632" s="36"/>
      <c r="Z632" s="36">
        <v>1</v>
      </c>
      <c r="AA632" s="36">
        <v>3333333</v>
      </c>
      <c r="AB632" s="40">
        <v>46054</v>
      </c>
      <c r="AC632" s="36" t="s">
        <v>2196</v>
      </c>
      <c r="AD632" s="36" t="str">
        <f>VLOOKUP(D632,Oficial!A:C,3,0)</f>
        <v>Arrastre</v>
      </c>
    </row>
    <row r="633" spans="1:30" x14ac:dyDescent="0.25">
      <c r="A633" s="36" t="s">
        <v>27</v>
      </c>
      <c r="B633" s="36" t="s">
        <v>527</v>
      </c>
      <c r="C633" s="36" t="s">
        <v>28</v>
      </c>
      <c r="D633" s="36" t="s">
        <v>527</v>
      </c>
      <c r="E633" s="36" t="s">
        <v>30</v>
      </c>
      <c r="F633" s="36" t="s">
        <v>31</v>
      </c>
      <c r="G633" s="37" t="s">
        <v>439</v>
      </c>
      <c r="H633" s="36" t="s">
        <v>528</v>
      </c>
      <c r="I633" s="36" t="s">
        <v>529</v>
      </c>
      <c r="J633" s="36">
        <v>1</v>
      </c>
      <c r="K633" s="36" t="s">
        <v>530</v>
      </c>
      <c r="L633" s="36">
        <v>4</v>
      </c>
      <c r="M633" s="36">
        <v>1</v>
      </c>
      <c r="N633" s="38">
        <v>40000000</v>
      </c>
      <c r="O633" s="41">
        <v>3333337</v>
      </c>
      <c r="P633" s="36">
        <v>12</v>
      </c>
      <c r="Q633" s="36" t="s">
        <v>413</v>
      </c>
      <c r="R633" s="36" t="s">
        <v>531</v>
      </c>
      <c r="S633" s="36" t="s">
        <v>532</v>
      </c>
      <c r="T633" s="36" t="s">
        <v>533</v>
      </c>
      <c r="U633" s="36" t="s">
        <v>534</v>
      </c>
      <c r="V633" s="40">
        <v>45870</v>
      </c>
      <c r="W633" s="40">
        <v>45889</v>
      </c>
      <c r="X633" s="36">
        <v>0</v>
      </c>
      <c r="Y633" s="36"/>
      <c r="Z633" s="36">
        <v>1</v>
      </c>
      <c r="AA633" s="36">
        <v>3333337</v>
      </c>
      <c r="AB633" s="40">
        <v>46357</v>
      </c>
      <c r="AC633" s="36" t="s">
        <v>2196</v>
      </c>
      <c r="AD633" s="36" t="str">
        <f>VLOOKUP(D633,Oficial!A:C,3,0)</f>
        <v>Arrastre</v>
      </c>
    </row>
    <row r="634" spans="1:30" x14ac:dyDescent="0.25">
      <c r="A634" s="36" t="s">
        <v>27</v>
      </c>
      <c r="B634" s="36" t="s">
        <v>527</v>
      </c>
      <c r="C634" s="36" t="s">
        <v>28</v>
      </c>
      <c r="D634" s="36" t="s">
        <v>527</v>
      </c>
      <c r="E634" s="36" t="s">
        <v>30</v>
      </c>
      <c r="F634" s="36" t="s">
        <v>31</v>
      </c>
      <c r="G634" s="37" t="s">
        <v>439</v>
      </c>
      <c r="H634" s="36" t="s">
        <v>528</v>
      </c>
      <c r="I634" s="36" t="s">
        <v>529</v>
      </c>
      <c r="J634" s="36">
        <v>1</v>
      </c>
      <c r="K634" s="36" t="s">
        <v>530</v>
      </c>
      <c r="L634" s="36">
        <v>4</v>
      </c>
      <c r="M634" s="36">
        <v>1</v>
      </c>
      <c r="N634" s="38">
        <v>40000000</v>
      </c>
      <c r="O634" s="41">
        <v>3333333</v>
      </c>
      <c r="P634" s="36">
        <v>12</v>
      </c>
      <c r="Q634" s="36" t="s">
        <v>413</v>
      </c>
      <c r="R634" s="36" t="s">
        <v>531</v>
      </c>
      <c r="S634" s="36" t="s">
        <v>532</v>
      </c>
      <c r="T634" s="36" t="s">
        <v>533</v>
      </c>
      <c r="U634" s="36" t="s">
        <v>534</v>
      </c>
      <c r="V634" s="40">
        <v>45870</v>
      </c>
      <c r="W634" s="40">
        <v>45889</v>
      </c>
      <c r="X634" s="36">
        <v>0</v>
      </c>
      <c r="Y634" s="36"/>
      <c r="Z634" s="36">
        <v>1</v>
      </c>
      <c r="AA634" s="36">
        <v>3333333</v>
      </c>
      <c r="AB634" s="40">
        <v>46143</v>
      </c>
      <c r="AC634" s="36" t="s">
        <v>2196</v>
      </c>
      <c r="AD634" s="36" t="str">
        <f>VLOOKUP(D634,Oficial!A:C,3,0)</f>
        <v>Arrastre</v>
      </c>
    </row>
    <row r="635" spans="1:30" x14ac:dyDescent="0.25">
      <c r="A635" s="36" t="s">
        <v>27</v>
      </c>
      <c r="B635" s="36" t="s">
        <v>527</v>
      </c>
      <c r="C635" s="36" t="s">
        <v>28</v>
      </c>
      <c r="D635" s="36" t="s">
        <v>527</v>
      </c>
      <c r="E635" s="36" t="s">
        <v>30</v>
      </c>
      <c r="F635" s="36" t="s">
        <v>31</v>
      </c>
      <c r="G635" s="37" t="s">
        <v>439</v>
      </c>
      <c r="H635" s="36" t="s">
        <v>528</v>
      </c>
      <c r="I635" s="36" t="s">
        <v>529</v>
      </c>
      <c r="J635" s="36">
        <v>1</v>
      </c>
      <c r="K635" s="36" t="s">
        <v>530</v>
      </c>
      <c r="L635" s="36">
        <v>4</v>
      </c>
      <c r="M635" s="36">
        <v>1</v>
      </c>
      <c r="N635" s="38">
        <v>40000000</v>
      </c>
      <c r="O635" s="41">
        <v>3333333</v>
      </c>
      <c r="P635" s="36">
        <v>12</v>
      </c>
      <c r="Q635" s="36" t="s">
        <v>413</v>
      </c>
      <c r="R635" s="36" t="s">
        <v>531</v>
      </c>
      <c r="S635" s="36" t="s">
        <v>532</v>
      </c>
      <c r="T635" s="36" t="s">
        <v>533</v>
      </c>
      <c r="U635" s="36" t="s">
        <v>534</v>
      </c>
      <c r="V635" s="40">
        <v>45870</v>
      </c>
      <c r="W635" s="40">
        <v>45889</v>
      </c>
      <c r="X635" s="36">
        <v>0</v>
      </c>
      <c r="Y635" s="36"/>
      <c r="Z635" s="36">
        <v>1</v>
      </c>
      <c r="AA635" s="36">
        <v>3333333</v>
      </c>
      <c r="AB635" s="40">
        <v>46113</v>
      </c>
      <c r="AC635" s="36" t="s">
        <v>2196</v>
      </c>
      <c r="AD635" s="36" t="str">
        <f>VLOOKUP(D635,Oficial!A:C,3,0)</f>
        <v>Arrastre</v>
      </c>
    </row>
    <row r="636" spans="1:30" x14ac:dyDescent="0.25">
      <c r="A636" s="36" t="s">
        <v>27</v>
      </c>
      <c r="B636" s="36" t="s">
        <v>527</v>
      </c>
      <c r="C636" s="36" t="s">
        <v>28</v>
      </c>
      <c r="D636" s="36" t="s">
        <v>527</v>
      </c>
      <c r="E636" s="36" t="s">
        <v>30</v>
      </c>
      <c r="F636" s="36" t="s">
        <v>31</v>
      </c>
      <c r="G636" s="37" t="s">
        <v>439</v>
      </c>
      <c r="H636" s="36" t="s">
        <v>528</v>
      </c>
      <c r="I636" s="36" t="s">
        <v>529</v>
      </c>
      <c r="J636" s="36">
        <v>1</v>
      </c>
      <c r="K636" s="36" t="s">
        <v>530</v>
      </c>
      <c r="L636" s="36">
        <v>4</v>
      </c>
      <c r="M636" s="36">
        <v>1</v>
      </c>
      <c r="N636" s="38">
        <v>40000000</v>
      </c>
      <c r="O636" s="41">
        <v>3333333</v>
      </c>
      <c r="P636" s="36">
        <v>12</v>
      </c>
      <c r="Q636" s="36" t="s">
        <v>413</v>
      </c>
      <c r="R636" s="36" t="s">
        <v>531</v>
      </c>
      <c r="S636" s="36" t="s">
        <v>532</v>
      </c>
      <c r="T636" s="36" t="s">
        <v>533</v>
      </c>
      <c r="U636" s="36" t="s">
        <v>534</v>
      </c>
      <c r="V636" s="40">
        <v>45870</v>
      </c>
      <c r="W636" s="40">
        <v>45889</v>
      </c>
      <c r="X636" s="36">
        <v>0</v>
      </c>
      <c r="Y636" s="36"/>
      <c r="Z636" s="36">
        <v>1</v>
      </c>
      <c r="AA636" s="36">
        <v>3333333</v>
      </c>
      <c r="AB636" s="40">
        <v>46327</v>
      </c>
      <c r="AC636" s="36" t="s">
        <v>2196</v>
      </c>
      <c r="AD636" s="36" t="str">
        <f>VLOOKUP(D636,Oficial!A:C,3,0)</f>
        <v>Arrastre</v>
      </c>
    </row>
    <row r="637" spans="1:30" x14ac:dyDescent="0.25">
      <c r="A637" s="36" t="s">
        <v>27</v>
      </c>
      <c r="B637" s="36" t="s">
        <v>527</v>
      </c>
      <c r="C637" s="36" t="s">
        <v>28</v>
      </c>
      <c r="D637" s="36" t="s">
        <v>527</v>
      </c>
      <c r="E637" s="36" t="s">
        <v>30</v>
      </c>
      <c r="F637" s="36" t="s">
        <v>31</v>
      </c>
      <c r="G637" s="37" t="s">
        <v>439</v>
      </c>
      <c r="H637" s="36" t="s">
        <v>528</v>
      </c>
      <c r="I637" s="36" t="s">
        <v>529</v>
      </c>
      <c r="J637" s="36">
        <v>1</v>
      </c>
      <c r="K637" s="36" t="s">
        <v>530</v>
      </c>
      <c r="L637" s="36">
        <v>4</v>
      </c>
      <c r="M637" s="36">
        <v>1</v>
      </c>
      <c r="N637" s="38">
        <v>40000000</v>
      </c>
      <c r="O637" s="41">
        <v>3333333</v>
      </c>
      <c r="P637" s="36">
        <v>12</v>
      </c>
      <c r="Q637" s="36" t="s">
        <v>413</v>
      </c>
      <c r="R637" s="36" t="s">
        <v>531</v>
      </c>
      <c r="S637" s="36" t="s">
        <v>532</v>
      </c>
      <c r="T637" s="36" t="s">
        <v>533</v>
      </c>
      <c r="U637" s="36" t="s">
        <v>534</v>
      </c>
      <c r="V637" s="40">
        <v>45870</v>
      </c>
      <c r="W637" s="40">
        <v>45889</v>
      </c>
      <c r="X637" s="36">
        <v>0</v>
      </c>
      <c r="Y637" s="36"/>
      <c r="Z637" s="36">
        <v>1</v>
      </c>
      <c r="AA637" s="36">
        <v>3333333</v>
      </c>
      <c r="AB637" s="40">
        <v>46023</v>
      </c>
      <c r="AC637" s="36" t="s">
        <v>2196</v>
      </c>
      <c r="AD637" s="36" t="str">
        <f>VLOOKUP(D637,Oficial!A:C,3,0)</f>
        <v>Arrastre</v>
      </c>
    </row>
    <row r="638" spans="1:30" x14ac:dyDescent="0.25">
      <c r="A638" s="36" t="s">
        <v>27</v>
      </c>
      <c r="B638" s="36" t="s">
        <v>527</v>
      </c>
      <c r="C638" s="36" t="s">
        <v>28</v>
      </c>
      <c r="D638" s="36" t="s">
        <v>527</v>
      </c>
      <c r="E638" s="36" t="s">
        <v>30</v>
      </c>
      <c r="F638" s="36" t="s">
        <v>31</v>
      </c>
      <c r="G638" s="37" t="s">
        <v>439</v>
      </c>
      <c r="H638" s="36" t="s">
        <v>528</v>
      </c>
      <c r="I638" s="36" t="s">
        <v>529</v>
      </c>
      <c r="J638" s="36">
        <v>1</v>
      </c>
      <c r="K638" s="36" t="s">
        <v>530</v>
      </c>
      <c r="L638" s="36">
        <v>4</v>
      </c>
      <c r="M638" s="36">
        <v>1</v>
      </c>
      <c r="N638" s="38">
        <v>40000000</v>
      </c>
      <c r="O638" s="41">
        <v>3333333</v>
      </c>
      <c r="P638" s="36">
        <v>12</v>
      </c>
      <c r="Q638" s="36" t="s">
        <v>413</v>
      </c>
      <c r="R638" s="36" t="s">
        <v>531</v>
      </c>
      <c r="S638" s="36" t="s">
        <v>532</v>
      </c>
      <c r="T638" s="36" t="s">
        <v>533</v>
      </c>
      <c r="U638" s="36" t="s">
        <v>534</v>
      </c>
      <c r="V638" s="40">
        <v>45870</v>
      </c>
      <c r="W638" s="40">
        <v>45889</v>
      </c>
      <c r="X638" s="36">
        <v>0</v>
      </c>
      <c r="Y638" s="36"/>
      <c r="Z638" s="36">
        <v>1</v>
      </c>
      <c r="AA638" s="36">
        <v>3333333</v>
      </c>
      <c r="AB638" s="40">
        <v>46204</v>
      </c>
      <c r="AC638" s="36" t="s">
        <v>2196</v>
      </c>
      <c r="AD638" s="36" t="str">
        <f>VLOOKUP(D638,Oficial!A:C,3,0)</f>
        <v>Arrastre</v>
      </c>
    </row>
    <row r="639" spans="1:30" x14ac:dyDescent="0.25">
      <c r="A639" s="36" t="s">
        <v>27</v>
      </c>
      <c r="B639" s="36" t="s">
        <v>527</v>
      </c>
      <c r="C639" s="36" t="s">
        <v>28</v>
      </c>
      <c r="D639" s="36" t="s">
        <v>527</v>
      </c>
      <c r="E639" s="36" t="s">
        <v>30</v>
      </c>
      <c r="F639" s="36" t="s">
        <v>31</v>
      </c>
      <c r="G639" s="37" t="s">
        <v>439</v>
      </c>
      <c r="H639" s="36" t="s">
        <v>528</v>
      </c>
      <c r="I639" s="36" t="s">
        <v>529</v>
      </c>
      <c r="J639" s="36">
        <v>1</v>
      </c>
      <c r="K639" s="36" t="s">
        <v>530</v>
      </c>
      <c r="L639" s="36">
        <v>4</v>
      </c>
      <c r="M639" s="36">
        <v>1</v>
      </c>
      <c r="N639" s="38">
        <v>40000000</v>
      </c>
      <c r="O639" s="41">
        <v>3333333</v>
      </c>
      <c r="P639" s="36">
        <v>12</v>
      </c>
      <c r="Q639" s="36" t="s">
        <v>413</v>
      </c>
      <c r="R639" s="36" t="s">
        <v>531</v>
      </c>
      <c r="S639" s="36" t="s">
        <v>532</v>
      </c>
      <c r="T639" s="36" t="s">
        <v>533</v>
      </c>
      <c r="U639" s="36" t="s">
        <v>534</v>
      </c>
      <c r="V639" s="40">
        <v>45870</v>
      </c>
      <c r="W639" s="40">
        <v>45889</v>
      </c>
      <c r="X639" s="36">
        <v>0</v>
      </c>
      <c r="Y639" s="36"/>
      <c r="Z639" s="36">
        <v>1</v>
      </c>
      <c r="AA639" s="36">
        <v>3333333</v>
      </c>
      <c r="AB639" s="40">
        <v>46174</v>
      </c>
      <c r="AC639" s="36" t="s">
        <v>2196</v>
      </c>
      <c r="AD639" s="36" t="str">
        <f>VLOOKUP(D639,Oficial!A:C,3,0)</f>
        <v>Arrastre</v>
      </c>
    </row>
    <row r="640" spans="1:30" x14ac:dyDescent="0.25">
      <c r="A640" s="36" t="s">
        <v>27</v>
      </c>
      <c r="B640" s="36" t="s">
        <v>527</v>
      </c>
      <c r="C640" s="36" t="s">
        <v>28</v>
      </c>
      <c r="D640" s="36" t="s">
        <v>527</v>
      </c>
      <c r="E640" s="36" t="s">
        <v>30</v>
      </c>
      <c r="F640" s="36" t="s">
        <v>31</v>
      </c>
      <c r="G640" s="37" t="s">
        <v>439</v>
      </c>
      <c r="H640" s="36" t="s">
        <v>528</v>
      </c>
      <c r="I640" s="36" t="s">
        <v>529</v>
      </c>
      <c r="J640" s="36">
        <v>1</v>
      </c>
      <c r="K640" s="36" t="s">
        <v>530</v>
      </c>
      <c r="L640" s="36">
        <v>4</v>
      </c>
      <c r="M640" s="36">
        <v>1</v>
      </c>
      <c r="N640" s="38">
        <v>40000000</v>
      </c>
      <c r="O640" s="41">
        <v>3333333</v>
      </c>
      <c r="P640" s="36">
        <v>12</v>
      </c>
      <c r="Q640" s="36" t="s">
        <v>413</v>
      </c>
      <c r="R640" s="36" t="s">
        <v>531</v>
      </c>
      <c r="S640" s="36" t="s">
        <v>532</v>
      </c>
      <c r="T640" s="36" t="s">
        <v>533</v>
      </c>
      <c r="U640" s="36" t="s">
        <v>534</v>
      </c>
      <c r="V640" s="40">
        <v>45870</v>
      </c>
      <c r="W640" s="40">
        <v>45889</v>
      </c>
      <c r="X640" s="36">
        <v>0</v>
      </c>
      <c r="Y640" s="36"/>
      <c r="Z640" s="36">
        <v>1</v>
      </c>
      <c r="AA640" s="36">
        <v>3333333</v>
      </c>
      <c r="AB640" s="40">
        <v>46235</v>
      </c>
      <c r="AC640" s="36" t="s">
        <v>2196</v>
      </c>
      <c r="AD640" s="36" t="str">
        <f>VLOOKUP(D640,Oficial!A:C,3,0)</f>
        <v>Arrastre</v>
      </c>
    </row>
    <row r="641" spans="1:30" x14ac:dyDescent="0.25">
      <c r="A641" s="36" t="s">
        <v>27</v>
      </c>
      <c r="B641" s="36" t="s">
        <v>527</v>
      </c>
      <c r="C641" s="36" t="s">
        <v>28</v>
      </c>
      <c r="D641" s="36" t="s">
        <v>527</v>
      </c>
      <c r="E641" s="36" t="s">
        <v>30</v>
      </c>
      <c r="F641" s="36" t="s">
        <v>31</v>
      </c>
      <c r="G641" s="37" t="s">
        <v>439</v>
      </c>
      <c r="H641" s="36" t="s">
        <v>528</v>
      </c>
      <c r="I641" s="36" t="s">
        <v>529</v>
      </c>
      <c r="J641" s="36">
        <v>1</v>
      </c>
      <c r="K641" s="36" t="s">
        <v>530</v>
      </c>
      <c r="L641" s="36">
        <v>4</v>
      </c>
      <c r="M641" s="36">
        <v>1</v>
      </c>
      <c r="N641" s="38">
        <v>40000000</v>
      </c>
      <c r="O641" s="41">
        <v>3333333</v>
      </c>
      <c r="P641" s="36">
        <v>12</v>
      </c>
      <c r="Q641" s="36" t="s">
        <v>413</v>
      </c>
      <c r="R641" s="36" t="s">
        <v>531</v>
      </c>
      <c r="S641" s="36" t="s">
        <v>532</v>
      </c>
      <c r="T641" s="36" t="s">
        <v>533</v>
      </c>
      <c r="U641" s="36" t="s">
        <v>534</v>
      </c>
      <c r="V641" s="40">
        <v>45870</v>
      </c>
      <c r="W641" s="40">
        <v>45889</v>
      </c>
      <c r="X641" s="36">
        <v>0</v>
      </c>
      <c r="Y641" s="36"/>
      <c r="Z641" s="36">
        <v>1</v>
      </c>
      <c r="AA641" s="36">
        <v>3333333</v>
      </c>
      <c r="AB641" s="40">
        <v>46082</v>
      </c>
      <c r="AC641" s="36" t="s">
        <v>2196</v>
      </c>
      <c r="AD641" s="36" t="str">
        <f>VLOOKUP(D641,Oficial!A:C,3,0)</f>
        <v>Arrastre</v>
      </c>
    </row>
    <row r="642" spans="1:30" x14ac:dyDescent="0.25">
      <c r="A642" s="36" t="s">
        <v>27</v>
      </c>
      <c r="B642" s="36" t="s">
        <v>527</v>
      </c>
      <c r="C642" s="36" t="s">
        <v>28</v>
      </c>
      <c r="D642" s="36" t="s">
        <v>527</v>
      </c>
      <c r="E642" s="36" t="s">
        <v>30</v>
      </c>
      <c r="F642" s="36" t="s">
        <v>31</v>
      </c>
      <c r="G642" s="37" t="s">
        <v>439</v>
      </c>
      <c r="H642" s="36" t="s">
        <v>528</v>
      </c>
      <c r="I642" s="36" t="s">
        <v>529</v>
      </c>
      <c r="J642" s="36">
        <v>1</v>
      </c>
      <c r="K642" s="36" t="s">
        <v>530</v>
      </c>
      <c r="L642" s="36">
        <v>4</v>
      </c>
      <c r="M642" s="36">
        <v>1</v>
      </c>
      <c r="N642" s="38">
        <v>40000000</v>
      </c>
      <c r="O642" s="41">
        <v>3333333</v>
      </c>
      <c r="P642" s="36">
        <v>12</v>
      </c>
      <c r="Q642" s="36" t="s">
        <v>413</v>
      </c>
      <c r="R642" s="36" t="s">
        <v>531</v>
      </c>
      <c r="S642" s="36" t="s">
        <v>532</v>
      </c>
      <c r="T642" s="36" t="s">
        <v>533</v>
      </c>
      <c r="U642" s="36" t="s">
        <v>534</v>
      </c>
      <c r="V642" s="40">
        <v>45870</v>
      </c>
      <c r="W642" s="40">
        <v>45889</v>
      </c>
      <c r="X642" s="36">
        <v>0</v>
      </c>
      <c r="Y642" s="36"/>
      <c r="Z642" s="36">
        <v>1</v>
      </c>
      <c r="AA642" s="36">
        <v>3333333</v>
      </c>
      <c r="AB642" s="40">
        <v>46266</v>
      </c>
      <c r="AC642" s="36" t="s">
        <v>2196</v>
      </c>
      <c r="AD642" s="36" t="str">
        <f>VLOOKUP(D642,Oficial!A:C,3,0)</f>
        <v>Arrastre</v>
      </c>
    </row>
    <row r="643" spans="1:30" x14ac:dyDescent="0.25">
      <c r="A643" s="36" t="s">
        <v>27</v>
      </c>
      <c r="B643" s="36" t="s">
        <v>527</v>
      </c>
      <c r="C643" s="36" t="s">
        <v>28</v>
      </c>
      <c r="D643" s="36" t="s">
        <v>527</v>
      </c>
      <c r="E643" s="36" t="s">
        <v>30</v>
      </c>
      <c r="F643" s="36" t="s">
        <v>31</v>
      </c>
      <c r="G643" s="37" t="s">
        <v>439</v>
      </c>
      <c r="H643" s="36" t="s">
        <v>528</v>
      </c>
      <c r="I643" s="36" t="s">
        <v>529</v>
      </c>
      <c r="J643" s="36">
        <v>1</v>
      </c>
      <c r="K643" s="36" t="s">
        <v>530</v>
      </c>
      <c r="L643" s="36">
        <v>4</v>
      </c>
      <c r="M643" s="36">
        <v>1</v>
      </c>
      <c r="N643" s="38">
        <v>40000000</v>
      </c>
      <c r="O643" s="41">
        <v>3333333</v>
      </c>
      <c r="P643" s="36">
        <v>12</v>
      </c>
      <c r="Q643" s="36" t="s">
        <v>413</v>
      </c>
      <c r="R643" s="36" t="s">
        <v>531</v>
      </c>
      <c r="S643" s="36" t="s">
        <v>532</v>
      </c>
      <c r="T643" s="36" t="s">
        <v>533</v>
      </c>
      <c r="U643" s="36" t="s">
        <v>534</v>
      </c>
      <c r="V643" s="40">
        <v>45870</v>
      </c>
      <c r="W643" s="40">
        <v>45889</v>
      </c>
      <c r="X643" s="36">
        <v>0</v>
      </c>
      <c r="Y643" s="36"/>
      <c r="Z643" s="36">
        <v>1</v>
      </c>
      <c r="AA643" s="36">
        <v>3333333</v>
      </c>
      <c r="AB643" s="40">
        <v>46296</v>
      </c>
      <c r="AC643" s="36" t="s">
        <v>2196</v>
      </c>
      <c r="AD643" s="36" t="str">
        <f>VLOOKUP(D643,Oficial!A:C,3,0)</f>
        <v>Arrastre</v>
      </c>
    </row>
    <row r="644" spans="1:30" x14ac:dyDescent="0.25">
      <c r="A644" s="36" t="s">
        <v>27</v>
      </c>
      <c r="B644" s="36" t="s">
        <v>535</v>
      </c>
      <c r="C644" s="36" t="s">
        <v>28</v>
      </c>
      <c r="D644" s="36" t="s">
        <v>535</v>
      </c>
      <c r="E644" s="36" t="s">
        <v>30</v>
      </c>
      <c r="F644" s="36" t="s">
        <v>31</v>
      </c>
      <c r="G644" s="37" t="s">
        <v>536</v>
      </c>
      <c r="H644" s="36" t="s">
        <v>537</v>
      </c>
      <c r="I644" s="36" t="s">
        <v>538</v>
      </c>
      <c r="J644" s="36">
        <v>1</v>
      </c>
      <c r="K644" s="36" t="s">
        <v>496</v>
      </c>
      <c r="L644" s="36">
        <v>4</v>
      </c>
      <c r="M644" s="36">
        <v>1</v>
      </c>
      <c r="N644" s="38">
        <v>80000000</v>
      </c>
      <c r="O644" s="38">
        <v>6666666</v>
      </c>
      <c r="P644" s="36">
        <v>12</v>
      </c>
      <c r="Q644" s="36" t="s">
        <v>413</v>
      </c>
      <c r="R644" s="36" t="s">
        <v>531</v>
      </c>
      <c r="S644" s="36" t="s">
        <v>532</v>
      </c>
      <c r="T644" s="36" t="s">
        <v>533</v>
      </c>
      <c r="U644" s="36" t="s">
        <v>534</v>
      </c>
      <c r="V644" s="40">
        <v>45870</v>
      </c>
      <c r="W644" s="40">
        <v>45889</v>
      </c>
      <c r="X644" s="36">
        <v>0</v>
      </c>
      <c r="Y644" s="36"/>
      <c r="Z644" s="36">
        <v>1</v>
      </c>
      <c r="AA644" s="36">
        <v>6666666</v>
      </c>
      <c r="AB644" s="40">
        <v>46023</v>
      </c>
      <c r="AC644" s="36" t="s">
        <v>2196</v>
      </c>
      <c r="AD644" s="36" t="str">
        <f>VLOOKUP(D644,Oficial!A:C,3,0)</f>
        <v>Arrastre</v>
      </c>
    </row>
    <row r="645" spans="1:30" x14ac:dyDescent="0.25">
      <c r="A645" s="36" t="s">
        <v>27</v>
      </c>
      <c r="B645" s="36" t="s">
        <v>535</v>
      </c>
      <c r="C645" s="36" t="s">
        <v>28</v>
      </c>
      <c r="D645" s="36" t="s">
        <v>535</v>
      </c>
      <c r="E645" s="36" t="s">
        <v>30</v>
      </c>
      <c r="F645" s="36" t="s">
        <v>31</v>
      </c>
      <c r="G645" s="37" t="s">
        <v>536</v>
      </c>
      <c r="H645" s="36" t="s">
        <v>537</v>
      </c>
      <c r="I645" s="36" t="s">
        <v>538</v>
      </c>
      <c r="J645" s="36">
        <v>1</v>
      </c>
      <c r="K645" s="36" t="s">
        <v>496</v>
      </c>
      <c r="L645" s="36">
        <v>4</v>
      </c>
      <c r="M645" s="36">
        <v>1</v>
      </c>
      <c r="N645" s="38">
        <v>80000000</v>
      </c>
      <c r="O645" s="38">
        <v>6666674</v>
      </c>
      <c r="P645" s="36">
        <v>12</v>
      </c>
      <c r="Q645" s="36" t="s">
        <v>413</v>
      </c>
      <c r="R645" s="36" t="s">
        <v>531</v>
      </c>
      <c r="S645" s="36" t="s">
        <v>532</v>
      </c>
      <c r="T645" s="36" t="s">
        <v>533</v>
      </c>
      <c r="U645" s="36" t="s">
        <v>534</v>
      </c>
      <c r="V645" s="40">
        <v>45870</v>
      </c>
      <c r="W645" s="40">
        <v>45889</v>
      </c>
      <c r="X645" s="36">
        <v>0</v>
      </c>
      <c r="Y645" s="36"/>
      <c r="Z645" s="36">
        <v>1</v>
      </c>
      <c r="AA645" s="36">
        <v>6666674</v>
      </c>
      <c r="AB645" s="40">
        <v>46357</v>
      </c>
      <c r="AC645" s="36" t="s">
        <v>2196</v>
      </c>
      <c r="AD645" s="36" t="str">
        <f>VLOOKUP(D645,Oficial!A:C,3,0)</f>
        <v>Arrastre</v>
      </c>
    </row>
    <row r="646" spans="1:30" x14ac:dyDescent="0.25">
      <c r="A646" s="36" t="s">
        <v>27</v>
      </c>
      <c r="B646" s="36" t="s">
        <v>535</v>
      </c>
      <c r="C646" s="36" t="s">
        <v>28</v>
      </c>
      <c r="D646" s="36" t="s">
        <v>535</v>
      </c>
      <c r="E646" s="36" t="s">
        <v>30</v>
      </c>
      <c r="F646" s="36" t="s">
        <v>31</v>
      </c>
      <c r="G646" s="37" t="s">
        <v>536</v>
      </c>
      <c r="H646" s="36" t="s">
        <v>537</v>
      </c>
      <c r="I646" s="36" t="s">
        <v>538</v>
      </c>
      <c r="J646" s="36">
        <v>1</v>
      </c>
      <c r="K646" s="36" t="s">
        <v>496</v>
      </c>
      <c r="L646" s="36">
        <v>4</v>
      </c>
      <c r="M646" s="36">
        <v>1</v>
      </c>
      <c r="N646" s="38">
        <v>80000000</v>
      </c>
      <c r="O646" s="38">
        <v>6666666</v>
      </c>
      <c r="P646" s="36">
        <v>12</v>
      </c>
      <c r="Q646" s="36" t="s">
        <v>413</v>
      </c>
      <c r="R646" s="36" t="s">
        <v>531</v>
      </c>
      <c r="S646" s="36" t="s">
        <v>532</v>
      </c>
      <c r="T646" s="36" t="s">
        <v>533</v>
      </c>
      <c r="U646" s="36" t="s">
        <v>534</v>
      </c>
      <c r="V646" s="40">
        <v>45870</v>
      </c>
      <c r="W646" s="40">
        <v>45889</v>
      </c>
      <c r="X646" s="36">
        <v>0</v>
      </c>
      <c r="Y646" s="36"/>
      <c r="Z646" s="36">
        <v>1</v>
      </c>
      <c r="AA646" s="36">
        <v>6666666</v>
      </c>
      <c r="AB646" s="40">
        <v>46143</v>
      </c>
      <c r="AC646" s="36" t="s">
        <v>2196</v>
      </c>
      <c r="AD646" s="36" t="str">
        <f>VLOOKUP(D646,Oficial!A:C,3,0)</f>
        <v>Arrastre</v>
      </c>
    </row>
    <row r="647" spans="1:30" x14ac:dyDescent="0.25">
      <c r="A647" s="36" t="s">
        <v>27</v>
      </c>
      <c r="B647" s="36" t="s">
        <v>535</v>
      </c>
      <c r="C647" s="36" t="s">
        <v>28</v>
      </c>
      <c r="D647" s="36" t="s">
        <v>535</v>
      </c>
      <c r="E647" s="36" t="s">
        <v>30</v>
      </c>
      <c r="F647" s="36" t="s">
        <v>31</v>
      </c>
      <c r="G647" s="37" t="s">
        <v>536</v>
      </c>
      <c r="H647" s="36" t="s">
        <v>537</v>
      </c>
      <c r="I647" s="36" t="s">
        <v>538</v>
      </c>
      <c r="J647" s="36">
        <v>1</v>
      </c>
      <c r="K647" s="36" t="s">
        <v>496</v>
      </c>
      <c r="L647" s="36">
        <v>4</v>
      </c>
      <c r="M647" s="36">
        <v>1</v>
      </c>
      <c r="N647" s="38">
        <v>80000000</v>
      </c>
      <c r="O647" s="38">
        <v>6666666</v>
      </c>
      <c r="P647" s="36">
        <v>12</v>
      </c>
      <c r="Q647" s="36" t="s">
        <v>413</v>
      </c>
      <c r="R647" s="36" t="s">
        <v>531</v>
      </c>
      <c r="S647" s="36" t="s">
        <v>532</v>
      </c>
      <c r="T647" s="36" t="s">
        <v>533</v>
      </c>
      <c r="U647" s="36" t="s">
        <v>534</v>
      </c>
      <c r="V647" s="40">
        <v>45870</v>
      </c>
      <c r="W647" s="40">
        <v>45889</v>
      </c>
      <c r="X647" s="36">
        <v>0</v>
      </c>
      <c r="Y647" s="36"/>
      <c r="Z647" s="36">
        <v>1</v>
      </c>
      <c r="AA647" s="36">
        <v>6666666</v>
      </c>
      <c r="AB647" s="40">
        <v>46082</v>
      </c>
      <c r="AC647" s="36" t="s">
        <v>2196</v>
      </c>
      <c r="AD647" s="36" t="str">
        <f>VLOOKUP(D647,Oficial!A:C,3,0)</f>
        <v>Arrastre</v>
      </c>
    </row>
    <row r="648" spans="1:30" x14ac:dyDescent="0.25">
      <c r="A648" s="36" t="s">
        <v>27</v>
      </c>
      <c r="B648" s="36" t="s">
        <v>535</v>
      </c>
      <c r="C648" s="36" t="s">
        <v>28</v>
      </c>
      <c r="D648" s="36" t="s">
        <v>535</v>
      </c>
      <c r="E648" s="36" t="s">
        <v>30</v>
      </c>
      <c r="F648" s="36" t="s">
        <v>31</v>
      </c>
      <c r="G648" s="37" t="s">
        <v>536</v>
      </c>
      <c r="H648" s="36" t="s">
        <v>537</v>
      </c>
      <c r="I648" s="36" t="s">
        <v>538</v>
      </c>
      <c r="J648" s="36">
        <v>1</v>
      </c>
      <c r="K648" s="36" t="s">
        <v>496</v>
      </c>
      <c r="L648" s="36">
        <v>4</v>
      </c>
      <c r="M648" s="36">
        <v>1</v>
      </c>
      <c r="N648" s="38">
        <v>80000000</v>
      </c>
      <c r="O648" s="38">
        <v>6666666</v>
      </c>
      <c r="P648" s="36">
        <v>12</v>
      </c>
      <c r="Q648" s="36" t="s">
        <v>413</v>
      </c>
      <c r="R648" s="36" t="s">
        <v>531</v>
      </c>
      <c r="S648" s="36" t="s">
        <v>532</v>
      </c>
      <c r="T648" s="36" t="s">
        <v>533</v>
      </c>
      <c r="U648" s="36" t="s">
        <v>534</v>
      </c>
      <c r="V648" s="40">
        <v>45870</v>
      </c>
      <c r="W648" s="40">
        <v>45889</v>
      </c>
      <c r="X648" s="36">
        <v>0</v>
      </c>
      <c r="Y648" s="36"/>
      <c r="Z648" s="36">
        <v>1</v>
      </c>
      <c r="AA648" s="36">
        <v>6666666</v>
      </c>
      <c r="AB648" s="40">
        <v>46235</v>
      </c>
      <c r="AC648" s="36" t="s">
        <v>2196</v>
      </c>
      <c r="AD648" s="36" t="str">
        <f>VLOOKUP(D648,Oficial!A:C,3,0)</f>
        <v>Arrastre</v>
      </c>
    </row>
    <row r="649" spans="1:30" x14ac:dyDescent="0.25">
      <c r="A649" s="36" t="s">
        <v>27</v>
      </c>
      <c r="B649" s="36" t="s">
        <v>535</v>
      </c>
      <c r="C649" s="36" t="s">
        <v>28</v>
      </c>
      <c r="D649" s="36" t="s">
        <v>535</v>
      </c>
      <c r="E649" s="36" t="s">
        <v>30</v>
      </c>
      <c r="F649" s="36" t="s">
        <v>31</v>
      </c>
      <c r="G649" s="37" t="s">
        <v>536</v>
      </c>
      <c r="H649" s="36" t="s">
        <v>537</v>
      </c>
      <c r="I649" s="36" t="s">
        <v>538</v>
      </c>
      <c r="J649" s="36">
        <v>1</v>
      </c>
      <c r="K649" s="36" t="s">
        <v>496</v>
      </c>
      <c r="L649" s="36">
        <v>4</v>
      </c>
      <c r="M649" s="36">
        <v>1</v>
      </c>
      <c r="N649" s="38">
        <v>80000000</v>
      </c>
      <c r="O649" s="38">
        <v>6666666</v>
      </c>
      <c r="P649" s="36">
        <v>12</v>
      </c>
      <c r="Q649" s="36" t="s">
        <v>413</v>
      </c>
      <c r="R649" s="36" t="s">
        <v>531</v>
      </c>
      <c r="S649" s="36" t="s">
        <v>532</v>
      </c>
      <c r="T649" s="36" t="s">
        <v>533</v>
      </c>
      <c r="U649" s="36" t="s">
        <v>534</v>
      </c>
      <c r="V649" s="40">
        <v>45870</v>
      </c>
      <c r="W649" s="40">
        <v>45889</v>
      </c>
      <c r="X649" s="36">
        <v>0</v>
      </c>
      <c r="Y649" s="36"/>
      <c r="Z649" s="36">
        <v>1</v>
      </c>
      <c r="AA649" s="36">
        <v>6666666</v>
      </c>
      <c r="AB649" s="40">
        <v>46054</v>
      </c>
      <c r="AC649" s="36" t="s">
        <v>2196</v>
      </c>
      <c r="AD649" s="36" t="str">
        <f>VLOOKUP(D649,Oficial!A:C,3,0)</f>
        <v>Arrastre</v>
      </c>
    </row>
    <row r="650" spans="1:30" x14ac:dyDescent="0.25">
      <c r="A650" s="36" t="s">
        <v>27</v>
      </c>
      <c r="B650" s="36" t="s">
        <v>535</v>
      </c>
      <c r="C650" s="36" t="s">
        <v>28</v>
      </c>
      <c r="D650" s="36" t="s">
        <v>535</v>
      </c>
      <c r="E650" s="36" t="s">
        <v>30</v>
      </c>
      <c r="F650" s="36" t="s">
        <v>31</v>
      </c>
      <c r="G650" s="37" t="s">
        <v>536</v>
      </c>
      <c r="H650" s="36" t="s">
        <v>537</v>
      </c>
      <c r="I650" s="36" t="s">
        <v>538</v>
      </c>
      <c r="J650" s="36">
        <v>1</v>
      </c>
      <c r="K650" s="36" t="s">
        <v>496</v>
      </c>
      <c r="L650" s="36">
        <v>4</v>
      </c>
      <c r="M650" s="36">
        <v>1</v>
      </c>
      <c r="N650" s="38">
        <v>80000000</v>
      </c>
      <c r="O650" s="38">
        <v>6666666</v>
      </c>
      <c r="P650" s="36">
        <v>12</v>
      </c>
      <c r="Q650" s="36" t="s">
        <v>413</v>
      </c>
      <c r="R650" s="36" t="s">
        <v>531</v>
      </c>
      <c r="S650" s="36" t="s">
        <v>532</v>
      </c>
      <c r="T650" s="36" t="s">
        <v>533</v>
      </c>
      <c r="U650" s="36" t="s">
        <v>534</v>
      </c>
      <c r="V650" s="40">
        <v>45870</v>
      </c>
      <c r="W650" s="40">
        <v>45889</v>
      </c>
      <c r="X650" s="36">
        <v>0</v>
      </c>
      <c r="Y650" s="36"/>
      <c r="Z650" s="36">
        <v>1</v>
      </c>
      <c r="AA650" s="36">
        <v>6666666</v>
      </c>
      <c r="AB650" s="40">
        <v>46327</v>
      </c>
      <c r="AC650" s="36" t="s">
        <v>2196</v>
      </c>
      <c r="AD650" s="36" t="str">
        <f>VLOOKUP(D650,Oficial!A:C,3,0)</f>
        <v>Arrastre</v>
      </c>
    </row>
    <row r="651" spans="1:30" x14ac:dyDescent="0.25">
      <c r="A651" s="36" t="s">
        <v>27</v>
      </c>
      <c r="B651" s="36" t="s">
        <v>535</v>
      </c>
      <c r="C651" s="36" t="s">
        <v>28</v>
      </c>
      <c r="D651" s="36" t="s">
        <v>535</v>
      </c>
      <c r="E651" s="36" t="s">
        <v>30</v>
      </c>
      <c r="F651" s="36" t="s">
        <v>31</v>
      </c>
      <c r="G651" s="37" t="s">
        <v>536</v>
      </c>
      <c r="H651" s="36" t="s">
        <v>537</v>
      </c>
      <c r="I651" s="36" t="s">
        <v>538</v>
      </c>
      <c r="J651" s="36">
        <v>1</v>
      </c>
      <c r="K651" s="36" t="s">
        <v>496</v>
      </c>
      <c r="L651" s="36">
        <v>4</v>
      </c>
      <c r="M651" s="36">
        <v>1</v>
      </c>
      <c r="N651" s="38">
        <v>80000000</v>
      </c>
      <c r="O651" s="38">
        <v>6666666</v>
      </c>
      <c r="P651" s="36">
        <v>12</v>
      </c>
      <c r="Q651" s="36" t="s">
        <v>413</v>
      </c>
      <c r="R651" s="36" t="s">
        <v>531</v>
      </c>
      <c r="S651" s="36" t="s">
        <v>532</v>
      </c>
      <c r="T651" s="36" t="s">
        <v>533</v>
      </c>
      <c r="U651" s="36" t="s">
        <v>534</v>
      </c>
      <c r="V651" s="40">
        <v>45870</v>
      </c>
      <c r="W651" s="40">
        <v>45889</v>
      </c>
      <c r="X651" s="36">
        <v>0</v>
      </c>
      <c r="Y651" s="36"/>
      <c r="Z651" s="36">
        <v>1</v>
      </c>
      <c r="AA651" s="36">
        <v>6666666</v>
      </c>
      <c r="AB651" s="40">
        <v>46174</v>
      </c>
      <c r="AC651" s="36" t="s">
        <v>2196</v>
      </c>
      <c r="AD651" s="36" t="str">
        <f>VLOOKUP(D651,Oficial!A:C,3,0)</f>
        <v>Arrastre</v>
      </c>
    </row>
    <row r="652" spans="1:30" x14ac:dyDescent="0.25">
      <c r="A652" s="36" t="s">
        <v>27</v>
      </c>
      <c r="B652" s="36" t="s">
        <v>535</v>
      </c>
      <c r="C652" s="36" t="s">
        <v>28</v>
      </c>
      <c r="D652" s="36" t="s">
        <v>535</v>
      </c>
      <c r="E652" s="36" t="s">
        <v>30</v>
      </c>
      <c r="F652" s="36" t="s">
        <v>31</v>
      </c>
      <c r="G652" s="37" t="s">
        <v>536</v>
      </c>
      <c r="H652" s="36" t="s">
        <v>537</v>
      </c>
      <c r="I652" s="36" t="s">
        <v>538</v>
      </c>
      <c r="J652" s="36">
        <v>1</v>
      </c>
      <c r="K652" s="36" t="s">
        <v>496</v>
      </c>
      <c r="L652" s="36">
        <v>4</v>
      </c>
      <c r="M652" s="36">
        <v>1</v>
      </c>
      <c r="N652" s="38">
        <v>80000000</v>
      </c>
      <c r="O652" s="38">
        <v>6666666</v>
      </c>
      <c r="P652" s="36">
        <v>12</v>
      </c>
      <c r="Q652" s="36" t="s">
        <v>413</v>
      </c>
      <c r="R652" s="36" t="s">
        <v>531</v>
      </c>
      <c r="S652" s="36" t="s">
        <v>532</v>
      </c>
      <c r="T652" s="36" t="s">
        <v>533</v>
      </c>
      <c r="U652" s="36" t="s">
        <v>534</v>
      </c>
      <c r="V652" s="40">
        <v>45870</v>
      </c>
      <c r="W652" s="40">
        <v>45889</v>
      </c>
      <c r="X652" s="36">
        <v>0</v>
      </c>
      <c r="Y652" s="36"/>
      <c r="Z652" s="36">
        <v>1</v>
      </c>
      <c r="AA652" s="36">
        <v>6666666</v>
      </c>
      <c r="AB652" s="40">
        <v>46113</v>
      </c>
      <c r="AC652" s="36" t="s">
        <v>2196</v>
      </c>
      <c r="AD652" s="36" t="str">
        <f>VLOOKUP(D652,Oficial!A:C,3,0)</f>
        <v>Arrastre</v>
      </c>
    </row>
    <row r="653" spans="1:30" x14ac:dyDescent="0.25">
      <c r="A653" s="36" t="s">
        <v>27</v>
      </c>
      <c r="B653" s="36" t="s">
        <v>535</v>
      </c>
      <c r="C653" s="36" t="s">
        <v>28</v>
      </c>
      <c r="D653" s="36" t="s">
        <v>535</v>
      </c>
      <c r="E653" s="36" t="s">
        <v>30</v>
      </c>
      <c r="F653" s="36" t="s">
        <v>31</v>
      </c>
      <c r="G653" s="37" t="s">
        <v>536</v>
      </c>
      <c r="H653" s="36" t="s">
        <v>537</v>
      </c>
      <c r="I653" s="36" t="s">
        <v>538</v>
      </c>
      <c r="J653" s="36">
        <v>1</v>
      </c>
      <c r="K653" s="36" t="s">
        <v>496</v>
      </c>
      <c r="L653" s="36">
        <v>4</v>
      </c>
      <c r="M653" s="36">
        <v>1</v>
      </c>
      <c r="N653" s="38">
        <v>80000000</v>
      </c>
      <c r="O653" s="38">
        <v>6666666</v>
      </c>
      <c r="P653" s="36">
        <v>12</v>
      </c>
      <c r="Q653" s="36" t="s">
        <v>413</v>
      </c>
      <c r="R653" s="36" t="s">
        <v>531</v>
      </c>
      <c r="S653" s="36" t="s">
        <v>532</v>
      </c>
      <c r="T653" s="36" t="s">
        <v>533</v>
      </c>
      <c r="U653" s="36" t="s">
        <v>534</v>
      </c>
      <c r="V653" s="40">
        <v>45870</v>
      </c>
      <c r="W653" s="40">
        <v>45889</v>
      </c>
      <c r="X653" s="36">
        <v>0</v>
      </c>
      <c r="Y653" s="36"/>
      <c r="Z653" s="36">
        <v>1</v>
      </c>
      <c r="AA653" s="36">
        <v>6666666</v>
      </c>
      <c r="AB653" s="40">
        <v>46204</v>
      </c>
      <c r="AC653" s="36" t="s">
        <v>2196</v>
      </c>
      <c r="AD653" s="36" t="str">
        <f>VLOOKUP(D653,Oficial!A:C,3,0)</f>
        <v>Arrastre</v>
      </c>
    </row>
    <row r="654" spans="1:30" x14ac:dyDescent="0.25">
      <c r="A654" s="36" t="s">
        <v>27</v>
      </c>
      <c r="B654" s="36" t="s">
        <v>535</v>
      </c>
      <c r="C654" s="36" t="s">
        <v>28</v>
      </c>
      <c r="D654" s="36" t="s">
        <v>535</v>
      </c>
      <c r="E654" s="36" t="s">
        <v>30</v>
      </c>
      <c r="F654" s="36" t="s">
        <v>31</v>
      </c>
      <c r="G654" s="37" t="s">
        <v>536</v>
      </c>
      <c r="H654" s="36" t="s">
        <v>537</v>
      </c>
      <c r="I654" s="36" t="s">
        <v>538</v>
      </c>
      <c r="J654" s="36">
        <v>1</v>
      </c>
      <c r="K654" s="36" t="s">
        <v>496</v>
      </c>
      <c r="L654" s="36">
        <v>4</v>
      </c>
      <c r="M654" s="36">
        <v>1</v>
      </c>
      <c r="N654" s="38">
        <v>80000000</v>
      </c>
      <c r="O654" s="38">
        <v>6666666</v>
      </c>
      <c r="P654" s="36">
        <v>12</v>
      </c>
      <c r="Q654" s="36" t="s">
        <v>413</v>
      </c>
      <c r="R654" s="36" t="s">
        <v>531</v>
      </c>
      <c r="S654" s="36" t="s">
        <v>532</v>
      </c>
      <c r="T654" s="36" t="s">
        <v>533</v>
      </c>
      <c r="U654" s="36" t="s">
        <v>534</v>
      </c>
      <c r="V654" s="40">
        <v>45870</v>
      </c>
      <c r="W654" s="40">
        <v>45889</v>
      </c>
      <c r="X654" s="36">
        <v>0</v>
      </c>
      <c r="Y654" s="36"/>
      <c r="Z654" s="36">
        <v>1</v>
      </c>
      <c r="AA654" s="36">
        <v>6666666</v>
      </c>
      <c r="AB654" s="40">
        <v>46296</v>
      </c>
      <c r="AC654" s="36" t="s">
        <v>2196</v>
      </c>
      <c r="AD654" s="36" t="str">
        <f>VLOOKUP(D654,Oficial!A:C,3,0)</f>
        <v>Arrastre</v>
      </c>
    </row>
    <row r="655" spans="1:30" x14ac:dyDescent="0.25">
      <c r="A655" s="36" t="s">
        <v>27</v>
      </c>
      <c r="B655" s="36" t="s">
        <v>535</v>
      </c>
      <c r="C655" s="36" t="s">
        <v>28</v>
      </c>
      <c r="D655" s="36" t="s">
        <v>535</v>
      </c>
      <c r="E655" s="36" t="s">
        <v>30</v>
      </c>
      <c r="F655" s="36" t="s">
        <v>31</v>
      </c>
      <c r="G655" s="37" t="s">
        <v>536</v>
      </c>
      <c r="H655" s="36" t="s">
        <v>537</v>
      </c>
      <c r="I655" s="36" t="s">
        <v>538</v>
      </c>
      <c r="J655" s="36">
        <v>1</v>
      </c>
      <c r="K655" s="36" t="s">
        <v>496</v>
      </c>
      <c r="L655" s="36">
        <v>4</v>
      </c>
      <c r="M655" s="36">
        <v>1</v>
      </c>
      <c r="N655" s="38">
        <v>80000000</v>
      </c>
      <c r="O655" s="38">
        <v>6666666</v>
      </c>
      <c r="P655" s="36">
        <v>12</v>
      </c>
      <c r="Q655" s="36" t="s">
        <v>413</v>
      </c>
      <c r="R655" s="36" t="s">
        <v>531</v>
      </c>
      <c r="S655" s="36" t="s">
        <v>532</v>
      </c>
      <c r="T655" s="36" t="s">
        <v>533</v>
      </c>
      <c r="U655" s="36" t="s">
        <v>534</v>
      </c>
      <c r="V655" s="40">
        <v>45870</v>
      </c>
      <c r="W655" s="40">
        <v>45889</v>
      </c>
      <c r="X655" s="36">
        <v>0</v>
      </c>
      <c r="Y655" s="36"/>
      <c r="Z655" s="36">
        <v>1</v>
      </c>
      <c r="AA655" s="36">
        <v>6666666</v>
      </c>
      <c r="AB655" s="40">
        <v>46266</v>
      </c>
      <c r="AC655" s="36" t="s">
        <v>2196</v>
      </c>
      <c r="AD655" s="36" t="str">
        <f>VLOOKUP(D655,Oficial!A:C,3,0)</f>
        <v>Arrastre</v>
      </c>
    </row>
    <row r="656" spans="1:30" x14ac:dyDescent="0.25">
      <c r="A656" s="36" t="s">
        <v>27</v>
      </c>
      <c r="B656" s="36" t="s">
        <v>539</v>
      </c>
      <c r="C656" s="36" t="s">
        <v>28</v>
      </c>
      <c r="D656" s="36" t="s">
        <v>539</v>
      </c>
      <c r="E656" s="36" t="s">
        <v>30</v>
      </c>
      <c r="F656" s="36" t="s">
        <v>31</v>
      </c>
      <c r="G656" s="37" t="s">
        <v>540</v>
      </c>
      <c r="H656" s="36" t="s">
        <v>541</v>
      </c>
      <c r="I656" s="36" t="s">
        <v>542</v>
      </c>
      <c r="J656" s="36">
        <v>1</v>
      </c>
      <c r="K656" s="36" t="s">
        <v>543</v>
      </c>
      <c r="L656" s="36">
        <v>4</v>
      </c>
      <c r="M656" s="36">
        <v>40</v>
      </c>
      <c r="N656" s="38">
        <v>2000000</v>
      </c>
      <c r="O656" s="43">
        <v>3333333</v>
      </c>
      <c r="P656" s="36">
        <v>24</v>
      </c>
      <c r="Q656" s="36" t="s">
        <v>278</v>
      </c>
      <c r="R656" s="36" t="s">
        <v>55</v>
      </c>
      <c r="S656" s="36" t="s">
        <v>544</v>
      </c>
      <c r="T656" s="36" t="s">
        <v>57</v>
      </c>
      <c r="U656" s="36" t="s">
        <v>58</v>
      </c>
      <c r="V656" s="40">
        <v>45870</v>
      </c>
      <c r="W656" s="40">
        <v>45889</v>
      </c>
      <c r="X656" s="36">
        <v>0</v>
      </c>
      <c r="Y656" s="36"/>
      <c r="Z656" s="36">
        <v>1</v>
      </c>
      <c r="AA656" s="36">
        <v>3333333</v>
      </c>
      <c r="AB656" s="40">
        <v>46082</v>
      </c>
      <c r="AC656" s="36" t="s">
        <v>2196</v>
      </c>
      <c r="AD656" s="36" t="str">
        <f>VLOOKUP(D656,Oficial!A:C,3,0)</f>
        <v>Arrastre</v>
      </c>
    </row>
    <row r="657" spans="1:30" x14ac:dyDescent="0.25">
      <c r="A657" s="36" t="s">
        <v>27</v>
      </c>
      <c r="B657" s="36" t="s">
        <v>539</v>
      </c>
      <c r="C657" s="36" t="s">
        <v>28</v>
      </c>
      <c r="D657" s="36" t="s">
        <v>539</v>
      </c>
      <c r="E657" s="36" t="s">
        <v>30</v>
      </c>
      <c r="F657" s="36" t="s">
        <v>31</v>
      </c>
      <c r="G657" s="37" t="s">
        <v>540</v>
      </c>
      <c r="H657" s="36" t="s">
        <v>541</v>
      </c>
      <c r="I657" s="36" t="s">
        <v>542</v>
      </c>
      <c r="J657" s="36">
        <v>1</v>
      </c>
      <c r="K657" s="36" t="s">
        <v>543</v>
      </c>
      <c r="L657" s="36">
        <v>4</v>
      </c>
      <c r="M657" s="36">
        <v>40</v>
      </c>
      <c r="N657" s="38">
        <v>2000000</v>
      </c>
      <c r="O657" s="43">
        <v>3333333</v>
      </c>
      <c r="P657" s="36">
        <v>24</v>
      </c>
      <c r="Q657" s="36" t="s">
        <v>278</v>
      </c>
      <c r="R657" s="36" t="s">
        <v>55</v>
      </c>
      <c r="S657" s="36" t="s">
        <v>544</v>
      </c>
      <c r="T657" s="36" t="s">
        <v>57</v>
      </c>
      <c r="U657" s="36" t="s">
        <v>58</v>
      </c>
      <c r="V657" s="40">
        <v>45870</v>
      </c>
      <c r="W657" s="40">
        <v>45889</v>
      </c>
      <c r="X657" s="36">
        <v>0</v>
      </c>
      <c r="Y657" s="36"/>
      <c r="Z657" s="36">
        <v>1</v>
      </c>
      <c r="AA657" s="36">
        <v>3333333</v>
      </c>
      <c r="AB657" s="40">
        <v>46023</v>
      </c>
      <c r="AC657" s="36" t="s">
        <v>2196</v>
      </c>
      <c r="AD657" s="36" t="str">
        <f>VLOOKUP(D657,Oficial!A:C,3,0)</f>
        <v>Arrastre</v>
      </c>
    </row>
    <row r="658" spans="1:30" x14ac:dyDescent="0.25">
      <c r="A658" s="36" t="s">
        <v>27</v>
      </c>
      <c r="B658" s="36" t="s">
        <v>539</v>
      </c>
      <c r="C658" s="36" t="s">
        <v>28</v>
      </c>
      <c r="D658" s="36" t="s">
        <v>539</v>
      </c>
      <c r="E658" s="36" t="s">
        <v>30</v>
      </c>
      <c r="F658" s="36" t="s">
        <v>31</v>
      </c>
      <c r="G658" s="37" t="s">
        <v>540</v>
      </c>
      <c r="H658" s="36" t="s">
        <v>541</v>
      </c>
      <c r="I658" s="36" t="s">
        <v>542</v>
      </c>
      <c r="J658" s="36">
        <v>1</v>
      </c>
      <c r="K658" s="36" t="s">
        <v>543</v>
      </c>
      <c r="L658" s="36">
        <v>4</v>
      </c>
      <c r="M658" s="36">
        <v>40</v>
      </c>
      <c r="N658" s="38">
        <v>2000000</v>
      </c>
      <c r="O658" s="43">
        <v>3333333</v>
      </c>
      <c r="P658" s="36">
        <v>24</v>
      </c>
      <c r="Q658" s="36" t="s">
        <v>278</v>
      </c>
      <c r="R658" s="36" t="s">
        <v>55</v>
      </c>
      <c r="S658" s="36" t="s">
        <v>544</v>
      </c>
      <c r="T658" s="36" t="s">
        <v>57</v>
      </c>
      <c r="U658" s="36" t="s">
        <v>58</v>
      </c>
      <c r="V658" s="40">
        <v>45870</v>
      </c>
      <c r="W658" s="40">
        <v>45889</v>
      </c>
      <c r="X658" s="36">
        <v>0</v>
      </c>
      <c r="Y658" s="36"/>
      <c r="Z658" s="36">
        <v>1</v>
      </c>
      <c r="AA658" s="36">
        <v>3333333</v>
      </c>
      <c r="AB658" s="40">
        <v>46174</v>
      </c>
      <c r="AC658" s="36" t="s">
        <v>2196</v>
      </c>
      <c r="AD658" s="36" t="str">
        <f>VLOOKUP(D658,Oficial!A:C,3,0)</f>
        <v>Arrastre</v>
      </c>
    </row>
    <row r="659" spans="1:30" x14ac:dyDescent="0.25">
      <c r="A659" s="36" t="s">
        <v>27</v>
      </c>
      <c r="B659" s="36" t="s">
        <v>539</v>
      </c>
      <c r="C659" s="36" t="s">
        <v>28</v>
      </c>
      <c r="D659" s="36" t="s">
        <v>539</v>
      </c>
      <c r="E659" s="36" t="s">
        <v>30</v>
      </c>
      <c r="F659" s="36" t="s">
        <v>31</v>
      </c>
      <c r="G659" s="37" t="s">
        <v>540</v>
      </c>
      <c r="H659" s="36" t="s">
        <v>541</v>
      </c>
      <c r="I659" s="36" t="s">
        <v>542</v>
      </c>
      <c r="J659" s="36">
        <v>1</v>
      </c>
      <c r="K659" s="36" t="s">
        <v>543</v>
      </c>
      <c r="L659" s="36">
        <v>4</v>
      </c>
      <c r="M659" s="36">
        <v>40</v>
      </c>
      <c r="N659" s="38">
        <v>2000000</v>
      </c>
      <c r="O659" s="43">
        <v>3333333</v>
      </c>
      <c r="P659" s="36">
        <v>24</v>
      </c>
      <c r="Q659" s="36" t="s">
        <v>278</v>
      </c>
      <c r="R659" s="36" t="s">
        <v>55</v>
      </c>
      <c r="S659" s="36" t="s">
        <v>544</v>
      </c>
      <c r="T659" s="36" t="s">
        <v>57</v>
      </c>
      <c r="U659" s="36" t="s">
        <v>58</v>
      </c>
      <c r="V659" s="40">
        <v>45870</v>
      </c>
      <c r="W659" s="40">
        <v>45889</v>
      </c>
      <c r="X659" s="36">
        <v>0</v>
      </c>
      <c r="Y659" s="36"/>
      <c r="Z659" s="36">
        <v>1</v>
      </c>
      <c r="AA659" s="36">
        <v>3333333</v>
      </c>
      <c r="AB659" s="40">
        <v>46143</v>
      </c>
      <c r="AC659" s="36" t="s">
        <v>2196</v>
      </c>
      <c r="AD659" s="36" t="str">
        <f>VLOOKUP(D659,Oficial!A:C,3,0)</f>
        <v>Arrastre</v>
      </c>
    </row>
    <row r="660" spans="1:30" x14ac:dyDescent="0.25">
      <c r="A660" s="36" t="s">
        <v>27</v>
      </c>
      <c r="B660" s="36" t="s">
        <v>539</v>
      </c>
      <c r="C660" s="36" t="s">
        <v>28</v>
      </c>
      <c r="D660" s="36" t="s">
        <v>539</v>
      </c>
      <c r="E660" s="36" t="s">
        <v>30</v>
      </c>
      <c r="F660" s="36" t="s">
        <v>31</v>
      </c>
      <c r="G660" s="37" t="s">
        <v>540</v>
      </c>
      <c r="H660" s="36" t="s">
        <v>541</v>
      </c>
      <c r="I660" s="36" t="s">
        <v>542</v>
      </c>
      <c r="J660" s="36">
        <v>1</v>
      </c>
      <c r="K660" s="36" t="s">
        <v>543</v>
      </c>
      <c r="L660" s="36">
        <v>4</v>
      </c>
      <c r="M660" s="36">
        <v>40</v>
      </c>
      <c r="N660" s="38">
        <v>2000000</v>
      </c>
      <c r="O660" s="43">
        <v>3333333</v>
      </c>
      <c r="P660" s="36">
        <v>24</v>
      </c>
      <c r="Q660" s="36" t="s">
        <v>278</v>
      </c>
      <c r="R660" s="36" t="s">
        <v>55</v>
      </c>
      <c r="S660" s="36" t="s">
        <v>544</v>
      </c>
      <c r="T660" s="36" t="s">
        <v>57</v>
      </c>
      <c r="U660" s="36" t="s">
        <v>58</v>
      </c>
      <c r="V660" s="40">
        <v>45870</v>
      </c>
      <c r="W660" s="40">
        <v>45889</v>
      </c>
      <c r="X660" s="36">
        <v>0</v>
      </c>
      <c r="Y660" s="36"/>
      <c r="Z660" s="36">
        <v>1</v>
      </c>
      <c r="AA660" s="36">
        <v>3333333</v>
      </c>
      <c r="AB660" s="40">
        <v>46357</v>
      </c>
      <c r="AC660" s="36" t="s">
        <v>2196</v>
      </c>
      <c r="AD660" s="36" t="str">
        <f>VLOOKUP(D660,Oficial!A:C,3,0)</f>
        <v>Arrastre</v>
      </c>
    </row>
    <row r="661" spans="1:30" x14ac:dyDescent="0.25">
      <c r="A661" s="36" t="s">
        <v>27</v>
      </c>
      <c r="B661" s="36" t="s">
        <v>539</v>
      </c>
      <c r="C661" s="36" t="s">
        <v>28</v>
      </c>
      <c r="D661" s="36" t="s">
        <v>539</v>
      </c>
      <c r="E661" s="36" t="s">
        <v>30</v>
      </c>
      <c r="F661" s="36" t="s">
        <v>31</v>
      </c>
      <c r="G661" s="37" t="s">
        <v>540</v>
      </c>
      <c r="H661" s="36" t="s">
        <v>541</v>
      </c>
      <c r="I661" s="36" t="s">
        <v>542</v>
      </c>
      <c r="J661" s="36">
        <v>1</v>
      </c>
      <c r="K661" s="36" t="s">
        <v>543</v>
      </c>
      <c r="L661" s="36">
        <v>4</v>
      </c>
      <c r="M661" s="36">
        <v>40</v>
      </c>
      <c r="N661" s="38">
        <v>2000000</v>
      </c>
      <c r="O661" s="43">
        <v>3333333</v>
      </c>
      <c r="P661" s="36">
        <v>24</v>
      </c>
      <c r="Q661" s="36" t="s">
        <v>278</v>
      </c>
      <c r="R661" s="36" t="s">
        <v>55</v>
      </c>
      <c r="S661" s="36" t="s">
        <v>544</v>
      </c>
      <c r="T661" s="36" t="s">
        <v>57</v>
      </c>
      <c r="U661" s="36" t="s">
        <v>58</v>
      </c>
      <c r="V661" s="40">
        <v>45870</v>
      </c>
      <c r="W661" s="40">
        <v>45889</v>
      </c>
      <c r="X661" s="36">
        <v>0</v>
      </c>
      <c r="Y661" s="36"/>
      <c r="Z661" s="36">
        <v>1</v>
      </c>
      <c r="AA661" s="36">
        <v>3333333</v>
      </c>
      <c r="AB661" s="40">
        <v>46054</v>
      </c>
      <c r="AC661" s="36" t="s">
        <v>2196</v>
      </c>
      <c r="AD661" s="36" t="str">
        <f>VLOOKUP(D661,Oficial!A:C,3,0)</f>
        <v>Arrastre</v>
      </c>
    </row>
    <row r="662" spans="1:30" x14ac:dyDescent="0.25">
      <c r="A662" s="36" t="s">
        <v>27</v>
      </c>
      <c r="B662" s="36" t="s">
        <v>539</v>
      </c>
      <c r="C662" s="36" t="s">
        <v>28</v>
      </c>
      <c r="D662" s="36" t="s">
        <v>539</v>
      </c>
      <c r="E662" s="36" t="s">
        <v>30</v>
      </c>
      <c r="F662" s="36" t="s">
        <v>31</v>
      </c>
      <c r="G662" s="37" t="s">
        <v>540</v>
      </c>
      <c r="H662" s="36" t="s">
        <v>541</v>
      </c>
      <c r="I662" s="36" t="s">
        <v>542</v>
      </c>
      <c r="J662" s="36">
        <v>1</v>
      </c>
      <c r="K662" s="36" t="s">
        <v>543</v>
      </c>
      <c r="L662" s="36">
        <v>4</v>
      </c>
      <c r="M662" s="36">
        <v>40</v>
      </c>
      <c r="N662" s="38">
        <v>2000000</v>
      </c>
      <c r="O662" s="43">
        <v>3333333</v>
      </c>
      <c r="P662" s="36">
        <v>24</v>
      </c>
      <c r="Q662" s="36" t="s">
        <v>278</v>
      </c>
      <c r="R662" s="36" t="s">
        <v>55</v>
      </c>
      <c r="S662" s="36" t="s">
        <v>544</v>
      </c>
      <c r="T662" s="36" t="s">
        <v>57</v>
      </c>
      <c r="U662" s="36" t="s">
        <v>58</v>
      </c>
      <c r="V662" s="40">
        <v>45870</v>
      </c>
      <c r="W662" s="40">
        <v>45889</v>
      </c>
      <c r="X662" s="36">
        <v>0</v>
      </c>
      <c r="Y662" s="36"/>
      <c r="Z662" s="36">
        <v>1</v>
      </c>
      <c r="AA662" s="36">
        <v>3333333</v>
      </c>
      <c r="AB662" s="40">
        <v>46204</v>
      </c>
      <c r="AC662" s="36" t="s">
        <v>2196</v>
      </c>
      <c r="AD662" s="36" t="str">
        <f>VLOOKUP(D662,Oficial!A:C,3,0)</f>
        <v>Arrastre</v>
      </c>
    </row>
    <row r="663" spans="1:30" x14ac:dyDescent="0.25">
      <c r="A663" s="36" t="s">
        <v>27</v>
      </c>
      <c r="B663" s="36" t="s">
        <v>539</v>
      </c>
      <c r="C663" s="36" t="s">
        <v>28</v>
      </c>
      <c r="D663" s="36" t="s">
        <v>539</v>
      </c>
      <c r="E663" s="36" t="s">
        <v>30</v>
      </c>
      <c r="F663" s="36" t="s">
        <v>31</v>
      </c>
      <c r="G663" s="37" t="s">
        <v>540</v>
      </c>
      <c r="H663" s="36" t="s">
        <v>541</v>
      </c>
      <c r="I663" s="36" t="s">
        <v>542</v>
      </c>
      <c r="J663" s="36">
        <v>1</v>
      </c>
      <c r="K663" s="36" t="s">
        <v>543</v>
      </c>
      <c r="L663" s="36">
        <v>4</v>
      </c>
      <c r="M663" s="36">
        <v>40</v>
      </c>
      <c r="N663" s="38">
        <v>2000000</v>
      </c>
      <c r="O663" s="43">
        <v>3333333</v>
      </c>
      <c r="P663" s="36">
        <v>24</v>
      </c>
      <c r="Q663" s="36" t="s">
        <v>278</v>
      </c>
      <c r="R663" s="36" t="s">
        <v>55</v>
      </c>
      <c r="S663" s="36" t="s">
        <v>544</v>
      </c>
      <c r="T663" s="36" t="s">
        <v>57</v>
      </c>
      <c r="U663" s="36" t="s">
        <v>58</v>
      </c>
      <c r="V663" s="40">
        <v>45870</v>
      </c>
      <c r="W663" s="40">
        <v>45889</v>
      </c>
      <c r="X663" s="36">
        <v>0</v>
      </c>
      <c r="Y663" s="36"/>
      <c r="Z663" s="36">
        <v>1</v>
      </c>
      <c r="AA663" s="36">
        <v>3333333</v>
      </c>
      <c r="AB663" s="40">
        <v>46327</v>
      </c>
      <c r="AC663" s="36" t="s">
        <v>2196</v>
      </c>
      <c r="AD663" s="36" t="str">
        <f>VLOOKUP(D663,Oficial!A:C,3,0)</f>
        <v>Arrastre</v>
      </c>
    </row>
    <row r="664" spans="1:30" x14ac:dyDescent="0.25">
      <c r="A664" s="36" t="s">
        <v>27</v>
      </c>
      <c r="B664" s="36" t="s">
        <v>539</v>
      </c>
      <c r="C664" s="36" t="s">
        <v>28</v>
      </c>
      <c r="D664" s="36" t="s">
        <v>539</v>
      </c>
      <c r="E664" s="36" t="s">
        <v>30</v>
      </c>
      <c r="F664" s="36" t="s">
        <v>31</v>
      </c>
      <c r="G664" s="37" t="s">
        <v>540</v>
      </c>
      <c r="H664" s="36" t="s">
        <v>541</v>
      </c>
      <c r="I664" s="36" t="s">
        <v>542</v>
      </c>
      <c r="J664" s="36">
        <v>1</v>
      </c>
      <c r="K664" s="36" t="s">
        <v>543</v>
      </c>
      <c r="L664" s="36">
        <v>4</v>
      </c>
      <c r="M664" s="36">
        <v>40</v>
      </c>
      <c r="N664" s="38">
        <v>2000000</v>
      </c>
      <c r="O664" s="43">
        <v>3333333</v>
      </c>
      <c r="P664" s="36">
        <v>24</v>
      </c>
      <c r="Q664" s="36" t="s">
        <v>278</v>
      </c>
      <c r="R664" s="36" t="s">
        <v>55</v>
      </c>
      <c r="S664" s="36" t="s">
        <v>544</v>
      </c>
      <c r="T664" s="36" t="s">
        <v>57</v>
      </c>
      <c r="U664" s="36" t="s">
        <v>58</v>
      </c>
      <c r="V664" s="40">
        <v>45870</v>
      </c>
      <c r="W664" s="40">
        <v>45889</v>
      </c>
      <c r="X664" s="36">
        <v>0</v>
      </c>
      <c r="Y664" s="36"/>
      <c r="Z664" s="36">
        <v>1</v>
      </c>
      <c r="AA664" s="36">
        <v>3333333</v>
      </c>
      <c r="AB664" s="40">
        <v>46113</v>
      </c>
      <c r="AC664" s="36" t="s">
        <v>2196</v>
      </c>
      <c r="AD664" s="36" t="str">
        <f>VLOOKUP(D664,Oficial!A:C,3,0)</f>
        <v>Arrastre</v>
      </c>
    </row>
    <row r="665" spans="1:30" x14ac:dyDescent="0.25">
      <c r="A665" s="36" t="s">
        <v>27</v>
      </c>
      <c r="B665" s="36" t="s">
        <v>539</v>
      </c>
      <c r="C665" s="36" t="s">
        <v>28</v>
      </c>
      <c r="D665" s="36" t="s">
        <v>539</v>
      </c>
      <c r="E665" s="36" t="s">
        <v>30</v>
      </c>
      <c r="F665" s="36" t="s">
        <v>31</v>
      </c>
      <c r="G665" s="37" t="s">
        <v>540</v>
      </c>
      <c r="H665" s="36" t="s">
        <v>541</v>
      </c>
      <c r="I665" s="36" t="s">
        <v>542</v>
      </c>
      <c r="J665" s="36">
        <v>1</v>
      </c>
      <c r="K665" s="36" t="s">
        <v>543</v>
      </c>
      <c r="L665" s="36">
        <v>4</v>
      </c>
      <c r="M665" s="36">
        <v>40</v>
      </c>
      <c r="N665" s="38">
        <v>2000000</v>
      </c>
      <c r="O665" s="43">
        <v>3333333</v>
      </c>
      <c r="P665" s="36">
        <v>24</v>
      </c>
      <c r="Q665" s="36" t="s">
        <v>278</v>
      </c>
      <c r="R665" s="36" t="s">
        <v>55</v>
      </c>
      <c r="S665" s="36" t="s">
        <v>544</v>
      </c>
      <c r="T665" s="36" t="s">
        <v>57</v>
      </c>
      <c r="U665" s="36" t="s">
        <v>58</v>
      </c>
      <c r="V665" s="40">
        <v>45870</v>
      </c>
      <c r="W665" s="40">
        <v>45889</v>
      </c>
      <c r="X665" s="36">
        <v>0</v>
      </c>
      <c r="Y665" s="36"/>
      <c r="Z665" s="36">
        <v>1</v>
      </c>
      <c r="AA665" s="36">
        <v>3333333</v>
      </c>
      <c r="AB665" s="40">
        <v>46235</v>
      </c>
      <c r="AC665" s="36" t="s">
        <v>2196</v>
      </c>
      <c r="AD665" s="36" t="str">
        <f>VLOOKUP(D665,Oficial!A:C,3,0)</f>
        <v>Arrastre</v>
      </c>
    </row>
    <row r="666" spans="1:30" x14ac:dyDescent="0.25">
      <c r="A666" s="36" t="s">
        <v>27</v>
      </c>
      <c r="B666" s="36" t="s">
        <v>539</v>
      </c>
      <c r="C666" s="36" t="s">
        <v>28</v>
      </c>
      <c r="D666" s="36" t="s">
        <v>539</v>
      </c>
      <c r="E666" s="36" t="s">
        <v>30</v>
      </c>
      <c r="F666" s="36" t="s">
        <v>31</v>
      </c>
      <c r="G666" s="37" t="s">
        <v>540</v>
      </c>
      <c r="H666" s="36" t="s">
        <v>541</v>
      </c>
      <c r="I666" s="36" t="s">
        <v>542</v>
      </c>
      <c r="J666" s="36">
        <v>1</v>
      </c>
      <c r="K666" s="36" t="s">
        <v>543</v>
      </c>
      <c r="L666" s="36">
        <v>4</v>
      </c>
      <c r="M666" s="36">
        <v>40</v>
      </c>
      <c r="N666" s="38">
        <v>2000000</v>
      </c>
      <c r="O666" s="43">
        <v>3333333</v>
      </c>
      <c r="P666" s="36">
        <v>24</v>
      </c>
      <c r="Q666" s="36" t="s">
        <v>278</v>
      </c>
      <c r="R666" s="36" t="s">
        <v>55</v>
      </c>
      <c r="S666" s="36" t="s">
        <v>544</v>
      </c>
      <c r="T666" s="36" t="s">
        <v>57</v>
      </c>
      <c r="U666" s="36" t="s">
        <v>58</v>
      </c>
      <c r="V666" s="40">
        <v>45870</v>
      </c>
      <c r="W666" s="40">
        <v>45889</v>
      </c>
      <c r="X666" s="36">
        <v>0</v>
      </c>
      <c r="Y666" s="36"/>
      <c r="Z666" s="36">
        <v>1</v>
      </c>
      <c r="AA666" s="36">
        <v>3333333</v>
      </c>
      <c r="AB666" s="40">
        <v>46266</v>
      </c>
      <c r="AC666" s="36" t="s">
        <v>2196</v>
      </c>
      <c r="AD666" s="36" t="str">
        <f>VLOOKUP(D666,Oficial!A:C,3,0)</f>
        <v>Arrastre</v>
      </c>
    </row>
    <row r="667" spans="1:30" x14ac:dyDescent="0.25">
      <c r="A667" s="36" t="s">
        <v>27</v>
      </c>
      <c r="B667" s="36" t="s">
        <v>539</v>
      </c>
      <c r="C667" s="36" t="s">
        <v>28</v>
      </c>
      <c r="D667" s="36" t="s">
        <v>539</v>
      </c>
      <c r="E667" s="36" t="s">
        <v>30</v>
      </c>
      <c r="F667" s="36" t="s">
        <v>31</v>
      </c>
      <c r="G667" s="37" t="s">
        <v>540</v>
      </c>
      <c r="H667" s="36" t="s">
        <v>541</v>
      </c>
      <c r="I667" s="36" t="s">
        <v>542</v>
      </c>
      <c r="J667" s="36">
        <v>1</v>
      </c>
      <c r="K667" s="36" t="s">
        <v>543</v>
      </c>
      <c r="L667" s="36">
        <v>4</v>
      </c>
      <c r="M667" s="36">
        <v>40</v>
      </c>
      <c r="N667" s="38">
        <v>2000000</v>
      </c>
      <c r="O667" s="43">
        <v>3333333</v>
      </c>
      <c r="P667" s="36">
        <v>24</v>
      </c>
      <c r="Q667" s="36" t="s">
        <v>278</v>
      </c>
      <c r="R667" s="36" t="s">
        <v>55</v>
      </c>
      <c r="S667" s="36" t="s">
        <v>544</v>
      </c>
      <c r="T667" s="36" t="s">
        <v>57</v>
      </c>
      <c r="U667" s="36" t="s">
        <v>58</v>
      </c>
      <c r="V667" s="40">
        <v>45870</v>
      </c>
      <c r="W667" s="40">
        <v>45889</v>
      </c>
      <c r="X667" s="36">
        <v>0</v>
      </c>
      <c r="Y667" s="36"/>
      <c r="Z667" s="36">
        <v>1</v>
      </c>
      <c r="AA667" s="36">
        <v>3333333</v>
      </c>
      <c r="AB667" s="40">
        <v>46296</v>
      </c>
      <c r="AC667" s="36" t="s">
        <v>2196</v>
      </c>
      <c r="AD667" s="36" t="str">
        <f>VLOOKUP(D667,Oficial!A:C,3,0)</f>
        <v>Arrastre</v>
      </c>
    </row>
    <row r="668" spans="1:30" x14ac:dyDescent="0.25">
      <c r="A668" s="36" t="s">
        <v>27</v>
      </c>
      <c r="B668" s="36" t="s">
        <v>545</v>
      </c>
      <c r="C668" s="36" t="s">
        <v>374</v>
      </c>
      <c r="D668" s="36" t="s">
        <v>545</v>
      </c>
      <c r="E668" s="36" t="s">
        <v>30</v>
      </c>
      <c r="F668" s="36" t="s">
        <v>31</v>
      </c>
      <c r="G668" s="37" t="s">
        <v>409</v>
      </c>
      <c r="H668" s="36" t="s">
        <v>546</v>
      </c>
      <c r="I668" s="36" t="s">
        <v>547</v>
      </c>
      <c r="J668" s="36">
        <v>1</v>
      </c>
      <c r="K668" s="36" t="s">
        <v>496</v>
      </c>
      <c r="L668" s="36">
        <v>4</v>
      </c>
      <c r="M668" s="36">
        <v>1</v>
      </c>
      <c r="N668" s="38">
        <v>33600000</v>
      </c>
      <c r="O668" s="42">
        <v>2800000</v>
      </c>
      <c r="P668" s="36">
        <v>12</v>
      </c>
      <c r="Q668" s="36" t="s">
        <v>318</v>
      </c>
      <c r="R668" s="36" t="s">
        <v>414</v>
      </c>
      <c r="S668" s="36" t="s">
        <v>415</v>
      </c>
      <c r="T668" s="36" t="s">
        <v>416</v>
      </c>
      <c r="U668" s="36" t="s">
        <v>417</v>
      </c>
      <c r="V668" s="40">
        <v>45870</v>
      </c>
      <c r="W668" s="40">
        <v>45889</v>
      </c>
      <c r="X668" s="36">
        <v>0</v>
      </c>
      <c r="Y668" s="36"/>
      <c r="Z668" s="36">
        <v>1</v>
      </c>
      <c r="AA668" s="36">
        <v>2800000</v>
      </c>
      <c r="AB668" s="40">
        <v>46204</v>
      </c>
      <c r="AC668" s="36" t="s">
        <v>2196</v>
      </c>
      <c r="AD668" s="36" t="str">
        <f>VLOOKUP(D668,Oficial!A:C,3,0)</f>
        <v>Arrastre</v>
      </c>
    </row>
    <row r="669" spans="1:30" x14ac:dyDescent="0.25">
      <c r="A669" s="36" t="s">
        <v>27</v>
      </c>
      <c r="B669" s="36" t="s">
        <v>545</v>
      </c>
      <c r="C669" s="36" t="s">
        <v>374</v>
      </c>
      <c r="D669" s="36" t="s">
        <v>545</v>
      </c>
      <c r="E669" s="36" t="s">
        <v>30</v>
      </c>
      <c r="F669" s="36" t="s">
        <v>31</v>
      </c>
      <c r="G669" s="37" t="s">
        <v>409</v>
      </c>
      <c r="H669" s="36" t="s">
        <v>546</v>
      </c>
      <c r="I669" s="36" t="s">
        <v>547</v>
      </c>
      <c r="J669" s="36">
        <v>1</v>
      </c>
      <c r="K669" s="36" t="s">
        <v>496</v>
      </c>
      <c r="L669" s="36">
        <v>4</v>
      </c>
      <c r="M669" s="36">
        <v>1</v>
      </c>
      <c r="N669" s="38">
        <v>33600000</v>
      </c>
      <c r="O669" s="42">
        <v>2800000</v>
      </c>
      <c r="P669" s="36">
        <v>12</v>
      </c>
      <c r="Q669" s="36" t="s">
        <v>318</v>
      </c>
      <c r="R669" s="36" t="s">
        <v>414</v>
      </c>
      <c r="S669" s="36" t="s">
        <v>415</v>
      </c>
      <c r="T669" s="36" t="s">
        <v>416</v>
      </c>
      <c r="U669" s="36" t="s">
        <v>417</v>
      </c>
      <c r="V669" s="40">
        <v>45870</v>
      </c>
      <c r="W669" s="40">
        <v>45889</v>
      </c>
      <c r="X669" s="36">
        <v>0</v>
      </c>
      <c r="Y669" s="36"/>
      <c r="Z669" s="36">
        <v>1</v>
      </c>
      <c r="AA669" s="36">
        <v>2800000</v>
      </c>
      <c r="AB669" s="40">
        <v>46113</v>
      </c>
      <c r="AC669" s="36" t="s">
        <v>2196</v>
      </c>
      <c r="AD669" s="36" t="str">
        <f>VLOOKUP(D669,Oficial!A:C,3,0)</f>
        <v>Arrastre</v>
      </c>
    </row>
    <row r="670" spans="1:30" x14ac:dyDescent="0.25">
      <c r="A670" s="36" t="s">
        <v>27</v>
      </c>
      <c r="B670" s="36" t="s">
        <v>545</v>
      </c>
      <c r="C670" s="36" t="s">
        <v>374</v>
      </c>
      <c r="D670" s="36" t="s">
        <v>545</v>
      </c>
      <c r="E670" s="36" t="s">
        <v>30</v>
      </c>
      <c r="F670" s="36" t="s">
        <v>31</v>
      </c>
      <c r="G670" s="37" t="s">
        <v>409</v>
      </c>
      <c r="H670" s="36" t="s">
        <v>546</v>
      </c>
      <c r="I670" s="36" t="s">
        <v>547</v>
      </c>
      <c r="J670" s="36">
        <v>1</v>
      </c>
      <c r="K670" s="36" t="s">
        <v>496</v>
      </c>
      <c r="L670" s="36">
        <v>4</v>
      </c>
      <c r="M670" s="36">
        <v>1</v>
      </c>
      <c r="N670" s="38">
        <v>33600000</v>
      </c>
      <c r="O670" s="42">
        <v>2800000</v>
      </c>
      <c r="P670" s="36">
        <v>12</v>
      </c>
      <c r="Q670" s="36" t="s">
        <v>318</v>
      </c>
      <c r="R670" s="36" t="s">
        <v>414</v>
      </c>
      <c r="S670" s="36" t="s">
        <v>415</v>
      </c>
      <c r="T670" s="36" t="s">
        <v>416</v>
      </c>
      <c r="U670" s="36" t="s">
        <v>417</v>
      </c>
      <c r="V670" s="40">
        <v>45870</v>
      </c>
      <c r="W670" s="40">
        <v>45889</v>
      </c>
      <c r="X670" s="36">
        <v>0</v>
      </c>
      <c r="Y670" s="36"/>
      <c r="Z670" s="36">
        <v>1</v>
      </c>
      <c r="AA670" s="36">
        <v>2800000</v>
      </c>
      <c r="AB670" s="40">
        <v>46054</v>
      </c>
      <c r="AC670" s="36" t="s">
        <v>2196</v>
      </c>
      <c r="AD670" s="36" t="str">
        <f>VLOOKUP(D670,Oficial!A:C,3,0)</f>
        <v>Arrastre</v>
      </c>
    </row>
    <row r="671" spans="1:30" x14ac:dyDescent="0.25">
      <c r="A671" s="36" t="s">
        <v>27</v>
      </c>
      <c r="B671" s="36" t="s">
        <v>545</v>
      </c>
      <c r="C671" s="36" t="s">
        <v>374</v>
      </c>
      <c r="D671" s="36" t="s">
        <v>545</v>
      </c>
      <c r="E671" s="36" t="s">
        <v>30</v>
      </c>
      <c r="F671" s="36" t="s">
        <v>31</v>
      </c>
      <c r="G671" s="37" t="s">
        <v>409</v>
      </c>
      <c r="H671" s="36" t="s">
        <v>546</v>
      </c>
      <c r="I671" s="36" t="s">
        <v>547</v>
      </c>
      <c r="J671" s="36">
        <v>1</v>
      </c>
      <c r="K671" s="36" t="s">
        <v>496</v>
      </c>
      <c r="L671" s="36">
        <v>4</v>
      </c>
      <c r="M671" s="36">
        <v>1</v>
      </c>
      <c r="N671" s="38">
        <v>33600000</v>
      </c>
      <c r="O671" s="42">
        <v>2800000</v>
      </c>
      <c r="P671" s="36">
        <v>12</v>
      </c>
      <c r="Q671" s="36" t="s">
        <v>318</v>
      </c>
      <c r="R671" s="36" t="s">
        <v>414</v>
      </c>
      <c r="S671" s="36" t="s">
        <v>415</v>
      </c>
      <c r="T671" s="36" t="s">
        <v>416</v>
      </c>
      <c r="U671" s="36" t="s">
        <v>417</v>
      </c>
      <c r="V671" s="40">
        <v>45870</v>
      </c>
      <c r="W671" s="40">
        <v>45889</v>
      </c>
      <c r="X671" s="36">
        <v>0</v>
      </c>
      <c r="Y671" s="36"/>
      <c r="Z671" s="36">
        <v>1</v>
      </c>
      <c r="AA671" s="36">
        <v>2800000</v>
      </c>
      <c r="AB671" s="40">
        <v>46296</v>
      </c>
      <c r="AC671" s="36" t="s">
        <v>2196</v>
      </c>
      <c r="AD671" s="36" t="str">
        <f>VLOOKUP(D671,Oficial!A:C,3,0)</f>
        <v>Arrastre</v>
      </c>
    </row>
    <row r="672" spans="1:30" x14ac:dyDescent="0.25">
      <c r="A672" s="36" t="s">
        <v>27</v>
      </c>
      <c r="B672" s="36" t="s">
        <v>545</v>
      </c>
      <c r="C672" s="36" t="s">
        <v>374</v>
      </c>
      <c r="D672" s="36" t="s">
        <v>545</v>
      </c>
      <c r="E672" s="36" t="s">
        <v>30</v>
      </c>
      <c r="F672" s="36" t="s">
        <v>31</v>
      </c>
      <c r="G672" s="37" t="s">
        <v>409</v>
      </c>
      <c r="H672" s="36" t="s">
        <v>546</v>
      </c>
      <c r="I672" s="36" t="s">
        <v>547</v>
      </c>
      <c r="J672" s="36">
        <v>1</v>
      </c>
      <c r="K672" s="36" t="s">
        <v>496</v>
      </c>
      <c r="L672" s="36">
        <v>4</v>
      </c>
      <c r="M672" s="36">
        <v>1</v>
      </c>
      <c r="N672" s="38">
        <v>33600000</v>
      </c>
      <c r="O672" s="42">
        <v>2800000</v>
      </c>
      <c r="P672" s="36">
        <v>12</v>
      </c>
      <c r="Q672" s="36" t="s">
        <v>318</v>
      </c>
      <c r="R672" s="36" t="s">
        <v>414</v>
      </c>
      <c r="S672" s="36" t="s">
        <v>415</v>
      </c>
      <c r="T672" s="36" t="s">
        <v>416</v>
      </c>
      <c r="U672" s="36" t="s">
        <v>417</v>
      </c>
      <c r="V672" s="40">
        <v>45870</v>
      </c>
      <c r="W672" s="40">
        <v>45889</v>
      </c>
      <c r="X672" s="36">
        <v>0</v>
      </c>
      <c r="Y672" s="36"/>
      <c r="Z672" s="36">
        <v>1</v>
      </c>
      <c r="AA672" s="36">
        <v>2800000</v>
      </c>
      <c r="AB672" s="40">
        <v>46082</v>
      </c>
      <c r="AC672" s="36" t="s">
        <v>2196</v>
      </c>
      <c r="AD672" s="36" t="str">
        <f>VLOOKUP(D672,Oficial!A:C,3,0)</f>
        <v>Arrastre</v>
      </c>
    </row>
    <row r="673" spans="1:30" x14ac:dyDescent="0.25">
      <c r="A673" s="36" t="s">
        <v>27</v>
      </c>
      <c r="B673" s="36" t="s">
        <v>545</v>
      </c>
      <c r="C673" s="36" t="s">
        <v>374</v>
      </c>
      <c r="D673" s="36" t="s">
        <v>545</v>
      </c>
      <c r="E673" s="36" t="s">
        <v>30</v>
      </c>
      <c r="F673" s="36" t="s">
        <v>31</v>
      </c>
      <c r="G673" s="37" t="s">
        <v>409</v>
      </c>
      <c r="H673" s="36" t="s">
        <v>546</v>
      </c>
      <c r="I673" s="36" t="s">
        <v>547</v>
      </c>
      <c r="J673" s="36">
        <v>1</v>
      </c>
      <c r="K673" s="36" t="s">
        <v>496</v>
      </c>
      <c r="L673" s="36">
        <v>4</v>
      </c>
      <c r="M673" s="36">
        <v>1</v>
      </c>
      <c r="N673" s="38">
        <v>33600000</v>
      </c>
      <c r="O673" s="42">
        <v>2800000</v>
      </c>
      <c r="P673" s="36">
        <v>12</v>
      </c>
      <c r="Q673" s="36" t="s">
        <v>318</v>
      </c>
      <c r="R673" s="36" t="s">
        <v>414</v>
      </c>
      <c r="S673" s="36" t="s">
        <v>415</v>
      </c>
      <c r="T673" s="36" t="s">
        <v>416</v>
      </c>
      <c r="U673" s="36" t="s">
        <v>417</v>
      </c>
      <c r="V673" s="40">
        <v>45870</v>
      </c>
      <c r="W673" s="40">
        <v>45889</v>
      </c>
      <c r="X673" s="36">
        <v>0</v>
      </c>
      <c r="Y673" s="36"/>
      <c r="Z673" s="36">
        <v>1</v>
      </c>
      <c r="AA673" s="36">
        <v>2800000</v>
      </c>
      <c r="AB673" s="40">
        <v>46327</v>
      </c>
      <c r="AC673" s="36" t="s">
        <v>2196</v>
      </c>
      <c r="AD673" s="36" t="str">
        <f>VLOOKUP(D673,Oficial!A:C,3,0)</f>
        <v>Arrastre</v>
      </c>
    </row>
    <row r="674" spans="1:30" x14ac:dyDescent="0.25">
      <c r="A674" s="36" t="s">
        <v>27</v>
      </c>
      <c r="B674" s="36" t="s">
        <v>545</v>
      </c>
      <c r="C674" s="36" t="s">
        <v>374</v>
      </c>
      <c r="D674" s="36" t="s">
        <v>545</v>
      </c>
      <c r="E674" s="36" t="s">
        <v>30</v>
      </c>
      <c r="F674" s="36" t="s">
        <v>31</v>
      </c>
      <c r="G674" s="37" t="s">
        <v>409</v>
      </c>
      <c r="H674" s="36" t="s">
        <v>546</v>
      </c>
      <c r="I674" s="36" t="s">
        <v>547</v>
      </c>
      <c r="J674" s="36">
        <v>1</v>
      </c>
      <c r="K674" s="36" t="s">
        <v>496</v>
      </c>
      <c r="L674" s="36">
        <v>4</v>
      </c>
      <c r="M674" s="36">
        <v>1</v>
      </c>
      <c r="N674" s="38">
        <v>33600000</v>
      </c>
      <c r="O674" s="42">
        <v>2800000</v>
      </c>
      <c r="P674" s="36">
        <v>12</v>
      </c>
      <c r="Q674" s="36" t="s">
        <v>318</v>
      </c>
      <c r="R674" s="36" t="s">
        <v>414</v>
      </c>
      <c r="S674" s="36" t="s">
        <v>415</v>
      </c>
      <c r="T674" s="36" t="s">
        <v>416</v>
      </c>
      <c r="U674" s="36" t="s">
        <v>417</v>
      </c>
      <c r="V674" s="40">
        <v>45870</v>
      </c>
      <c r="W674" s="40">
        <v>45889</v>
      </c>
      <c r="X674" s="36">
        <v>0</v>
      </c>
      <c r="Y674" s="36"/>
      <c r="Z674" s="36">
        <v>1</v>
      </c>
      <c r="AA674" s="36">
        <v>2800000</v>
      </c>
      <c r="AB674" s="40">
        <v>46357</v>
      </c>
      <c r="AC674" s="36" t="s">
        <v>2196</v>
      </c>
      <c r="AD674" s="36" t="str">
        <f>VLOOKUP(D674,Oficial!A:C,3,0)</f>
        <v>Arrastre</v>
      </c>
    </row>
    <row r="675" spans="1:30" x14ac:dyDescent="0.25">
      <c r="A675" s="36" t="s">
        <v>27</v>
      </c>
      <c r="B675" s="36" t="s">
        <v>545</v>
      </c>
      <c r="C675" s="36" t="s">
        <v>374</v>
      </c>
      <c r="D675" s="36" t="s">
        <v>545</v>
      </c>
      <c r="E675" s="36" t="s">
        <v>30</v>
      </c>
      <c r="F675" s="36" t="s">
        <v>31</v>
      </c>
      <c r="G675" s="37" t="s">
        <v>409</v>
      </c>
      <c r="H675" s="36" t="s">
        <v>546</v>
      </c>
      <c r="I675" s="36" t="s">
        <v>547</v>
      </c>
      <c r="J675" s="36">
        <v>1</v>
      </c>
      <c r="K675" s="36" t="s">
        <v>496</v>
      </c>
      <c r="L675" s="36">
        <v>4</v>
      </c>
      <c r="M675" s="36">
        <v>1</v>
      </c>
      <c r="N675" s="38">
        <v>33600000</v>
      </c>
      <c r="O675" s="42">
        <v>2800000</v>
      </c>
      <c r="P675" s="36">
        <v>12</v>
      </c>
      <c r="Q675" s="36" t="s">
        <v>318</v>
      </c>
      <c r="R675" s="36" t="s">
        <v>414</v>
      </c>
      <c r="S675" s="36" t="s">
        <v>415</v>
      </c>
      <c r="T675" s="36" t="s">
        <v>416</v>
      </c>
      <c r="U675" s="36" t="s">
        <v>417</v>
      </c>
      <c r="V675" s="40">
        <v>45870</v>
      </c>
      <c r="W675" s="40">
        <v>45889</v>
      </c>
      <c r="X675" s="36">
        <v>0</v>
      </c>
      <c r="Y675" s="36"/>
      <c r="Z675" s="36">
        <v>1</v>
      </c>
      <c r="AA675" s="36">
        <v>2800000</v>
      </c>
      <c r="AB675" s="40">
        <v>46235</v>
      </c>
      <c r="AC675" s="36" t="s">
        <v>2196</v>
      </c>
      <c r="AD675" s="36" t="str">
        <f>VLOOKUP(D675,Oficial!A:C,3,0)</f>
        <v>Arrastre</v>
      </c>
    </row>
    <row r="676" spans="1:30" x14ac:dyDescent="0.25">
      <c r="A676" s="36" t="s">
        <v>27</v>
      </c>
      <c r="B676" s="36" t="s">
        <v>545</v>
      </c>
      <c r="C676" s="36" t="s">
        <v>374</v>
      </c>
      <c r="D676" s="36" t="s">
        <v>545</v>
      </c>
      <c r="E676" s="36" t="s">
        <v>30</v>
      </c>
      <c r="F676" s="36" t="s">
        <v>31</v>
      </c>
      <c r="G676" s="37" t="s">
        <v>409</v>
      </c>
      <c r="H676" s="36" t="s">
        <v>546</v>
      </c>
      <c r="I676" s="36" t="s">
        <v>547</v>
      </c>
      <c r="J676" s="36">
        <v>1</v>
      </c>
      <c r="K676" s="36" t="s">
        <v>496</v>
      </c>
      <c r="L676" s="36">
        <v>4</v>
      </c>
      <c r="M676" s="36">
        <v>1</v>
      </c>
      <c r="N676" s="38">
        <v>33600000</v>
      </c>
      <c r="O676" s="42">
        <v>2800000</v>
      </c>
      <c r="P676" s="36">
        <v>12</v>
      </c>
      <c r="Q676" s="36" t="s">
        <v>318</v>
      </c>
      <c r="R676" s="36" t="s">
        <v>414</v>
      </c>
      <c r="S676" s="36" t="s">
        <v>415</v>
      </c>
      <c r="T676" s="36" t="s">
        <v>416</v>
      </c>
      <c r="U676" s="36" t="s">
        <v>417</v>
      </c>
      <c r="V676" s="40">
        <v>45870</v>
      </c>
      <c r="W676" s="40">
        <v>45889</v>
      </c>
      <c r="X676" s="36">
        <v>0</v>
      </c>
      <c r="Y676" s="36"/>
      <c r="Z676" s="36">
        <v>1</v>
      </c>
      <c r="AA676" s="36">
        <v>2800000</v>
      </c>
      <c r="AB676" s="40">
        <v>46174</v>
      </c>
      <c r="AC676" s="36" t="s">
        <v>2196</v>
      </c>
      <c r="AD676" s="36" t="str">
        <f>VLOOKUP(D676,Oficial!A:C,3,0)</f>
        <v>Arrastre</v>
      </c>
    </row>
    <row r="677" spans="1:30" x14ac:dyDescent="0.25">
      <c r="A677" s="36" t="s">
        <v>27</v>
      </c>
      <c r="B677" s="36" t="s">
        <v>545</v>
      </c>
      <c r="C677" s="36" t="s">
        <v>374</v>
      </c>
      <c r="D677" s="36" t="s">
        <v>545</v>
      </c>
      <c r="E677" s="36" t="s">
        <v>30</v>
      </c>
      <c r="F677" s="36" t="s">
        <v>31</v>
      </c>
      <c r="G677" s="37" t="s">
        <v>409</v>
      </c>
      <c r="H677" s="36" t="s">
        <v>546</v>
      </c>
      <c r="I677" s="36" t="s">
        <v>547</v>
      </c>
      <c r="J677" s="36">
        <v>1</v>
      </c>
      <c r="K677" s="36" t="s">
        <v>496</v>
      </c>
      <c r="L677" s="36">
        <v>4</v>
      </c>
      <c r="M677" s="36">
        <v>1</v>
      </c>
      <c r="N677" s="38">
        <v>33600000</v>
      </c>
      <c r="O677" s="42">
        <v>2800000</v>
      </c>
      <c r="P677" s="36">
        <v>12</v>
      </c>
      <c r="Q677" s="36" t="s">
        <v>318</v>
      </c>
      <c r="R677" s="36" t="s">
        <v>414</v>
      </c>
      <c r="S677" s="36" t="s">
        <v>415</v>
      </c>
      <c r="T677" s="36" t="s">
        <v>416</v>
      </c>
      <c r="U677" s="36" t="s">
        <v>417</v>
      </c>
      <c r="V677" s="40">
        <v>45870</v>
      </c>
      <c r="W677" s="40">
        <v>45889</v>
      </c>
      <c r="X677" s="36">
        <v>0</v>
      </c>
      <c r="Y677" s="36"/>
      <c r="Z677" s="36">
        <v>1</v>
      </c>
      <c r="AA677" s="36">
        <v>2800000</v>
      </c>
      <c r="AB677" s="40">
        <v>46266</v>
      </c>
      <c r="AC677" s="36" t="s">
        <v>2196</v>
      </c>
      <c r="AD677" s="36" t="str">
        <f>VLOOKUP(D677,Oficial!A:C,3,0)</f>
        <v>Arrastre</v>
      </c>
    </row>
    <row r="678" spans="1:30" x14ac:dyDescent="0.25">
      <c r="A678" s="36" t="s">
        <v>27</v>
      </c>
      <c r="B678" s="36" t="s">
        <v>545</v>
      </c>
      <c r="C678" s="36" t="s">
        <v>374</v>
      </c>
      <c r="D678" s="36" t="s">
        <v>545</v>
      </c>
      <c r="E678" s="36" t="s">
        <v>30</v>
      </c>
      <c r="F678" s="36" t="s">
        <v>31</v>
      </c>
      <c r="G678" s="37" t="s">
        <v>409</v>
      </c>
      <c r="H678" s="36" t="s">
        <v>546</v>
      </c>
      <c r="I678" s="36" t="s">
        <v>547</v>
      </c>
      <c r="J678" s="36">
        <v>1</v>
      </c>
      <c r="K678" s="36" t="s">
        <v>496</v>
      </c>
      <c r="L678" s="36">
        <v>4</v>
      </c>
      <c r="M678" s="36">
        <v>1</v>
      </c>
      <c r="N678" s="38">
        <v>33600000</v>
      </c>
      <c r="O678" s="42">
        <v>2800000</v>
      </c>
      <c r="P678" s="36">
        <v>12</v>
      </c>
      <c r="Q678" s="36" t="s">
        <v>318</v>
      </c>
      <c r="R678" s="36" t="s">
        <v>414</v>
      </c>
      <c r="S678" s="36" t="s">
        <v>415</v>
      </c>
      <c r="T678" s="36" t="s">
        <v>416</v>
      </c>
      <c r="U678" s="36" t="s">
        <v>417</v>
      </c>
      <c r="V678" s="40">
        <v>45870</v>
      </c>
      <c r="W678" s="40">
        <v>45889</v>
      </c>
      <c r="X678" s="36">
        <v>0</v>
      </c>
      <c r="Y678" s="36"/>
      <c r="Z678" s="36">
        <v>1</v>
      </c>
      <c r="AA678" s="36">
        <v>2800000</v>
      </c>
      <c r="AB678" s="40">
        <v>46143</v>
      </c>
      <c r="AC678" s="36" t="s">
        <v>2196</v>
      </c>
      <c r="AD678" s="36" t="str">
        <f>VLOOKUP(D678,Oficial!A:C,3,0)</f>
        <v>Arrastre</v>
      </c>
    </row>
    <row r="679" spans="1:30" x14ac:dyDescent="0.25">
      <c r="A679" s="36" t="s">
        <v>27</v>
      </c>
      <c r="B679" s="36" t="s">
        <v>548</v>
      </c>
      <c r="C679" s="36" t="s">
        <v>28</v>
      </c>
      <c r="D679" s="36" t="s">
        <v>548</v>
      </c>
      <c r="E679" s="36" t="s">
        <v>30</v>
      </c>
      <c r="F679" s="36" t="s">
        <v>31</v>
      </c>
      <c r="G679" s="37" t="s">
        <v>549</v>
      </c>
      <c r="H679" s="36" t="s">
        <v>550</v>
      </c>
      <c r="I679" s="36" t="s">
        <v>551</v>
      </c>
      <c r="J679" s="36">
        <v>1</v>
      </c>
      <c r="K679" s="36" t="s">
        <v>496</v>
      </c>
      <c r="L679" s="36">
        <v>4</v>
      </c>
      <c r="M679" s="36">
        <v>1</v>
      </c>
      <c r="N679" s="38">
        <v>96100000</v>
      </c>
      <c r="O679" s="41">
        <v>8008333</v>
      </c>
      <c r="P679" s="36">
        <v>12</v>
      </c>
      <c r="Q679" s="36" t="s">
        <v>413</v>
      </c>
      <c r="R679" s="36" t="s">
        <v>55</v>
      </c>
      <c r="S679" s="36" t="s">
        <v>544</v>
      </c>
      <c r="T679" s="36" t="s">
        <v>57</v>
      </c>
      <c r="U679" s="36" t="s">
        <v>58</v>
      </c>
      <c r="V679" s="40">
        <v>45870</v>
      </c>
      <c r="W679" s="40">
        <v>45889</v>
      </c>
      <c r="X679" s="36">
        <v>0</v>
      </c>
      <c r="Y679" s="36"/>
      <c r="Z679" s="36">
        <v>1</v>
      </c>
      <c r="AA679" s="36">
        <v>8008333</v>
      </c>
      <c r="AB679" s="40">
        <v>46054</v>
      </c>
      <c r="AC679" s="36" t="s">
        <v>2196</v>
      </c>
      <c r="AD679" s="36" t="str">
        <f>VLOOKUP(D679,Oficial!A:C,3,0)</f>
        <v>Arrastre</v>
      </c>
    </row>
    <row r="680" spans="1:30" x14ac:dyDescent="0.25">
      <c r="A680" s="36" t="s">
        <v>27</v>
      </c>
      <c r="B680" s="36" t="s">
        <v>548</v>
      </c>
      <c r="C680" s="36" t="s">
        <v>28</v>
      </c>
      <c r="D680" s="36" t="s">
        <v>548</v>
      </c>
      <c r="E680" s="36" t="s">
        <v>30</v>
      </c>
      <c r="F680" s="36" t="s">
        <v>31</v>
      </c>
      <c r="G680" s="37" t="s">
        <v>549</v>
      </c>
      <c r="H680" s="36" t="s">
        <v>550</v>
      </c>
      <c r="I680" s="36" t="s">
        <v>551</v>
      </c>
      <c r="J680" s="36">
        <v>1</v>
      </c>
      <c r="K680" s="36" t="s">
        <v>496</v>
      </c>
      <c r="L680" s="36">
        <v>4</v>
      </c>
      <c r="M680" s="36">
        <v>1</v>
      </c>
      <c r="N680" s="38">
        <v>96100000</v>
      </c>
      <c r="O680" s="41">
        <v>8008333</v>
      </c>
      <c r="P680" s="36">
        <v>12</v>
      </c>
      <c r="Q680" s="36" t="s">
        <v>413</v>
      </c>
      <c r="R680" s="36" t="s">
        <v>55</v>
      </c>
      <c r="S680" s="36" t="s">
        <v>544</v>
      </c>
      <c r="T680" s="36" t="s">
        <v>57</v>
      </c>
      <c r="U680" s="36" t="s">
        <v>58</v>
      </c>
      <c r="V680" s="40">
        <v>45870</v>
      </c>
      <c r="W680" s="40">
        <v>45889</v>
      </c>
      <c r="X680" s="36">
        <v>0</v>
      </c>
      <c r="Y680" s="36"/>
      <c r="Z680" s="36">
        <v>1</v>
      </c>
      <c r="AA680" s="36">
        <v>8008333</v>
      </c>
      <c r="AB680" s="40">
        <v>46174</v>
      </c>
      <c r="AC680" s="36" t="s">
        <v>2196</v>
      </c>
      <c r="AD680" s="36" t="str">
        <f>VLOOKUP(D680,Oficial!A:C,3,0)</f>
        <v>Arrastre</v>
      </c>
    </row>
    <row r="681" spans="1:30" x14ac:dyDescent="0.25">
      <c r="A681" s="36" t="s">
        <v>27</v>
      </c>
      <c r="B681" s="36" t="s">
        <v>548</v>
      </c>
      <c r="C681" s="36" t="s">
        <v>28</v>
      </c>
      <c r="D681" s="36" t="s">
        <v>548</v>
      </c>
      <c r="E681" s="36" t="s">
        <v>30</v>
      </c>
      <c r="F681" s="36" t="s">
        <v>31</v>
      </c>
      <c r="G681" s="37" t="s">
        <v>549</v>
      </c>
      <c r="H681" s="36" t="s">
        <v>550</v>
      </c>
      <c r="I681" s="36" t="s">
        <v>551</v>
      </c>
      <c r="J681" s="36">
        <v>1</v>
      </c>
      <c r="K681" s="36" t="s">
        <v>496</v>
      </c>
      <c r="L681" s="36">
        <v>4</v>
      </c>
      <c r="M681" s="36">
        <v>1</v>
      </c>
      <c r="N681" s="38">
        <v>96100000</v>
      </c>
      <c r="O681" s="41">
        <v>8008337</v>
      </c>
      <c r="P681" s="36">
        <v>12</v>
      </c>
      <c r="Q681" s="36" t="s">
        <v>413</v>
      </c>
      <c r="R681" s="36" t="s">
        <v>55</v>
      </c>
      <c r="S681" s="36" t="s">
        <v>544</v>
      </c>
      <c r="T681" s="36" t="s">
        <v>57</v>
      </c>
      <c r="U681" s="36" t="s">
        <v>58</v>
      </c>
      <c r="V681" s="40">
        <v>45870</v>
      </c>
      <c r="W681" s="40">
        <v>45889</v>
      </c>
      <c r="X681" s="36">
        <v>0</v>
      </c>
      <c r="Y681" s="36"/>
      <c r="Z681" s="36">
        <v>1</v>
      </c>
      <c r="AA681" s="36">
        <v>8008337</v>
      </c>
      <c r="AB681" s="40">
        <v>46357</v>
      </c>
      <c r="AC681" s="36" t="s">
        <v>2196</v>
      </c>
      <c r="AD681" s="36" t="str">
        <f>VLOOKUP(D681,Oficial!A:C,3,0)</f>
        <v>Arrastre</v>
      </c>
    </row>
    <row r="682" spans="1:30" x14ac:dyDescent="0.25">
      <c r="A682" s="36" t="s">
        <v>27</v>
      </c>
      <c r="B682" s="36" t="s">
        <v>548</v>
      </c>
      <c r="C682" s="36" t="s">
        <v>28</v>
      </c>
      <c r="D682" s="36" t="s">
        <v>548</v>
      </c>
      <c r="E682" s="36" t="s">
        <v>30</v>
      </c>
      <c r="F682" s="36" t="s">
        <v>31</v>
      </c>
      <c r="G682" s="37" t="s">
        <v>549</v>
      </c>
      <c r="H682" s="36" t="s">
        <v>550</v>
      </c>
      <c r="I682" s="36" t="s">
        <v>551</v>
      </c>
      <c r="J682" s="36">
        <v>1</v>
      </c>
      <c r="K682" s="36" t="s">
        <v>496</v>
      </c>
      <c r="L682" s="36">
        <v>4</v>
      </c>
      <c r="M682" s="36">
        <v>1</v>
      </c>
      <c r="N682" s="38">
        <v>96100000</v>
      </c>
      <c r="O682" s="41">
        <v>8008333</v>
      </c>
      <c r="P682" s="36">
        <v>12</v>
      </c>
      <c r="Q682" s="36" t="s">
        <v>413</v>
      </c>
      <c r="R682" s="36" t="s">
        <v>55</v>
      </c>
      <c r="S682" s="36" t="s">
        <v>544</v>
      </c>
      <c r="T682" s="36" t="s">
        <v>57</v>
      </c>
      <c r="U682" s="36" t="s">
        <v>58</v>
      </c>
      <c r="V682" s="40">
        <v>45870</v>
      </c>
      <c r="W682" s="40">
        <v>45889</v>
      </c>
      <c r="X682" s="36">
        <v>0</v>
      </c>
      <c r="Y682" s="36"/>
      <c r="Z682" s="36">
        <v>1</v>
      </c>
      <c r="AA682" s="36">
        <v>8008333</v>
      </c>
      <c r="AB682" s="40">
        <v>46082</v>
      </c>
      <c r="AC682" s="36" t="s">
        <v>2196</v>
      </c>
      <c r="AD682" s="36" t="str">
        <f>VLOOKUP(D682,Oficial!A:C,3,0)</f>
        <v>Arrastre</v>
      </c>
    </row>
    <row r="683" spans="1:30" x14ac:dyDescent="0.25">
      <c r="A683" s="36" t="s">
        <v>27</v>
      </c>
      <c r="B683" s="36" t="s">
        <v>548</v>
      </c>
      <c r="C683" s="36" t="s">
        <v>28</v>
      </c>
      <c r="D683" s="36" t="s">
        <v>548</v>
      </c>
      <c r="E683" s="36" t="s">
        <v>30</v>
      </c>
      <c r="F683" s="36" t="s">
        <v>31</v>
      </c>
      <c r="G683" s="37" t="s">
        <v>549</v>
      </c>
      <c r="H683" s="36" t="s">
        <v>550</v>
      </c>
      <c r="I683" s="36" t="s">
        <v>551</v>
      </c>
      <c r="J683" s="36">
        <v>1</v>
      </c>
      <c r="K683" s="36" t="s">
        <v>496</v>
      </c>
      <c r="L683" s="36">
        <v>4</v>
      </c>
      <c r="M683" s="36">
        <v>1</v>
      </c>
      <c r="N683" s="38">
        <v>96100000</v>
      </c>
      <c r="O683" s="41">
        <v>8008333</v>
      </c>
      <c r="P683" s="36">
        <v>12</v>
      </c>
      <c r="Q683" s="36" t="s">
        <v>413</v>
      </c>
      <c r="R683" s="36" t="s">
        <v>55</v>
      </c>
      <c r="S683" s="36" t="s">
        <v>544</v>
      </c>
      <c r="T683" s="36" t="s">
        <v>57</v>
      </c>
      <c r="U683" s="36" t="s">
        <v>58</v>
      </c>
      <c r="V683" s="40">
        <v>45870</v>
      </c>
      <c r="W683" s="40">
        <v>45889</v>
      </c>
      <c r="X683" s="36">
        <v>0</v>
      </c>
      <c r="Y683" s="36"/>
      <c r="Z683" s="36">
        <v>1</v>
      </c>
      <c r="AA683" s="36">
        <v>8008333</v>
      </c>
      <c r="AB683" s="40">
        <v>46143</v>
      </c>
      <c r="AC683" s="36" t="s">
        <v>2196</v>
      </c>
      <c r="AD683" s="36" t="str">
        <f>VLOOKUP(D683,Oficial!A:C,3,0)</f>
        <v>Arrastre</v>
      </c>
    </row>
    <row r="684" spans="1:30" x14ac:dyDescent="0.25">
      <c r="A684" s="36" t="s">
        <v>27</v>
      </c>
      <c r="B684" s="36" t="s">
        <v>548</v>
      </c>
      <c r="C684" s="36" t="s">
        <v>28</v>
      </c>
      <c r="D684" s="36" t="s">
        <v>548</v>
      </c>
      <c r="E684" s="36" t="s">
        <v>30</v>
      </c>
      <c r="F684" s="36" t="s">
        <v>31</v>
      </c>
      <c r="G684" s="37" t="s">
        <v>549</v>
      </c>
      <c r="H684" s="36" t="s">
        <v>550</v>
      </c>
      <c r="I684" s="36" t="s">
        <v>551</v>
      </c>
      <c r="J684" s="36">
        <v>1</v>
      </c>
      <c r="K684" s="36" t="s">
        <v>496</v>
      </c>
      <c r="L684" s="36">
        <v>4</v>
      </c>
      <c r="M684" s="36">
        <v>1</v>
      </c>
      <c r="N684" s="38">
        <v>96100000</v>
      </c>
      <c r="O684" s="41">
        <v>8008333</v>
      </c>
      <c r="P684" s="36">
        <v>12</v>
      </c>
      <c r="Q684" s="36" t="s">
        <v>413</v>
      </c>
      <c r="R684" s="36" t="s">
        <v>55</v>
      </c>
      <c r="S684" s="36" t="s">
        <v>544</v>
      </c>
      <c r="T684" s="36" t="s">
        <v>57</v>
      </c>
      <c r="U684" s="36" t="s">
        <v>58</v>
      </c>
      <c r="V684" s="40">
        <v>45870</v>
      </c>
      <c r="W684" s="40">
        <v>45889</v>
      </c>
      <c r="X684" s="36">
        <v>0</v>
      </c>
      <c r="Y684" s="36"/>
      <c r="Z684" s="36">
        <v>1</v>
      </c>
      <c r="AA684" s="36">
        <v>8008333</v>
      </c>
      <c r="AB684" s="40">
        <v>46204</v>
      </c>
      <c r="AC684" s="36" t="s">
        <v>2196</v>
      </c>
      <c r="AD684" s="36" t="str">
        <f>VLOOKUP(D684,Oficial!A:C,3,0)</f>
        <v>Arrastre</v>
      </c>
    </row>
    <row r="685" spans="1:30" x14ac:dyDescent="0.25">
      <c r="A685" s="36" t="s">
        <v>27</v>
      </c>
      <c r="B685" s="36" t="s">
        <v>548</v>
      </c>
      <c r="C685" s="36" t="s">
        <v>28</v>
      </c>
      <c r="D685" s="36" t="s">
        <v>548</v>
      </c>
      <c r="E685" s="36" t="s">
        <v>30</v>
      </c>
      <c r="F685" s="36" t="s">
        <v>31</v>
      </c>
      <c r="G685" s="37" t="s">
        <v>549</v>
      </c>
      <c r="H685" s="36" t="s">
        <v>550</v>
      </c>
      <c r="I685" s="36" t="s">
        <v>551</v>
      </c>
      <c r="J685" s="36">
        <v>1</v>
      </c>
      <c r="K685" s="36" t="s">
        <v>496</v>
      </c>
      <c r="L685" s="36">
        <v>4</v>
      </c>
      <c r="M685" s="36">
        <v>1</v>
      </c>
      <c r="N685" s="38">
        <v>96100000</v>
      </c>
      <c r="O685" s="41">
        <v>8008333</v>
      </c>
      <c r="P685" s="36">
        <v>12</v>
      </c>
      <c r="Q685" s="36" t="s">
        <v>413</v>
      </c>
      <c r="R685" s="36" t="s">
        <v>55</v>
      </c>
      <c r="S685" s="36" t="s">
        <v>544</v>
      </c>
      <c r="T685" s="36" t="s">
        <v>57</v>
      </c>
      <c r="U685" s="36" t="s">
        <v>58</v>
      </c>
      <c r="V685" s="40">
        <v>45870</v>
      </c>
      <c r="W685" s="40">
        <v>45889</v>
      </c>
      <c r="X685" s="36">
        <v>0</v>
      </c>
      <c r="Y685" s="36"/>
      <c r="Z685" s="36">
        <v>1</v>
      </c>
      <c r="AA685" s="36">
        <v>8008333</v>
      </c>
      <c r="AB685" s="40">
        <v>46023</v>
      </c>
      <c r="AC685" s="36" t="s">
        <v>2196</v>
      </c>
      <c r="AD685" s="36" t="str">
        <f>VLOOKUP(D685,Oficial!A:C,3,0)</f>
        <v>Arrastre</v>
      </c>
    </row>
    <row r="686" spans="1:30" x14ac:dyDescent="0.25">
      <c r="A686" s="36" t="s">
        <v>27</v>
      </c>
      <c r="B686" s="36" t="s">
        <v>548</v>
      </c>
      <c r="C686" s="36" t="s">
        <v>28</v>
      </c>
      <c r="D686" s="36" t="s">
        <v>548</v>
      </c>
      <c r="E686" s="36" t="s">
        <v>30</v>
      </c>
      <c r="F686" s="36" t="s">
        <v>31</v>
      </c>
      <c r="G686" s="37" t="s">
        <v>549</v>
      </c>
      <c r="H686" s="36" t="s">
        <v>550</v>
      </c>
      <c r="I686" s="36" t="s">
        <v>551</v>
      </c>
      <c r="J686" s="36">
        <v>1</v>
      </c>
      <c r="K686" s="36" t="s">
        <v>496</v>
      </c>
      <c r="L686" s="36">
        <v>4</v>
      </c>
      <c r="M686" s="36">
        <v>1</v>
      </c>
      <c r="N686" s="38">
        <v>96100000</v>
      </c>
      <c r="O686" s="41">
        <v>8008333</v>
      </c>
      <c r="P686" s="36">
        <v>12</v>
      </c>
      <c r="Q686" s="36" t="s">
        <v>413</v>
      </c>
      <c r="R686" s="36" t="s">
        <v>55</v>
      </c>
      <c r="S686" s="36" t="s">
        <v>544</v>
      </c>
      <c r="T686" s="36" t="s">
        <v>57</v>
      </c>
      <c r="U686" s="36" t="s">
        <v>58</v>
      </c>
      <c r="V686" s="40">
        <v>45870</v>
      </c>
      <c r="W686" s="40">
        <v>45889</v>
      </c>
      <c r="X686" s="36">
        <v>0</v>
      </c>
      <c r="Y686" s="36"/>
      <c r="Z686" s="36">
        <v>1</v>
      </c>
      <c r="AA686" s="36">
        <v>8008333</v>
      </c>
      <c r="AB686" s="40">
        <v>46235</v>
      </c>
      <c r="AC686" s="36" t="s">
        <v>2196</v>
      </c>
      <c r="AD686" s="36" t="str">
        <f>VLOOKUP(D686,Oficial!A:C,3,0)</f>
        <v>Arrastre</v>
      </c>
    </row>
    <row r="687" spans="1:30" x14ac:dyDescent="0.25">
      <c r="A687" s="36" t="s">
        <v>27</v>
      </c>
      <c r="B687" s="36" t="s">
        <v>548</v>
      </c>
      <c r="C687" s="36" t="s">
        <v>28</v>
      </c>
      <c r="D687" s="36" t="s">
        <v>548</v>
      </c>
      <c r="E687" s="36" t="s">
        <v>30</v>
      </c>
      <c r="F687" s="36" t="s">
        <v>31</v>
      </c>
      <c r="G687" s="37" t="s">
        <v>549</v>
      </c>
      <c r="H687" s="36" t="s">
        <v>550</v>
      </c>
      <c r="I687" s="36" t="s">
        <v>551</v>
      </c>
      <c r="J687" s="36">
        <v>1</v>
      </c>
      <c r="K687" s="36" t="s">
        <v>496</v>
      </c>
      <c r="L687" s="36">
        <v>4</v>
      </c>
      <c r="M687" s="36">
        <v>1</v>
      </c>
      <c r="N687" s="38">
        <v>96100000</v>
      </c>
      <c r="O687" s="41">
        <v>8008333</v>
      </c>
      <c r="P687" s="36">
        <v>12</v>
      </c>
      <c r="Q687" s="36" t="s">
        <v>413</v>
      </c>
      <c r="R687" s="36" t="s">
        <v>55</v>
      </c>
      <c r="S687" s="36" t="s">
        <v>544</v>
      </c>
      <c r="T687" s="36" t="s">
        <v>57</v>
      </c>
      <c r="U687" s="36" t="s">
        <v>58</v>
      </c>
      <c r="V687" s="40">
        <v>45870</v>
      </c>
      <c r="W687" s="40">
        <v>45889</v>
      </c>
      <c r="X687" s="36">
        <v>0</v>
      </c>
      <c r="Y687" s="36"/>
      <c r="Z687" s="36">
        <v>1</v>
      </c>
      <c r="AA687" s="36">
        <v>8008333</v>
      </c>
      <c r="AB687" s="40">
        <v>46113</v>
      </c>
      <c r="AC687" s="36" t="s">
        <v>2196</v>
      </c>
      <c r="AD687" s="36" t="str">
        <f>VLOOKUP(D687,Oficial!A:C,3,0)</f>
        <v>Arrastre</v>
      </c>
    </row>
    <row r="688" spans="1:30" x14ac:dyDescent="0.25">
      <c r="A688" s="36" t="s">
        <v>27</v>
      </c>
      <c r="B688" s="36" t="s">
        <v>548</v>
      </c>
      <c r="C688" s="36" t="s">
        <v>28</v>
      </c>
      <c r="D688" s="36" t="s">
        <v>548</v>
      </c>
      <c r="E688" s="36" t="s">
        <v>30</v>
      </c>
      <c r="F688" s="36" t="s">
        <v>31</v>
      </c>
      <c r="G688" s="37" t="s">
        <v>549</v>
      </c>
      <c r="H688" s="36" t="s">
        <v>550</v>
      </c>
      <c r="I688" s="36" t="s">
        <v>551</v>
      </c>
      <c r="J688" s="36">
        <v>1</v>
      </c>
      <c r="K688" s="36" t="s">
        <v>496</v>
      </c>
      <c r="L688" s="36">
        <v>4</v>
      </c>
      <c r="M688" s="36">
        <v>1</v>
      </c>
      <c r="N688" s="38">
        <v>96100000</v>
      </c>
      <c r="O688" s="41">
        <v>8008333</v>
      </c>
      <c r="P688" s="36">
        <v>12</v>
      </c>
      <c r="Q688" s="36" t="s">
        <v>413</v>
      </c>
      <c r="R688" s="36" t="s">
        <v>55</v>
      </c>
      <c r="S688" s="36" t="s">
        <v>544</v>
      </c>
      <c r="T688" s="36" t="s">
        <v>57</v>
      </c>
      <c r="U688" s="36" t="s">
        <v>58</v>
      </c>
      <c r="V688" s="40">
        <v>45870</v>
      </c>
      <c r="W688" s="40">
        <v>45889</v>
      </c>
      <c r="X688" s="36">
        <v>0</v>
      </c>
      <c r="Y688" s="36"/>
      <c r="Z688" s="36">
        <v>1</v>
      </c>
      <c r="AA688" s="36">
        <v>8008333</v>
      </c>
      <c r="AB688" s="40">
        <v>46296</v>
      </c>
      <c r="AC688" s="36" t="s">
        <v>2196</v>
      </c>
      <c r="AD688" s="36" t="str">
        <f>VLOOKUP(D688,Oficial!A:C,3,0)</f>
        <v>Arrastre</v>
      </c>
    </row>
    <row r="689" spans="1:30" x14ac:dyDescent="0.25">
      <c r="A689" s="36" t="s">
        <v>27</v>
      </c>
      <c r="B689" s="36" t="s">
        <v>548</v>
      </c>
      <c r="C689" s="36" t="s">
        <v>28</v>
      </c>
      <c r="D689" s="36" t="s">
        <v>548</v>
      </c>
      <c r="E689" s="36" t="s">
        <v>30</v>
      </c>
      <c r="F689" s="36" t="s">
        <v>31</v>
      </c>
      <c r="G689" s="37" t="s">
        <v>549</v>
      </c>
      <c r="H689" s="36" t="s">
        <v>550</v>
      </c>
      <c r="I689" s="36" t="s">
        <v>551</v>
      </c>
      <c r="J689" s="36">
        <v>1</v>
      </c>
      <c r="K689" s="36" t="s">
        <v>496</v>
      </c>
      <c r="L689" s="36">
        <v>4</v>
      </c>
      <c r="M689" s="36">
        <v>1</v>
      </c>
      <c r="N689" s="38">
        <v>96100000</v>
      </c>
      <c r="O689" s="41">
        <v>8008333</v>
      </c>
      <c r="P689" s="36">
        <v>12</v>
      </c>
      <c r="Q689" s="36" t="s">
        <v>413</v>
      </c>
      <c r="R689" s="36" t="s">
        <v>55</v>
      </c>
      <c r="S689" s="36" t="s">
        <v>544</v>
      </c>
      <c r="T689" s="36" t="s">
        <v>57</v>
      </c>
      <c r="U689" s="36" t="s">
        <v>58</v>
      </c>
      <c r="V689" s="40">
        <v>45870</v>
      </c>
      <c r="W689" s="40">
        <v>45889</v>
      </c>
      <c r="X689" s="36">
        <v>0</v>
      </c>
      <c r="Y689" s="36"/>
      <c r="Z689" s="36">
        <v>1</v>
      </c>
      <c r="AA689" s="36">
        <v>8008333</v>
      </c>
      <c r="AB689" s="40">
        <v>46266</v>
      </c>
      <c r="AC689" s="36" t="s">
        <v>2196</v>
      </c>
      <c r="AD689" s="36" t="str">
        <f>VLOOKUP(D689,Oficial!A:C,3,0)</f>
        <v>Arrastre</v>
      </c>
    </row>
    <row r="690" spans="1:30" x14ac:dyDescent="0.25">
      <c r="A690" s="36" t="s">
        <v>27</v>
      </c>
      <c r="B690" s="36" t="s">
        <v>548</v>
      </c>
      <c r="C690" s="36" t="s">
        <v>28</v>
      </c>
      <c r="D690" s="36" t="s">
        <v>548</v>
      </c>
      <c r="E690" s="36" t="s">
        <v>30</v>
      </c>
      <c r="F690" s="36" t="s">
        <v>31</v>
      </c>
      <c r="G690" s="37" t="s">
        <v>549</v>
      </c>
      <c r="H690" s="36" t="s">
        <v>550</v>
      </c>
      <c r="I690" s="36" t="s">
        <v>551</v>
      </c>
      <c r="J690" s="36">
        <v>1</v>
      </c>
      <c r="K690" s="36" t="s">
        <v>496</v>
      </c>
      <c r="L690" s="36">
        <v>4</v>
      </c>
      <c r="M690" s="36">
        <v>1</v>
      </c>
      <c r="N690" s="38">
        <v>96100000</v>
      </c>
      <c r="O690" s="41">
        <v>8008333</v>
      </c>
      <c r="P690" s="36">
        <v>12</v>
      </c>
      <c r="Q690" s="36" t="s">
        <v>413</v>
      </c>
      <c r="R690" s="36" t="s">
        <v>55</v>
      </c>
      <c r="S690" s="36" t="s">
        <v>544</v>
      </c>
      <c r="T690" s="36" t="s">
        <v>57</v>
      </c>
      <c r="U690" s="36" t="s">
        <v>58</v>
      </c>
      <c r="V690" s="40">
        <v>45870</v>
      </c>
      <c r="W690" s="40">
        <v>45889</v>
      </c>
      <c r="X690" s="36">
        <v>0</v>
      </c>
      <c r="Y690" s="36"/>
      <c r="Z690" s="36">
        <v>1</v>
      </c>
      <c r="AA690" s="36">
        <v>8008333</v>
      </c>
      <c r="AB690" s="40">
        <v>46327</v>
      </c>
      <c r="AC690" s="36" t="s">
        <v>2196</v>
      </c>
      <c r="AD690" s="36" t="str">
        <f>VLOOKUP(D690,Oficial!A:C,3,0)</f>
        <v>Arrastre</v>
      </c>
    </row>
    <row r="691" spans="1:30" x14ac:dyDescent="0.25">
      <c r="A691" s="36" t="s">
        <v>27</v>
      </c>
      <c r="B691" s="36" t="s">
        <v>552</v>
      </c>
      <c r="C691" s="36" t="s">
        <v>28</v>
      </c>
      <c r="D691" s="36" t="s">
        <v>552</v>
      </c>
      <c r="E691" s="36" t="s">
        <v>30</v>
      </c>
      <c r="F691" s="36" t="s">
        <v>31</v>
      </c>
      <c r="G691" s="37" t="s">
        <v>549</v>
      </c>
      <c r="H691" s="36" t="s">
        <v>553</v>
      </c>
      <c r="I691" s="36" t="s">
        <v>554</v>
      </c>
      <c r="J691" s="36">
        <v>1</v>
      </c>
      <c r="K691" s="36" t="s">
        <v>512</v>
      </c>
      <c r="L691" s="36">
        <v>4</v>
      </c>
      <c r="M691" s="36">
        <v>1</v>
      </c>
      <c r="N691" s="38">
        <v>200400000</v>
      </c>
      <c r="O691" s="38">
        <v>8350000</v>
      </c>
      <c r="P691" s="36">
        <v>24</v>
      </c>
      <c r="Q691" s="36" t="s">
        <v>278</v>
      </c>
      <c r="R691" s="36" t="s">
        <v>122</v>
      </c>
      <c r="S691" s="36" t="s">
        <v>555</v>
      </c>
      <c r="T691" s="36" t="s">
        <v>57</v>
      </c>
      <c r="U691" s="36" t="s">
        <v>58</v>
      </c>
      <c r="V691" s="40">
        <v>45870</v>
      </c>
      <c r="W691" s="40">
        <v>45889</v>
      </c>
      <c r="X691" s="36">
        <v>1</v>
      </c>
      <c r="Y691" s="36" t="s">
        <v>556</v>
      </c>
      <c r="Z691" s="36">
        <v>1</v>
      </c>
      <c r="AA691" s="36">
        <v>8350000</v>
      </c>
      <c r="AB691" s="40">
        <v>46235</v>
      </c>
      <c r="AC691" s="36" t="s">
        <v>2196</v>
      </c>
      <c r="AD691" s="36" t="str">
        <f>VLOOKUP(D691,Oficial!A:C,3,0)</f>
        <v>Arrastre</v>
      </c>
    </row>
    <row r="692" spans="1:30" x14ac:dyDescent="0.25">
      <c r="A692" s="36" t="s">
        <v>27</v>
      </c>
      <c r="B692" s="36" t="s">
        <v>552</v>
      </c>
      <c r="C692" s="36" t="s">
        <v>28</v>
      </c>
      <c r="D692" s="36" t="s">
        <v>552</v>
      </c>
      <c r="E692" s="36" t="s">
        <v>30</v>
      </c>
      <c r="F692" s="36" t="s">
        <v>31</v>
      </c>
      <c r="G692" s="37" t="s">
        <v>549</v>
      </c>
      <c r="H692" s="36" t="s">
        <v>553</v>
      </c>
      <c r="I692" s="36" t="s">
        <v>554</v>
      </c>
      <c r="J692" s="36">
        <v>1</v>
      </c>
      <c r="K692" s="36" t="s">
        <v>512</v>
      </c>
      <c r="L692" s="36">
        <v>4</v>
      </c>
      <c r="M692" s="36">
        <v>1</v>
      </c>
      <c r="N692" s="38">
        <v>200400000</v>
      </c>
      <c r="O692" s="38">
        <v>8350000</v>
      </c>
      <c r="P692" s="36">
        <v>24</v>
      </c>
      <c r="Q692" s="36" t="s">
        <v>278</v>
      </c>
      <c r="R692" s="36" t="s">
        <v>122</v>
      </c>
      <c r="S692" s="36" t="s">
        <v>555</v>
      </c>
      <c r="T692" s="36" t="s">
        <v>57</v>
      </c>
      <c r="U692" s="36" t="s">
        <v>58</v>
      </c>
      <c r="V692" s="40">
        <v>45870</v>
      </c>
      <c r="W692" s="40">
        <v>45889</v>
      </c>
      <c r="X692" s="36">
        <v>1</v>
      </c>
      <c r="Y692" s="36" t="s">
        <v>556</v>
      </c>
      <c r="Z692" s="36">
        <v>1</v>
      </c>
      <c r="AA692" s="36">
        <v>8350000</v>
      </c>
      <c r="AB692" s="40">
        <v>46174</v>
      </c>
      <c r="AC692" s="36" t="s">
        <v>2196</v>
      </c>
      <c r="AD692" s="36" t="str">
        <f>VLOOKUP(D692,Oficial!A:C,3,0)</f>
        <v>Arrastre</v>
      </c>
    </row>
    <row r="693" spans="1:30" x14ac:dyDescent="0.25">
      <c r="A693" s="36" t="s">
        <v>27</v>
      </c>
      <c r="B693" s="36" t="s">
        <v>552</v>
      </c>
      <c r="C693" s="36" t="s">
        <v>28</v>
      </c>
      <c r="D693" s="36" t="s">
        <v>552</v>
      </c>
      <c r="E693" s="36" t="s">
        <v>30</v>
      </c>
      <c r="F693" s="36" t="s">
        <v>31</v>
      </c>
      <c r="G693" s="37" t="s">
        <v>549</v>
      </c>
      <c r="H693" s="36" t="s">
        <v>553</v>
      </c>
      <c r="I693" s="36" t="s">
        <v>554</v>
      </c>
      <c r="J693" s="36">
        <v>1</v>
      </c>
      <c r="K693" s="36" t="s">
        <v>512</v>
      </c>
      <c r="L693" s="36">
        <v>4</v>
      </c>
      <c r="M693" s="36">
        <v>1</v>
      </c>
      <c r="N693" s="38">
        <v>200400000</v>
      </c>
      <c r="O693" s="38">
        <v>8350000</v>
      </c>
      <c r="P693" s="36">
        <v>24</v>
      </c>
      <c r="Q693" s="36" t="s">
        <v>278</v>
      </c>
      <c r="R693" s="36" t="s">
        <v>122</v>
      </c>
      <c r="S693" s="36" t="s">
        <v>555</v>
      </c>
      <c r="T693" s="36" t="s">
        <v>57</v>
      </c>
      <c r="U693" s="36" t="s">
        <v>58</v>
      </c>
      <c r="V693" s="40">
        <v>45870</v>
      </c>
      <c r="W693" s="40">
        <v>45889</v>
      </c>
      <c r="X693" s="36">
        <v>1</v>
      </c>
      <c r="Y693" s="36" t="s">
        <v>556</v>
      </c>
      <c r="Z693" s="36">
        <v>1</v>
      </c>
      <c r="AA693" s="36">
        <v>8350000</v>
      </c>
      <c r="AB693" s="40">
        <v>46113</v>
      </c>
      <c r="AC693" s="36" t="s">
        <v>2196</v>
      </c>
      <c r="AD693" s="36" t="str">
        <f>VLOOKUP(D693,Oficial!A:C,3,0)</f>
        <v>Arrastre</v>
      </c>
    </row>
    <row r="694" spans="1:30" x14ac:dyDescent="0.25">
      <c r="A694" s="36" t="s">
        <v>27</v>
      </c>
      <c r="B694" s="36" t="s">
        <v>552</v>
      </c>
      <c r="C694" s="36" t="s">
        <v>28</v>
      </c>
      <c r="D694" s="36" t="s">
        <v>552</v>
      </c>
      <c r="E694" s="36" t="s">
        <v>30</v>
      </c>
      <c r="F694" s="36" t="s">
        <v>31</v>
      </c>
      <c r="G694" s="37" t="s">
        <v>549</v>
      </c>
      <c r="H694" s="36" t="s">
        <v>553</v>
      </c>
      <c r="I694" s="36" t="s">
        <v>554</v>
      </c>
      <c r="J694" s="36">
        <v>1</v>
      </c>
      <c r="K694" s="36" t="s">
        <v>512</v>
      </c>
      <c r="L694" s="36">
        <v>4</v>
      </c>
      <c r="M694" s="36">
        <v>1</v>
      </c>
      <c r="N694" s="38">
        <v>200400000</v>
      </c>
      <c r="O694" s="38">
        <v>8350000</v>
      </c>
      <c r="P694" s="36">
        <v>24</v>
      </c>
      <c r="Q694" s="36" t="s">
        <v>278</v>
      </c>
      <c r="R694" s="36" t="s">
        <v>122</v>
      </c>
      <c r="S694" s="36" t="s">
        <v>555</v>
      </c>
      <c r="T694" s="36" t="s">
        <v>57</v>
      </c>
      <c r="U694" s="36" t="s">
        <v>58</v>
      </c>
      <c r="V694" s="40">
        <v>45870</v>
      </c>
      <c r="W694" s="40">
        <v>45889</v>
      </c>
      <c r="X694" s="36">
        <v>1</v>
      </c>
      <c r="Y694" s="36" t="s">
        <v>556</v>
      </c>
      <c r="Z694" s="36">
        <v>1</v>
      </c>
      <c r="AA694" s="36">
        <v>8350000</v>
      </c>
      <c r="AB694" s="40">
        <v>46023</v>
      </c>
      <c r="AC694" s="36" t="s">
        <v>2196</v>
      </c>
      <c r="AD694" s="36" t="str">
        <f>VLOOKUP(D694,Oficial!A:C,3,0)</f>
        <v>Arrastre</v>
      </c>
    </row>
    <row r="695" spans="1:30" x14ac:dyDescent="0.25">
      <c r="A695" s="36" t="s">
        <v>27</v>
      </c>
      <c r="B695" s="36" t="s">
        <v>552</v>
      </c>
      <c r="C695" s="36" t="s">
        <v>28</v>
      </c>
      <c r="D695" s="36" t="s">
        <v>552</v>
      </c>
      <c r="E695" s="36" t="s">
        <v>30</v>
      </c>
      <c r="F695" s="36" t="s">
        <v>31</v>
      </c>
      <c r="G695" s="37" t="s">
        <v>549</v>
      </c>
      <c r="H695" s="36" t="s">
        <v>553</v>
      </c>
      <c r="I695" s="36" t="s">
        <v>554</v>
      </c>
      <c r="J695" s="36">
        <v>1</v>
      </c>
      <c r="K695" s="36" t="s">
        <v>512</v>
      </c>
      <c r="L695" s="36">
        <v>4</v>
      </c>
      <c r="M695" s="36">
        <v>1</v>
      </c>
      <c r="N695" s="38">
        <v>200400000</v>
      </c>
      <c r="O695" s="38">
        <v>8350000</v>
      </c>
      <c r="P695" s="36">
        <v>24</v>
      </c>
      <c r="Q695" s="36" t="s">
        <v>278</v>
      </c>
      <c r="R695" s="36" t="s">
        <v>122</v>
      </c>
      <c r="S695" s="36" t="s">
        <v>555</v>
      </c>
      <c r="T695" s="36" t="s">
        <v>57</v>
      </c>
      <c r="U695" s="36" t="s">
        <v>58</v>
      </c>
      <c r="V695" s="40">
        <v>45870</v>
      </c>
      <c r="W695" s="40">
        <v>45889</v>
      </c>
      <c r="X695" s="36">
        <v>1</v>
      </c>
      <c r="Y695" s="36" t="s">
        <v>556</v>
      </c>
      <c r="Z695" s="36">
        <v>1</v>
      </c>
      <c r="AA695" s="36">
        <v>8350000</v>
      </c>
      <c r="AB695" s="40">
        <v>46143</v>
      </c>
      <c r="AC695" s="36" t="s">
        <v>2196</v>
      </c>
      <c r="AD695" s="36" t="str">
        <f>VLOOKUP(D695,Oficial!A:C,3,0)</f>
        <v>Arrastre</v>
      </c>
    </row>
    <row r="696" spans="1:30" x14ac:dyDescent="0.25">
      <c r="A696" s="36" t="s">
        <v>27</v>
      </c>
      <c r="B696" s="36" t="s">
        <v>552</v>
      </c>
      <c r="C696" s="36" t="s">
        <v>28</v>
      </c>
      <c r="D696" s="36" t="s">
        <v>552</v>
      </c>
      <c r="E696" s="36" t="s">
        <v>30</v>
      </c>
      <c r="F696" s="36" t="s">
        <v>31</v>
      </c>
      <c r="G696" s="37" t="s">
        <v>549</v>
      </c>
      <c r="H696" s="36" t="s">
        <v>553</v>
      </c>
      <c r="I696" s="36" t="s">
        <v>554</v>
      </c>
      <c r="J696" s="36">
        <v>1</v>
      </c>
      <c r="K696" s="36" t="s">
        <v>512</v>
      </c>
      <c r="L696" s="36">
        <v>4</v>
      </c>
      <c r="M696" s="36">
        <v>1</v>
      </c>
      <c r="N696" s="38">
        <v>200400000</v>
      </c>
      <c r="O696" s="38">
        <v>8350000</v>
      </c>
      <c r="P696" s="36">
        <v>24</v>
      </c>
      <c r="Q696" s="36" t="s">
        <v>278</v>
      </c>
      <c r="R696" s="36" t="s">
        <v>122</v>
      </c>
      <c r="S696" s="36" t="s">
        <v>555</v>
      </c>
      <c r="T696" s="36" t="s">
        <v>57</v>
      </c>
      <c r="U696" s="36" t="s">
        <v>58</v>
      </c>
      <c r="V696" s="40">
        <v>45870</v>
      </c>
      <c r="W696" s="40">
        <v>45889</v>
      </c>
      <c r="X696" s="36">
        <v>1</v>
      </c>
      <c r="Y696" s="36" t="s">
        <v>556</v>
      </c>
      <c r="Z696" s="36">
        <v>1</v>
      </c>
      <c r="AA696" s="36">
        <v>8350000</v>
      </c>
      <c r="AB696" s="40">
        <v>46296</v>
      </c>
      <c r="AC696" s="36" t="s">
        <v>2196</v>
      </c>
      <c r="AD696" s="36" t="str">
        <f>VLOOKUP(D696,Oficial!A:C,3,0)</f>
        <v>Arrastre</v>
      </c>
    </row>
    <row r="697" spans="1:30" x14ac:dyDescent="0.25">
      <c r="A697" s="36" t="s">
        <v>27</v>
      </c>
      <c r="B697" s="36" t="s">
        <v>552</v>
      </c>
      <c r="C697" s="36" t="s">
        <v>28</v>
      </c>
      <c r="D697" s="36" t="s">
        <v>552</v>
      </c>
      <c r="E697" s="36" t="s">
        <v>30</v>
      </c>
      <c r="F697" s="36" t="s">
        <v>31</v>
      </c>
      <c r="G697" s="37" t="s">
        <v>549</v>
      </c>
      <c r="H697" s="36" t="s">
        <v>553</v>
      </c>
      <c r="I697" s="36" t="s">
        <v>554</v>
      </c>
      <c r="J697" s="36">
        <v>1</v>
      </c>
      <c r="K697" s="36" t="s">
        <v>512</v>
      </c>
      <c r="L697" s="36">
        <v>4</v>
      </c>
      <c r="M697" s="36">
        <v>1</v>
      </c>
      <c r="N697" s="38">
        <v>200400000</v>
      </c>
      <c r="O697" s="38">
        <v>8350000</v>
      </c>
      <c r="P697" s="36">
        <v>24</v>
      </c>
      <c r="Q697" s="36" t="s">
        <v>278</v>
      </c>
      <c r="R697" s="36" t="s">
        <v>122</v>
      </c>
      <c r="S697" s="36" t="s">
        <v>555</v>
      </c>
      <c r="T697" s="36" t="s">
        <v>57</v>
      </c>
      <c r="U697" s="36" t="s">
        <v>58</v>
      </c>
      <c r="V697" s="40">
        <v>45870</v>
      </c>
      <c r="W697" s="40">
        <v>45889</v>
      </c>
      <c r="X697" s="36">
        <v>1</v>
      </c>
      <c r="Y697" s="36" t="s">
        <v>556</v>
      </c>
      <c r="Z697" s="36">
        <v>1</v>
      </c>
      <c r="AA697" s="36">
        <v>8350000</v>
      </c>
      <c r="AB697" s="40">
        <v>46357</v>
      </c>
      <c r="AC697" s="36" t="s">
        <v>2196</v>
      </c>
      <c r="AD697" s="36" t="str">
        <f>VLOOKUP(D697,Oficial!A:C,3,0)</f>
        <v>Arrastre</v>
      </c>
    </row>
    <row r="698" spans="1:30" x14ac:dyDescent="0.25">
      <c r="A698" s="36" t="s">
        <v>27</v>
      </c>
      <c r="B698" s="36" t="s">
        <v>552</v>
      </c>
      <c r="C698" s="36" t="s">
        <v>28</v>
      </c>
      <c r="D698" s="36" t="s">
        <v>552</v>
      </c>
      <c r="E698" s="36" t="s">
        <v>30</v>
      </c>
      <c r="F698" s="36" t="s">
        <v>31</v>
      </c>
      <c r="G698" s="37" t="s">
        <v>549</v>
      </c>
      <c r="H698" s="36" t="s">
        <v>553</v>
      </c>
      <c r="I698" s="36" t="s">
        <v>554</v>
      </c>
      <c r="J698" s="36">
        <v>1</v>
      </c>
      <c r="K698" s="36" t="s">
        <v>512</v>
      </c>
      <c r="L698" s="36">
        <v>4</v>
      </c>
      <c r="M698" s="36">
        <v>1</v>
      </c>
      <c r="N698" s="38">
        <v>200400000</v>
      </c>
      <c r="O698" s="38">
        <v>8350000</v>
      </c>
      <c r="P698" s="36">
        <v>24</v>
      </c>
      <c r="Q698" s="36" t="s">
        <v>278</v>
      </c>
      <c r="R698" s="36" t="s">
        <v>122</v>
      </c>
      <c r="S698" s="36" t="s">
        <v>555</v>
      </c>
      <c r="T698" s="36" t="s">
        <v>57</v>
      </c>
      <c r="U698" s="36" t="s">
        <v>58</v>
      </c>
      <c r="V698" s="40">
        <v>45870</v>
      </c>
      <c r="W698" s="40">
        <v>45889</v>
      </c>
      <c r="X698" s="36">
        <v>1</v>
      </c>
      <c r="Y698" s="36" t="s">
        <v>556</v>
      </c>
      <c r="Z698" s="36">
        <v>1</v>
      </c>
      <c r="AA698" s="36">
        <v>8350000</v>
      </c>
      <c r="AB698" s="40">
        <v>46204</v>
      </c>
      <c r="AC698" s="36" t="s">
        <v>2196</v>
      </c>
      <c r="AD698" s="36" t="str">
        <f>VLOOKUP(D698,Oficial!A:C,3,0)</f>
        <v>Arrastre</v>
      </c>
    </row>
    <row r="699" spans="1:30" x14ac:dyDescent="0.25">
      <c r="A699" s="36" t="s">
        <v>27</v>
      </c>
      <c r="B699" s="36" t="s">
        <v>552</v>
      </c>
      <c r="C699" s="36" t="s">
        <v>28</v>
      </c>
      <c r="D699" s="36" t="s">
        <v>552</v>
      </c>
      <c r="E699" s="36" t="s">
        <v>30</v>
      </c>
      <c r="F699" s="36" t="s">
        <v>31</v>
      </c>
      <c r="G699" s="37" t="s">
        <v>549</v>
      </c>
      <c r="H699" s="36" t="s">
        <v>553</v>
      </c>
      <c r="I699" s="36" t="s">
        <v>554</v>
      </c>
      <c r="J699" s="36">
        <v>1</v>
      </c>
      <c r="K699" s="36" t="s">
        <v>512</v>
      </c>
      <c r="L699" s="36">
        <v>4</v>
      </c>
      <c r="M699" s="36">
        <v>1</v>
      </c>
      <c r="N699" s="38">
        <v>200400000</v>
      </c>
      <c r="O699" s="38">
        <v>8350000</v>
      </c>
      <c r="P699" s="36">
        <v>24</v>
      </c>
      <c r="Q699" s="36" t="s">
        <v>278</v>
      </c>
      <c r="R699" s="36" t="s">
        <v>122</v>
      </c>
      <c r="S699" s="36" t="s">
        <v>555</v>
      </c>
      <c r="T699" s="36" t="s">
        <v>57</v>
      </c>
      <c r="U699" s="36" t="s">
        <v>58</v>
      </c>
      <c r="V699" s="40">
        <v>45870</v>
      </c>
      <c r="W699" s="40">
        <v>45889</v>
      </c>
      <c r="X699" s="36">
        <v>1</v>
      </c>
      <c r="Y699" s="36" t="s">
        <v>556</v>
      </c>
      <c r="Z699" s="36">
        <v>1</v>
      </c>
      <c r="AA699" s="36">
        <v>8350000</v>
      </c>
      <c r="AB699" s="40">
        <v>46054</v>
      </c>
      <c r="AC699" s="36" t="s">
        <v>2196</v>
      </c>
      <c r="AD699" s="36" t="str">
        <f>VLOOKUP(D699,Oficial!A:C,3,0)</f>
        <v>Arrastre</v>
      </c>
    </row>
    <row r="700" spans="1:30" x14ac:dyDescent="0.25">
      <c r="A700" s="36" t="s">
        <v>27</v>
      </c>
      <c r="B700" s="36" t="s">
        <v>552</v>
      </c>
      <c r="C700" s="36" t="s">
        <v>28</v>
      </c>
      <c r="D700" s="36" t="s">
        <v>552</v>
      </c>
      <c r="E700" s="36" t="s">
        <v>30</v>
      </c>
      <c r="F700" s="36" t="s">
        <v>31</v>
      </c>
      <c r="G700" s="37" t="s">
        <v>549</v>
      </c>
      <c r="H700" s="36" t="s">
        <v>553</v>
      </c>
      <c r="I700" s="36" t="s">
        <v>554</v>
      </c>
      <c r="J700" s="36">
        <v>1</v>
      </c>
      <c r="K700" s="36" t="s">
        <v>512</v>
      </c>
      <c r="L700" s="36">
        <v>4</v>
      </c>
      <c r="M700" s="36">
        <v>1</v>
      </c>
      <c r="N700" s="38">
        <v>200400000</v>
      </c>
      <c r="O700" s="38">
        <v>8350000</v>
      </c>
      <c r="P700" s="36">
        <v>24</v>
      </c>
      <c r="Q700" s="36" t="s">
        <v>278</v>
      </c>
      <c r="R700" s="36" t="s">
        <v>122</v>
      </c>
      <c r="S700" s="36" t="s">
        <v>555</v>
      </c>
      <c r="T700" s="36" t="s">
        <v>57</v>
      </c>
      <c r="U700" s="36" t="s">
        <v>58</v>
      </c>
      <c r="V700" s="40">
        <v>45870</v>
      </c>
      <c r="W700" s="40">
        <v>45889</v>
      </c>
      <c r="X700" s="36">
        <v>1</v>
      </c>
      <c r="Y700" s="36" t="s">
        <v>556</v>
      </c>
      <c r="Z700" s="36">
        <v>1</v>
      </c>
      <c r="AA700" s="36">
        <v>8350000</v>
      </c>
      <c r="AB700" s="40">
        <v>46082</v>
      </c>
      <c r="AC700" s="36" t="s">
        <v>2196</v>
      </c>
      <c r="AD700" s="36" t="str">
        <f>VLOOKUP(D700,Oficial!A:C,3,0)</f>
        <v>Arrastre</v>
      </c>
    </row>
    <row r="701" spans="1:30" x14ac:dyDescent="0.25">
      <c r="A701" s="36" t="s">
        <v>27</v>
      </c>
      <c r="B701" s="36" t="s">
        <v>552</v>
      </c>
      <c r="C701" s="36" t="s">
        <v>28</v>
      </c>
      <c r="D701" s="36" t="s">
        <v>552</v>
      </c>
      <c r="E701" s="36" t="s">
        <v>30</v>
      </c>
      <c r="F701" s="36" t="s">
        <v>31</v>
      </c>
      <c r="G701" s="37" t="s">
        <v>549</v>
      </c>
      <c r="H701" s="36" t="s">
        <v>553</v>
      </c>
      <c r="I701" s="36" t="s">
        <v>554</v>
      </c>
      <c r="J701" s="36">
        <v>1</v>
      </c>
      <c r="K701" s="36" t="s">
        <v>512</v>
      </c>
      <c r="L701" s="36">
        <v>4</v>
      </c>
      <c r="M701" s="36">
        <v>1</v>
      </c>
      <c r="N701" s="38">
        <v>200400000</v>
      </c>
      <c r="O701" s="38">
        <v>8350000</v>
      </c>
      <c r="P701" s="36">
        <v>24</v>
      </c>
      <c r="Q701" s="36" t="s">
        <v>278</v>
      </c>
      <c r="R701" s="36" t="s">
        <v>122</v>
      </c>
      <c r="S701" s="36" t="s">
        <v>555</v>
      </c>
      <c r="T701" s="36" t="s">
        <v>57</v>
      </c>
      <c r="U701" s="36" t="s">
        <v>58</v>
      </c>
      <c r="V701" s="40">
        <v>45870</v>
      </c>
      <c r="W701" s="40">
        <v>45889</v>
      </c>
      <c r="X701" s="36">
        <v>1</v>
      </c>
      <c r="Y701" s="36" t="s">
        <v>556</v>
      </c>
      <c r="Z701" s="36">
        <v>1</v>
      </c>
      <c r="AA701" s="36">
        <v>8350000</v>
      </c>
      <c r="AB701" s="40">
        <v>46327</v>
      </c>
      <c r="AC701" s="36" t="s">
        <v>2196</v>
      </c>
      <c r="AD701" s="36" t="str">
        <f>VLOOKUP(D701,Oficial!A:C,3,0)</f>
        <v>Arrastre</v>
      </c>
    </row>
    <row r="702" spans="1:30" x14ac:dyDescent="0.25">
      <c r="A702" s="36" t="s">
        <v>27</v>
      </c>
      <c r="B702" s="36" t="s">
        <v>552</v>
      </c>
      <c r="C702" s="36" t="s">
        <v>28</v>
      </c>
      <c r="D702" s="36" t="s">
        <v>552</v>
      </c>
      <c r="E702" s="36" t="s">
        <v>30</v>
      </c>
      <c r="F702" s="36" t="s">
        <v>31</v>
      </c>
      <c r="G702" s="37" t="s">
        <v>549</v>
      </c>
      <c r="H702" s="36" t="s">
        <v>553</v>
      </c>
      <c r="I702" s="36" t="s">
        <v>554</v>
      </c>
      <c r="J702" s="36">
        <v>1</v>
      </c>
      <c r="K702" s="36" t="s">
        <v>512</v>
      </c>
      <c r="L702" s="36">
        <v>4</v>
      </c>
      <c r="M702" s="36">
        <v>1</v>
      </c>
      <c r="N702" s="38">
        <v>200400000</v>
      </c>
      <c r="O702" s="38">
        <v>8350000</v>
      </c>
      <c r="P702" s="36">
        <v>24</v>
      </c>
      <c r="Q702" s="36" t="s">
        <v>278</v>
      </c>
      <c r="R702" s="36" t="s">
        <v>122</v>
      </c>
      <c r="S702" s="36" t="s">
        <v>555</v>
      </c>
      <c r="T702" s="36" t="s">
        <v>57</v>
      </c>
      <c r="U702" s="36" t="s">
        <v>58</v>
      </c>
      <c r="V702" s="40">
        <v>45870</v>
      </c>
      <c r="W702" s="40">
        <v>45889</v>
      </c>
      <c r="X702" s="36">
        <v>1</v>
      </c>
      <c r="Y702" s="36" t="s">
        <v>556</v>
      </c>
      <c r="Z702" s="36">
        <v>1</v>
      </c>
      <c r="AA702" s="36">
        <v>8350000</v>
      </c>
      <c r="AB702" s="40">
        <v>46266</v>
      </c>
      <c r="AC702" s="36" t="s">
        <v>2196</v>
      </c>
      <c r="AD702" s="36" t="str">
        <f>VLOOKUP(D702,Oficial!A:C,3,0)</f>
        <v>Arrastre</v>
      </c>
    </row>
    <row r="703" spans="1:30" x14ac:dyDescent="0.25">
      <c r="A703" s="36" t="s">
        <v>27</v>
      </c>
      <c r="B703" s="36" t="s">
        <v>557</v>
      </c>
      <c r="C703" s="36" t="s">
        <v>28</v>
      </c>
      <c r="D703" s="36" t="s">
        <v>557</v>
      </c>
      <c r="E703" s="36" t="s">
        <v>30</v>
      </c>
      <c r="F703" s="36" t="s">
        <v>31</v>
      </c>
      <c r="G703" s="37" t="s">
        <v>549</v>
      </c>
      <c r="H703" s="36" t="s">
        <v>558</v>
      </c>
      <c r="I703" s="36" t="s">
        <v>559</v>
      </c>
      <c r="J703" s="36">
        <v>1</v>
      </c>
      <c r="K703" s="36" t="s">
        <v>496</v>
      </c>
      <c r="L703" s="36">
        <v>4</v>
      </c>
      <c r="M703" s="36">
        <v>1</v>
      </c>
      <c r="N703" s="38">
        <v>30000000</v>
      </c>
      <c r="O703" s="41">
        <v>2500000</v>
      </c>
      <c r="P703" s="36">
        <v>12</v>
      </c>
      <c r="Q703" s="36" t="s">
        <v>413</v>
      </c>
      <c r="R703" s="36" t="s">
        <v>122</v>
      </c>
      <c r="S703" s="36" t="s">
        <v>555</v>
      </c>
      <c r="T703" s="36" t="s">
        <v>57</v>
      </c>
      <c r="U703" s="36" t="s">
        <v>58</v>
      </c>
      <c r="V703" s="40">
        <v>45870</v>
      </c>
      <c r="W703" s="40">
        <v>45889</v>
      </c>
      <c r="X703" s="36">
        <v>0</v>
      </c>
      <c r="Y703" s="36"/>
      <c r="Z703" s="36">
        <v>1</v>
      </c>
      <c r="AA703" s="36">
        <v>2500000</v>
      </c>
      <c r="AB703" s="40">
        <v>46174</v>
      </c>
      <c r="AC703" s="36" t="s">
        <v>2196</v>
      </c>
      <c r="AD703" s="36" t="str">
        <f>VLOOKUP(D703,Oficial!A:C,3,0)</f>
        <v>Arrastre</v>
      </c>
    </row>
    <row r="704" spans="1:30" x14ac:dyDescent="0.25">
      <c r="A704" s="36" t="s">
        <v>27</v>
      </c>
      <c r="B704" s="36" t="s">
        <v>557</v>
      </c>
      <c r="C704" s="36" t="s">
        <v>28</v>
      </c>
      <c r="D704" s="36" t="s">
        <v>557</v>
      </c>
      <c r="E704" s="36" t="s">
        <v>30</v>
      </c>
      <c r="F704" s="36" t="s">
        <v>31</v>
      </c>
      <c r="G704" s="37" t="s">
        <v>549</v>
      </c>
      <c r="H704" s="36" t="s">
        <v>558</v>
      </c>
      <c r="I704" s="36" t="s">
        <v>559</v>
      </c>
      <c r="J704" s="36">
        <v>1</v>
      </c>
      <c r="K704" s="36" t="s">
        <v>496</v>
      </c>
      <c r="L704" s="36">
        <v>4</v>
      </c>
      <c r="M704" s="36">
        <v>1</v>
      </c>
      <c r="N704" s="38">
        <v>30000000</v>
      </c>
      <c r="O704" s="41">
        <v>2500000</v>
      </c>
      <c r="P704" s="36">
        <v>12</v>
      </c>
      <c r="Q704" s="36" t="s">
        <v>413</v>
      </c>
      <c r="R704" s="36" t="s">
        <v>122</v>
      </c>
      <c r="S704" s="36" t="s">
        <v>555</v>
      </c>
      <c r="T704" s="36" t="s">
        <v>57</v>
      </c>
      <c r="U704" s="36" t="s">
        <v>58</v>
      </c>
      <c r="V704" s="40">
        <v>45870</v>
      </c>
      <c r="W704" s="40">
        <v>45889</v>
      </c>
      <c r="X704" s="36">
        <v>0</v>
      </c>
      <c r="Y704" s="36"/>
      <c r="Z704" s="36">
        <v>1</v>
      </c>
      <c r="AA704" s="36">
        <v>2500000</v>
      </c>
      <c r="AB704" s="40">
        <v>46023</v>
      </c>
      <c r="AC704" s="36" t="s">
        <v>2196</v>
      </c>
      <c r="AD704" s="36" t="str">
        <f>VLOOKUP(D704,Oficial!A:C,3,0)</f>
        <v>Arrastre</v>
      </c>
    </row>
    <row r="705" spans="1:30" x14ac:dyDescent="0.25">
      <c r="A705" s="36" t="s">
        <v>27</v>
      </c>
      <c r="B705" s="36" t="s">
        <v>557</v>
      </c>
      <c r="C705" s="36" t="s">
        <v>28</v>
      </c>
      <c r="D705" s="36" t="s">
        <v>557</v>
      </c>
      <c r="E705" s="36" t="s">
        <v>30</v>
      </c>
      <c r="F705" s="36" t="s">
        <v>31</v>
      </c>
      <c r="G705" s="37" t="s">
        <v>549</v>
      </c>
      <c r="H705" s="36" t="s">
        <v>558</v>
      </c>
      <c r="I705" s="36" t="s">
        <v>559</v>
      </c>
      <c r="J705" s="36">
        <v>1</v>
      </c>
      <c r="K705" s="36" t="s">
        <v>496</v>
      </c>
      <c r="L705" s="36">
        <v>4</v>
      </c>
      <c r="M705" s="36">
        <v>1</v>
      </c>
      <c r="N705" s="38">
        <v>30000000</v>
      </c>
      <c r="O705" s="41">
        <v>2500000</v>
      </c>
      <c r="P705" s="36">
        <v>12</v>
      </c>
      <c r="Q705" s="36" t="s">
        <v>413</v>
      </c>
      <c r="R705" s="36" t="s">
        <v>122</v>
      </c>
      <c r="S705" s="36" t="s">
        <v>555</v>
      </c>
      <c r="T705" s="36" t="s">
        <v>57</v>
      </c>
      <c r="U705" s="36" t="s">
        <v>58</v>
      </c>
      <c r="V705" s="40">
        <v>45870</v>
      </c>
      <c r="W705" s="40">
        <v>45889</v>
      </c>
      <c r="X705" s="36">
        <v>0</v>
      </c>
      <c r="Y705" s="36"/>
      <c r="Z705" s="36">
        <v>1</v>
      </c>
      <c r="AA705" s="36">
        <v>2500000</v>
      </c>
      <c r="AB705" s="40">
        <v>46204</v>
      </c>
      <c r="AC705" s="36" t="s">
        <v>2196</v>
      </c>
      <c r="AD705" s="36" t="str">
        <f>VLOOKUP(D705,Oficial!A:C,3,0)</f>
        <v>Arrastre</v>
      </c>
    </row>
    <row r="706" spans="1:30" x14ac:dyDescent="0.25">
      <c r="A706" s="36" t="s">
        <v>27</v>
      </c>
      <c r="B706" s="36" t="s">
        <v>557</v>
      </c>
      <c r="C706" s="36" t="s">
        <v>28</v>
      </c>
      <c r="D706" s="36" t="s">
        <v>557</v>
      </c>
      <c r="E706" s="36" t="s">
        <v>30</v>
      </c>
      <c r="F706" s="36" t="s">
        <v>31</v>
      </c>
      <c r="G706" s="37" t="s">
        <v>549</v>
      </c>
      <c r="H706" s="36" t="s">
        <v>558</v>
      </c>
      <c r="I706" s="36" t="s">
        <v>559</v>
      </c>
      <c r="J706" s="36">
        <v>1</v>
      </c>
      <c r="K706" s="36" t="s">
        <v>496</v>
      </c>
      <c r="L706" s="36">
        <v>4</v>
      </c>
      <c r="M706" s="36">
        <v>1</v>
      </c>
      <c r="N706" s="38">
        <v>30000000</v>
      </c>
      <c r="O706" s="41">
        <v>2500000</v>
      </c>
      <c r="P706" s="36">
        <v>12</v>
      </c>
      <c r="Q706" s="36" t="s">
        <v>413</v>
      </c>
      <c r="R706" s="36" t="s">
        <v>122</v>
      </c>
      <c r="S706" s="36" t="s">
        <v>555</v>
      </c>
      <c r="T706" s="36" t="s">
        <v>57</v>
      </c>
      <c r="U706" s="36" t="s">
        <v>58</v>
      </c>
      <c r="V706" s="40">
        <v>45870</v>
      </c>
      <c r="W706" s="40">
        <v>45889</v>
      </c>
      <c r="X706" s="36">
        <v>0</v>
      </c>
      <c r="Y706" s="36"/>
      <c r="Z706" s="36">
        <v>1</v>
      </c>
      <c r="AA706" s="36">
        <v>2500000</v>
      </c>
      <c r="AB706" s="40">
        <v>46054</v>
      </c>
      <c r="AC706" s="36" t="s">
        <v>2196</v>
      </c>
      <c r="AD706" s="36" t="str">
        <f>VLOOKUP(D706,Oficial!A:C,3,0)</f>
        <v>Arrastre</v>
      </c>
    </row>
    <row r="707" spans="1:30" x14ac:dyDescent="0.25">
      <c r="A707" s="36" t="s">
        <v>27</v>
      </c>
      <c r="B707" s="36" t="s">
        <v>557</v>
      </c>
      <c r="C707" s="36" t="s">
        <v>28</v>
      </c>
      <c r="D707" s="36" t="s">
        <v>557</v>
      </c>
      <c r="E707" s="36" t="s">
        <v>30</v>
      </c>
      <c r="F707" s="36" t="s">
        <v>31</v>
      </c>
      <c r="G707" s="37" t="s">
        <v>549</v>
      </c>
      <c r="H707" s="36" t="s">
        <v>558</v>
      </c>
      <c r="I707" s="36" t="s">
        <v>559</v>
      </c>
      <c r="J707" s="36">
        <v>1</v>
      </c>
      <c r="K707" s="36" t="s">
        <v>496</v>
      </c>
      <c r="L707" s="36">
        <v>4</v>
      </c>
      <c r="M707" s="36">
        <v>1</v>
      </c>
      <c r="N707" s="38">
        <v>30000000</v>
      </c>
      <c r="O707" s="41">
        <v>2500000</v>
      </c>
      <c r="P707" s="36">
        <v>12</v>
      </c>
      <c r="Q707" s="36" t="s">
        <v>413</v>
      </c>
      <c r="R707" s="36" t="s">
        <v>122</v>
      </c>
      <c r="S707" s="36" t="s">
        <v>555</v>
      </c>
      <c r="T707" s="36" t="s">
        <v>57</v>
      </c>
      <c r="U707" s="36" t="s">
        <v>58</v>
      </c>
      <c r="V707" s="40">
        <v>45870</v>
      </c>
      <c r="W707" s="40">
        <v>45889</v>
      </c>
      <c r="X707" s="36">
        <v>0</v>
      </c>
      <c r="Y707" s="36"/>
      <c r="Z707" s="36">
        <v>1</v>
      </c>
      <c r="AA707" s="36">
        <v>2500000</v>
      </c>
      <c r="AB707" s="40">
        <v>46143</v>
      </c>
      <c r="AC707" s="36" t="s">
        <v>2196</v>
      </c>
      <c r="AD707" s="36" t="str">
        <f>VLOOKUP(D707,Oficial!A:C,3,0)</f>
        <v>Arrastre</v>
      </c>
    </row>
    <row r="708" spans="1:30" x14ac:dyDescent="0.25">
      <c r="A708" s="36" t="s">
        <v>27</v>
      </c>
      <c r="B708" s="36" t="s">
        <v>557</v>
      </c>
      <c r="C708" s="36" t="s">
        <v>28</v>
      </c>
      <c r="D708" s="36" t="s">
        <v>557</v>
      </c>
      <c r="E708" s="36" t="s">
        <v>30</v>
      </c>
      <c r="F708" s="36" t="s">
        <v>31</v>
      </c>
      <c r="G708" s="37" t="s">
        <v>549</v>
      </c>
      <c r="H708" s="36" t="s">
        <v>558</v>
      </c>
      <c r="I708" s="36" t="s">
        <v>559</v>
      </c>
      <c r="J708" s="36">
        <v>1</v>
      </c>
      <c r="K708" s="36" t="s">
        <v>496</v>
      </c>
      <c r="L708" s="36">
        <v>4</v>
      </c>
      <c r="M708" s="36">
        <v>1</v>
      </c>
      <c r="N708" s="38">
        <v>30000000</v>
      </c>
      <c r="O708" s="41">
        <v>2500000</v>
      </c>
      <c r="P708" s="36">
        <v>12</v>
      </c>
      <c r="Q708" s="36" t="s">
        <v>413</v>
      </c>
      <c r="R708" s="36" t="s">
        <v>122</v>
      </c>
      <c r="S708" s="36" t="s">
        <v>555</v>
      </c>
      <c r="T708" s="36" t="s">
        <v>57</v>
      </c>
      <c r="U708" s="36" t="s">
        <v>58</v>
      </c>
      <c r="V708" s="40">
        <v>45870</v>
      </c>
      <c r="W708" s="40">
        <v>45889</v>
      </c>
      <c r="X708" s="36">
        <v>0</v>
      </c>
      <c r="Y708" s="36"/>
      <c r="Z708" s="36">
        <v>1</v>
      </c>
      <c r="AA708" s="36">
        <v>2500000</v>
      </c>
      <c r="AB708" s="40">
        <v>46082</v>
      </c>
      <c r="AC708" s="36" t="s">
        <v>2196</v>
      </c>
      <c r="AD708" s="36" t="str">
        <f>VLOOKUP(D708,Oficial!A:C,3,0)</f>
        <v>Arrastre</v>
      </c>
    </row>
    <row r="709" spans="1:30" x14ac:dyDescent="0.25">
      <c r="A709" s="36" t="s">
        <v>27</v>
      </c>
      <c r="B709" s="36" t="s">
        <v>557</v>
      </c>
      <c r="C709" s="36" t="s">
        <v>28</v>
      </c>
      <c r="D709" s="36" t="s">
        <v>557</v>
      </c>
      <c r="E709" s="36" t="s">
        <v>30</v>
      </c>
      <c r="F709" s="36" t="s">
        <v>31</v>
      </c>
      <c r="G709" s="37" t="s">
        <v>549</v>
      </c>
      <c r="H709" s="36" t="s">
        <v>558</v>
      </c>
      <c r="I709" s="36" t="s">
        <v>559</v>
      </c>
      <c r="J709" s="36">
        <v>1</v>
      </c>
      <c r="K709" s="36" t="s">
        <v>496</v>
      </c>
      <c r="L709" s="36">
        <v>4</v>
      </c>
      <c r="M709" s="36">
        <v>1</v>
      </c>
      <c r="N709" s="38">
        <v>30000000</v>
      </c>
      <c r="O709" s="41">
        <v>2500000</v>
      </c>
      <c r="P709" s="36">
        <v>12</v>
      </c>
      <c r="Q709" s="36" t="s">
        <v>413</v>
      </c>
      <c r="R709" s="36" t="s">
        <v>122</v>
      </c>
      <c r="S709" s="36" t="s">
        <v>555</v>
      </c>
      <c r="T709" s="36" t="s">
        <v>57</v>
      </c>
      <c r="U709" s="36" t="s">
        <v>58</v>
      </c>
      <c r="V709" s="40">
        <v>45870</v>
      </c>
      <c r="W709" s="40">
        <v>45889</v>
      </c>
      <c r="X709" s="36">
        <v>0</v>
      </c>
      <c r="Y709" s="36"/>
      <c r="Z709" s="36">
        <v>1</v>
      </c>
      <c r="AA709" s="36">
        <v>2500000</v>
      </c>
      <c r="AB709" s="40">
        <v>46235</v>
      </c>
      <c r="AC709" s="36" t="s">
        <v>2196</v>
      </c>
      <c r="AD709" s="36" t="str">
        <f>VLOOKUP(D709,Oficial!A:C,3,0)</f>
        <v>Arrastre</v>
      </c>
    </row>
    <row r="710" spans="1:30" x14ac:dyDescent="0.25">
      <c r="A710" s="36" t="s">
        <v>27</v>
      </c>
      <c r="B710" s="36" t="s">
        <v>557</v>
      </c>
      <c r="C710" s="36" t="s">
        <v>28</v>
      </c>
      <c r="D710" s="36" t="s">
        <v>557</v>
      </c>
      <c r="E710" s="36" t="s">
        <v>30</v>
      </c>
      <c r="F710" s="36" t="s">
        <v>31</v>
      </c>
      <c r="G710" s="37" t="s">
        <v>549</v>
      </c>
      <c r="H710" s="36" t="s">
        <v>558</v>
      </c>
      <c r="I710" s="36" t="s">
        <v>559</v>
      </c>
      <c r="J710" s="36">
        <v>1</v>
      </c>
      <c r="K710" s="36" t="s">
        <v>496</v>
      </c>
      <c r="L710" s="36">
        <v>4</v>
      </c>
      <c r="M710" s="36">
        <v>1</v>
      </c>
      <c r="N710" s="38">
        <v>30000000</v>
      </c>
      <c r="O710" s="41">
        <v>2500000</v>
      </c>
      <c r="P710" s="36">
        <v>12</v>
      </c>
      <c r="Q710" s="36" t="s">
        <v>413</v>
      </c>
      <c r="R710" s="36" t="s">
        <v>122</v>
      </c>
      <c r="S710" s="36" t="s">
        <v>555</v>
      </c>
      <c r="T710" s="36" t="s">
        <v>57</v>
      </c>
      <c r="U710" s="36" t="s">
        <v>58</v>
      </c>
      <c r="V710" s="40">
        <v>45870</v>
      </c>
      <c r="W710" s="40">
        <v>45889</v>
      </c>
      <c r="X710" s="36">
        <v>0</v>
      </c>
      <c r="Y710" s="36"/>
      <c r="Z710" s="36">
        <v>1</v>
      </c>
      <c r="AA710" s="36">
        <v>2500000</v>
      </c>
      <c r="AB710" s="40">
        <v>46113</v>
      </c>
      <c r="AC710" s="36" t="s">
        <v>2196</v>
      </c>
      <c r="AD710" s="36" t="str">
        <f>VLOOKUP(D710,Oficial!A:C,3,0)</f>
        <v>Arrastre</v>
      </c>
    </row>
    <row r="711" spans="1:30" x14ac:dyDescent="0.25">
      <c r="A711" s="36" t="s">
        <v>27</v>
      </c>
      <c r="B711" s="36" t="s">
        <v>557</v>
      </c>
      <c r="C711" s="36" t="s">
        <v>28</v>
      </c>
      <c r="D711" s="36" t="s">
        <v>557</v>
      </c>
      <c r="E711" s="36" t="s">
        <v>30</v>
      </c>
      <c r="F711" s="36" t="s">
        <v>31</v>
      </c>
      <c r="G711" s="37" t="s">
        <v>549</v>
      </c>
      <c r="H711" s="36" t="s">
        <v>558</v>
      </c>
      <c r="I711" s="36" t="s">
        <v>559</v>
      </c>
      <c r="J711" s="36">
        <v>1</v>
      </c>
      <c r="K711" s="36" t="s">
        <v>496</v>
      </c>
      <c r="L711" s="36">
        <v>4</v>
      </c>
      <c r="M711" s="36">
        <v>1</v>
      </c>
      <c r="N711" s="38">
        <v>30000000</v>
      </c>
      <c r="O711" s="41">
        <v>2500000</v>
      </c>
      <c r="P711" s="36">
        <v>12</v>
      </c>
      <c r="Q711" s="36" t="s">
        <v>413</v>
      </c>
      <c r="R711" s="36" t="s">
        <v>122</v>
      </c>
      <c r="S711" s="36" t="s">
        <v>555</v>
      </c>
      <c r="T711" s="36" t="s">
        <v>57</v>
      </c>
      <c r="U711" s="36" t="s">
        <v>58</v>
      </c>
      <c r="V711" s="40">
        <v>45870</v>
      </c>
      <c r="W711" s="40">
        <v>45889</v>
      </c>
      <c r="X711" s="36">
        <v>0</v>
      </c>
      <c r="Y711" s="36"/>
      <c r="Z711" s="36">
        <v>1</v>
      </c>
      <c r="AA711" s="36">
        <v>2500000</v>
      </c>
      <c r="AB711" s="40">
        <v>46266</v>
      </c>
      <c r="AC711" s="36" t="s">
        <v>2196</v>
      </c>
      <c r="AD711" s="36" t="str">
        <f>VLOOKUP(D711,Oficial!A:C,3,0)</f>
        <v>Arrastre</v>
      </c>
    </row>
    <row r="712" spans="1:30" x14ac:dyDescent="0.25">
      <c r="A712" s="36" t="s">
        <v>27</v>
      </c>
      <c r="B712" s="36" t="s">
        <v>557</v>
      </c>
      <c r="C712" s="36" t="s">
        <v>28</v>
      </c>
      <c r="D712" s="36" t="s">
        <v>557</v>
      </c>
      <c r="E712" s="36" t="s">
        <v>30</v>
      </c>
      <c r="F712" s="36" t="s">
        <v>31</v>
      </c>
      <c r="G712" s="37" t="s">
        <v>549</v>
      </c>
      <c r="H712" s="36" t="s">
        <v>558</v>
      </c>
      <c r="I712" s="36" t="s">
        <v>559</v>
      </c>
      <c r="J712" s="36">
        <v>1</v>
      </c>
      <c r="K712" s="36" t="s">
        <v>496</v>
      </c>
      <c r="L712" s="36">
        <v>4</v>
      </c>
      <c r="M712" s="36">
        <v>1</v>
      </c>
      <c r="N712" s="38">
        <v>30000000</v>
      </c>
      <c r="O712" s="41">
        <v>2500000</v>
      </c>
      <c r="P712" s="36">
        <v>12</v>
      </c>
      <c r="Q712" s="36" t="s">
        <v>413</v>
      </c>
      <c r="R712" s="36" t="s">
        <v>122</v>
      </c>
      <c r="S712" s="36" t="s">
        <v>555</v>
      </c>
      <c r="T712" s="36" t="s">
        <v>57</v>
      </c>
      <c r="U712" s="36" t="s">
        <v>58</v>
      </c>
      <c r="V712" s="40">
        <v>45870</v>
      </c>
      <c r="W712" s="40">
        <v>45889</v>
      </c>
      <c r="X712" s="36">
        <v>0</v>
      </c>
      <c r="Y712" s="36"/>
      <c r="Z712" s="36">
        <v>1</v>
      </c>
      <c r="AA712" s="36">
        <v>2500000</v>
      </c>
      <c r="AB712" s="40">
        <v>46296</v>
      </c>
      <c r="AC712" s="36" t="s">
        <v>2196</v>
      </c>
      <c r="AD712" s="36" t="str">
        <f>VLOOKUP(D712,Oficial!A:C,3,0)</f>
        <v>Arrastre</v>
      </c>
    </row>
    <row r="713" spans="1:30" x14ac:dyDescent="0.25">
      <c r="A713" s="36" t="s">
        <v>27</v>
      </c>
      <c r="B713" s="36" t="s">
        <v>557</v>
      </c>
      <c r="C713" s="36" t="s">
        <v>28</v>
      </c>
      <c r="D713" s="36" t="s">
        <v>557</v>
      </c>
      <c r="E713" s="36" t="s">
        <v>30</v>
      </c>
      <c r="F713" s="36" t="s">
        <v>31</v>
      </c>
      <c r="G713" s="37" t="s">
        <v>549</v>
      </c>
      <c r="H713" s="36" t="s">
        <v>558</v>
      </c>
      <c r="I713" s="36" t="s">
        <v>559</v>
      </c>
      <c r="J713" s="36">
        <v>1</v>
      </c>
      <c r="K713" s="36" t="s">
        <v>496</v>
      </c>
      <c r="L713" s="36">
        <v>4</v>
      </c>
      <c r="M713" s="36">
        <v>1</v>
      </c>
      <c r="N713" s="38">
        <v>30000000</v>
      </c>
      <c r="O713" s="41">
        <v>2500000</v>
      </c>
      <c r="P713" s="36">
        <v>12</v>
      </c>
      <c r="Q713" s="36" t="s">
        <v>413</v>
      </c>
      <c r="R713" s="36" t="s">
        <v>122</v>
      </c>
      <c r="S713" s="36" t="s">
        <v>555</v>
      </c>
      <c r="T713" s="36" t="s">
        <v>57</v>
      </c>
      <c r="U713" s="36" t="s">
        <v>58</v>
      </c>
      <c r="V713" s="40">
        <v>45870</v>
      </c>
      <c r="W713" s="40">
        <v>45889</v>
      </c>
      <c r="X713" s="36">
        <v>0</v>
      </c>
      <c r="Y713" s="36"/>
      <c r="Z713" s="36">
        <v>1</v>
      </c>
      <c r="AA713" s="36">
        <v>2500000</v>
      </c>
      <c r="AB713" s="40">
        <v>46327</v>
      </c>
      <c r="AC713" s="36" t="s">
        <v>2196</v>
      </c>
      <c r="AD713" s="36" t="str">
        <f>VLOOKUP(D713,Oficial!A:C,3,0)</f>
        <v>Arrastre</v>
      </c>
    </row>
    <row r="714" spans="1:30" x14ac:dyDescent="0.25">
      <c r="A714" s="36" t="s">
        <v>27</v>
      </c>
      <c r="B714" s="36" t="s">
        <v>557</v>
      </c>
      <c r="C714" s="36" t="s">
        <v>28</v>
      </c>
      <c r="D714" s="36" t="s">
        <v>557</v>
      </c>
      <c r="E714" s="36" t="s">
        <v>30</v>
      </c>
      <c r="F714" s="36" t="s">
        <v>31</v>
      </c>
      <c r="G714" s="37" t="s">
        <v>549</v>
      </c>
      <c r="H714" s="36" t="s">
        <v>558</v>
      </c>
      <c r="I714" s="36" t="s">
        <v>559</v>
      </c>
      <c r="J714" s="36">
        <v>1</v>
      </c>
      <c r="K714" s="36" t="s">
        <v>496</v>
      </c>
      <c r="L714" s="36">
        <v>4</v>
      </c>
      <c r="M714" s="36">
        <v>1</v>
      </c>
      <c r="N714" s="38">
        <v>30000000</v>
      </c>
      <c r="O714" s="41">
        <v>2500000</v>
      </c>
      <c r="P714" s="36">
        <v>12</v>
      </c>
      <c r="Q714" s="36" t="s">
        <v>413</v>
      </c>
      <c r="R714" s="36" t="s">
        <v>122</v>
      </c>
      <c r="S714" s="36" t="s">
        <v>555</v>
      </c>
      <c r="T714" s="36" t="s">
        <v>57</v>
      </c>
      <c r="U714" s="36" t="s">
        <v>58</v>
      </c>
      <c r="V714" s="40">
        <v>45870</v>
      </c>
      <c r="W714" s="40">
        <v>45889</v>
      </c>
      <c r="X714" s="36">
        <v>0</v>
      </c>
      <c r="Y714" s="36"/>
      <c r="Z714" s="36">
        <v>1</v>
      </c>
      <c r="AA714" s="36">
        <v>2500000</v>
      </c>
      <c r="AB714" s="40">
        <v>46357</v>
      </c>
      <c r="AC714" s="36" t="s">
        <v>2196</v>
      </c>
      <c r="AD714" s="36" t="str">
        <f>VLOOKUP(D714,Oficial!A:C,3,0)</f>
        <v>Arrastre</v>
      </c>
    </row>
    <row r="715" spans="1:30" x14ac:dyDescent="0.25">
      <c r="A715" s="36" t="s">
        <v>27</v>
      </c>
      <c r="B715" s="36" t="s">
        <v>560</v>
      </c>
      <c r="C715" s="36" t="s">
        <v>28</v>
      </c>
      <c r="D715" s="36" t="s">
        <v>560</v>
      </c>
      <c r="E715" s="36" t="s">
        <v>30</v>
      </c>
      <c r="F715" s="36" t="s">
        <v>31</v>
      </c>
      <c r="G715" s="37" t="s">
        <v>561</v>
      </c>
      <c r="H715" s="36" t="s">
        <v>562</v>
      </c>
      <c r="I715" s="36" t="s">
        <v>563</v>
      </c>
      <c r="J715" s="36">
        <v>1</v>
      </c>
      <c r="K715" s="36" t="s">
        <v>564</v>
      </c>
      <c r="L715" s="36">
        <v>4</v>
      </c>
      <c r="M715" s="36">
        <v>36</v>
      </c>
      <c r="N715" s="38">
        <v>5777778</v>
      </c>
      <c r="O715" s="44">
        <v>5777778</v>
      </c>
      <c r="P715" s="36">
        <v>32</v>
      </c>
      <c r="Q715" s="36" t="s">
        <v>196</v>
      </c>
      <c r="R715" s="36" t="s">
        <v>565</v>
      </c>
      <c r="S715" s="36" t="s">
        <v>65</v>
      </c>
      <c r="T715" s="36" t="s">
        <v>566</v>
      </c>
      <c r="U715" s="36" t="s">
        <v>67</v>
      </c>
      <c r="V715" s="40">
        <v>45992</v>
      </c>
      <c r="W715" s="40">
        <v>45889</v>
      </c>
      <c r="X715" s="36">
        <v>0</v>
      </c>
      <c r="Y715" s="36"/>
      <c r="Z715" s="36">
        <v>1</v>
      </c>
      <c r="AA715" s="36">
        <v>5777778</v>
      </c>
      <c r="AB715" s="40">
        <v>46054</v>
      </c>
      <c r="AC715" s="36" t="s">
        <v>2196</v>
      </c>
      <c r="AD715" s="36" t="str">
        <f>VLOOKUP(D715,Oficial!A:C,3,0)</f>
        <v>Arrastre</v>
      </c>
    </row>
    <row r="716" spans="1:30" x14ac:dyDescent="0.25">
      <c r="A716" s="36" t="s">
        <v>27</v>
      </c>
      <c r="B716" s="36" t="s">
        <v>560</v>
      </c>
      <c r="C716" s="36" t="s">
        <v>28</v>
      </c>
      <c r="D716" s="36" t="s">
        <v>560</v>
      </c>
      <c r="E716" s="36" t="s">
        <v>30</v>
      </c>
      <c r="F716" s="36" t="s">
        <v>31</v>
      </c>
      <c r="G716" s="37" t="s">
        <v>561</v>
      </c>
      <c r="H716" s="36" t="s">
        <v>562</v>
      </c>
      <c r="I716" s="36" t="s">
        <v>563</v>
      </c>
      <c r="J716" s="36">
        <v>1</v>
      </c>
      <c r="K716" s="36" t="s">
        <v>564</v>
      </c>
      <c r="L716" s="36">
        <v>4</v>
      </c>
      <c r="M716" s="36">
        <v>36</v>
      </c>
      <c r="N716" s="38">
        <v>5777778</v>
      </c>
      <c r="O716" s="44">
        <v>5777778</v>
      </c>
      <c r="P716" s="36">
        <v>32</v>
      </c>
      <c r="Q716" s="36" t="s">
        <v>196</v>
      </c>
      <c r="R716" s="36" t="s">
        <v>565</v>
      </c>
      <c r="S716" s="36" t="s">
        <v>65</v>
      </c>
      <c r="T716" s="36" t="s">
        <v>566</v>
      </c>
      <c r="U716" s="36" t="s">
        <v>67</v>
      </c>
      <c r="V716" s="40">
        <v>45992</v>
      </c>
      <c r="W716" s="40">
        <v>45889</v>
      </c>
      <c r="X716" s="36">
        <v>0</v>
      </c>
      <c r="Y716" s="36"/>
      <c r="Z716" s="36">
        <v>1</v>
      </c>
      <c r="AA716" s="36">
        <v>5777778</v>
      </c>
      <c r="AB716" s="40">
        <v>46266</v>
      </c>
      <c r="AC716" s="36" t="s">
        <v>2196</v>
      </c>
      <c r="AD716" s="36" t="str">
        <f>VLOOKUP(D716,Oficial!A:C,3,0)</f>
        <v>Arrastre</v>
      </c>
    </row>
    <row r="717" spans="1:30" x14ac:dyDescent="0.25">
      <c r="A717" s="36" t="s">
        <v>27</v>
      </c>
      <c r="B717" s="36" t="s">
        <v>560</v>
      </c>
      <c r="C717" s="36" t="s">
        <v>28</v>
      </c>
      <c r="D717" s="36" t="s">
        <v>560</v>
      </c>
      <c r="E717" s="36" t="s">
        <v>30</v>
      </c>
      <c r="F717" s="36" t="s">
        <v>31</v>
      </c>
      <c r="G717" s="37" t="s">
        <v>561</v>
      </c>
      <c r="H717" s="36" t="s">
        <v>562</v>
      </c>
      <c r="I717" s="36" t="s">
        <v>563</v>
      </c>
      <c r="J717" s="36">
        <v>1</v>
      </c>
      <c r="K717" s="36" t="s">
        <v>564</v>
      </c>
      <c r="L717" s="36">
        <v>4</v>
      </c>
      <c r="M717" s="36">
        <v>36</v>
      </c>
      <c r="N717" s="38">
        <v>5777778</v>
      </c>
      <c r="O717" s="44">
        <v>5777778</v>
      </c>
      <c r="P717" s="36">
        <v>32</v>
      </c>
      <c r="Q717" s="36" t="s">
        <v>196</v>
      </c>
      <c r="R717" s="36" t="s">
        <v>565</v>
      </c>
      <c r="S717" s="36" t="s">
        <v>65</v>
      </c>
      <c r="T717" s="36" t="s">
        <v>566</v>
      </c>
      <c r="U717" s="36" t="s">
        <v>67</v>
      </c>
      <c r="V717" s="40">
        <v>45992</v>
      </c>
      <c r="W717" s="40">
        <v>45889</v>
      </c>
      <c r="X717" s="36">
        <v>0</v>
      </c>
      <c r="Y717" s="36"/>
      <c r="Z717" s="36">
        <v>1</v>
      </c>
      <c r="AA717" s="36">
        <v>5777778</v>
      </c>
      <c r="AB717" s="40">
        <v>46023</v>
      </c>
      <c r="AC717" s="36" t="s">
        <v>2196</v>
      </c>
      <c r="AD717" s="36" t="str">
        <f>VLOOKUP(D717,Oficial!A:C,3,0)</f>
        <v>Arrastre</v>
      </c>
    </row>
    <row r="718" spans="1:30" x14ac:dyDescent="0.25">
      <c r="A718" s="36" t="s">
        <v>27</v>
      </c>
      <c r="B718" s="36" t="s">
        <v>560</v>
      </c>
      <c r="C718" s="36" t="s">
        <v>28</v>
      </c>
      <c r="D718" s="36" t="s">
        <v>560</v>
      </c>
      <c r="E718" s="36" t="s">
        <v>30</v>
      </c>
      <c r="F718" s="36" t="s">
        <v>31</v>
      </c>
      <c r="G718" s="37" t="s">
        <v>561</v>
      </c>
      <c r="H718" s="36" t="s">
        <v>562</v>
      </c>
      <c r="I718" s="36" t="s">
        <v>563</v>
      </c>
      <c r="J718" s="36">
        <v>1</v>
      </c>
      <c r="K718" s="36" t="s">
        <v>564</v>
      </c>
      <c r="L718" s="36">
        <v>4</v>
      </c>
      <c r="M718" s="36">
        <v>36</v>
      </c>
      <c r="N718" s="38">
        <v>5777778</v>
      </c>
      <c r="O718" s="44">
        <v>5777778</v>
      </c>
      <c r="P718" s="36">
        <v>32</v>
      </c>
      <c r="Q718" s="36" t="s">
        <v>196</v>
      </c>
      <c r="R718" s="36" t="s">
        <v>565</v>
      </c>
      <c r="S718" s="36" t="s">
        <v>65</v>
      </c>
      <c r="T718" s="36" t="s">
        <v>566</v>
      </c>
      <c r="U718" s="36" t="s">
        <v>67</v>
      </c>
      <c r="V718" s="40">
        <v>45992</v>
      </c>
      <c r="W718" s="40">
        <v>45889</v>
      </c>
      <c r="X718" s="36">
        <v>0</v>
      </c>
      <c r="Y718" s="36"/>
      <c r="Z718" s="36">
        <v>1</v>
      </c>
      <c r="AA718" s="36">
        <v>5777778</v>
      </c>
      <c r="AB718" s="40">
        <v>46204</v>
      </c>
      <c r="AC718" s="36" t="s">
        <v>2196</v>
      </c>
      <c r="AD718" s="36" t="str">
        <f>VLOOKUP(D718,Oficial!A:C,3,0)</f>
        <v>Arrastre</v>
      </c>
    </row>
    <row r="719" spans="1:30" x14ac:dyDescent="0.25">
      <c r="A719" s="36" t="s">
        <v>27</v>
      </c>
      <c r="B719" s="36" t="s">
        <v>560</v>
      </c>
      <c r="C719" s="36" t="s">
        <v>28</v>
      </c>
      <c r="D719" s="36" t="s">
        <v>560</v>
      </c>
      <c r="E719" s="36" t="s">
        <v>30</v>
      </c>
      <c r="F719" s="36" t="s">
        <v>31</v>
      </c>
      <c r="G719" s="37" t="s">
        <v>561</v>
      </c>
      <c r="H719" s="36" t="s">
        <v>562</v>
      </c>
      <c r="I719" s="36" t="s">
        <v>563</v>
      </c>
      <c r="J719" s="36">
        <v>1</v>
      </c>
      <c r="K719" s="36" t="s">
        <v>564</v>
      </c>
      <c r="L719" s="36">
        <v>4</v>
      </c>
      <c r="M719" s="36">
        <v>36</v>
      </c>
      <c r="N719" s="38">
        <v>5777778</v>
      </c>
      <c r="O719" s="44">
        <v>5777778</v>
      </c>
      <c r="P719" s="36">
        <v>32</v>
      </c>
      <c r="Q719" s="36" t="s">
        <v>196</v>
      </c>
      <c r="R719" s="36" t="s">
        <v>565</v>
      </c>
      <c r="S719" s="36" t="s">
        <v>65</v>
      </c>
      <c r="T719" s="36" t="s">
        <v>566</v>
      </c>
      <c r="U719" s="36" t="s">
        <v>67</v>
      </c>
      <c r="V719" s="40">
        <v>45992</v>
      </c>
      <c r="W719" s="40">
        <v>45889</v>
      </c>
      <c r="X719" s="36">
        <v>0</v>
      </c>
      <c r="Y719" s="36"/>
      <c r="Z719" s="36">
        <v>1</v>
      </c>
      <c r="AA719" s="36">
        <v>5777778</v>
      </c>
      <c r="AB719" s="40">
        <v>46296</v>
      </c>
      <c r="AC719" s="36" t="s">
        <v>2196</v>
      </c>
      <c r="AD719" s="36" t="str">
        <f>VLOOKUP(D719,Oficial!A:C,3,0)</f>
        <v>Arrastre</v>
      </c>
    </row>
    <row r="720" spans="1:30" x14ac:dyDescent="0.25">
      <c r="A720" s="36" t="s">
        <v>27</v>
      </c>
      <c r="B720" s="36" t="s">
        <v>560</v>
      </c>
      <c r="C720" s="36" t="s">
        <v>28</v>
      </c>
      <c r="D720" s="36" t="s">
        <v>560</v>
      </c>
      <c r="E720" s="36" t="s">
        <v>30</v>
      </c>
      <c r="F720" s="36" t="s">
        <v>31</v>
      </c>
      <c r="G720" s="37" t="s">
        <v>561</v>
      </c>
      <c r="H720" s="36" t="s">
        <v>562</v>
      </c>
      <c r="I720" s="36" t="s">
        <v>563</v>
      </c>
      <c r="J720" s="36">
        <v>1</v>
      </c>
      <c r="K720" s="36" t="s">
        <v>564</v>
      </c>
      <c r="L720" s="36">
        <v>4</v>
      </c>
      <c r="M720" s="36">
        <v>36</v>
      </c>
      <c r="N720" s="38">
        <v>5777778</v>
      </c>
      <c r="O720" s="44">
        <v>5777778</v>
      </c>
      <c r="P720" s="36">
        <v>32</v>
      </c>
      <c r="Q720" s="36" t="s">
        <v>196</v>
      </c>
      <c r="R720" s="36" t="s">
        <v>565</v>
      </c>
      <c r="S720" s="36" t="s">
        <v>65</v>
      </c>
      <c r="T720" s="36" t="s">
        <v>566</v>
      </c>
      <c r="U720" s="36" t="s">
        <v>67</v>
      </c>
      <c r="V720" s="40">
        <v>45992</v>
      </c>
      <c r="W720" s="40">
        <v>45889</v>
      </c>
      <c r="X720" s="36">
        <v>0</v>
      </c>
      <c r="Y720" s="36"/>
      <c r="Z720" s="36">
        <v>1</v>
      </c>
      <c r="AA720" s="36">
        <v>5777778</v>
      </c>
      <c r="AB720" s="40">
        <v>46113</v>
      </c>
      <c r="AC720" s="36" t="s">
        <v>2196</v>
      </c>
      <c r="AD720" s="36" t="str">
        <f>VLOOKUP(D720,Oficial!A:C,3,0)</f>
        <v>Arrastre</v>
      </c>
    </row>
    <row r="721" spans="1:30" x14ac:dyDescent="0.25">
      <c r="A721" s="36" t="s">
        <v>27</v>
      </c>
      <c r="B721" s="36" t="s">
        <v>560</v>
      </c>
      <c r="C721" s="36" t="s">
        <v>28</v>
      </c>
      <c r="D721" s="36" t="s">
        <v>560</v>
      </c>
      <c r="E721" s="36" t="s">
        <v>30</v>
      </c>
      <c r="F721" s="36" t="s">
        <v>31</v>
      </c>
      <c r="G721" s="37" t="s">
        <v>561</v>
      </c>
      <c r="H721" s="36" t="s">
        <v>562</v>
      </c>
      <c r="I721" s="36" t="s">
        <v>563</v>
      </c>
      <c r="J721" s="36">
        <v>1</v>
      </c>
      <c r="K721" s="36" t="s">
        <v>564</v>
      </c>
      <c r="L721" s="36">
        <v>4</v>
      </c>
      <c r="M721" s="36">
        <v>36</v>
      </c>
      <c r="N721" s="38">
        <v>5777778</v>
      </c>
      <c r="O721" s="44">
        <v>5777778</v>
      </c>
      <c r="P721" s="36">
        <v>32</v>
      </c>
      <c r="Q721" s="36" t="s">
        <v>196</v>
      </c>
      <c r="R721" s="36" t="s">
        <v>565</v>
      </c>
      <c r="S721" s="36" t="s">
        <v>65</v>
      </c>
      <c r="T721" s="36" t="s">
        <v>566</v>
      </c>
      <c r="U721" s="36" t="s">
        <v>67</v>
      </c>
      <c r="V721" s="40">
        <v>45992</v>
      </c>
      <c r="W721" s="40">
        <v>45889</v>
      </c>
      <c r="X721" s="36">
        <v>0</v>
      </c>
      <c r="Y721" s="36"/>
      <c r="Z721" s="36">
        <v>1</v>
      </c>
      <c r="AA721" s="36">
        <v>5777778</v>
      </c>
      <c r="AB721" s="40">
        <v>46327</v>
      </c>
      <c r="AC721" s="36" t="s">
        <v>2196</v>
      </c>
      <c r="AD721" s="36" t="str">
        <f>VLOOKUP(D721,Oficial!A:C,3,0)</f>
        <v>Arrastre</v>
      </c>
    </row>
    <row r="722" spans="1:30" x14ac:dyDescent="0.25">
      <c r="A722" s="36" t="s">
        <v>27</v>
      </c>
      <c r="B722" s="36" t="s">
        <v>560</v>
      </c>
      <c r="C722" s="36" t="s">
        <v>28</v>
      </c>
      <c r="D722" s="36" t="s">
        <v>560</v>
      </c>
      <c r="E722" s="36" t="s">
        <v>30</v>
      </c>
      <c r="F722" s="36" t="s">
        <v>31</v>
      </c>
      <c r="G722" s="37" t="s">
        <v>561</v>
      </c>
      <c r="H722" s="36" t="s">
        <v>562</v>
      </c>
      <c r="I722" s="36" t="s">
        <v>563</v>
      </c>
      <c r="J722" s="36">
        <v>1</v>
      </c>
      <c r="K722" s="36" t="s">
        <v>564</v>
      </c>
      <c r="L722" s="36">
        <v>4</v>
      </c>
      <c r="M722" s="36">
        <v>36</v>
      </c>
      <c r="N722" s="38">
        <v>5777778</v>
      </c>
      <c r="O722" s="44">
        <v>5777778</v>
      </c>
      <c r="P722" s="36">
        <v>32</v>
      </c>
      <c r="Q722" s="36" t="s">
        <v>196</v>
      </c>
      <c r="R722" s="36" t="s">
        <v>565</v>
      </c>
      <c r="S722" s="36" t="s">
        <v>65</v>
      </c>
      <c r="T722" s="36" t="s">
        <v>566</v>
      </c>
      <c r="U722" s="36" t="s">
        <v>67</v>
      </c>
      <c r="V722" s="40">
        <v>45992</v>
      </c>
      <c r="W722" s="40">
        <v>45889</v>
      </c>
      <c r="X722" s="36">
        <v>0</v>
      </c>
      <c r="Y722" s="36"/>
      <c r="Z722" s="36">
        <v>1</v>
      </c>
      <c r="AA722" s="36">
        <v>5777778</v>
      </c>
      <c r="AB722" s="40">
        <v>46174</v>
      </c>
      <c r="AC722" s="36" t="s">
        <v>2196</v>
      </c>
      <c r="AD722" s="36" t="str">
        <f>VLOOKUP(D722,Oficial!A:C,3,0)</f>
        <v>Arrastre</v>
      </c>
    </row>
    <row r="723" spans="1:30" x14ac:dyDescent="0.25">
      <c r="A723" s="36" t="s">
        <v>27</v>
      </c>
      <c r="B723" s="36" t="s">
        <v>560</v>
      </c>
      <c r="C723" s="36" t="s">
        <v>28</v>
      </c>
      <c r="D723" s="36" t="s">
        <v>560</v>
      </c>
      <c r="E723" s="36" t="s">
        <v>30</v>
      </c>
      <c r="F723" s="36" t="s">
        <v>31</v>
      </c>
      <c r="G723" s="37" t="s">
        <v>561</v>
      </c>
      <c r="H723" s="36" t="s">
        <v>562</v>
      </c>
      <c r="I723" s="36" t="s">
        <v>563</v>
      </c>
      <c r="J723" s="36">
        <v>1</v>
      </c>
      <c r="K723" s="36" t="s">
        <v>564</v>
      </c>
      <c r="L723" s="36">
        <v>4</v>
      </c>
      <c r="M723" s="36">
        <v>36</v>
      </c>
      <c r="N723" s="38">
        <v>5777778</v>
      </c>
      <c r="O723" s="44">
        <v>5777778</v>
      </c>
      <c r="P723" s="36">
        <v>32</v>
      </c>
      <c r="Q723" s="36" t="s">
        <v>196</v>
      </c>
      <c r="R723" s="36" t="s">
        <v>565</v>
      </c>
      <c r="S723" s="36" t="s">
        <v>65</v>
      </c>
      <c r="T723" s="36" t="s">
        <v>566</v>
      </c>
      <c r="U723" s="36" t="s">
        <v>67</v>
      </c>
      <c r="V723" s="40">
        <v>45992</v>
      </c>
      <c r="W723" s="40">
        <v>45889</v>
      </c>
      <c r="X723" s="36">
        <v>0</v>
      </c>
      <c r="Y723" s="36"/>
      <c r="Z723" s="36">
        <v>1</v>
      </c>
      <c r="AA723" s="36">
        <v>5777778</v>
      </c>
      <c r="AB723" s="40">
        <v>46235</v>
      </c>
      <c r="AC723" s="36" t="s">
        <v>2196</v>
      </c>
      <c r="AD723" s="36" t="str">
        <f>VLOOKUP(D723,Oficial!A:C,3,0)</f>
        <v>Arrastre</v>
      </c>
    </row>
    <row r="724" spans="1:30" x14ac:dyDescent="0.25">
      <c r="A724" s="36" t="s">
        <v>27</v>
      </c>
      <c r="B724" s="36" t="s">
        <v>560</v>
      </c>
      <c r="C724" s="36" t="s">
        <v>28</v>
      </c>
      <c r="D724" s="36" t="s">
        <v>560</v>
      </c>
      <c r="E724" s="36" t="s">
        <v>30</v>
      </c>
      <c r="F724" s="36" t="s">
        <v>31</v>
      </c>
      <c r="G724" s="37" t="s">
        <v>561</v>
      </c>
      <c r="H724" s="36" t="s">
        <v>562</v>
      </c>
      <c r="I724" s="36" t="s">
        <v>563</v>
      </c>
      <c r="J724" s="36">
        <v>1</v>
      </c>
      <c r="K724" s="36" t="s">
        <v>564</v>
      </c>
      <c r="L724" s="36">
        <v>4</v>
      </c>
      <c r="M724" s="36">
        <v>36</v>
      </c>
      <c r="N724" s="38">
        <v>5777778</v>
      </c>
      <c r="O724" s="44">
        <v>5777778</v>
      </c>
      <c r="P724" s="36">
        <v>32</v>
      </c>
      <c r="Q724" s="36" t="s">
        <v>196</v>
      </c>
      <c r="R724" s="36" t="s">
        <v>565</v>
      </c>
      <c r="S724" s="36" t="s">
        <v>65</v>
      </c>
      <c r="T724" s="36" t="s">
        <v>566</v>
      </c>
      <c r="U724" s="36" t="s">
        <v>67</v>
      </c>
      <c r="V724" s="40">
        <v>45992</v>
      </c>
      <c r="W724" s="40">
        <v>45889</v>
      </c>
      <c r="X724" s="36">
        <v>0</v>
      </c>
      <c r="Y724" s="36"/>
      <c r="Z724" s="36">
        <v>1</v>
      </c>
      <c r="AA724" s="36">
        <v>5777778</v>
      </c>
      <c r="AB724" s="40">
        <v>46082</v>
      </c>
      <c r="AC724" s="36" t="s">
        <v>2196</v>
      </c>
      <c r="AD724" s="36" t="str">
        <f>VLOOKUP(D724,Oficial!A:C,3,0)</f>
        <v>Arrastre</v>
      </c>
    </row>
    <row r="725" spans="1:30" x14ac:dyDescent="0.25">
      <c r="A725" s="36" t="s">
        <v>27</v>
      </c>
      <c r="B725" s="36" t="s">
        <v>560</v>
      </c>
      <c r="C725" s="36" t="s">
        <v>28</v>
      </c>
      <c r="D725" s="36" t="s">
        <v>560</v>
      </c>
      <c r="E725" s="36" t="s">
        <v>30</v>
      </c>
      <c r="F725" s="36" t="s">
        <v>31</v>
      </c>
      <c r="G725" s="37" t="s">
        <v>561</v>
      </c>
      <c r="H725" s="36" t="s">
        <v>562</v>
      </c>
      <c r="I725" s="36" t="s">
        <v>563</v>
      </c>
      <c r="J725" s="36">
        <v>1</v>
      </c>
      <c r="K725" s="36" t="s">
        <v>564</v>
      </c>
      <c r="L725" s="36">
        <v>4</v>
      </c>
      <c r="M725" s="36">
        <v>36</v>
      </c>
      <c r="N725" s="38">
        <v>5777778</v>
      </c>
      <c r="O725" s="44">
        <v>5777778</v>
      </c>
      <c r="P725" s="36">
        <v>32</v>
      </c>
      <c r="Q725" s="36" t="s">
        <v>196</v>
      </c>
      <c r="R725" s="36" t="s">
        <v>565</v>
      </c>
      <c r="S725" s="36" t="s">
        <v>65</v>
      </c>
      <c r="T725" s="36" t="s">
        <v>566</v>
      </c>
      <c r="U725" s="36" t="s">
        <v>67</v>
      </c>
      <c r="V725" s="40">
        <v>45992</v>
      </c>
      <c r="W725" s="40">
        <v>45889</v>
      </c>
      <c r="X725" s="36">
        <v>0</v>
      </c>
      <c r="Y725" s="36"/>
      <c r="Z725" s="36">
        <v>1</v>
      </c>
      <c r="AA725" s="36">
        <v>5777778</v>
      </c>
      <c r="AB725" s="40">
        <v>46357</v>
      </c>
      <c r="AC725" s="36" t="s">
        <v>2196</v>
      </c>
      <c r="AD725" s="36" t="str">
        <f>VLOOKUP(D725,Oficial!A:C,3,0)</f>
        <v>Arrastre</v>
      </c>
    </row>
    <row r="726" spans="1:30" x14ac:dyDescent="0.25">
      <c r="A726" s="36" t="s">
        <v>27</v>
      </c>
      <c r="B726" s="36" t="s">
        <v>560</v>
      </c>
      <c r="C726" s="36" t="s">
        <v>28</v>
      </c>
      <c r="D726" s="36" t="s">
        <v>560</v>
      </c>
      <c r="E726" s="36" t="s">
        <v>30</v>
      </c>
      <c r="F726" s="36" t="s">
        <v>31</v>
      </c>
      <c r="G726" s="37" t="s">
        <v>561</v>
      </c>
      <c r="H726" s="36" t="s">
        <v>562</v>
      </c>
      <c r="I726" s="36" t="s">
        <v>563</v>
      </c>
      <c r="J726" s="36">
        <v>1</v>
      </c>
      <c r="K726" s="36" t="s">
        <v>564</v>
      </c>
      <c r="L726" s="36">
        <v>4</v>
      </c>
      <c r="M726" s="36">
        <v>36</v>
      </c>
      <c r="N726" s="38">
        <v>5777778</v>
      </c>
      <c r="O726" s="44">
        <v>5777778</v>
      </c>
      <c r="P726" s="36">
        <v>32</v>
      </c>
      <c r="Q726" s="36" t="s">
        <v>196</v>
      </c>
      <c r="R726" s="36" t="s">
        <v>565</v>
      </c>
      <c r="S726" s="36" t="s">
        <v>65</v>
      </c>
      <c r="T726" s="36" t="s">
        <v>566</v>
      </c>
      <c r="U726" s="36" t="s">
        <v>67</v>
      </c>
      <c r="V726" s="40">
        <v>45992</v>
      </c>
      <c r="W726" s="40">
        <v>45889</v>
      </c>
      <c r="X726" s="36">
        <v>0</v>
      </c>
      <c r="Y726" s="36"/>
      <c r="Z726" s="36">
        <v>1</v>
      </c>
      <c r="AA726" s="36">
        <v>5777778</v>
      </c>
      <c r="AB726" s="40">
        <v>46143</v>
      </c>
      <c r="AC726" s="36" t="s">
        <v>2196</v>
      </c>
      <c r="AD726" s="36" t="str">
        <f>VLOOKUP(D726,Oficial!A:C,3,0)</f>
        <v>Arrastre</v>
      </c>
    </row>
    <row r="727" spans="1:30" x14ac:dyDescent="0.25">
      <c r="A727" s="36" t="s">
        <v>27</v>
      </c>
      <c r="B727" s="36" t="s">
        <v>568</v>
      </c>
      <c r="C727" s="36" t="s">
        <v>567</v>
      </c>
      <c r="D727" s="36" t="s">
        <v>568</v>
      </c>
      <c r="E727" s="36" t="s">
        <v>30</v>
      </c>
      <c r="F727" s="36" t="s">
        <v>569</v>
      </c>
      <c r="G727" s="37">
        <v>32</v>
      </c>
      <c r="H727" s="36" t="s">
        <v>570</v>
      </c>
      <c r="I727" s="36" t="s">
        <v>571</v>
      </c>
      <c r="J727" s="36">
        <v>8</v>
      </c>
      <c r="K727" s="36" t="s">
        <v>572</v>
      </c>
      <c r="L727" s="36">
        <v>4</v>
      </c>
      <c r="M727" s="36">
        <v>1</v>
      </c>
      <c r="N727" s="38">
        <v>40000000</v>
      </c>
      <c r="O727" s="38">
        <v>40000000</v>
      </c>
      <c r="P727" s="36">
        <v>1</v>
      </c>
      <c r="Q727" s="40">
        <v>46113</v>
      </c>
      <c r="R727" s="36" t="s">
        <v>573</v>
      </c>
      <c r="S727" s="36" t="s">
        <v>574</v>
      </c>
      <c r="T727" s="36" t="s">
        <v>575</v>
      </c>
      <c r="U727" s="36" t="s">
        <v>576</v>
      </c>
      <c r="V727" s="40">
        <v>46113</v>
      </c>
      <c r="W727" s="36"/>
      <c r="X727" s="36">
        <v>0</v>
      </c>
      <c r="Y727" s="36"/>
      <c r="Z727" s="36">
        <v>0</v>
      </c>
      <c r="AA727" s="36">
        <v>0</v>
      </c>
      <c r="AB727" s="36"/>
      <c r="AC727" s="36" t="str">
        <f t="shared" ref="AC727:AC790" si="0">RIGHT(D727,4)</f>
        <v>PC26</v>
      </c>
      <c r="AD727" s="36" t="str">
        <f>VLOOKUP(D727,Oficial!A:C,3,0)</f>
        <v>Bienestar</v>
      </c>
    </row>
    <row r="728" spans="1:30" x14ac:dyDescent="0.25">
      <c r="A728" s="36" t="s">
        <v>27</v>
      </c>
      <c r="B728" s="36" t="s">
        <v>568</v>
      </c>
      <c r="C728" s="36" t="s">
        <v>567</v>
      </c>
      <c r="D728" s="36" t="s">
        <v>568</v>
      </c>
      <c r="E728" s="36" t="s">
        <v>30</v>
      </c>
      <c r="F728" s="36" t="s">
        <v>569</v>
      </c>
      <c r="G728" s="37">
        <v>32</v>
      </c>
      <c r="H728" s="36" t="s">
        <v>570</v>
      </c>
      <c r="I728" s="36" t="s">
        <v>571</v>
      </c>
      <c r="J728" s="36">
        <v>8</v>
      </c>
      <c r="K728" s="36" t="s">
        <v>577</v>
      </c>
      <c r="L728" s="36">
        <v>4</v>
      </c>
      <c r="M728" s="36">
        <v>1</v>
      </c>
      <c r="N728" s="38">
        <v>1000000</v>
      </c>
      <c r="O728" s="38">
        <v>1000000</v>
      </c>
      <c r="P728" s="36">
        <v>1</v>
      </c>
      <c r="Q728" s="40">
        <v>46174</v>
      </c>
      <c r="R728" s="36" t="s">
        <v>573</v>
      </c>
      <c r="S728" s="36" t="s">
        <v>574</v>
      </c>
      <c r="T728" s="36" t="s">
        <v>575</v>
      </c>
      <c r="U728" s="36" t="s">
        <v>576</v>
      </c>
      <c r="V728" s="40">
        <v>46174</v>
      </c>
      <c r="W728" s="36"/>
      <c r="X728" s="36">
        <v>0</v>
      </c>
      <c r="Y728" s="36"/>
      <c r="Z728" s="36">
        <v>0</v>
      </c>
      <c r="AA728" s="36">
        <v>0</v>
      </c>
      <c r="AB728" s="36"/>
      <c r="AC728" s="36" t="str">
        <f t="shared" si="0"/>
        <v>PC26</v>
      </c>
      <c r="AD728" s="36" t="str">
        <f>VLOOKUP(D728,Oficial!A:C,3,0)</f>
        <v>Bienestar</v>
      </c>
    </row>
    <row r="729" spans="1:30" x14ac:dyDescent="0.25">
      <c r="A729" s="36" t="s">
        <v>27</v>
      </c>
      <c r="B729" s="36" t="s">
        <v>568</v>
      </c>
      <c r="C729" s="36" t="s">
        <v>567</v>
      </c>
      <c r="D729" s="36" t="s">
        <v>568</v>
      </c>
      <c r="E729" s="36" t="s">
        <v>30</v>
      </c>
      <c r="F729" s="36" t="s">
        <v>569</v>
      </c>
      <c r="G729" s="37">
        <v>32</v>
      </c>
      <c r="H729" s="36" t="s">
        <v>570</v>
      </c>
      <c r="I729" s="36" t="s">
        <v>571</v>
      </c>
      <c r="J729" s="36">
        <v>8</v>
      </c>
      <c r="K729" s="36" t="s">
        <v>578</v>
      </c>
      <c r="L729" s="36">
        <v>4</v>
      </c>
      <c r="M729" s="36">
        <v>1</v>
      </c>
      <c r="N729" s="38">
        <v>2000000</v>
      </c>
      <c r="O729" s="38">
        <v>2000000</v>
      </c>
      <c r="P729" s="36">
        <v>1</v>
      </c>
      <c r="Q729" s="40">
        <v>46174</v>
      </c>
      <c r="R729" s="36" t="s">
        <v>573</v>
      </c>
      <c r="S729" s="36" t="s">
        <v>574</v>
      </c>
      <c r="T729" s="36" t="s">
        <v>575</v>
      </c>
      <c r="U729" s="36" t="s">
        <v>576</v>
      </c>
      <c r="V729" s="40">
        <v>46174</v>
      </c>
      <c r="W729" s="36"/>
      <c r="X729" s="36">
        <v>0</v>
      </c>
      <c r="Y729" s="36"/>
      <c r="Z729" s="36">
        <v>0</v>
      </c>
      <c r="AA729" s="36">
        <v>0</v>
      </c>
      <c r="AB729" s="36"/>
      <c r="AC729" s="36" t="str">
        <f t="shared" si="0"/>
        <v>PC26</v>
      </c>
      <c r="AD729" s="36" t="str">
        <f>VLOOKUP(D729,Oficial!A:C,3,0)</f>
        <v>Bienestar</v>
      </c>
    </row>
    <row r="730" spans="1:30" x14ac:dyDescent="0.25">
      <c r="A730" s="36" t="s">
        <v>27</v>
      </c>
      <c r="B730" s="36" t="s">
        <v>568</v>
      </c>
      <c r="C730" s="36" t="s">
        <v>567</v>
      </c>
      <c r="D730" s="36" t="s">
        <v>568</v>
      </c>
      <c r="E730" s="36" t="s">
        <v>30</v>
      </c>
      <c r="F730" s="36" t="s">
        <v>569</v>
      </c>
      <c r="G730" s="37">
        <v>32</v>
      </c>
      <c r="H730" s="36" t="s">
        <v>570</v>
      </c>
      <c r="I730" s="36" t="s">
        <v>571</v>
      </c>
      <c r="J730" s="36">
        <v>8</v>
      </c>
      <c r="K730" s="36" t="s">
        <v>579</v>
      </c>
      <c r="L730" s="36">
        <v>4</v>
      </c>
      <c r="M730" s="36">
        <v>1</v>
      </c>
      <c r="N730" s="38">
        <v>25000000</v>
      </c>
      <c r="O730" s="38">
        <v>25000000</v>
      </c>
      <c r="P730" s="36">
        <v>1</v>
      </c>
      <c r="Q730" s="40">
        <v>46266</v>
      </c>
      <c r="R730" s="36" t="s">
        <v>573</v>
      </c>
      <c r="S730" s="36" t="s">
        <v>574</v>
      </c>
      <c r="T730" s="36" t="s">
        <v>575</v>
      </c>
      <c r="U730" s="36" t="s">
        <v>576</v>
      </c>
      <c r="V730" s="40">
        <v>46266</v>
      </c>
      <c r="W730" s="36"/>
      <c r="X730" s="36">
        <v>0</v>
      </c>
      <c r="Y730" s="36"/>
      <c r="Z730" s="36">
        <v>0</v>
      </c>
      <c r="AA730" s="36">
        <v>0</v>
      </c>
      <c r="AB730" s="36"/>
      <c r="AC730" s="36" t="str">
        <f t="shared" si="0"/>
        <v>PC26</v>
      </c>
      <c r="AD730" s="36" t="str">
        <f>VLOOKUP(D730,Oficial!A:C,3,0)</f>
        <v>Bienestar</v>
      </c>
    </row>
    <row r="731" spans="1:30" x14ac:dyDescent="0.25">
      <c r="A731" s="36" t="s">
        <v>27</v>
      </c>
      <c r="B731" s="36" t="s">
        <v>568</v>
      </c>
      <c r="C731" s="36" t="s">
        <v>567</v>
      </c>
      <c r="D731" s="36" t="s">
        <v>568</v>
      </c>
      <c r="E731" s="36" t="s">
        <v>30</v>
      </c>
      <c r="F731" s="36" t="s">
        <v>569</v>
      </c>
      <c r="G731" s="37">
        <v>32</v>
      </c>
      <c r="H731" s="36" t="s">
        <v>570</v>
      </c>
      <c r="I731" s="36" t="s">
        <v>571</v>
      </c>
      <c r="J731" s="36">
        <v>8</v>
      </c>
      <c r="K731" s="36" t="s">
        <v>580</v>
      </c>
      <c r="L731" s="36">
        <v>4</v>
      </c>
      <c r="M731" s="36">
        <v>1</v>
      </c>
      <c r="N731" s="38">
        <v>35000000</v>
      </c>
      <c r="O731" s="38">
        <v>35000000</v>
      </c>
      <c r="P731" s="36">
        <v>1</v>
      </c>
      <c r="Q731" s="40">
        <v>46296</v>
      </c>
      <c r="R731" s="36" t="s">
        <v>573</v>
      </c>
      <c r="S731" s="36" t="s">
        <v>574</v>
      </c>
      <c r="T731" s="36" t="s">
        <v>575</v>
      </c>
      <c r="U731" s="36" t="s">
        <v>576</v>
      </c>
      <c r="V731" s="40">
        <v>46296</v>
      </c>
      <c r="W731" s="36"/>
      <c r="X731" s="36">
        <v>0</v>
      </c>
      <c r="Y731" s="36"/>
      <c r="Z731" s="36">
        <v>0</v>
      </c>
      <c r="AA731" s="36">
        <v>0</v>
      </c>
      <c r="AB731" s="36"/>
      <c r="AC731" s="36" t="str">
        <f t="shared" si="0"/>
        <v>PC26</v>
      </c>
      <c r="AD731" s="36" t="str">
        <f>VLOOKUP(D731,Oficial!A:C,3,0)</f>
        <v>Bienestar</v>
      </c>
    </row>
    <row r="732" spans="1:30" x14ac:dyDescent="0.25">
      <c r="A732" s="36" t="s">
        <v>27</v>
      </c>
      <c r="B732" s="36" t="s">
        <v>568</v>
      </c>
      <c r="C732" s="36" t="s">
        <v>567</v>
      </c>
      <c r="D732" s="36" t="s">
        <v>568</v>
      </c>
      <c r="E732" s="36" t="s">
        <v>30</v>
      </c>
      <c r="F732" s="36" t="s">
        <v>569</v>
      </c>
      <c r="G732" s="37">
        <v>32</v>
      </c>
      <c r="H732" s="36" t="s">
        <v>570</v>
      </c>
      <c r="I732" s="36" t="s">
        <v>571</v>
      </c>
      <c r="J732" s="36">
        <v>8</v>
      </c>
      <c r="K732" s="36" t="s">
        <v>581</v>
      </c>
      <c r="L732" s="36">
        <v>4</v>
      </c>
      <c r="M732" s="36">
        <v>1</v>
      </c>
      <c r="N732" s="38">
        <v>15000000</v>
      </c>
      <c r="O732" s="38">
        <v>15000000</v>
      </c>
      <c r="P732" s="36">
        <v>1</v>
      </c>
      <c r="Q732" s="40">
        <v>46327</v>
      </c>
      <c r="R732" s="36" t="s">
        <v>573</v>
      </c>
      <c r="S732" s="36" t="s">
        <v>574</v>
      </c>
      <c r="T732" s="36" t="s">
        <v>575</v>
      </c>
      <c r="U732" s="36" t="s">
        <v>576</v>
      </c>
      <c r="V732" s="40">
        <v>46327</v>
      </c>
      <c r="W732" s="36"/>
      <c r="X732" s="36">
        <v>0</v>
      </c>
      <c r="Y732" s="36"/>
      <c r="Z732" s="36">
        <v>0</v>
      </c>
      <c r="AA732" s="36">
        <v>0</v>
      </c>
      <c r="AB732" s="36"/>
      <c r="AC732" s="36" t="str">
        <f t="shared" si="0"/>
        <v>PC26</v>
      </c>
      <c r="AD732" s="36" t="str">
        <f>VLOOKUP(D732,Oficial!A:C,3,0)</f>
        <v>Bienestar</v>
      </c>
    </row>
    <row r="733" spans="1:30" x14ac:dyDescent="0.25">
      <c r="A733" s="36" t="s">
        <v>27</v>
      </c>
      <c r="B733" s="36" t="s">
        <v>568</v>
      </c>
      <c r="C733" s="36" t="s">
        <v>567</v>
      </c>
      <c r="D733" s="36" t="s">
        <v>568</v>
      </c>
      <c r="E733" s="36" t="s">
        <v>30</v>
      </c>
      <c r="F733" s="36" t="s">
        <v>569</v>
      </c>
      <c r="G733" s="37">
        <v>32</v>
      </c>
      <c r="H733" s="36" t="s">
        <v>570</v>
      </c>
      <c r="I733" s="36" t="s">
        <v>571</v>
      </c>
      <c r="J733" s="36">
        <v>8</v>
      </c>
      <c r="K733" s="36" t="s">
        <v>582</v>
      </c>
      <c r="L733" s="36">
        <v>4</v>
      </c>
      <c r="M733" s="36">
        <v>1</v>
      </c>
      <c r="N733" s="38">
        <v>20000000</v>
      </c>
      <c r="O733" s="38">
        <v>20000000</v>
      </c>
      <c r="P733" s="36">
        <v>1</v>
      </c>
      <c r="Q733" s="40">
        <v>46357</v>
      </c>
      <c r="R733" s="36" t="s">
        <v>573</v>
      </c>
      <c r="S733" s="36" t="s">
        <v>574</v>
      </c>
      <c r="T733" s="36" t="s">
        <v>575</v>
      </c>
      <c r="U733" s="36" t="s">
        <v>576</v>
      </c>
      <c r="V733" s="40">
        <v>46327</v>
      </c>
      <c r="W733" s="36"/>
      <c r="X733" s="36">
        <v>0</v>
      </c>
      <c r="Y733" s="36"/>
      <c r="Z733" s="36">
        <v>0</v>
      </c>
      <c r="AA733" s="36">
        <v>0</v>
      </c>
      <c r="AB733" s="36"/>
      <c r="AC733" s="36" t="str">
        <f t="shared" si="0"/>
        <v>PC26</v>
      </c>
      <c r="AD733" s="36" t="str">
        <f>VLOOKUP(D733,Oficial!A:C,3,0)</f>
        <v>Bienestar</v>
      </c>
    </row>
    <row r="734" spans="1:30" x14ac:dyDescent="0.25">
      <c r="A734" s="36" t="s">
        <v>27</v>
      </c>
      <c r="B734" s="36" t="s">
        <v>568</v>
      </c>
      <c r="C734" s="36" t="s">
        <v>567</v>
      </c>
      <c r="D734" s="36" t="s">
        <v>568</v>
      </c>
      <c r="E734" s="36" t="s">
        <v>30</v>
      </c>
      <c r="F734" s="36" t="s">
        <v>569</v>
      </c>
      <c r="G734" s="37">
        <v>32</v>
      </c>
      <c r="H734" s="36" t="s">
        <v>570</v>
      </c>
      <c r="I734" s="36" t="s">
        <v>571</v>
      </c>
      <c r="J734" s="36">
        <v>8</v>
      </c>
      <c r="K734" s="36" t="s">
        <v>583</v>
      </c>
      <c r="L734" s="36">
        <v>4</v>
      </c>
      <c r="M734" s="36">
        <v>1</v>
      </c>
      <c r="N734" s="38">
        <v>18000000</v>
      </c>
      <c r="O734" s="38">
        <v>18000000</v>
      </c>
      <c r="P734" s="36">
        <v>1</v>
      </c>
      <c r="Q734" s="40">
        <v>46357</v>
      </c>
      <c r="R734" s="36" t="s">
        <v>573</v>
      </c>
      <c r="S734" s="36" t="s">
        <v>574</v>
      </c>
      <c r="T734" s="36" t="s">
        <v>575</v>
      </c>
      <c r="U734" s="36" t="s">
        <v>576</v>
      </c>
      <c r="V734" s="40">
        <v>46327</v>
      </c>
      <c r="W734" s="36"/>
      <c r="X734" s="36">
        <v>0</v>
      </c>
      <c r="Y734" s="36"/>
      <c r="Z734" s="36">
        <v>0</v>
      </c>
      <c r="AA734" s="36">
        <v>0</v>
      </c>
      <c r="AB734" s="36"/>
      <c r="AC734" s="36" t="str">
        <f t="shared" si="0"/>
        <v>PC26</v>
      </c>
      <c r="AD734" s="36" t="str">
        <f>VLOOKUP(D734,Oficial!A:C,3,0)</f>
        <v>Bienestar</v>
      </c>
    </row>
    <row r="735" spans="1:30" x14ac:dyDescent="0.25">
      <c r="A735" s="36" t="s">
        <v>27</v>
      </c>
      <c r="B735" s="36" t="s">
        <v>584</v>
      </c>
      <c r="C735" s="36" t="s">
        <v>374</v>
      </c>
      <c r="D735" s="36" t="s">
        <v>584</v>
      </c>
      <c r="E735" s="36" t="s">
        <v>30</v>
      </c>
      <c r="F735" s="36" t="s">
        <v>569</v>
      </c>
      <c r="G735" s="37" t="s">
        <v>585</v>
      </c>
      <c r="H735" s="36" t="s">
        <v>586</v>
      </c>
      <c r="I735" s="36" t="s">
        <v>587</v>
      </c>
      <c r="J735" s="36">
        <v>1</v>
      </c>
      <c r="K735" s="36" t="s">
        <v>588</v>
      </c>
      <c r="L735" s="36">
        <v>4</v>
      </c>
      <c r="M735" s="36">
        <v>200</v>
      </c>
      <c r="N735" s="38">
        <v>281600</v>
      </c>
      <c r="O735" s="38">
        <v>56320000</v>
      </c>
      <c r="P735" s="36">
        <v>10</v>
      </c>
      <c r="Q735" s="36" t="s">
        <v>589</v>
      </c>
      <c r="R735" s="36" t="s">
        <v>590</v>
      </c>
      <c r="S735" s="36" t="s">
        <v>591</v>
      </c>
      <c r="T735" s="36" t="s">
        <v>592</v>
      </c>
      <c r="U735" s="36" t="s">
        <v>593</v>
      </c>
      <c r="V735" s="40">
        <v>46054</v>
      </c>
      <c r="W735" s="36"/>
      <c r="X735" s="36">
        <v>0</v>
      </c>
      <c r="Y735" s="36"/>
      <c r="Z735" s="36">
        <v>0</v>
      </c>
      <c r="AA735" s="36">
        <v>0</v>
      </c>
      <c r="AB735" s="36"/>
      <c r="AC735" s="36" t="str">
        <f t="shared" si="0"/>
        <v>PC26</v>
      </c>
      <c r="AD735" s="36" t="str">
        <f>VLOOKUP(D735,Oficial!A:C,3,0)</f>
        <v>Administración de Fondos</v>
      </c>
    </row>
    <row r="736" spans="1:30" x14ac:dyDescent="0.25">
      <c r="A736" s="36" t="s">
        <v>27</v>
      </c>
      <c r="B736" s="36" t="s">
        <v>595</v>
      </c>
      <c r="C736" s="36" t="s">
        <v>594</v>
      </c>
      <c r="D736" s="36" t="s">
        <v>595</v>
      </c>
      <c r="E736" s="36" t="s">
        <v>45</v>
      </c>
      <c r="F736" s="36" t="s">
        <v>569</v>
      </c>
      <c r="G736" s="37" t="s">
        <v>596</v>
      </c>
      <c r="H736" s="36" t="s">
        <v>597</v>
      </c>
      <c r="I736" s="36" t="s">
        <v>598</v>
      </c>
      <c r="J736" s="36">
        <v>6</v>
      </c>
      <c r="K736" s="36" t="s">
        <v>599</v>
      </c>
      <c r="L736" s="36">
        <v>4</v>
      </c>
      <c r="M736" s="36">
        <v>1</v>
      </c>
      <c r="N736" s="38">
        <v>28000000</v>
      </c>
      <c r="O736" s="38">
        <v>28000000</v>
      </c>
      <c r="P736" s="36">
        <v>1</v>
      </c>
      <c r="Q736" s="40">
        <v>46143</v>
      </c>
      <c r="R736" s="36" t="s">
        <v>590</v>
      </c>
      <c r="S736" s="36" t="s">
        <v>591</v>
      </c>
      <c r="T736" s="36" t="s">
        <v>592</v>
      </c>
      <c r="U736" s="36" t="s">
        <v>593</v>
      </c>
      <c r="V736" s="40">
        <v>46143</v>
      </c>
      <c r="W736" s="36"/>
      <c r="X736" s="36">
        <v>0</v>
      </c>
      <c r="Y736" s="36"/>
      <c r="Z736" s="36">
        <v>0</v>
      </c>
      <c r="AA736" s="36">
        <v>0</v>
      </c>
      <c r="AB736" s="36"/>
      <c r="AC736" s="36" t="str">
        <f t="shared" si="0"/>
        <v>PC26</v>
      </c>
      <c r="AD736" s="36" t="str">
        <f>VLOOKUP(D736,Oficial!A:C,3,0)</f>
        <v>Compras Convenio GORE Region de Los Lagos</v>
      </c>
    </row>
    <row r="737" spans="1:30" x14ac:dyDescent="0.25">
      <c r="A737" s="36" t="s">
        <v>27</v>
      </c>
      <c r="B737" s="36" t="s">
        <v>595</v>
      </c>
      <c r="C737" s="36" t="s">
        <v>594</v>
      </c>
      <c r="D737" s="36" t="s">
        <v>595</v>
      </c>
      <c r="E737" s="36" t="s">
        <v>45</v>
      </c>
      <c r="F737" s="36" t="s">
        <v>569</v>
      </c>
      <c r="G737" s="37" t="s">
        <v>596</v>
      </c>
      <c r="H737" s="36" t="s">
        <v>597</v>
      </c>
      <c r="I737" s="36" t="s">
        <v>598</v>
      </c>
      <c r="J737" s="36">
        <v>6</v>
      </c>
      <c r="K737" s="36" t="s">
        <v>600</v>
      </c>
      <c r="L737" s="36">
        <v>4</v>
      </c>
      <c r="M737" s="36">
        <v>4</v>
      </c>
      <c r="N737" s="38">
        <v>24000000</v>
      </c>
      <c r="O737" s="38">
        <v>96000000</v>
      </c>
      <c r="P737" s="36">
        <v>1</v>
      </c>
      <c r="Q737" s="40">
        <v>46143</v>
      </c>
      <c r="R737" s="36" t="s">
        <v>590</v>
      </c>
      <c r="S737" s="36" t="s">
        <v>591</v>
      </c>
      <c r="T737" s="36" t="s">
        <v>592</v>
      </c>
      <c r="U737" s="36" t="s">
        <v>593</v>
      </c>
      <c r="V737" s="40">
        <v>46143</v>
      </c>
      <c r="W737" s="36"/>
      <c r="X737" s="36">
        <v>0</v>
      </c>
      <c r="Y737" s="36"/>
      <c r="Z737" s="36">
        <v>0</v>
      </c>
      <c r="AA737" s="36">
        <v>0</v>
      </c>
      <c r="AB737" s="36"/>
      <c r="AC737" s="36" t="str">
        <f t="shared" si="0"/>
        <v>PC26</v>
      </c>
      <c r="AD737" s="36" t="str">
        <f>VLOOKUP(D737,Oficial!A:C,3,0)</f>
        <v>Compras Convenio GORE Region de Los Lagos</v>
      </c>
    </row>
    <row r="738" spans="1:30" x14ac:dyDescent="0.25">
      <c r="A738" s="36" t="s">
        <v>27</v>
      </c>
      <c r="B738" s="36" t="s">
        <v>595</v>
      </c>
      <c r="C738" s="36" t="s">
        <v>594</v>
      </c>
      <c r="D738" s="36" t="s">
        <v>595</v>
      </c>
      <c r="E738" s="36" t="s">
        <v>45</v>
      </c>
      <c r="F738" s="36" t="s">
        <v>569</v>
      </c>
      <c r="G738" s="37" t="s">
        <v>596</v>
      </c>
      <c r="H738" s="36" t="s">
        <v>597</v>
      </c>
      <c r="I738" s="36" t="s">
        <v>598</v>
      </c>
      <c r="J738" s="36">
        <v>6</v>
      </c>
      <c r="K738" s="36" t="s">
        <v>601</v>
      </c>
      <c r="L738" s="36">
        <v>4</v>
      </c>
      <c r="M738" s="36">
        <v>7</v>
      </c>
      <c r="N738" s="38">
        <v>3445000</v>
      </c>
      <c r="O738" s="38">
        <v>24115000</v>
      </c>
      <c r="P738" s="36">
        <v>1</v>
      </c>
      <c r="Q738" s="40">
        <v>46082</v>
      </c>
      <c r="R738" s="36" t="s">
        <v>590</v>
      </c>
      <c r="S738" s="36" t="s">
        <v>591</v>
      </c>
      <c r="T738" s="36" t="s">
        <v>592</v>
      </c>
      <c r="U738" s="36" t="s">
        <v>593</v>
      </c>
      <c r="V738" s="40">
        <v>46082</v>
      </c>
      <c r="W738" s="36"/>
      <c r="X738" s="36">
        <v>0</v>
      </c>
      <c r="Y738" s="36"/>
      <c r="Z738" s="36">
        <v>0</v>
      </c>
      <c r="AA738" s="36">
        <v>0</v>
      </c>
      <c r="AB738" s="36"/>
      <c r="AC738" s="36" t="str">
        <f t="shared" si="0"/>
        <v>PC26</v>
      </c>
      <c r="AD738" s="36" t="str">
        <f>VLOOKUP(D738,Oficial!A:C,3,0)</f>
        <v>Compras Convenio GORE Region de Los Lagos</v>
      </c>
    </row>
    <row r="739" spans="1:30" x14ac:dyDescent="0.25">
      <c r="A739" s="36" t="s">
        <v>27</v>
      </c>
      <c r="B739" s="36" t="s">
        <v>595</v>
      </c>
      <c r="C739" s="36" t="s">
        <v>594</v>
      </c>
      <c r="D739" s="36" t="s">
        <v>595</v>
      </c>
      <c r="E739" s="36" t="s">
        <v>45</v>
      </c>
      <c r="F739" s="36" t="s">
        <v>569</v>
      </c>
      <c r="G739" s="37" t="s">
        <v>596</v>
      </c>
      <c r="H739" s="36" t="s">
        <v>597</v>
      </c>
      <c r="I739" s="36" t="s">
        <v>598</v>
      </c>
      <c r="J739" s="36">
        <v>6</v>
      </c>
      <c r="K739" s="36" t="s">
        <v>602</v>
      </c>
      <c r="L739" s="36">
        <v>4</v>
      </c>
      <c r="M739" s="36">
        <v>7</v>
      </c>
      <c r="N739" s="38">
        <v>500000</v>
      </c>
      <c r="O739" s="38">
        <v>3500000</v>
      </c>
      <c r="P739" s="36">
        <v>1</v>
      </c>
      <c r="Q739" s="40">
        <v>46266</v>
      </c>
      <c r="R739" s="36" t="s">
        <v>590</v>
      </c>
      <c r="S739" s="36" t="s">
        <v>591</v>
      </c>
      <c r="T739" s="36" t="s">
        <v>592</v>
      </c>
      <c r="U739" s="36" t="s">
        <v>593</v>
      </c>
      <c r="V739" s="40">
        <v>46266</v>
      </c>
      <c r="W739" s="36"/>
      <c r="X739" s="36">
        <v>0</v>
      </c>
      <c r="Y739" s="36"/>
      <c r="Z739" s="36">
        <v>0</v>
      </c>
      <c r="AA739" s="36">
        <v>0</v>
      </c>
      <c r="AB739" s="36"/>
      <c r="AC739" s="36" t="str">
        <f t="shared" si="0"/>
        <v>PC26</v>
      </c>
      <c r="AD739" s="36" t="str">
        <f>VLOOKUP(D739,Oficial!A:C,3,0)</f>
        <v>Compras Convenio GORE Region de Los Lagos</v>
      </c>
    </row>
    <row r="740" spans="1:30" x14ac:dyDescent="0.25">
      <c r="A740" s="36" t="s">
        <v>27</v>
      </c>
      <c r="B740" s="36" t="s">
        <v>595</v>
      </c>
      <c r="C740" s="36" t="s">
        <v>594</v>
      </c>
      <c r="D740" s="36" t="s">
        <v>595</v>
      </c>
      <c r="E740" s="36" t="s">
        <v>45</v>
      </c>
      <c r="F740" s="36" t="s">
        <v>569</v>
      </c>
      <c r="G740" s="37" t="s">
        <v>596</v>
      </c>
      <c r="H740" s="36" t="s">
        <v>597</v>
      </c>
      <c r="I740" s="36" t="s">
        <v>598</v>
      </c>
      <c r="J740" s="36">
        <v>6</v>
      </c>
      <c r="K740" s="36" t="s">
        <v>603</v>
      </c>
      <c r="L740" s="36">
        <v>4</v>
      </c>
      <c r="M740" s="36">
        <v>7</v>
      </c>
      <c r="N740" s="38">
        <v>714286</v>
      </c>
      <c r="O740" s="38">
        <v>5000002</v>
      </c>
      <c r="P740" s="36">
        <v>1</v>
      </c>
      <c r="Q740" s="40">
        <v>46143</v>
      </c>
      <c r="R740" s="36" t="s">
        <v>590</v>
      </c>
      <c r="S740" s="36" t="s">
        <v>591</v>
      </c>
      <c r="T740" s="36" t="s">
        <v>592</v>
      </c>
      <c r="U740" s="36" t="s">
        <v>593</v>
      </c>
      <c r="V740" s="40">
        <v>46143</v>
      </c>
      <c r="W740" s="36"/>
      <c r="X740" s="36">
        <v>0</v>
      </c>
      <c r="Y740" s="36"/>
      <c r="Z740" s="36">
        <v>0</v>
      </c>
      <c r="AA740" s="36">
        <v>0</v>
      </c>
      <c r="AB740" s="36"/>
      <c r="AC740" s="36" t="str">
        <f t="shared" si="0"/>
        <v>PC26</v>
      </c>
      <c r="AD740" s="36" t="str">
        <f>VLOOKUP(D740,Oficial!A:C,3,0)</f>
        <v>Compras Convenio GORE Region de Los Lagos</v>
      </c>
    </row>
    <row r="741" spans="1:30" x14ac:dyDescent="0.25">
      <c r="A741" s="36" t="s">
        <v>27</v>
      </c>
      <c r="B741" s="36" t="s">
        <v>595</v>
      </c>
      <c r="C741" s="36" t="s">
        <v>594</v>
      </c>
      <c r="D741" s="36" t="s">
        <v>595</v>
      </c>
      <c r="E741" s="36" t="s">
        <v>45</v>
      </c>
      <c r="F741" s="36" t="s">
        <v>569</v>
      </c>
      <c r="G741" s="37" t="s">
        <v>596</v>
      </c>
      <c r="H741" s="36" t="s">
        <v>597</v>
      </c>
      <c r="I741" s="36" t="s">
        <v>598</v>
      </c>
      <c r="J741" s="36">
        <v>6</v>
      </c>
      <c r="K741" s="36" t="s">
        <v>604</v>
      </c>
      <c r="L741" s="36">
        <v>4</v>
      </c>
      <c r="M741" s="36">
        <v>7</v>
      </c>
      <c r="N741" s="38">
        <v>17428572</v>
      </c>
      <c r="O741" s="38">
        <v>122000004</v>
      </c>
      <c r="P741" s="36">
        <v>1</v>
      </c>
      <c r="Q741" s="40">
        <v>46143</v>
      </c>
      <c r="R741" s="36" t="s">
        <v>590</v>
      </c>
      <c r="S741" s="36" t="s">
        <v>591</v>
      </c>
      <c r="T741" s="36" t="s">
        <v>592</v>
      </c>
      <c r="U741" s="36" t="s">
        <v>593</v>
      </c>
      <c r="V741" s="40">
        <v>46143</v>
      </c>
      <c r="W741" s="36"/>
      <c r="X741" s="36">
        <v>0</v>
      </c>
      <c r="Y741" s="36"/>
      <c r="Z741" s="36">
        <v>0</v>
      </c>
      <c r="AA741" s="36">
        <v>0</v>
      </c>
      <c r="AB741" s="36"/>
      <c r="AC741" s="36" t="str">
        <f t="shared" si="0"/>
        <v>PC26</v>
      </c>
      <c r="AD741" s="36" t="str">
        <f>VLOOKUP(D741,Oficial!A:C,3,0)</f>
        <v>Compras Convenio GORE Region de Los Lagos</v>
      </c>
    </row>
    <row r="742" spans="1:30" x14ac:dyDescent="0.25">
      <c r="A742" s="36" t="s">
        <v>27</v>
      </c>
      <c r="B742" s="36" t="s">
        <v>605</v>
      </c>
      <c r="C742" s="36" t="s">
        <v>374</v>
      </c>
      <c r="D742" s="36" t="s">
        <v>605</v>
      </c>
      <c r="E742" s="36" t="s">
        <v>30</v>
      </c>
      <c r="F742" s="36" t="s">
        <v>569</v>
      </c>
      <c r="G742" s="37" t="s">
        <v>606</v>
      </c>
      <c r="H742" s="36" t="s">
        <v>607</v>
      </c>
      <c r="I742" s="36" t="s">
        <v>608</v>
      </c>
      <c r="J742" s="36">
        <v>2</v>
      </c>
      <c r="K742" s="36" t="s">
        <v>288</v>
      </c>
      <c r="L742" s="36">
        <v>4</v>
      </c>
      <c r="M742" s="36">
        <v>1</v>
      </c>
      <c r="N742" s="38">
        <v>30000000</v>
      </c>
      <c r="O742" s="38">
        <v>30000000</v>
      </c>
      <c r="P742" s="36">
        <v>1</v>
      </c>
      <c r="Q742" s="40">
        <v>46113</v>
      </c>
      <c r="R742" s="36" t="s">
        <v>609</v>
      </c>
      <c r="S742" s="36" t="s">
        <v>610</v>
      </c>
      <c r="T742" s="36" t="s">
        <v>611</v>
      </c>
      <c r="U742" s="36" t="s">
        <v>612</v>
      </c>
      <c r="V742" s="40">
        <v>46113</v>
      </c>
      <c r="W742" s="36"/>
      <c r="X742" s="36">
        <v>0</v>
      </c>
      <c r="Y742" s="36"/>
      <c r="Z742" s="36">
        <v>0</v>
      </c>
      <c r="AA742" s="36">
        <v>0</v>
      </c>
      <c r="AB742" s="36"/>
      <c r="AC742" s="36" t="str">
        <f t="shared" si="0"/>
        <v>PC26</v>
      </c>
      <c r="AD742" s="36" t="str">
        <f>VLOOKUP(D742,Oficial!A:C,3,0)</f>
        <v>Administración de Fondos</v>
      </c>
    </row>
    <row r="743" spans="1:30" x14ac:dyDescent="0.25">
      <c r="A743" s="36" t="s">
        <v>27</v>
      </c>
      <c r="B743" s="36" t="s">
        <v>605</v>
      </c>
      <c r="C743" s="36" t="s">
        <v>374</v>
      </c>
      <c r="D743" s="36" t="s">
        <v>605</v>
      </c>
      <c r="E743" s="36" t="s">
        <v>30</v>
      </c>
      <c r="F743" s="36" t="s">
        <v>569</v>
      </c>
      <c r="G743" s="37" t="s">
        <v>606</v>
      </c>
      <c r="H743" s="36" t="s">
        <v>607</v>
      </c>
      <c r="I743" s="36" t="s">
        <v>608</v>
      </c>
      <c r="J743" s="36">
        <v>2</v>
      </c>
      <c r="K743" s="36" t="s">
        <v>613</v>
      </c>
      <c r="L743" s="36">
        <v>4</v>
      </c>
      <c r="M743" s="36">
        <v>1</v>
      </c>
      <c r="N743" s="38">
        <v>30000000</v>
      </c>
      <c r="O743" s="38">
        <v>30000000</v>
      </c>
      <c r="P743" s="36">
        <v>1</v>
      </c>
      <c r="Q743" s="40">
        <v>46143</v>
      </c>
      <c r="R743" s="36" t="s">
        <v>609</v>
      </c>
      <c r="S743" s="36" t="s">
        <v>610</v>
      </c>
      <c r="T743" s="36" t="s">
        <v>611</v>
      </c>
      <c r="U743" s="36" t="s">
        <v>612</v>
      </c>
      <c r="V743" s="40">
        <v>46143</v>
      </c>
      <c r="W743" s="36"/>
      <c r="X743" s="36">
        <v>0</v>
      </c>
      <c r="Y743" s="36"/>
      <c r="Z743" s="36">
        <v>0</v>
      </c>
      <c r="AA743" s="36">
        <v>0</v>
      </c>
      <c r="AB743" s="36"/>
      <c r="AC743" s="36" t="str">
        <f t="shared" si="0"/>
        <v>PC26</v>
      </c>
      <c r="AD743" s="36" t="str">
        <f>VLOOKUP(D743,Oficial!A:C,3,0)</f>
        <v>Administración de Fondos</v>
      </c>
    </row>
    <row r="744" spans="1:30" x14ac:dyDescent="0.25">
      <c r="A744" s="36" t="s">
        <v>27</v>
      </c>
      <c r="B744" s="36" t="s">
        <v>614</v>
      </c>
      <c r="C744" s="36" t="s">
        <v>374</v>
      </c>
      <c r="D744" s="36" t="s">
        <v>614</v>
      </c>
      <c r="E744" s="36" t="s">
        <v>30</v>
      </c>
      <c r="F744" s="36" t="s">
        <v>569</v>
      </c>
      <c r="G744" s="37" t="s">
        <v>615</v>
      </c>
      <c r="H744" s="36" t="s">
        <v>616</v>
      </c>
      <c r="I744" s="36" t="s">
        <v>617</v>
      </c>
      <c r="J744" s="36">
        <v>1</v>
      </c>
      <c r="K744" s="36" t="s">
        <v>618</v>
      </c>
      <c r="L744" s="36">
        <v>4</v>
      </c>
      <c r="M744" s="36">
        <v>10</v>
      </c>
      <c r="N744" s="38">
        <v>41000</v>
      </c>
      <c r="O744" s="38">
        <v>410000</v>
      </c>
      <c r="P744" s="36">
        <v>1</v>
      </c>
      <c r="Q744" s="40">
        <v>46082</v>
      </c>
      <c r="R744" s="36" t="s">
        <v>590</v>
      </c>
      <c r="S744" s="36" t="s">
        <v>591</v>
      </c>
      <c r="T744" s="36" t="s">
        <v>592</v>
      </c>
      <c r="U744" s="36" t="s">
        <v>593</v>
      </c>
      <c r="V744" s="40">
        <v>46082</v>
      </c>
      <c r="W744" s="36"/>
      <c r="X744" s="36">
        <v>0</v>
      </c>
      <c r="Y744" s="36"/>
      <c r="Z744" s="36">
        <v>0</v>
      </c>
      <c r="AA744" s="36">
        <v>0</v>
      </c>
      <c r="AB744" s="36"/>
      <c r="AC744" s="36" t="str">
        <f t="shared" si="0"/>
        <v>PC26</v>
      </c>
      <c r="AD744" s="36" t="str">
        <f>VLOOKUP(D744,Oficial!A:C,3,0)</f>
        <v>Administración de Fondos</v>
      </c>
    </row>
    <row r="745" spans="1:30" x14ac:dyDescent="0.25">
      <c r="A745" s="36" t="s">
        <v>27</v>
      </c>
      <c r="B745" s="36" t="s">
        <v>619</v>
      </c>
      <c r="C745" s="36" t="s">
        <v>28</v>
      </c>
      <c r="D745" s="36" t="s">
        <v>619</v>
      </c>
      <c r="E745" s="36" t="s">
        <v>30</v>
      </c>
      <c r="F745" s="36" t="s">
        <v>569</v>
      </c>
      <c r="G745" s="37" t="s">
        <v>620</v>
      </c>
      <c r="H745" s="36" t="s">
        <v>621</v>
      </c>
      <c r="I745" s="36" t="s">
        <v>622</v>
      </c>
      <c r="J745" s="36">
        <v>1</v>
      </c>
      <c r="K745" s="36" t="s">
        <v>623</v>
      </c>
      <c r="L745" s="36">
        <v>4</v>
      </c>
      <c r="M745" s="36">
        <v>1</v>
      </c>
      <c r="N745" s="38">
        <v>1250000</v>
      </c>
      <c r="O745" s="38">
        <v>1250000</v>
      </c>
      <c r="P745" s="36">
        <v>1</v>
      </c>
      <c r="Q745" s="40">
        <v>46266</v>
      </c>
      <c r="R745" s="36" t="s">
        <v>624</v>
      </c>
      <c r="S745" s="36" t="s">
        <v>625</v>
      </c>
      <c r="T745" s="36" t="s">
        <v>626</v>
      </c>
      <c r="U745" s="36" t="s">
        <v>627</v>
      </c>
      <c r="V745" s="40">
        <v>46266</v>
      </c>
      <c r="W745" s="36"/>
      <c r="X745" s="36">
        <v>0</v>
      </c>
      <c r="Y745" s="36"/>
      <c r="Z745" s="36">
        <v>0</v>
      </c>
      <c r="AA745" s="36">
        <v>0</v>
      </c>
      <c r="AB745" s="36"/>
      <c r="AC745" s="36" t="str">
        <f t="shared" si="0"/>
        <v>PC26</v>
      </c>
      <c r="AD745" s="36" t="str">
        <f>VLOOKUP(D745,Oficial!A:C,3,0)</f>
        <v>Bienes y Servicios</v>
      </c>
    </row>
    <row r="746" spans="1:30" x14ac:dyDescent="0.25">
      <c r="A746" s="36" t="s">
        <v>27</v>
      </c>
      <c r="B746" s="36" t="s">
        <v>628</v>
      </c>
      <c r="C746" s="36" t="s">
        <v>28</v>
      </c>
      <c r="D746" s="36" t="s">
        <v>628</v>
      </c>
      <c r="E746" s="36" t="s">
        <v>30</v>
      </c>
      <c r="F746" s="36" t="s">
        <v>569</v>
      </c>
      <c r="G746" s="37" t="s">
        <v>483</v>
      </c>
      <c r="H746" s="36" t="s">
        <v>629</v>
      </c>
      <c r="I746" s="36" t="s">
        <v>630</v>
      </c>
      <c r="J746" s="36">
        <v>1</v>
      </c>
      <c r="K746" s="36" t="s">
        <v>631</v>
      </c>
      <c r="L746" s="36">
        <v>4</v>
      </c>
      <c r="M746" s="36">
        <v>15</v>
      </c>
      <c r="N746" s="38">
        <v>20000</v>
      </c>
      <c r="O746" s="38">
        <v>300000</v>
      </c>
      <c r="P746" s="36">
        <v>1</v>
      </c>
      <c r="Q746" s="40">
        <v>46174</v>
      </c>
      <c r="R746" s="36" t="s">
        <v>624</v>
      </c>
      <c r="S746" s="36" t="s">
        <v>625</v>
      </c>
      <c r="T746" s="36" t="s">
        <v>626</v>
      </c>
      <c r="U746" s="36" t="s">
        <v>627</v>
      </c>
      <c r="V746" s="40">
        <v>46174</v>
      </c>
      <c r="W746" s="36"/>
      <c r="X746" s="36">
        <v>0</v>
      </c>
      <c r="Y746" s="36"/>
      <c r="Z746" s="36">
        <v>0</v>
      </c>
      <c r="AA746" s="36">
        <v>0</v>
      </c>
      <c r="AB746" s="36"/>
      <c r="AC746" s="36" t="str">
        <f t="shared" si="0"/>
        <v>PC26</v>
      </c>
      <c r="AD746" s="36" t="str">
        <f>VLOOKUP(D746,Oficial!A:C,3,0)</f>
        <v>Bienes y Servicios</v>
      </c>
    </row>
    <row r="747" spans="1:30" x14ac:dyDescent="0.25">
      <c r="A747" s="36" t="s">
        <v>27</v>
      </c>
      <c r="B747" s="36" t="s">
        <v>632</v>
      </c>
      <c r="C747" s="36" t="s">
        <v>28</v>
      </c>
      <c r="D747" s="36" t="s">
        <v>632</v>
      </c>
      <c r="E747" s="36" t="s">
        <v>30</v>
      </c>
      <c r="F747" s="36" t="s">
        <v>569</v>
      </c>
      <c r="G747" s="37" t="s">
        <v>633</v>
      </c>
      <c r="H747" s="36" t="s">
        <v>634</v>
      </c>
      <c r="I747" s="36" t="s">
        <v>635</v>
      </c>
      <c r="J747" s="36">
        <v>1</v>
      </c>
      <c r="K747" s="36" t="s">
        <v>636</v>
      </c>
      <c r="L747" s="36">
        <v>4</v>
      </c>
      <c r="M747" s="36">
        <v>2</v>
      </c>
      <c r="N747" s="38">
        <v>660000</v>
      </c>
      <c r="O747" s="38">
        <v>1320000</v>
      </c>
      <c r="P747" s="36">
        <v>1</v>
      </c>
      <c r="Q747" s="40">
        <v>46204</v>
      </c>
      <c r="R747" s="36" t="s">
        <v>624</v>
      </c>
      <c r="S747" s="36" t="s">
        <v>625</v>
      </c>
      <c r="T747" s="36" t="s">
        <v>626</v>
      </c>
      <c r="U747" s="36" t="s">
        <v>627</v>
      </c>
      <c r="V747" s="40">
        <v>46204</v>
      </c>
      <c r="W747" s="36"/>
      <c r="X747" s="36">
        <v>0</v>
      </c>
      <c r="Y747" s="36"/>
      <c r="Z747" s="36">
        <v>0</v>
      </c>
      <c r="AA747" s="36">
        <v>0</v>
      </c>
      <c r="AB747" s="36"/>
      <c r="AC747" s="36" t="str">
        <f t="shared" si="0"/>
        <v>PC26</v>
      </c>
      <c r="AD747" s="36" t="str">
        <f>VLOOKUP(D747,Oficial!A:C,3,0)</f>
        <v>Bienes y Servicios</v>
      </c>
    </row>
    <row r="748" spans="1:30" x14ac:dyDescent="0.25">
      <c r="A748" s="36" t="s">
        <v>27</v>
      </c>
      <c r="B748" s="36" t="s">
        <v>637</v>
      </c>
      <c r="C748" s="36" t="s">
        <v>28</v>
      </c>
      <c r="D748" s="36" t="s">
        <v>637</v>
      </c>
      <c r="E748" s="36" t="s">
        <v>30</v>
      </c>
      <c r="F748" s="36" t="s">
        <v>569</v>
      </c>
      <c r="G748" s="37" t="s">
        <v>483</v>
      </c>
      <c r="H748" s="36" t="s">
        <v>638</v>
      </c>
      <c r="I748" s="36" t="s">
        <v>638</v>
      </c>
      <c r="J748" s="36">
        <v>1</v>
      </c>
      <c r="K748" s="36" t="s">
        <v>639</v>
      </c>
      <c r="L748" s="36">
        <v>4</v>
      </c>
      <c r="M748" s="36">
        <v>260</v>
      </c>
      <c r="N748" s="38">
        <v>7695</v>
      </c>
      <c r="O748" s="38">
        <v>2000700</v>
      </c>
      <c r="P748" s="36">
        <v>1</v>
      </c>
      <c r="Q748" s="40">
        <v>46082</v>
      </c>
      <c r="R748" s="36" t="s">
        <v>640</v>
      </c>
      <c r="S748" s="36" t="s">
        <v>641</v>
      </c>
      <c r="T748" s="36" t="s">
        <v>642</v>
      </c>
      <c r="U748" s="36" t="s">
        <v>643</v>
      </c>
      <c r="V748" s="40">
        <v>46082</v>
      </c>
      <c r="W748" s="36"/>
      <c r="X748" s="36">
        <v>0</v>
      </c>
      <c r="Y748" s="36"/>
      <c r="Z748" s="36">
        <v>0</v>
      </c>
      <c r="AA748" s="36">
        <v>0</v>
      </c>
      <c r="AB748" s="36"/>
      <c r="AC748" s="36" t="str">
        <f t="shared" si="0"/>
        <v>PC26</v>
      </c>
      <c r="AD748" s="36" t="str">
        <f>VLOOKUP(D748,Oficial!A:C,3,0)</f>
        <v>Bienes y Servicios</v>
      </c>
    </row>
    <row r="749" spans="1:30" x14ac:dyDescent="0.25">
      <c r="A749" s="36" t="s">
        <v>27</v>
      </c>
      <c r="B749" s="36" t="s">
        <v>644</v>
      </c>
      <c r="C749" s="36" t="s">
        <v>28</v>
      </c>
      <c r="D749" s="36" t="s">
        <v>644</v>
      </c>
      <c r="E749" s="36" t="s">
        <v>30</v>
      </c>
      <c r="F749" s="36" t="s">
        <v>569</v>
      </c>
      <c r="G749" s="37" t="s">
        <v>645</v>
      </c>
      <c r="H749" s="36" t="s">
        <v>646</v>
      </c>
      <c r="I749" s="36" t="s">
        <v>647</v>
      </c>
      <c r="J749" s="36">
        <v>1</v>
      </c>
      <c r="K749" s="36" t="s">
        <v>648</v>
      </c>
      <c r="L749" s="36">
        <v>4</v>
      </c>
      <c r="M749" s="36">
        <v>15</v>
      </c>
      <c r="N749" s="38">
        <v>100667</v>
      </c>
      <c r="O749" s="38">
        <v>1510005</v>
      </c>
      <c r="P749" s="36">
        <v>1</v>
      </c>
      <c r="Q749" s="40">
        <v>46082</v>
      </c>
      <c r="R749" s="36" t="s">
        <v>640</v>
      </c>
      <c r="S749" s="36" t="s">
        <v>641</v>
      </c>
      <c r="T749" s="36" t="s">
        <v>642</v>
      </c>
      <c r="U749" s="36" t="s">
        <v>643</v>
      </c>
      <c r="V749" s="40">
        <v>46082</v>
      </c>
      <c r="W749" s="36"/>
      <c r="X749" s="36">
        <v>0</v>
      </c>
      <c r="Y749" s="36"/>
      <c r="Z749" s="36">
        <v>0</v>
      </c>
      <c r="AA749" s="36">
        <v>0</v>
      </c>
      <c r="AB749" s="36"/>
      <c r="AC749" s="36" t="str">
        <f t="shared" si="0"/>
        <v>PC26</v>
      </c>
      <c r="AD749" s="36" t="str">
        <f>VLOOKUP(D749,Oficial!A:C,3,0)</f>
        <v>Bienes y Servicios</v>
      </c>
    </row>
    <row r="750" spans="1:30" x14ac:dyDescent="0.25">
      <c r="A750" s="36" t="s">
        <v>27</v>
      </c>
      <c r="B750" s="36" t="s">
        <v>649</v>
      </c>
      <c r="C750" s="36" t="s">
        <v>28</v>
      </c>
      <c r="D750" s="36" t="s">
        <v>649</v>
      </c>
      <c r="E750" s="36" t="s">
        <v>30</v>
      </c>
      <c r="F750" s="36" t="s">
        <v>569</v>
      </c>
      <c r="G750" s="37" t="s">
        <v>483</v>
      </c>
      <c r="H750" s="36" t="s">
        <v>650</v>
      </c>
      <c r="I750" s="36" t="s">
        <v>651</v>
      </c>
      <c r="J750" s="36">
        <v>2</v>
      </c>
      <c r="K750" s="36" t="s">
        <v>652</v>
      </c>
      <c r="L750" s="36">
        <v>4</v>
      </c>
      <c r="M750" s="36">
        <v>50</v>
      </c>
      <c r="N750" s="38">
        <v>450</v>
      </c>
      <c r="O750" s="38">
        <v>22500</v>
      </c>
      <c r="P750" s="36">
        <v>1</v>
      </c>
      <c r="Q750" s="40">
        <v>46082</v>
      </c>
      <c r="R750" s="36" t="s">
        <v>640</v>
      </c>
      <c r="S750" s="36" t="s">
        <v>641</v>
      </c>
      <c r="T750" s="36" t="s">
        <v>642</v>
      </c>
      <c r="U750" s="36" t="s">
        <v>643</v>
      </c>
      <c r="V750" s="40">
        <v>46082</v>
      </c>
      <c r="W750" s="36"/>
      <c r="X750" s="36">
        <v>0</v>
      </c>
      <c r="Y750" s="36"/>
      <c r="Z750" s="36">
        <v>0</v>
      </c>
      <c r="AA750" s="36">
        <v>0</v>
      </c>
      <c r="AB750" s="36"/>
      <c r="AC750" s="36" t="str">
        <f t="shared" si="0"/>
        <v>PC26</v>
      </c>
      <c r="AD750" s="36" t="str">
        <f>VLOOKUP(D750,Oficial!A:C,3,0)</f>
        <v>Bienes y Servicios</v>
      </c>
    </row>
    <row r="751" spans="1:30" x14ac:dyDescent="0.25">
      <c r="A751" s="36" t="s">
        <v>27</v>
      </c>
      <c r="B751" s="36" t="s">
        <v>649</v>
      </c>
      <c r="C751" s="36" t="s">
        <v>28</v>
      </c>
      <c r="D751" s="36" t="s">
        <v>649</v>
      </c>
      <c r="E751" s="36" t="s">
        <v>30</v>
      </c>
      <c r="F751" s="36" t="s">
        <v>569</v>
      </c>
      <c r="G751" s="37" t="s">
        <v>483</v>
      </c>
      <c r="H751" s="36" t="s">
        <v>650</v>
      </c>
      <c r="I751" s="36" t="s">
        <v>651</v>
      </c>
      <c r="J751" s="36">
        <v>2</v>
      </c>
      <c r="K751" s="36" t="s">
        <v>370</v>
      </c>
      <c r="L751" s="36">
        <v>4</v>
      </c>
      <c r="M751" s="36">
        <v>1</v>
      </c>
      <c r="N751" s="38">
        <v>850000</v>
      </c>
      <c r="O751" s="38">
        <v>850000</v>
      </c>
      <c r="P751" s="36">
        <v>1</v>
      </c>
      <c r="Q751" s="40">
        <v>46082</v>
      </c>
      <c r="R751" s="36" t="s">
        <v>640</v>
      </c>
      <c r="S751" s="36" t="s">
        <v>641</v>
      </c>
      <c r="T751" s="36" t="s">
        <v>642</v>
      </c>
      <c r="U751" s="36" t="s">
        <v>643</v>
      </c>
      <c r="V751" s="40">
        <v>46082</v>
      </c>
      <c r="W751" s="36"/>
      <c r="X751" s="36">
        <v>0</v>
      </c>
      <c r="Y751" s="36"/>
      <c r="Z751" s="36">
        <v>0</v>
      </c>
      <c r="AA751" s="36">
        <v>0</v>
      </c>
      <c r="AB751" s="36"/>
      <c r="AC751" s="36" t="str">
        <f t="shared" si="0"/>
        <v>PC26</v>
      </c>
      <c r="AD751" s="36" t="str">
        <f>VLOOKUP(D751,Oficial!A:C,3,0)</f>
        <v>Bienes y Servicios</v>
      </c>
    </row>
    <row r="752" spans="1:30" x14ac:dyDescent="0.25">
      <c r="A752" s="36" t="s">
        <v>27</v>
      </c>
      <c r="B752" s="36" t="s">
        <v>653</v>
      </c>
      <c r="C752" s="36" t="s">
        <v>28</v>
      </c>
      <c r="D752" s="36" t="s">
        <v>653</v>
      </c>
      <c r="E752" s="36" t="s">
        <v>30</v>
      </c>
      <c r="F752" s="36" t="s">
        <v>569</v>
      </c>
      <c r="G752" s="37" t="s">
        <v>654</v>
      </c>
      <c r="H752" s="36" t="s">
        <v>655</v>
      </c>
      <c r="I752" s="36" t="s">
        <v>656</v>
      </c>
      <c r="J752" s="36">
        <v>1</v>
      </c>
      <c r="K752" s="36" t="s">
        <v>370</v>
      </c>
      <c r="L752" s="36">
        <v>4</v>
      </c>
      <c r="M752" s="36">
        <v>120</v>
      </c>
      <c r="N752" s="38">
        <v>4500</v>
      </c>
      <c r="O752" s="38">
        <v>540000</v>
      </c>
      <c r="P752" s="36">
        <v>1</v>
      </c>
      <c r="Q752" s="40">
        <v>46327</v>
      </c>
      <c r="R752" s="36" t="s">
        <v>657</v>
      </c>
      <c r="S752" s="36" t="s">
        <v>658</v>
      </c>
      <c r="T752" s="36" t="s">
        <v>659</v>
      </c>
      <c r="U752" s="36" t="s">
        <v>660</v>
      </c>
      <c r="V752" s="40">
        <v>46327</v>
      </c>
      <c r="W752" s="36"/>
      <c r="X752" s="36">
        <v>0</v>
      </c>
      <c r="Y752" s="36"/>
      <c r="Z752" s="36">
        <v>0</v>
      </c>
      <c r="AA752" s="36">
        <v>0</v>
      </c>
      <c r="AB752" s="36"/>
      <c r="AC752" s="36" t="str">
        <f t="shared" si="0"/>
        <v>PC26</v>
      </c>
      <c r="AD752" s="36" t="str">
        <f>VLOOKUP(D752,Oficial!A:C,3,0)</f>
        <v>Bienes y Servicios</v>
      </c>
    </row>
    <row r="753" spans="1:30" x14ac:dyDescent="0.25">
      <c r="A753" s="36" t="s">
        <v>27</v>
      </c>
      <c r="B753" s="36" t="s">
        <v>661</v>
      </c>
      <c r="C753" s="36" t="s">
        <v>28</v>
      </c>
      <c r="D753" s="36" t="s">
        <v>661</v>
      </c>
      <c r="E753" s="36" t="s">
        <v>30</v>
      </c>
      <c r="F753" s="36" t="s">
        <v>569</v>
      </c>
      <c r="G753" s="37" t="s">
        <v>654</v>
      </c>
      <c r="H753" s="36" t="s">
        <v>662</v>
      </c>
      <c r="I753" s="36" t="s">
        <v>663</v>
      </c>
      <c r="J753" s="36">
        <v>6</v>
      </c>
      <c r="K753" s="36" t="s">
        <v>370</v>
      </c>
      <c r="L753" s="36">
        <v>4</v>
      </c>
      <c r="M753" s="36">
        <v>30</v>
      </c>
      <c r="N753" s="38">
        <v>4500</v>
      </c>
      <c r="O753" s="38">
        <v>135000</v>
      </c>
      <c r="P753" s="36">
        <v>1</v>
      </c>
      <c r="Q753" s="40">
        <v>46113</v>
      </c>
      <c r="R753" s="36" t="s">
        <v>657</v>
      </c>
      <c r="S753" s="36" t="s">
        <v>658</v>
      </c>
      <c r="T753" s="36" t="s">
        <v>659</v>
      </c>
      <c r="U753" s="36" t="s">
        <v>660</v>
      </c>
      <c r="V753" s="40">
        <v>46113</v>
      </c>
      <c r="W753" s="36"/>
      <c r="X753" s="36">
        <v>0</v>
      </c>
      <c r="Y753" s="36"/>
      <c r="Z753" s="36">
        <v>0</v>
      </c>
      <c r="AA753" s="36">
        <v>0</v>
      </c>
      <c r="AB753" s="36"/>
      <c r="AC753" s="36" t="str">
        <f t="shared" si="0"/>
        <v>PC26</v>
      </c>
      <c r="AD753" s="36" t="str">
        <f>VLOOKUP(D753,Oficial!A:C,3,0)</f>
        <v>Bienes y Servicios</v>
      </c>
    </row>
    <row r="754" spans="1:30" x14ac:dyDescent="0.25">
      <c r="A754" s="36" t="s">
        <v>27</v>
      </c>
      <c r="B754" s="36" t="s">
        <v>661</v>
      </c>
      <c r="C754" s="36" t="s">
        <v>28</v>
      </c>
      <c r="D754" s="36" t="s">
        <v>661</v>
      </c>
      <c r="E754" s="36" t="s">
        <v>30</v>
      </c>
      <c r="F754" s="36" t="s">
        <v>569</v>
      </c>
      <c r="G754" s="37" t="s">
        <v>654</v>
      </c>
      <c r="H754" s="36" t="s">
        <v>662</v>
      </c>
      <c r="I754" s="36" t="s">
        <v>663</v>
      </c>
      <c r="J754" s="36">
        <v>6</v>
      </c>
      <c r="K754" s="36" t="s">
        <v>370</v>
      </c>
      <c r="L754" s="36">
        <v>4</v>
      </c>
      <c r="M754" s="36">
        <v>90</v>
      </c>
      <c r="N754" s="38">
        <v>4500</v>
      </c>
      <c r="O754" s="38">
        <v>405000</v>
      </c>
      <c r="P754" s="36">
        <v>3</v>
      </c>
      <c r="Q754" s="36" t="s">
        <v>664</v>
      </c>
      <c r="R754" s="36" t="s">
        <v>657</v>
      </c>
      <c r="S754" s="36" t="s">
        <v>658</v>
      </c>
      <c r="T754" s="36" t="s">
        <v>659</v>
      </c>
      <c r="U754" s="36" t="s">
        <v>660</v>
      </c>
      <c r="V754" s="40">
        <v>46204</v>
      </c>
      <c r="W754" s="36"/>
      <c r="X754" s="36">
        <v>0</v>
      </c>
      <c r="Y754" s="36"/>
      <c r="Z754" s="36">
        <v>0</v>
      </c>
      <c r="AA754" s="36">
        <v>0</v>
      </c>
      <c r="AB754" s="36"/>
      <c r="AC754" s="36" t="str">
        <f t="shared" si="0"/>
        <v>PC26</v>
      </c>
      <c r="AD754" s="36" t="str">
        <f>VLOOKUP(D754,Oficial!A:C,3,0)</f>
        <v>Bienes y Servicios</v>
      </c>
    </row>
    <row r="755" spans="1:30" x14ac:dyDescent="0.25">
      <c r="A755" s="36" t="s">
        <v>27</v>
      </c>
      <c r="B755" s="36" t="s">
        <v>661</v>
      </c>
      <c r="C755" s="36" t="s">
        <v>28</v>
      </c>
      <c r="D755" s="36" t="s">
        <v>661</v>
      </c>
      <c r="E755" s="36" t="s">
        <v>30</v>
      </c>
      <c r="F755" s="36" t="s">
        <v>569</v>
      </c>
      <c r="G755" s="37" t="s">
        <v>654</v>
      </c>
      <c r="H755" s="36" t="s">
        <v>662</v>
      </c>
      <c r="I755" s="36" t="s">
        <v>663</v>
      </c>
      <c r="J755" s="36">
        <v>6</v>
      </c>
      <c r="K755" s="36" t="s">
        <v>359</v>
      </c>
      <c r="L755" s="36">
        <v>4</v>
      </c>
      <c r="M755" s="36">
        <v>30</v>
      </c>
      <c r="N755" s="38">
        <v>4500</v>
      </c>
      <c r="O755" s="38">
        <v>135000</v>
      </c>
      <c r="P755" s="36">
        <v>1</v>
      </c>
      <c r="Q755" s="40">
        <v>46113</v>
      </c>
      <c r="R755" s="36" t="s">
        <v>657</v>
      </c>
      <c r="S755" s="36" t="s">
        <v>658</v>
      </c>
      <c r="T755" s="36" t="s">
        <v>659</v>
      </c>
      <c r="U755" s="36" t="s">
        <v>660</v>
      </c>
      <c r="V755" s="40">
        <v>46113</v>
      </c>
      <c r="W755" s="36"/>
      <c r="X755" s="36">
        <v>0</v>
      </c>
      <c r="Y755" s="36"/>
      <c r="Z755" s="36">
        <v>0</v>
      </c>
      <c r="AA755" s="36">
        <v>0</v>
      </c>
      <c r="AB755" s="36"/>
      <c r="AC755" s="36" t="str">
        <f t="shared" si="0"/>
        <v>PC26</v>
      </c>
      <c r="AD755" s="36" t="str">
        <f>VLOOKUP(D755,Oficial!A:C,3,0)</f>
        <v>Bienes y Servicios</v>
      </c>
    </row>
    <row r="756" spans="1:30" x14ac:dyDescent="0.25">
      <c r="A756" s="36" t="s">
        <v>27</v>
      </c>
      <c r="B756" s="36" t="s">
        <v>661</v>
      </c>
      <c r="C756" s="36" t="s">
        <v>28</v>
      </c>
      <c r="D756" s="36" t="s">
        <v>661</v>
      </c>
      <c r="E756" s="36" t="s">
        <v>30</v>
      </c>
      <c r="F756" s="36" t="s">
        <v>569</v>
      </c>
      <c r="G756" s="37" t="s">
        <v>654</v>
      </c>
      <c r="H756" s="36" t="s">
        <v>662</v>
      </c>
      <c r="I756" s="36" t="s">
        <v>663</v>
      </c>
      <c r="J756" s="36">
        <v>6</v>
      </c>
      <c r="K756" s="36" t="s">
        <v>359</v>
      </c>
      <c r="L756" s="36">
        <v>4</v>
      </c>
      <c r="M756" s="36">
        <v>30</v>
      </c>
      <c r="N756" s="38">
        <v>4500</v>
      </c>
      <c r="O756" s="38">
        <v>135000</v>
      </c>
      <c r="P756" s="36">
        <v>1</v>
      </c>
      <c r="Q756" s="40">
        <v>46204</v>
      </c>
      <c r="R756" s="36" t="s">
        <v>657</v>
      </c>
      <c r="S756" s="36" t="s">
        <v>658</v>
      </c>
      <c r="T756" s="36" t="s">
        <v>659</v>
      </c>
      <c r="U756" s="36" t="s">
        <v>660</v>
      </c>
      <c r="V756" s="40">
        <v>46204</v>
      </c>
      <c r="W756" s="36"/>
      <c r="X756" s="36">
        <v>0</v>
      </c>
      <c r="Y756" s="36"/>
      <c r="Z756" s="36">
        <v>0</v>
      </c>
      <c r="AA756" s="36">
        <v>0</v>
      </c>
      <c r="AB756" s="36"/>
      <c r="AC756" s="36" t="str">
        <f t="shared" si="0"/>
        <v>PC26</v>
      </c>
      <c r="AD756" s="36" t="str">
        <f>VLOOKUP(D756,Oficial!A:C,3,0)</f>
        <v>Bienes y Servicios</v>
      </c>
    </row>
    <row r="757" spans="1:30" x14ac:dyDescent="0.25">
      <c r="A757" s="36" t="s">
        <v>27</v>
      </c>
      <c r="B757" s="36" t="s">
        <v>661</v>
      </c>
      <c r="C757" s="36" t="s">
        <v>28</v>
      </c>
      <c r="D757" s="36" t="s">
        <v>661</v>
      </c>
      <c r="E757" s="36" t="s">
        <v>30</v>
      </c>
      <c r="F757" s="36" t="s">
        <v>569</v>
      </c>
      <c r="G757" s="37" t="s">
        <v>654</v>
      </c>
      <c r="H757" s="36" t="s">
        <v>662</v>
      </c>
      <c r="I757" s="36" t="s">
        <v>663</v>
      </c>
      <c r="J757" s="36">
        <v>6</v>
      </c>
      <c r="K757" s="36" t="s">
        <v>359</v>
      </c>
      <c r="L757" s="36">
        <v>4</v>
      </c>
      <c r="M757" s="36">
        <v>30</v>
      </c>
      <c r="N757" s="38">
        <v>4500</v>
      </c>
      <c r="O757" s="38">
        <v>135000</v>
      </c>
      <c r="P757" s="36">
        <v>1</v>
      </c>
      <c r="Q757" s="40">
        <v>46266</v>
      </c>
      <c r="R757" s="36" t="s">
        <v>657</v>
      </c>
      <c r="S757" s="36" t="s">
        <v>658</v>
      </c>
      <c r="T757" s="36" t="s">
        <v>659</v>
      </c>
      <c r="U757" s="36" t="s">
        <v>660</v>
      </c>
      <c r="V757" s="40">
        <v>46266</v>
      </c>
      <c r="W757" s="36"/>
      <c r="X757" s="36">
        <v>0</v>
      </c>
      <c r="Y757" s="36"/>
      <c r="Z757" s="36">
        <v>0</v>
      </c>
      <c r="AA757" s="36">
        <v>0</v>
      </c>
      <c r="AB757" s="36"/>
      <c r="AC757" s="36" t="str">
        <f t="shared" si="0"/>
        <v>PC26</v>
      </c>
      <c r="AD757" s="36" t="str">
        <f>VLOOKUP(D757,Oficial!A:C,3,0)</f>
        <v>Bienes y Servicios</v>
      </c>
    </row>
    <row r="758" spans="1:30" x14ac:dyDescent="0.25">
      <c r="A758" s="36" t="s">
        <v>27</v>
      </c>
      <c r="B758" s="36" t="s">
        <v>661</v>
      </c>
      <c r="C758" s="36" t="s">
        <v>28</v>
      </c>
      <c r="D758" s="36" t="s">
        <v>661</v>
      </c>
      <c r="E758" s="36" t="s">
        <v>30</v>
      </c>
      <c r="F758" s="36" t="s">
        <v>569</v>
      </c>
      <c r="G758" s="37" t="s">
        <v>654</v>
      </c>
      <c r="H758" s="36" t="s">
        <v>662</v>
      </c>
      <c r="I758" s="36" t="s">
        <v>663</v>
      </c>
      <c r="J758" s="36">
        <v>6</v>
      </c>
      <c r="K758" s="36" t="s">
        <v>359</v>
      </c>
      <c r="L758" s="36">
        <v>4</v>
      </c>
      <c r="M758" s="36">
        <v>30</v>
      </c>
      <c r="N758" s="38">
        <v>4500</v>
      </c>
      <c r="O758" s="38">
        <v>135000</v>
      </c>
      <c r="P758" s="36">
        <v>1</v>
      </c>
      <c r="Q758" s="40">
        <v>46357</v>
      </c>
      <c r="R758" s="36" t="s">
        <v>657</v>
      </c>
      <c r="S758" s="36" t="s">
        <v>658</v>
      </c>
      <c r="T758" s="36" t="s">
        <v>659</v>
      </c>
      <c r="U758" s="36" t="s">
        <v>660</v>
      </c>
      <c r="V758" s="40">
        <v>46357</v>
      </c>
      <c r="W758" s="36"/>
      <c r="X758" s="36">
        <v>0</v>
      </c>
      <c r="Y758" s="36"/>
      <c r="Z758" s="36">
        <v>0</v>
      </c>
      <c r="AA758" s="36">
        <v>0</v>
      </c>
      <c r="AB758" s="36"/>
      <c r="AC758" s="36" t="str">
        <f t="shared" si="0"/>
        <v>PC26</v>
      </c>
      <c r="AD758" s="36" t="str">
        <f>VLOOKUP(D758,Oficial!A:C,3,0)</f>
        <v>Bienes y Servicios</v>
      </c>
    </row>
    <row r="759" spans="1:30" x14ac:dyDescent="0.25">
      <c r="A759" s="36" t="s">
        <v>27</v>
      </c>
      <c r="B759" s="36" t="s">
        <v>665</v>
      </c>
      <c r="C759" s="36" t="s">
        <v>28</v>
      </c>
      <c r="D759" s="36" t="s">
        <v>665</v>
      </c>
      <c r="E759" s="36" t="s">
        <v>30</v>
      </c>
      <c r="F759" s="36" t="s">
        <v>569</v>
      </c>
      <c r="G759" s="37" t="s">
        <v>666</v>
      </c>
      <c r="H759" s="36" t="s">
        <v>667</v>
      </c>
      <c r="I759" s="36" t="s">
        <v>668</v>
      </c>
      <c r="J759" s="36">
        <v>1</v>
      </c>
      <c r="K759" s="36" t="s">
        <v>669</v>
      </c>
      <c r="L759" s="36">
        <v>4</v>
      </c>
      <c r="M759" s="36">
        <v>6</v>
      </c>
      <c r="N759" s="38">
        <v>250000</v>
      </c>
      <c r="O759" s="38">
        <v>1500000</v>
      </c>
      <c r="P759" s="36">
        <v>1</v>
      </c>
      <c r="Q759" s="40">
        <v>46082</v>
      </c>
      <c r="R759" s="36" t="s">
        <v>657</v>
      </c>
      <c r="S759" s="36" t="s">
        <v>658</v>
      </c>
      <c r="T759" s="36" t="s">
        <v>659</v>
      </c>
      <c r="U759" s="36" t="s">
        <v>660</v>
      </c>
      <c r="V759" s="40">
        <v>46082</v>
      </c>
      <c r="W759" s="36"/>
      <c r="X759" s="36">
        <v>0</v>
      </c>
      <c r="Y759" s="36"/>
      <c r="Z759" s="36">
        <v>0</v>
      </c>
      <c r="AA759" s="36">
        <v>0</v>
      </c>
      <c r="AB759" s="36"/>
      <c r="AC759" s="36" t="str">
        <f t="shared" si="0"/>
        <v>PC26</v>
      </c>
      <c r="AD759" s="36" t="str">
        <f>VLOOKUP(D759,Oficial!A:C,3,0)</f>
        <v>Bienes y Servicios</v>
      </c>
    </row>
    <row r="760" spans="1:30" x14ac:dyDescent="0.25">
      <c r="A760" s="36" t="s">
        <v>27</v>
      </c>
      <c r="B760" s="36" t="s">
        <v>670</v>
      </c>
      <c r="C760" s="36" t="s">
        <v>28</v>
      </c>
      <c r="D760" s="36" t="s">
        <v>670</v>
      </c>
      <c r="E760" s="36" t="s">
        <v>30</v>
      </c>
      <c r="F760" s="36" t="s">
        <v>569</v>
      </c>
      <c r="G760" s="37" t="s">
        <v>483</v>
      </c>
      <c r="H760" s="36" t="s">
        <v>671</v>
      </c>
      <c r="I760" s="36" t="s">
        <v>672</v>
      </c>
      <c r="J760" s="36">
        <v>1</v>
      </c>
      <c r="K760" s="36" t="s">
        <v>673</v>
      </c>
      <c r="L760" s="36">
        <v>4</v>
      </c>
      <c r="M760" s="36">
        <v>10</v>
      </c>
      <c r="N760" s="38">
        <v>85000</v>
      </c>
      <c r="O760" s="38">
        <v>850000</v>
      </c>
      <c r="P760" s="36">
        <v>1</v>
      </c>
      <c r="Q760" s="40">
        <v>46023</v>
      </c>
      <c r="R760" s="36" t="s">
        <v>657</v>
      </c>
      <c r="S760" s="36" t="s">
        <v>658</v>
      </c>
      <c r="T760" s="36" t="s">
        <v>659</v>
      </c>
      <c r="U760" s="36" t="s">
        <v>660</v>
      </c>
      <c r="V760" s="40">
        <v>46023</v>
      </c>
      <c r="W760" s="36"/>
      <c r="X760" s="36">
        <v>0</v>
      </c>
      <c r="Y760" s="36"/>
      <c r="Z760" s="36">
        <v>0</v>
      </c>
      <c r="AA760" s="36">
        <v>0</v>
      </c>
      <c r="AB760" s="36"/>
      <c r="AC760" s="36" t="str">
        <f t="shared" si="0"/>
        <v>PC26</v>
      </c>
      <c r="AD760" s="36" t="str">
        <f>VLOOKUP(D760,Oficial!A:C,3,0)</f>
        <v>Bienes y Servicios</v>
      </c>
    </row>
    <row r="761" spans="1:30" x14ac:dyDescent="0.25">
      <c r="A761" s="36" t="s">
        <v>27</v>
      </c>
      <c r="B761" s="36" t="s">
        <v>674</v>
      </c>
      <c r="C761" s="36" t="s">
        <v>28</v>
      </c>
      <c r="D761" s="36" t="s">
        <v>674</v>
      </c>
      <c r="E761" s="36" t="s">
        <v>30</v>
      </c>
      <c r="F761" s="36" t="s">
        <v>569</v>
      </c>
      <c r="G761" s="37" t="s">
        <v>654</v>
      </c>
      <c r="H761" s="36" t="s">
        <v>675</v>
      </c>
      <c r="I761" s="36" t="s">
        <v>676</v>
      </c>
      <c r="J761" s="36">
        <v>2</v>
      </c>
      <c r="K761" s="36" t="s">
        <v>370</v>
      </c>
      <c r="L761" s="36">
        <v>4</v>
      </c>
      <c r="M761" s="36">
        <v>100</v>
      </c>
      <c r="N761" s="38">
        <v>4500</v>
      </c>
      <c r="O761" s="38">
        <v>450000</v>
      </c>
      <c r="P761" s="36">
        <v>1</v>
      </c>
      <c r="Q761" s="40">
        <v>46143</v>
      </c>
      <c r="R761" s="36" t="s">
        <v>657</v>
      </c>
      <c r="S761" s="36" t="s">
        <v>658</v>
      </c>
      <c r="T761" s="36" t="s">
        <v>659</v>
      </c>
      <c r="U761" s="36" t="s">
        <v>660</v>
      </c>
      <c r="V761" s="40">
        <v>46143</v>
      </c>
      <c r="W761" s="36"/>
      <c r="X761" s="36">
        <v>0</v>
      </c>
      <c r="Y761" s="36"/>
      <c r="Z761" s="36">
        <v>0</v>
      </c>
      <c r="AA761" s="36">
        <v>0</v>
      </c>
      <c r="AB761" s="36"/>
      <c r="AC761" s="36" t="str">
        <f t="shared" si="0"/>
        <v>PC26</v>
      </c>
      <c r="AD761" s="36" t="str">
        <f>VLOOKUP(D761,Oficial!A:C,3,0)</f>
        <v>Bienes y Servicios</v>
      </c>
    </row>
    <row r="762" spans="1:30" x14ac:dyDescent="0.25">
      <c r="A762" s="36" t="s">
        <v>27</v>
      </c>
      <c r="B762" s="36" t="s">
        <v>674</v>
      </c>
      <c r="C762" s="36" t="s">
        <v>28</v>
      </c>
      <c r="D762" s="36" t="s">
        <v>674</v>
      </c>
      <c r="E762" s="36" t="s">
        <v>30</v>
      </c>
      <c r="F762" s="36" t="s">
        <v>569</v>
      </c>
      <c r="G762" s="37" t="s">
        <v>654</v>
      </c>
      <c r="H762" s="36" t="s">
        <v>675</v>
      </c>
      <c r="I762" s="36" t="s">
        <v>676</v>
      </c>
      <c r="J762" s="36">
        <v>2</v>
      </c>
      <c r="K762" s="36" t="s">
        <v>370</v>
      </c>
      <c r="L762" s="36">
        <v>4</v>
      </c>
      <c r="M762" s="36">
        <v>100</v>
      </c>
      <c r="N762" s="38">
        <v>4500</v>
      </c>
      <c r="O762" s="38">
        <v>450000</v>
      </c>
      <c r="P762" s="36">
        <v>1</v>
      </c>
      <c r="Q762" s="40">
        <v>46143</v>
      </c>
      <c r="R762" s="36" t="s">
        <v>657</v>
      </c>
      <c r="S762" s="36" t="s">
        <v>658</v>
      </c>
      <c r="T762" s="36" t="s">
        <v>659</v>
      </c>
      <c r="U762" s="36" t="s">
        <v>660</v>
      </c>
      <c r="V762" s="40">
        <v>46327</v>
      </c>
      <c r="W762" s="36"/>
      <c r="X762" s="36">
        <v>0</v>
      </c>
      <c r="Y762" s="36"/>
      <c r="Z762" s="36">
        <v>0</v>
      </c>
      <c r="AA762" s="36">
        <v>0</v>
      </c>
      <c r="AB762" s="36"/>
      <c r="AC762" s="36" t="str">
        <f t="shared" si="0"/>
        <v>PC26</v>
      </c>
      <c r="AD762" s="36" t="str">
        <f>VLOOKUP(D762,Oficial!A:C,3,0)</f>
        <v>Bienes y Servicios</v>
      </c>
    </row>
    <row r="763" spans="1:30" x14ac:dyDescent="0.25">
      <c r="A763" s="36" t="s">
        <v>27</v>
      </c>
      <c r="B763" s="36" t="s">
        <v>677</v>
      </c>
      <c r="C763" s="36" t="s">
        <v>28</v>
      </c>
      <c r="D763" s="36" t="s">
        <v>677</v>
      </c>
      <c r="E763" s="36" t="s">
        <v>30</v>
      </c>
      <c r="F763" s="36" t="s">
        <v>569</v>
      </c>
      <c r="G763" s="37" t="s">
        <v>654</v>
      </c>
      <c r="H763" s="36" t="s">
        <v>678</v>
      </c>
      <c r="I763" s="36" t="s">
        <v>679</v>
      </c>
      <c r="J763" s="36">
        <v>1</v>
      </c>
      <c r="K763" s="36" t="s">
        <v>370</v>
      </c>
      <c r="L763" s="36">
        <v>4</v>
      </c>
      <c r="M763" s="36">
        <v>140</v>
      </c>
      <c r="N763" s="38">
        <v>4500</v>
      </c>
      <c r="O763" s="38">
        <v>630000</v>
      </c>
      <c r="P763" s="36">
        <v>1</v>
      </c>
      <c r="Q763" s="40">
        <v>46174</v>
      </c>
      <c r="R763" s="36" t="s">
        <v>657</v>
      </c>
      <c r="S763" s="36" t="s">
        <v>658</v>
      </c>
      <c r="T763" s="36" t="s">
        <v>659</v>
      </c>
      <c r="U763" s="36" t="s">
        <v>660</v>
      </c>
      <c r="V763" s="40">
        <v>46174</v>
      </c>
      <c r="W763" s="36"/>
      <c r="X763" s="36">
        <v>0</v>
      </c>
      <c r="Y763" s="36"/>
      <c r="Z763" s="36">
        <v>0</v>
      </c>
      <c r="AA763" s="36">
        <v>0</v>
      </c>
      <c r="AB763" s="36"/>
      <c r="AC763" s="36" t="str">
        <f t="shared" si="0"/>
        <v>PC26</v>
      </c>
      <c r="AD763" s="36" t="str">
        <f>VLOOKUP(D763,Oficial!A:C,3,0)</f>
        <v>Bienes y Servicios</v>
      </c>
    </row>
    <row r="764" spans="1:30" x14ac:dyDescent="0.25">
      <c r="A764" s="36" t="s">
        <v>27</v>
      </c>
      <c r="B764" s="36" t="s">
        <v>680</v>
      </c>
      <c r="C764" s="36" t="s">
        <v>28</v>
      </c>
      <c r="D764" s="36" t="s">
        <v>680</v>
      </c>
      <c r="E764" s="36" t="s">
        <v>30</v>
      </c>
      <c r="F764" s="36" t="s">
        <v>569</v>
      </c>
      <c r="G764" s="37" t="s">
        <v>654</v>
      </c>
      <c r="H764" s="36" t="s">
        <v>681</v>
      </c>
      <c r="I764" s="36" t="s">
        <v>682</v>
      </c>
      <c r="J764" s="36">
        <v>1</v>
      </c>
      <c r="K764" s="36" t="s">
        <v>370</v>
      </c>
      <c r="L764" s="36">
        <v>4</v>
      </c>
      <c r="M764" s="36">
        <v>30</v>
      </c>
      <c r="N764" s="38">
        <v>4500</v>
      </c>
      <c r="O764" s="38">
        <v>135000</v>
      </c>
      <c r="P764" s="36">
        <v>1</v>
      </c>
      <c r="Q764" s="40">
        <v>46235</v>
      </c>
      <c r="R764" s="36" t="s">
        <v>657</v>
      </c>
      <c r="S764" s="36" t="s">
        <v>658</v>
      </c>
      <c r="T764" s="36" t="s">
        <v>659</v>
      </c>
      <c r="U764" s="36" t="s">
        <v>660</v>
      </c>
      <c r="V764" s="40">
        <v>46235</v>
      </c>
      <c r="W764" s="36"/>
      <c r="X764" s="36">
        <v>0</v>
      </c>
      <c r="Y764" s="36"/>
      <c r="Z764" s="36">
        <v>0</v>
      </c>
      <c r="AA764" s="36">
        <v>0</v>
      </c>
      <c r="AB764" s="36"/>
      <c r="AC764" s="36" t="str">
        <f t="shared" si="0"/>
        <v>PC26</v>
      </c>
      <c r="AD764" s="36" t="str">
        <f>VLOOKUP(D764,Oficial!A:C,3,0)</f>
        <v>Bienes y Servicios</v>
      </c>
    </row>
    <row r="765" spans="1:30" x14ac:dyDescent="0.25">
      <c r="A765" s="36" t="s">
        <v>27</v>
      </c>
      <c r="B765" s="36" t="s">
        <v>683</v>
      </c>
      <c r="C765" s="36" t="s">
        <v>374</v>
      </c>
      <c r="D765" s="36" t="s">
        <v>683</v>
      </c>
      <c r="E765" s="36" t="s">
        <v>30</v>
      </c>
      <c r="F765" s="36" t="s">
        <v>569</v>
      </c>
      <c r="G765" s="37" t="s">
        <v>654</v>
      </c>
      <c r="H765" s="36" t="s">
        <v>684</v>
      </c>
      <c r="I765" s="36" t="s">
        <v>685</v>
      </c>
      <c r="J765" s="36">
        <v>1</v>
      </c>
      <c r="K765" s="36" t="s">
        <v>370</v>
      </c>
      <c r="L765" s="36">
        <v>4</v>
      </c>
      <c r="M765" s="36">
        <v>50</v>
      </c>
      <c r="N765" s="38">
        <v>4500</v>
      </c>
      <c r="O765" s="38">
        <v>225000</v>
      </c>
      <c r="P765" s="36">
        <v>1</v>
      </c>
      <c r="Q765" s="40">
        <v>46235</v>
      </c>
      <c r="R765" s="36" t="s">
        <v>657</v>
      </c>
      <c r="S765" s="36" t="s">
        <v>658</v>
      </c>
      <c r="T765" s="36" t="s">
        <v>659</v>
      </c>
      <c r="U765" s="36" t="s">
        <v>660</v>
      </c>
      <c r="V765" s="40">
        <v>46235</v>
      </c>
      <c r="W765" s="36"/>
      <c r="X765" s="36">
        <v>0</v>
      </c>
      <c r="Y765" s="36"/>
      <c r="Z765" s="36">
        <v>0</v>
      </c>
      <c r="AA765" s="36">
        <v>0</v>
      </c>
      <c r="AB765" s="36"/>
      <c r="AC765" s="36" t="str">
        <f t="shared" si="0"/>
        <v>PC26</v>
      </c>
      <c r="AD765" s="36" t="str">
        <f>VLOOKUP(D765,Oficial!A:C,3,0)</f>
        <v>Administración de Fondos</v>
      </c>
    </row>
    <row r="766" spans="1:30" x14ac:dyDescent="0.25">
      <c r="A766" s="36" t="s">
        <v>27</v>
      </c>
      <c r="B766" s="36" t="s">
        <v>686</v>
      </c>
      <c r="C766" s="36" t="s">
        <v>28</v>
      </c>
      <c r="D766" s="36" t="s">
        <v>686</v>
      </c>
      <c r="E766" s="36" t="s">
        <v>30</v>
      </c>
      <c r="F766" s="36" t="s">
        <v>569</v>
      </c>
      <c r="G766" s="37" t="s">
        <v>223</v>
      </c>
      <c r="H766" s="36" t="s">
        <v>687</v>
      </c>
      <c r="I766" s="36" t="s">
        <v>688</v>
      </c>
      <c r="J766" s="36">
        <v>3</v>
      </c>
      <c r="K766" s="36" t="s">
        <v>689</v>
      </c>
      <c r="L766" s="36">
        <v>4</v>
      </c>
      <c r="M766" s="36">
        <v>6</v>
      </c>
      <c r="N766" s="38">
        <v>12957500</v>
      </c>
      <c r="O766" s="38">
        <v>64787500</v>
      </c>
      <c r="P766" s="36">
        <v>12</v>
      </c>
      <c r="Q766" s="36" t="s">
        <v>690</v>
      </c>
      <c r="R766" s="36" t="s">
        <v>227</v>
      </c>
      <c r="S766" s="36" t="s">
        <v>691</v>
      </c>
      <c r="T766" s="36" t="s">
        <v>229</v>
      </c>
      <c r="U766" s="36" t="s">
        <v>230</v>
      </c>
      <c r="V766" s="40">
        <v>46082</v>
      </c>
      <c r="W766" s="36"/>
      <c r="X766" s="36">
        <v>0</v>
      </c>
      <c r="Y766" s="36"/>
      <c r="Z766" s="36">
        <v>0</v>
      </c>
      <c r="AA766" s="36">
        <v>0</v>
      </c>
      <c r="AB766" s="36"/>
      <c r="AC766" s="36" t="str">
        <f t="shared" si="0"/>
        <v>PC26</v>
      </c>
      <c r="AD766" s="36" t="str">
        <f>VLOOKUP(D766,Oficial!A:C,3,0)</f>
        <v>Bienes y Servicios</v>
      </c>
    </row>
    <row r="767" spans="1:30" x14ac:dyDescent="0.25">
      <c r="A767" s="36" t="s">
        <v>27</v>
      </c>
      <c r="B767" s="36" t="s">
        <v>686</v>
      </c>
      <c r="C767" s="36" t="s">
        <v>28</v>
      </c>
      <c r="D767" s="36" t="s">
        <v>686</v>
      </c>
      <c r="E767" s="36" t="s">
        <v>30</v>
      </c>
      <c r="F767" s="36" t="s">
        <v>569</v>
      </c>
      <c r="G767" s="37" t="s">
        <v>223</v>
      </c>
      <c r="H767" s="36" t="s">
        <v>687</v>
      </c>
      <c r="I767" s="36" t="s">
        <v>688</v>
      </c>
      <c r="J767" s="36">
        <v>3</v>
      </c>
      <c r="K767" s="36" t="s">
        <v>692</v>
      </c>
      <c r="L767" s="36">
        <v>4</v>
      </c>
      <c r="M767" s="36">
        <v>1</v>
      </c>
      <c r="N767" s="38">
        <v>19762925</v>
      </c>
      <c r="O767" s="38">
        <v>16469109</v>
      </c>
      <c r="P767" s="36">
        <v>12</v>
      </c>
      <c r="Q767" s="36" t="s">
        <v>690</v>
      </c>
      <c r="R767" s="36" t="s">
        <v>227</v>
      </c>
      <c r="S767" s="36" t="s">
        <v>691</v>
      </c>
      <c r="T767" s="36" t="s">
        <v>229</v>
      </c>
      <c r="U767" s="36" t="s">
        <v>230</v>
      </c>
      <c r="V767" s="40">
        <v>46082</v>
      </c>
      <c r="W767" s="36"/>
      <c r="X767" s="36">
        <v>0</v>
      </c>
      <c r="Y767" s="36"/>
      <c r="Z767" s="36">
        <v>0</v>
      </c>
      <c r="AA767" s="36">
        <v>0</v>
      </c>
      <c r="AB767" s="36"/>
      <c r="AC767" s="36" t="str">
        <f t="shared" si="0"/>
        <v>PC26</v>
      </c>
      <c r="AD767" s="36" t="str">
        <f>VLOOKUP(D767,Oficial!A:C,3,0)</f>
        <v>Bienes y Servicios</v>
      </c>
    </row>
    <row r="768" spans="1:30" x14ac:dyDescent="0.25">
      <c r="A768" s="36" t="s">
        <v>27</v>
      </c>
      <c r="B768" s="36" t="s">
        <v>686</v>
      </c>
      <c r="C768" s="36" t="s">
        <v>28</v>
      </c>
      <c r="D768" s="36" t="s">
        <v>686</v>
      </c>
      <c r="E768" s="36" t="s">
        <v>30</v>
      </c>
      <c r="F768" s="36" t="s">
        <v>569</v>
      </c>
      <c r="G768" s="37" t="s">
        <v>223</v>
      </c>
      <c r="H768" s="36" t="s">
        <v>687</v>
      </c>
      <c r="I768" s="36" t="s">
        <v>688</v>
      </c>
      <c r="J768" s="36">
        <v>3</v>
      </c>
      <c r="K768" s="36" t="s">
        <v>692</v>
      </c>
      <c r="L768" s="36">
        <v>4</v>
      </c>
      <c r="M768" s="36">
        <v>1</v>
      </c>
      <c r="N768" s="38">
        <v>23924290</v>
      </c>
      <c r="O768" s="38">
        <v>19936910</v>
      </c>
      <c r="P768" s="36">
        <v>12</v>
      </c>
      <c r="Q768" s="36" t="s">
        <v>690</v>
      </c>
      <c r="R768" s="36" t="s">
        <v>227</v>
      </c>
      <c r="S768" s="36" t="s">
        <v>691</v>
      </c>
      <c r="T768" s="36" t="s">
        <v>229</v>
      </c>
      <c r="U768" s="36" t="s">
        <v>230</v>
      </c>
      <c r="V768" s="40">
        <v>46082</v>
      </c>
      <c r="W768" s="36"/>
      <c r="X768" s="36">
        <v>0</v>
      </c>
      <c r="Y768" s="36"/>
      <c r="Z768" s="36">
        <v>0</v>
      </c>
      <c r="AA768" s="36">
        <v>0</v>
      </c>
      <c r="AB768" s="36"/>
      <c r="AC768" s="36" t="str">
        <f t="shared" si="0"/>
        <v>PC26</v>
      </c>
      <c r="AD768" s="36" t="str">
        <f>VLOOKUP(D768,Oficial!A:C,3,0)</f>
        <v>Bienes y Servicios</v>
      </c>
    </row>
    <row r="769" spans="1:30" x14ac:dyDescent="0.25">
      <c r="A769" s="36" t="s">
        <v>27</v>
      </c>
      <c r="B769" s="36" t="s">
        <v>693</v>
      </c>
      <c r="C769" s="36" t="s">
        <v>374</v>
      </c>
      <c r="D769" s="36" t="s">
        <v>693</v>
      </c>
      <c r="E769" s="36" t="s">
        <v>30</v>
      </c>
      <c r="F769" s="36" t="s">
        <v>569</v>
      </c>
      <c r="G769" s="37" t="s">
        <v>483</v>
      </c>
      <c r="H769" s="36" t="s">
        <v>694</v>
      </c>
      <c r="I769" s="36" t="s">
        <v>695</v>
      </c>
      <c r="J769" s="36">
        <v>1</v>
      </c>
      <c r="K769" s="36" t="s">
        <v>486</v>
      </c>
      <c r="L769" s="36">
        <v>4</v>
      </c>
      <c r="M769" s="36">
        <v>20</v>
      </c>
      <c r="N769" s="38">
        <v>13000</v>
      </c>
      <c r="O769" s="38">
        <v>260000</v>
      </c>
      <c r="P769" s="36">
        <v>1</v>
      </c>
      <c r="Q769" s="40">
        <v>46054</v>
      </c>
      <c r="R769" s="36" t="s">
        <v>657</v>
      </c>
      <c r="S769" s="36" t="s">
        <v>658</v>
      </c>
      <c r="T769" s="36" t="s">
        <v>659</v>
      </c>
      <c r="U769" s="36" t="s">
        <v>660</v>
      </c>
      <c r="V769" s="40">
        <v>46054</v>
      </c>
      <c r="W769" s="36"/>
      <c r="X769" s="36">
        <v>0</v>
      </c>
      <c r="Y769" s="36"/>
      <c r="Z769" s="36">
        <v>0</v>
      </c>
      <c r="AA769" s="36">
        <v>0</v>
      </c>
      <c r="AB769" s="36"/>
      <c r="AC769" s="36" t="str">
        <f t="shared" si="0"/>
        <v>PC26</v>
      </c>
      <c r="AD769" s="36" t="str">
        <f>VLOOKUP(D769,Oficial!A:C,3,0)</f>
        <v>Administración de Fondos</v>
      </c>
    </row>
    <row r="770" spans="1:30" x14ac:dyDescent="0.25">
      <c r="A770" s="36" t="s">
        <v>27</v>
      </c>
      <c r="B770" s="36" t="s">
        <v>696</v>
      </c>
      <c r="C770" s="36" t="s">
        <v>28</v>
      </c>
      <c r="D770" s="36" t="s">
        <v>696</v>
      </c>
      <c r="E770" s="36" t="s">
        <v>30</v>
      </c>
      <c r="F770" s="36" t="s">
        <v>569</v>
      </c>
      <c r="G770" s="37" t="s">
        <v>654</v>
      </c>
      <c r="H770" s="36" t="s">
        <v>697</v>
      </c>
      <c r="I770" s="36" t="s">
        <v>698</v>
      </c>
      <c r="J770" s="36">
        <v>1</v>
      </c>
      <c r="K770" s="36" t="s">
        <v>370</v>
      </c>
      <c r="L770" s="36">
        <v>4</v>
      </c>
      <c r="M770" s="36">
        <v>150</v>
      </c>
      <c r="N770" s="38">
        <v>4500</v>
      </c>
      <c r="O770" s="38">
        <v>675000</v>
      </c>
      <c r="P770" s="36">
        <v>1</v>
      </c>
      <c r="Q770" s="40">
        <v>46143</v>
      </c>
      <c r="R770" s="36" t="s">
        <v>657</v>
      </c>
      <c r="S770" s="36" t="s">
        <v>658</v>
      </c>
      <c r="T770" s="36" t="s">
        <v>659</v>
      </c>
      <c r="U770" s="36" t="s">
        <v>660</v>
      </c>
      <c r="V770" s="40">
        <v>46143</v>
      </c>
      <c r="W770" s="36"/>
      <c r="X770" s="36">
        <v>0</v>
      </c>
      <c r="Y770" s="36"/>
      <c r="Z770" s="36">
        <v>0</v>
      </c>
      <c r="AA770" s="36">
        <v>0</v>
      </c>
      <c r="AB770" s="36"/>
      <c r="AC770" s="36" t="str">
        <f t="shared" si="0"/>
        <v>PC26</v>
      </c>
      <c r="AD770" s="36" t="str">
        <f>VLOOKUP(D770,Oficial!A:C,3,0)</f>
        <v>Bienes y Servicios</v>
      </c>
    </row>
    <row r="771" spans="1:30" x14ac:dyDescent="0.25">
      <c r="A771" s="36" t="s">
        <v>27</v>
      </c>
      <c r="B771" s="36" t="s">
        <v>699</v>
      </c>
      <c r="C771" s="36" t="s">
        <v>374</v>
      </c>
      <c r="D771" s="36" t="s">
        <v>699</v>
      </c>
      <c r="E771" s="36" t="s">
        <v>30</v>
      </c>
      <c r="F771" s="36" t="s">
        <v>569</v>
      </c>
      <c r="G771" s="37" t="s">
        <v>654</v>
      </c>
      <c r="H771" s="36" t="s">
        <v>700</v>
      </c>
      <c r="I771" s="36" t="s">
        <v>701</v>
      </c>
      <c r="J771" s="36">
        <v>2</v>
      </c>
      <c r="K771" s="36" t="s">
        <v>370</v>
      </c>
      <c r="L771" s="36">
        <v>4</v>
      </c>
      <c r="M771" s="36">
        <v>100</v>
      </c>
      <c r="N771" s="38">
        <v>4500</v>
      </c>
      <c r="O771" s="38">
        <v>450000</v>
      </c>
      <c r="P771" s="36">
        <v>1</v>
      </c>
      <c r="Q771" s="40">
        <v>46174</v>
      </c>
      <c r="R771" s="36" t="s">
        <v>657</v>
      </c>
      <c r="S771" s="36" t="s">
        <v>658</v>
      </c>
      <c r="T771" s="36" t="s">
        <v>659</v>
      </c>
      <c r="U771" s="36" t="s">
        <v>660</v>
      </c>
      <c r="V771" s="40">
        <v>46174</v>
      </c>
      <c r="W771" s="36"/>
      <c r="X771" s="36">
        <v>0</v>
      </c>
      <c r="Y771" s="36"/>
      <c r="Z771" s="36">
        <v>0</v>
      </c>
      <c r="AA771" s="36">
        <v>0</v>
      </c>
      <c r="AB771" s="36"/>
      <c r="AC771" s="36" t="str">
        <f t="shared" si="0"/>
        <v>PC26</v>
      </c>
      <c r="AD771" s="36" t="str">
        <f>VLOOKUP(D771,Oficial!A:C,3,0)</f>
        <v>Administración de Fondos</v>
      </c>
    </row>
    <row r="772" spans="1:30" x14ac:dyDescent="0.25">
      <c r="A772" s="36" t="s">
        <v>27</v>
      </c>
      <c r="B772" s="36" t="s">
        <v>699</v>
      </c>
      <c r="C772" s="36" t="s">
        <v>374</v>
      </c>
      <c r="D772" s="36" t="s">
        <v>699</v>
      </c>
      <c r="E772" s="36" t="s">
        <v>30</v>
      </c>
      <c r="F772" s="36" t="s">
        <v>569</v>
      </c>
      <c r="G772" s="37" t="s">
        <v>654</v>
      </c>
      <c r="H772" s="36" t="s">
        <v>700</v>
      </c>
      <c r="I772" s="36" t="s">
        <v>701</v>
      </c>
      <c r="J772" s="36">
        <v>2</v>
      </c>
      <c r="K772" s="36" t="s">
        <v>370</v>
      </c>
      <c r="L772" s="36">
        <v>4</v>
      </c>
      <c r="M772" s="36">
        <v>100</v>
      </c>
      <c r="N772" s="38">
        <v>4500</v>
      </c>
      <c r="O772" s="38">
        <v>450000</v>
      </c>
      <c r="P772" s="36">
        <v>1</v>
      </c>
      <c r="Q772" s="40">
        <v>46357</v>
      </c>
      <c r="R772" s="36" t="s">
        <v>657</v>
      </c>
      <c r="S772" s="36" t="s">
        <v>658</v>
      </c>
      <c r="T772" s="36" t="s">
        <v>659</v>
      </c>
      <c r="U772" s="36" t="s">
        <v>660</v>
      </c>
      <c r="V772" s="40">
        <v>46357</v>
      </c>
      <c r="W772" s="36"/>
      <c r="X772" s="36">
        <v>0</v>
      </c>
      <c r="Y772" s="36"/>
      <c r="Z772" s="36">
        <v>0</v>
      </c>
      <c r="AA772" s="36">
        <v>0</v>
      </c>
      <c r="AB772" s="36"/>
      <c r="AC772" s="36" t="str">
        <f t="shared" si="0"/>
        <v>PC26</v>
      </c>
      <c r="AD772" s="36" t="str">
        <f>VLOOKUP(D772,Oficial!A:C,3,0)</f>
        <v>Administración de Fondos</v>
      </c>
    </row>
    <row r="773" spans="1:30" x14ac:dyDescent="0.25">
      <c r="A773" s="36" t="s">
        <v>27</v>
      </c>
      <c r="B773" s="36" t="s">
        <v>702</v>
      </c>
      <c r="C773" s="36" t="s">
        <v>374</v>
      </c>
      <c r="D773" s="36" t="s">
        <v>702</v>
      </c>
      <c r="E773" s="36" t="s">
        <v>30</v>
      </c>
      <c r="F773" s="36" t="s">
        <v>569</v>
      </c>
      <c r="G773" s="37" t="s">
        <v>654</v>
      </c>
      <c r="H773" s="36" t="s">
        <v>703</v>
      </c>
      <c r="I773" s="36" t="s">
        <v>704</v>
      </c>
      <c r="J773" s="36">
        <v>1</v>
      </c>
      <c r="K773" s="36" t="s">
        <v>705</v>
      </c>
      <c r="L773" s="36">
        <v>4</v>
      </c>
      <c r="M773" s="36">
        <v>100</v>
      </c>
      <c r="N773" s="38">
        <v>6250</v>
      </c>
      <c r="O773" s="38">
        <v>625000</v>
      </c>
      <c r="P773" s="36">
        <v>1</v>
      </c>
      <c r="Q773" s="40">
        <v>46266</v>
      </c>
      <c r="R773" s="36" t="s">
        <v>657</v>
      </c>
      <c r="S773" s="36" t="s">
        <v>658</v>
      </c>
      <c r="T773" s="36" t="s">
        <v>659</v>
      </c>
      <c r="U773" s="36" t="s">
        <v>660</v>
      </c>
      <c r="V773" s="40">
        <v>46266</v>
      </c>
      <c r="W773" s="36"/>
      <c r="X773" s="36">
        <v>0</v>
      </c>
      <c r="Y773" s="36"/>
      <c r="Z773" s="36">
        <v>0</v>
      </c>
      <c r="AA773" s="36">
        <v>0</v>
      </c>
      <c r="AB773" s="36"/>
      <c r="AC773" s="36" t="str">
        <f t="shared" si="0"/>
        <v>PC26</v>
      </c>
      <c r="AD773" s="36" t="str">
        <f>VLOOKUP(D773,Oficial!A:C,3,0)</f>
        <v>Administración de Fondos</v>
      </c>
    </row>
    <row r="774" spans="1:30" x14ac:dyDescent="0.25">
      <c r="A774" s="36" t="s">
        <v>27</v>
      </c>
      <c r="B774" s="36" t="s">
        <v>706</v>
      </c>
      <c r="C774" s="36" t="s">
        <v>28</v>
      </c>
      <c r="D774" s="36" t="s">
        <v>706</v>
      </c>
      <c r="E774" s="36" t="s">
        <v>30</v>
      </c>
      <c r="F774" s="36" t="s">
        <v>569</v>
      </c>
      <c r="G774" s="37" t="s">
        <v>483</v>
      </c>
      <c r="H774" s="36" t="s">
        <v>707</v>
      </c>
      <c r="I774" s="36" t="s">
        <v>708</v>
      </c>
      <c r="J774" s="36">
        <v>1</v>
      </c>
      <c r="K774" s="36" t="s">
        <v>486</v>
      </c>
      <c r="L774" s="36">
        <v>4</v>
      </c>
      <c r="M774" s="36">
        <v>100</v>
      </c>
      <c r="N774" s="38">
        <v>1900</v>
      </c>
      <c r="O774" s="38">
        <v>190000</v>
      </c>
      <c r="P774" s="36">
        <v>1</v>
      </c>
      <c r="Q774" s="40">
        <v>46082</v>
      </c>
      <c r="R774" s="36" t="s">
        <v>590</v>
      </c>
      <c r="S774" s="36" t="s">
        <v>591</v>
      </c>
      <c r="T774" s="36" t="s">
        <v>592</v>
      </c>
      <c r="U774" s="36" t="s">
        <v>593</v>
      </c>
      <c r="V774" s="40">
        <v>46082</v>
      </c>
      <c r="W774" s="36"/>
      <c r="X774" s="36">
        <v>0</v>
      </c>
      <c r="Y774" s="36"/>
      <c r="Z774" s="36">
        <v>0</v>
      </c>
      <c r="AA774" s="36">
        <v>0</v>
      </c>
      <c r="AB774" s="36"/>
      <c r="AC774" s="36" t="str">
        <f t="shared" si="0"/>
        <v>PC26</v>
      </c>
      <c r="AD774" s="36" t="str">
        <f>VLOOKUP(D774,Oficial!A:C,3,0)</f>
        <v>Bienes y Servicios</v>
      </c>
    </row>
    <row r="775" spans="1:30" x14ac:dyDescent="0.25">
      <c r="A775" s="36" t="s">
        <v>27</v>
      </c>
      <c r="B775" s="36" t="s">
        <v>709</v>
      </c>
      <c r="C775" s="36" t="s">
        <v>374</v>
      </c>
      <c r="D775" s="36" t="s">
        <v>709</v>
      </c>
      <c r="E775" s="36" t="s">
        <v>30</v>
      </c>
      <c r="F775" s="36" t="s">
        <v>569</v>
      </c>
      <c r="G775" s="37" t="s">
        <v>483</v>
      </c>
      <c r="H775" s="36" t="s">
        <v>710</v>
      </c>
      <c r="I775" s="36" t="s">
        <v>711</v>
      </c>
      <c r="J775" s="36">
        <v>1</v>
      </c>
      <c r="K775" s="36" t="s">
        <v>712</v>
      </c>
      <c r="L775" s="36">
        <v>4</v>
      </c>
      <c r="M775" s="36">
        <v>5</v>
      </c>
      <c r="N775" s="38">
        <v>30000</v>
      </c>
      <c r="O775" s="38">
        <v>150000</v>
      </c>
      <c r="P775" s="36">
        <v>1</v>
      </c>
      <c r="Q775" s="40">
        <v>46082</v>
      </c>
      <c r="R775" s="36" t="s">
        <v>590</v>
      </c>
      <c r="S775" s="36" t="s">
        <v>591</v>
      </c>
      <c r="T775" s="36" t="s">
        <v>592</v>
      </c>
      <c r="U775" s="36" t="s">
        <v>593</v>
      </c>
      <c r="V775" s="40">
        <v>46082</v>
      </c>
      <c r="W775" s="36"/>
      <c r="X775" s="36">
        <v>0</v>
      </c>
      <c r="Y775" s="36"/>
      <c r="Z775" s="36">
        <v>0</v>
      </c>
      <c r="AA775" s="36">
        <v>0</v>
      </c>
      <c r="AB775" s="36"/>
      <c r="AC775" s="36" t="str">
        <f t="shared" si="0"/>
        <v>PC26</v>
      </c>
      <c r="AD775" s="36" t="str">
        <f>VLOOKUP(D775,Oficial!A:C,3,0)</f>
        <v>Administración de Fondos</v>
      </c>
    </row>
    <row r="776" spans="1:30" x14ac:dyDescent="0.25">
      <c r="A776" s="36" t="s">
        <v>27</v>
      </c>
      <c r="B776" s="36" t="s">
        <v>713</v>
      </c>
      <c r="C776" s="36" t="s">
        <v>28</v>
      </c>
      <c r="D776" s="36" t="s">
        <v>713</v>
      </c>
      <c r="E776" s="36" t="s">
        <v>30</v>
      </c>
      <c r="F776" s="36" t="s">
        <v>569</v>
      </c>
      <c r="G776" s="37" t="s">
        <v>223</v>
      </c>
      <c r="H776" s="36" t="s">
        <v>714</v>
      </c>
      <c r="I776" s="36" t="s">
        <v>715</v>
      </c>
      <c r="J776" s="36">
        <v>1</v>
      </c>
      <c r="K776" s="36" t="s">
        <v>716</v>
      </c>
      <c r="L776" s="36">
        <v>4</v>
      </c>
      <c r="M776" s="36">
        <v>3</v>
      </c>
      <c r="N776" s="38">
        <v>39586574</v>
      </c>
      <c r="O776" s="38">
        <v>49483210</v>
      </c>
      <c r="P776" s="36">
        <v>24</v>
      </c>
      <c r="Q776" s="36" t="s">
        <v>717</v>
      </c>
      <c r="R776" s="36" t="s">
        <v>227</v>
      </c>
      <c r="S776" s="36" t="s">
        <v>691</v>
      </c>
      <c r="T776" s="36" t="s">
        <v>229</v>
      </c>
      <c r="U776" s="36" t="s">
        <v>230</v>
      </c>
      <c r="V776" s="40">
        <v>46082</v>
      </c>
      <c r="W776" s="36"/>
      <c r="X776" s="36">
        <v>0</v>
      </c>
      <c r="Y776" s="36"/>
      <c r="Z776" s="36">
        <v>0</v>
      </c>
      <c r="AA776" s="36">
        <v>0</v>
      </c>
      <c r="AB776" s="36"/>
      <c r="AC776" s="36" t="str">
        <f t="shared" si="0"/>
        <v>PC26</v>
      </c>
      <c r="AD776" s="36" t="str">
        <f>VLOOKUP(D776,Oficial!A:C,3,0)</f>
        <v>Bienes y Servicios</v>
      </c>
    </row>
    <row r="777" spans="1:30" x14ac:dyDescent="0.25">
      <c r="A777" s="36" t="s">
        <v>27</v>
      </c>
      <c r="B777" s="36" t="s">
        <v>718</v>
      </c>
      <c r="C777" s="36" t="s">
        <v>28</v>
      </c>
      <c r="D777" s="36" t="s">
        <v>718</v>
      </c>
      <c r="E777" s="36" t="s">
        <v>30</v>
      </c>
      <c r="F777" s="36" t="s">
        <v>569</v>
      </c>
      <c r="G777" s="37" t="s">
        <v>483</v>
      </c>
      <c r="H777" s="36" t="s">
        <v>719</v>
      </c>
      <c r="I777" s="36" t="s">
        <v>720</v>
      </c>
      <c r="J777" s="36">
        <v>1</v>
      </c>
      <c r="K777" s="36" t="s">
        <v>631</v>
      </c>
      <c r="L777" s="36">
        <v>4</v>
      </c>
      <c r="M777" s="36">
        <v>70</v>
      </c>
      <c r="N777" s="38">
        <v>6143</v>
      </c>
      <c r="O777" s="38">
        <v>430010</v>
      </c>
      <c r="P777" s="36">
        <v>1</v>
      </c>
      <c r="Q777" s="40">
        <v>46023</v>
      </c>
      <c r="R777" s="36" t="s">
        <v>657</v>
      </c>
      <c r="S777" s="36" t="s">
        <v>658</v>
      </c>
      <c r="T777" s="36" t="s">
        <v>659</v>
      </c>
      <c r="U777" s="36" t="s">
        <v>660</v>
      </c>
      <c r="V777" s="40">
        <v>46023</v>
      </c>
      <c r="W777" s="36"/>
      <c r="X777" s="36">
        <v>0</v>
      </c>
      <c r="Y777" s="36"/>
      <c r="Z777" s="36">
        <v>0</v>
      </c>
      <c r="AA777" s="36">
        <v>0</v>
      </c>
      <c r="AB777" s="36"/>
      <c r="AC777" s="36" t="str">
        <f t="shared" si="0"/>
        <v>PC26</v>
      </c>
      <c r="AD777" s="36" t="str">
        <f>VLOOKUP(D777,Oficial!A:C,3,0)</f>
        <v>Bienes y Servicios</v>
      </c>
    </row>
    <row r="778" spans="1:30" x14ac:dyDescent="0.25">
      <c r="A778" s="36" t="s">
        <v>27</v>
      </c>
      <c r="B778" s="36" t="s">
        <v>721</v>
      </c>
      <c r="C778" s="36" t="s">
        <v>28</v>
      </c>
      <c r="D778" s="36" t="s">
        <v>721</v>
      </c>
      <c r="E778" s="36" t="s">
        <v>30</v>
      </c>
      <c r="F778" s="36" t="s">
        <v>569</v>
      </c>
      <c r="G778" s="37" t="s">
        <v>223</v>
      </c>
      <c r="H778" s="36" t="s">
        <v>722</v>
      </c>
      <c r="I778" s="36" t="s">
        <v>723</v>
      </c>
      <c r="J778" s="36">
        <v>1</v>
      </c>
      <c r="K778" s="36" t="s">
        <v>716</v>
      </c>
      <c r="L778" s="36">
        <v>4</v>
      </c>
      <c r="M778" s="36">
        <v>10</v>
      </c>
      <c r="N778" s="38">
        <v>29722680</v>
      </c>
      <c r="O778" s="38">
        <v>247689000</v>
      </c>
      <c r="P778" s="36">
        <v>12</v>
      </c>
      <c r="Q778" s="36" t="s">
        <v>690</v>
      </c>
      <c r="R778" s="36" t="s">
        <v>227</v>
      </c>
      <c r="S778" s="36" t="s">
        <v>691</v>
      </c>
      <c r="T778" s="36" t="s">
        <v>229</v>
      </c>
      <c r="U778" s="36" t="s">
        <v>230</v>
      </c>
      <c r="V778" s="40">
        <v>46082</v>
      </c>
      <c r="W778" s="36"/>
      <c r="X778" s="36">
        <v>0</v>
      </c>
      <c r="Y778" s="36"/>
      <c r="Z778" s="36">
        <v>0</v>
      </c>
      <c r="AA778" s="36">
        <v>0</v>
      </c>
      <c r="AB778" s="36"/>
      <c r="AC778" s="36" t="str">
        <f t="shared" si="0"/>
        <v>PC26</v>
      </c>
      <c r="AD778" s="36" t="str">
        <f>VLOOKUP(D778,Oficial!A:C,3,0)</f>
        <v>Bienes y Servicios</v>
      </c>
    </row>
    <row r="779" spans="1:30" x14ac:dyDescent="0.25">
      <c r="A779" s="36" t="s">
        <v>27</v>
      </c>
      <c r="B779" s="36" t="s">
        <v>724</v>
      </c>
      <c r="C779" s="36" t="s">
        <v>28</v>
      </c>
      <c r="D779" s="36" t="s">
        <v>724</v>
      </c>
      <c r="E779" s="36" t="s">
        <v>30</v>
      </c>
      <c r="F779" s="36" t="s">
        <v>569</v>
      </c>
      <c r="G779" s="37" t="s">
        <v>725</v>
      </c>
      <c r="H779" s="36" t="s">
        <v>726</v>
      </c>
      <c r="I779" s="36" t="s">
        <v>727</v>
      </c>
      <c r="J779" s="36">
        <v>1</v>
      </c>
      <c r="K779" s="36" t="s">
        <v>728</v>
      </c>
      <c r="L779" s="36">
        <v>4</v>
      </c>
      <c r="M779" s="36">
        <v>338</v>
      </c>
      <c r="N779" s="38">
        <v>2929</v>
      </c>
      <c r="O779" s="38">
        <v>990002</v>
      </c>
      <c r="P779" s="36">
        <v>1</v>
      </c>
      <c r="Q779" s="40">
        <v>46082</v>
      </c>
      <c r="R779" s="36" t="s">
        <v>657</v>
      </c>
      <c r="S779" s="36" t="s">
        <v>658</v>
      </c>
      <c r="T779" s="36" t="s">
        <v>659</v>
      </c>
      <c r="U779" s="36" t="s">
        <v>660</v>
      </c>
      <c r="V779" s="40">
        <v>46082</v>
      </c>
      <c r="W779" s="36"/>
      <c r="X779" s="36">
        <v>0</v>
      </c>
      <c r="Y779" s="36"/>
      <c r="Z779" s="36">
        <v>0</v>
      </c>
      <c r="AA779" s="36">
        <v>0</v>
      </c>
      <c r="AB779" s="36"/>
      <c r="AC779" s="36" t="str">
        <f t="shared" si="0"/>
        <v>PC26</v>
      </c>
      <c r="AD779" s="36" t="str">
        <f>VLOOKUP(D779,Oficial!A:C,3,0)</f>
        <v>Bienes y Servicios</v>
      </c>
    </row>
    <row r="780" spans="1:30" x14ac:dyDescent="0.25">
      <c r="A780" s="36" t="s">
        <v>27</v>
      </c>
      <c r="B780" s="36" t="s">
        <v>729</v>
      </c>
      <c r="C780" s="36" t="s">
        <v>28</v>
      </c>
      <c r="D780" s="36" t="s">
        <v>729</v>
      </c>
      <c r="E780" s="36" t="s">
        <v>30</v>
      </c>
      <c r="F780" s="36" t="s">
        <v>569</v>
      </c>
      <c r="G780" s="37" t="s">
        <v>730</v>
      </c>
      <c r="H780" s="36" t="s">
        <v>731</v>
      </c>
      <c r="I780" s="36" t="s">
        <v>732</v>
      </c>
      <c r="J780" s="36">
        <v>1</v>
      </c>
      <c r="K780" s="36" t="s">
        <v>359</v>
      </c>
      <c r="L780" s="36">
        <v>4</v>
      </c>
      <c r="M780" s="36">
        <v>2107</v>
      </c>
      <c r="N780" s="38">
        <v>642</v>
      </c>
      <c r="O780" s="38">
        <v>1352694</v>
      </c>
      <c r="P780" s="36">
        <v>1</v>
      </c>
      <c r="Q780" s="40">
        <v>46082</v>
      </c>
      <c r="R780" s="36" t="s">
        <v>733</v>
      </c>
      <c r="S780" s="36" t="s">
        <v>734</v>
      </c>
      <c r="T780" s="36" t="s">
        <v>735</v>
      </c>
      <c r="U780" s="36" t="s">
        <v>736</v>
      </c>
      <c r="V780" s="40">
        <v>46082</v>
      </c>
      <c r="W780" s="36"/>
      <c r="X780" s="36">
        <v>0</v>
      </c>
      <c r="Y780" s="36"/>
      <c r="Z780" s="36">
        <v>0</v>
      </c>
      <c r="AA780" s="36">
        <v>0</v>
      </c>
      <c r="AB780" s="36"/>
      <c r="AC780" s="36" t="str">
        <f t="shared" si="0"/>
        <v>PC26</v>
      </c>
      <c r="AD780" s="36" t="str">
        <f>VLOOKUP(D780,Oficial!A:C,3,0)</f>
        <v>Bienes y Servicios</v>
      </c>
    </row>
    <row r="781" spans="1:30" x14ac:dyDescent="0.25">
      <c r="A781" s="36" t="s">
        <v>27</v>
      </c>
      <c r="B781" s="36" t="s">
        <v>737</v>
      </c>
      <c r="C781" s="36" t="s">
        <v>374</v>
      </c>
      <c r="D781" s="36" t="s">
        <v>737</v>
      </c>
      <c r="E781" s="36" t="s">
        <v>30</v>
      </c>
      <c r="F781" s="36" t="s">
        <v>569</v>
      </c>
      <c r="G781" s="37" t="s">
        <v>654</v>
      </c>
      <c r="H781" s="36" t="s">
        <v>738</v>
      </c>
      <c r="I781" s="36" t="s">
        <v>739</v>
      </c>
      <c r="J781" s="36">
        <v>2</v>
      </c>
      <c r="K781" s="36" t="s">
        <v>740</v>
      </c>
      <c r="L781" s="36">
        <v>4</v>
      </c>
      <c r="M781" s="36">
        <v>1200</v>
      </c>
      <c r="N781" s="38">
        <v>1894</v>
      </c>
      <c r="O781" s="38">
        <v>2272800</v>
      </c>
      <c r="P781" s="36">
        <v>1</v>
      </c>
      <c r="Q781" s="40">
        <v>46023</v>
      </c>
      <c r="R781" s="36" t="s">
        <v>657</v>
      </c>
      <c r="S781" s="36" t="s">
        <v>658</v>
      </c>
      <c r="T781" s="36" t="s">
        <v>659</v>
      </c>
      <c r="U781" s="36" t="s">
        <v>660</v>
      </c>
      <c r="V781" s="40">
        <v>46023</v>
      </c>
      <c r="W781" s="36"/>
      <c r="X781" s="36">
        <v>0</v>
      </c>
      <c r="Y781" s="36"/>
      <c r="Z781" s="36">
        <v>0</v>
      </c>
      <c r="AA781" s="36">
        <v>0</v>
      </c>
      <c r="AB781" s="36"/>
      <c r="AC781" s="36" t="str">
        <f t="shared" si="0"/>
        <v>PC26</v>
      </c>
      <c r="AD781" s="36" t="str">
        <f>VLOOKUP(D781,Oficial!A:C,3,0)</f>
        <v>Administración de Fondos</v>
      </c>
    </row>
    <row r="782" spans="1:30" x14ac:dyDescent="0.25">
      <c r="A782" s="36" t="s">
        <v>27</v>
      </c>
      <c r="B782" s="36" t="s">
        <v>737</v>
      </c>
      <c r="C782" s="36" t="s">
        <v>374</v>
      </c>
      <c r="D782" s="36" t="s">
        <v>737</v>
      </c>
      <c r="E782" s="36" t="s">
        <v>30</v>
      </c>
      <c r="F782" s="36" t="s">
        <v>569</v>
      </c>
      <c r="G782" s="37" t="s">
        <v>654</v>
      </c>
      <c r="H782" s="36" t="s">
        <v>738</v>
      </c>
      <c r="I782" s="36" t="s">
        <v>739</v>
      </c>
      <c r="J782" s="36">
        <v>2</v>
      </c>
      <c r="K782" s="36" t="s">
        <v>195</v>
      </c>
      <c r="L782" s="36">
        <v>4</v>
      </c>
      <c r="M782" s="36">
        <v>94</v>
      </c>
      <c r="N782" s="38">
        <v>5320</v>
      </c>
      <c r="O782" s="38">
        <v>500080</v>
      </c>
      <c r="P782" s="36">
        <v>1</v>
      </c>
      <c r="Q782" s="40">
        <v>46023</v>
      </c>
      <c r="R782" s="36" t="s">
        <v>657</v>
      </c>
      <c r="S782" s="36" t="s">
        <v>658</v>
      </c>
      <c r="T782" s="36" t="s">
        <v>659</v>
      </c>
      <c r="U782" s="36" t="s">
        <v>660</v>
      </c>
      <c r="V782" s="40">
        <v>46023</v>
      </c>
      <c r="W782" s="36"/>
      <c r="X782" s="36">
        <v>0</v>
      </c>
      <c r="Y782" s="36"/>
      <c r="Z782" s="36">
        <v>0</v>
      </c>
      <c r="AA782" s="36">
        <v>0</v>
      </c>
      <c r="AB782" s="36"/>
      <c r="AC782" s="36" t="str">
        <f t="shared" si="0"/>
        <v>PC26</v>
      </c>
      <c r="AD782" s="36" t="str">
        <f>VLOOKUP(D782,Oficial!A:C,3,0)</f>
        <v>Administración de Fondos</v>
      </c>
    </row>
    <row r="783" spans="1:30" x14ac:dyDescent="0.25">
      <c r="A783" s="36" t="s">
        <v>27</v>
      </c>
      <c r="B783" s="36" t="s">
        <v>741</v>
      </c>
      <c r="C783" s="36" t="s">
        <v>374</v>
      </c>
      <c r="D783" s="36" t="s">
        <v>741</v>
      </c>
      <c r="E783" s="36" t="s">
        <v>30</v>
      </c>
      <c r="F783" s="36" t="s">
        <v>569</v>
      </c>
      <c r="G783" s="37" t="s">
        <v>483</v>
      </c>
      <c r="H783" s="36" t="s">
        <v>742</v>
      </c>
      <c r="I783" s="36" t="s">
        <v>743</v>
      </c>
      <c r="J783" s="36">
        <v>1</v>
      </c>
      <c r="K783" s="36" t="s">
        <v>486</v>
      </c>
      <c r="L783" s="36">
        <v>4</v>
      </c>
      <c r="M783" s="36">
        <v>311</v>
      </c>
      <c r="N783" s="38">
        <v>4721</v>
      </c>
      <c r="O783" s="38">
        <v>1468231</v>
      </c>
      <c r="P783" s="36">
        <v>1</v>
      </c>
      <c r="Q783" s="40">
        <v>46082</v>
      </c>
      <c r="R783" s="36" t="s">
        <v>657</v>
      </c>
      <c r="S783" s="36" t="s">
        <v>658</v>
      </c>
      <c r="T783" s="36" t="s">
        <v>659</v>
      </c>
      <c r="U783" s="36" t="s">
        <v>660</v>
      </c>
      <c r="V783" s="40">
        <v>46082</v>
      </c>
      <c r="W783" s="36"/>
      <c r="X783" s="36">
        <v>0</v>
      </c>
      <c r="Y783" s="36"/>
      <c r="Z783" s="36">
        <v>0</v>
      </c>
      <c r="AA783" s="36">
        <v>0</v>
      </c>
      <c r="AB783" s="36"/>
      <c r="AC783" s="36" t="str">
        <f t="shared" si="0"/>
        <v>PC26</v>
      </c>
      <c r="AD783" s="36" t="str">
        <f>VLOOKUP(D783,Oficial!A:C,3,0)</f>
        <v>Administración de Fondos</v>
      </c>
    </row>
    <row r="784" spans="1:30" x14ac:dyDescent="0.25">
      <c r="A784" s="36" t="s">
        <v>27</v>
      </c>
      <c r="B784" s="36" t="s">
        <v>744</v>
      </c>
      <c r="C784" s="36" t="s">
        <v>28</v>
      </c>
      <c r="D784" s="36" t="s">
        <v>744</v>
      </c>
      <c r="E784" s="36" t="s">
        <v>30</v>
      </c>
      <c r="F784" s="36" t="s">
        <v>745</v>
      </c>
      <c r="G784" s="37" t="s">
        <v>645</v>
      </c>
      <c r="H784" s="36" t="s">
        <v>746</v>
      </c>
      <c r="I784" s="36" t="s">
        <v>747</v>
      </c>
      <c r="J784" s="36">
        <v>1</v>
      </c>
      <c r="K784" s="36" t="s">
        <v>748</v>
      </c>
      <c r="L784" s="36">
        <v>4</v>
      </c>
      <c r="M784" s="36">
        <v>20</v>
      </c>
      <c r="N784" s="38">
        <v>15000</v>
      </c>
      <c r="O784" s="38">
        <v>300000</v>
      </c>
      <c r="P784" s="36">
        <v>1</v>
      </c>
      <c r="Q784" s="40">
        <v>46023</v>
      </c>
      <c r="R784" s="36" t="s">
        <v>657</v>
      </c>
      <c r="S784" s="36" t="s">
        <v>658</v>
      </c>
      <c r="T784" s="36" t="s">
        <v>659</v>
      </c>
      <c r="U784" s="36" t="s">
        <v>660</v>
      </c>
      <c r="V784" s="40">
        <v>46023</v>
      </c>
      <c r="W784" s="36"/>
      <c r="X784" s="36">
        <v>0</v>
      </c>
      <c r="Y784" s="36"/>
      <c r="Z784" s="36">
        <v>0</v>
      </c>
      <c r="AA784" s="36">
        <v>0</v>
      </c>
      <c r="AB784" s="36"/>
      <c r="AC784" s="36" t="str">
        <f t="shared" si="0"/>
        <v>PC26</v>
      </c>
      <c r="AD784" s="36" t="str">
        <f>VLOOKUP(D784,Oficial!A:C,3,0)</f>
        <v>Bienes y Servicios</v>
      </c>
    </row>
    <row r="785" spans="1:30" x14ac:dyDescent="0.25">
      <c r="A785" s="36" t="s">
        <v>27</v>
      </c>
      <c r="B785" s="36" t="s">
        <v>749</v>
      </c>
      <c r="C785" s="36" t="s">
        <v>374</v>
      </c>
      <c r="D785" s="36" t="s">
        <v>749</v>
      </c>
      <c r="E785" s="36" t="s">
        <v>30</v>
      </c>
      <c r="F785" s="36" t="s">
        <v>745</v>
      </c>
      <c r="G785" s="37" t="s">
        <v>633</v>
      </c>
      <c r="H785" s="36" t="s">
        <v>750</v>
      </c>
      <c r="I785" s="36" t="s">
        <v>751</v>
      </c>
      <c r="J785" s="36">
        <v>1</v>
      </c>
      <c r="K785" s="36" t="s">
        <v>752</v>
      </c>
      <c r="L785" s="36">
        <v>4</v>
      </c>
      <c r="M785" s="36">
        <v>5</v>
      </c>
      <c r="N785" s="38">
        <v>70000</v>
      </c>
      <c r="O785" s="38">
        <v>350000</v>
      </c>
      <c r="P785" s="36">
        <v>1</v>
      </c>
      <c r="Q785" s="40">
        <v>46113</v>
      </c>
      <c r="R785" s="36" t="s">
        <v>657</v>
      </c>
      <c r="S785" s="36" t="s">
        <v>658</v>
      </c>
      <c r="T785" s="36" t="s">
        <v>659</v>
      </c>
      <c r="U785" s="36" t="s">
        <v>660</v>
      </c>
      <c r="V785" s="40">
        <v>46113</v>
      </c>
      <c r="W785" s="36"/>
      <c r="X785" s="36">
        <v>0</v>
      </c>
      <c r="Y785" s="36"/>
      <c r="Z785" s="36">
        <v>0</v>
      </c>
      <c r="AA785" s="36">
        <v>0</v>
      </c>
      <c r="AB785" s="36"/>
      <c r="AC785" s="36" t="str">
        <f t="shared" si="0"/>
        <v>PC26</v>
      </c>
      <c r="AD785" s="36" t="str">
        <f>VLOOKUP(D785,Oficial!A:C,3,0)</f>
        <v>Administración de Fondos</v>
      </c>
    </row>
    <row r="786" spans="1:30" x14ac:dyDescent="0.25">
      <c r="A786" s="36" t="s">
        <v>27</v>
      </c>
      <c r="B786" s="36" t="s">
        <v>753</v>
      </c>
      <c r="C786" s="36" t="s">
        <v>374</v>
      </c>
      <c r="D786" s="36" t="s">
        <v>753</v>
      </c>
      <c r="E786" s="36" t="s">
        <v>30</v>
      </c>
      <c r="F786" s="36" t="s">
        <v>569</v>
      </c>
      <c r="G786" s="37" t="s">
        <v>654</v>
      </c>
      <c r="H786" s="36" t="s">
        <v>754</v>
      </c>
      <c r="I786" s="36" t="s">
        <v>755</v>
      </c>
      <c r="J786" s="36">
        <v>1</v>
      </c>
      <c r="K786" s="36" t="s">
        <v>359</v>
      </c>
      <c r="L786" s="36">
        <v>4</v>
      </c>
      <c r="M786" s="36">
        <v>290</v>
      </c>
      <c r="N786" s="38">
        <v>4441</v>
      </c>
      <c r="O786" s="38">
        <v>1287890</v>
      </c>
      <c r="P786" s="36">
        <v>1</v>
      </c>
      <c r="Q786" s="40">
        <v>46082</v>
      </c>
      <c r="R786" s="36" t="s">
        <v>657</v>
      </c>
      <c r="S786" s="36" t="s">
        <v>658</v>
      </c>
      <c r="T786" s="36" t="s">
        <v>659</v>
      </c>
      <c r="U786" s="36" t="s">
        <v>660</v>
      </c>
      <c r="V786" s="40">
        <v>46082</v>
      </c>
      <c r="W786" s="36"/>
      <c r="X786" s="36">
        <v>0</v>
      </c>
      <c r="Y786" s="36"/>
      <c r="Z786" s="36">
        <v>0</v>
      </c>
      <c r="AA786" s="36">
        <v>0</v>
      </c>
      <c r="AB786" s="36"/>
      <c r="AC786" s="36" t="str">
        <f t="shared" si="0"/>
        <v>PC26</v>
      </c>
      <c r="AD786" s="36" t="str">
        <f>VLOOKUP(D786,Oficial!A:C,3,0)</f>
        <v>Administración de Fondos</v>
      </c>
    </row>
    <row r="787" spans="1:30" x14ac:dyDescent="0.25">
      <c r="A787" s="36" t="s">
        <v>27</v>
      </c>
      <c r="B787" s="36" t="s">
        <v>756</v>
      </c>
      <c r="C787" s="36" t="s">
        <v>28</v>
      </c>
      <c r="D787" s="36" t="s">
        <v>756</v>
      </c>
      <c r="E787" s="36" t="s">
        <v>30</v>
      </c>
      <c r="F787" s="36" t="s">
        <v>745</v>
      </c>
      <c r="G787" s="37" t="s">
        <v>757</v>
      </c>
      <c r="H787" s="36" t="s">
        <v>758</v>
      </c>
      <c r="I787" s="36" t="s">
        <v>759</v>
      </c>
      <c r="J787" s="36">
        <v>1</v>
      </c>
      <c r="K787" s="36" t="s">
        <v>760</v>
      </c>
      <c r="L787" s="36">
        <v>4</v>
      </c>
      <c r="M787" s="36">
        <v>100</v>
      </c>
      <c r="N787" s="38">
        <v>8000</v>
      </c>
      <c r="O787" s="38">
        <v>800000</v>
      </c>
      <c r="P787" s="36">
        <v>1</v>
      </c>
      <c r="Q787" s="40">
        <v>46296</v>
      </c>
      <c r="R787" s="36" t="s">
        <v>761</v>
      </c>
      <c r="S787" s="36" t="s">
        <v>762</v>
      </c>
      <c r="T787" s="36" t="s">
        <v>763</v>
      </c>
      <c r="U787" s="36" t="s">
        <v>764</v>
      </c>
      <c r="V787" s="40">
        <v>46296</v>
      </c>
      <c r="W787" s="36"/>
      <c r="X787" s="36">
        <v>0</v>
      </c>
      <c r="Y787" s="36"/>
      <c r="Z787" s="36">
        <v>0</v>
      </c>
      <c r="AA787" s="36">
        <v>0</v>
      </c>
      <c r="AB787" s="36"/>
      <c r="AC787" s="36" t="str">
        <f t="shared" si="0"/>
        <v>PC26</v>
      </c>
      <c r="AD787" s="36" t="str">
        <f>VLOOKUP(D787,Oficial!A:C,3,0)</f>
        <v>Bienes y Servicios</v>
      </c>
    </row>
    <row r="788" spans="1:30" x14ac:dyDescent="0.25">
      <c r="A788" s="36" t="s">
        <v>27</v>
      </c>
      <c r="B788" s="36" t="s">
        <v>765</v>
      </c>
      <c r="C788" s="36" t="s">
        <v>374</v>
      </c>
      <c r="D788" s="36" t="s">
        <v>765</v>
      </c>
      <c r="E788" s="36" t="s">
        <v>30</v>
      </c>
      <c r="F788" s="36" t="s">
        <v>569</v>
      </c>
      <c r="G788" s="37" t="s">
        <v>654</v>
      </c>
      <c r="H788" s="36" t="s">
        <v>766</v>
      </c>
      <c r="I788" s="36" t="s">
        <v>767</v>
      </c>
      <c r="J788" s="36">
        <v>4</v>
      </c>
      <c r="K788" s="36" t="s">
        <v>359</v>
      </c>
      <c r="L788" s="36">
        <v>4</v>
      </c>
      <c r="M788" s="36">
        <v>69</v>
      </c>
      <c r="N788" s="38">
        <v>2615</v>
      </c>
      <c r="O788" s="38">
        <v>180435</v>
      </c>
      <c r="P788" s="36">
        <v>1</v>
      </c>
      <c r="Q788" s="40">
        <v>46082</v>
      </c>
      <c r="R788" s="36" t="s">
        <v>768</v>
      </c>
      <c r="S788" s="36" t="s">
        <v>769</v>
      </c>
      <c r="T788" s="36" t="s">
        <v>770</v>
      </c>
      <c r="U788" s="36" t="s">
        <v>388</v>
      </c>
      <c r="V788" s="40">
        <v>46082</v>
      </c>
      <c r="W788" s="36"/>
      <c r="X788" s="36">
        <v>0</v>
      </c>
      <c r="Y788" s="36"/>
      <c r="Z788" s="36">
        <v>0</v>
      </c>
      <c r="AA788" s="36">
        <v>0</v>
      </c>
      <c r="AB788" s="36"/>
      <c r="AC788" s="36" t="str">
        <f t="shared" si="0"/>
        <v>PC26</v>
      </c>
      <c r="AD788" s="36" t="str">
        <f>VLOOKUP(D788,Oficial!A:C,3,0)</f>
        <v>Administración de Fondos</v>
      </c>
    </row>
    <row r="789" spans="1:30" x14ac:dyDescent="0.25">
      <c r="A789" s="36" t="s">
        <v>27</v>
      </c>
      <c r="B789" s="36" t="s">
        <v>765</v>
      </c>
      <c r="C789" s="36" t="s">
        <v>374</v>
      </c>
      <c r="D789" s="36" t="s">
        <v>765</v>
      </c>
      <c r="E789" s="36" t="s">
        <v>30</v>
      </c>
      <c r="F789" s="36" t="s">
        <v>569</v>
      </c>
      <c r="G789" s="37" t="s">
        <v>654</v>
      </c>
      <c r="H789" s="36" t="s">
        <v>766</v>
      </c>
      <c r="I789" s="36" t="s">
        <v>767</v>
      </c>
      <c r="J789" s="36">
        <v>4</v>
      </c>
      <c r="K789" s="36" t="s">
        <v>195</v>
      </c>
      <c r="L789" s="36">
        <v>4</v>
      </c>
      <c r="M789" s="36">
        <v>9</v>
      </c>
      <c r="N789" s="38">
        <v>2711</v>
      </c>
      <c r="O789" s="38">
        <v>24399</v>
      </c>
      <c r="P789" s="36">
        <v>1</v>
      </c>
      <c r="Q789" s="40">
        <v>46082</v>
      </c>
      <c r="R789" s="36" t="s">
        <v>768</v>
      </c>
      <c r="S789" s="36" t="s">
        <v>769</v>
      </c>
      <c r="T789" s="36" t="s">
        <v>770</v>
      </c>
      <c r="U789" s="36" t="s">
        <v>388</v>
      </c>
      <c r="V789" s="40">
        <v>46082</v>
      </c>
      <c r="W789" s="36"/>
      <c r="X789" s="36">
        <v>0</v>
      </c>
      <c r="Y789" s="36"/>
      <c r="Z789" s="36">
        <v>0</v>
      </c>
      <c r="AA789" s="36">
        <v>0</v>
      </c>
      <c r="AB789" s="36"/>
      <c r="AC789" s="36" t="str">
        <f t="shared" si="0"/>
        <v>PC26</v>
      </c>
      <c r="AD789" s="36" t="str">
        <f>VLOOKUP(D789,Oficial!A:C,3,0)</f>
        <v>Administración de Fondos</v>
      </c>
    </row>
    <row r="790" spans="1:30" x14ac:dyDescent="0.25">
      <c r="A790" s="36" t="s">
        <v>27</v>
      </c>
      <c r="B790" s="36" t="s">
        <v>765</v>
      </c>
      <c r="C790" s="36" t="s">
        <v>374</v>
      </c>
      <c r="D790" s="36" t="s">
        <v>765</v>
      </c>
      <c r="E790" s="36" t="s">
        <v>30</v>
      </c>
      <c r="F790" s="36" t="s">
        <v>569</v>
      </c>
      <c r="G790" s="37" t="s">
        <v>654</v>
      </c>
      <c r="H790" s="36" t="s">
        <v>766</v>
      </c>
      <c r="I790" s="36" t="s">
        <v>767</v>
      </c>
      <c r="J790" s="36">
        <v>4</v>
      </c>
      <c r="K790" s="36" t="s">
        <v>771</v>
      </c>
      <c r="L790" s="36">
        <v>4</v>
      </c>
      <c r="M790" s="36">
        <v>3</v>
      </c>
      <c r="N790" s="38">
        <v>9000</v>
      </c>
      <c r="O790" s="38">
        <v>27000</v>
      </c>
      <c r="P790" s="36">
        <v>1</v>
      </c>
      <c r="Q790" s="40">
        <v>46082</v>
      </c>
      <c r="R790" s="36" t="s">
        <v>768</v>
      </c>
      <c r="S790" s="36" t="s">
        <v>769</v>
      </c>
      <c r="T790" s="36" t="s">
        <v>770</v>
      </c>
      <c r="U790" s="36" t="s">
        <v>388</v>
      </c>
      <c r="V790" s="40">
        <v>46082</v>
      </c>
      <c r="W790" s="36"/>
      <c r="X790" s="36">
        <v>0</v>
      </c>
      <c r="Y790" s="36"/>
      <c r="Z790" s="36">
        <v>0</v>
      </c>
      <c r="AA790" s="36">
        <v>0</v>
      </c>
      <c r="AB790" s="36"/>
      <c r="AC790" s="36" t="str">
        <f t="shared" si="0"/>
        <v>PC26</v>
      </c>
      <c r="AD790" s="36" t="str">
        <f>VLOOKUP(D790,Oficial!A:C,3,0)</f>
        <v>Administración de Fondos</v>
      </c>
    </row>
    <row r="791" spans="1:30" x14ac:dyDescent="0.25">
      <c r="A791" s="36" t="s">
        <v>27</v>
      </c>
      <c r="B791" s="36" t="s">
        <v>765</v>
      </c>
      <c r="C791" s="36" t="s">
        <v>374</v>
      </c>
      <c r="D791" s="36" t="s">
        <v>765</v>
      </c>
      <c r="E791" s="36" t="s">
        <v>30</v>
      </c>
      <c r="F791" s="36" t="s">
        <v>569</v>
      </c>
      <c r="G791" s="37" t="s">
        <v>654</v>
      </c>
      <c r="H791" s="36" t="s">
        <v>766</v>
      </c>
      <c r="I791" s="36" t="s">
        <v>767</v>
      </c>
      <c r="J791" s="36">
        <v>4</v>
      </c>
      <c r="K791" s="36" t="s">
        <v>772</v>
      </c>
      <c r="L791" s="36">
        <v>4</v>
      </c>
      <c r="M791" s="36">
        <v>2</v>
      </c>
      <c r="N791" s="38">
        <v>26000</v>
      </c>
      <c r="O791" s="38">
        <v>52000</v>
      </c>
      <c r="P791" s="36">
        <v>1</v>
      </c>
      <c r="Q791" s="40">
        <v>46082</v>
      </c>
      <c r="R791" s="36" t="s">
        <v>768</v>
      </c>
      <c r="S791" s="36" t="s">
        <v>769</v>
      </c>
      <c r="T791" s="36" t="s">
        <v>770</v>
      </c>
      <c r="U791" s="36" t="s">
        <v>388</v>
      </c>
      <c r="V791" s="40">
        <v>46082</v>
      </c>
      <c r="W791" s="36"/>
      <c r="X791" s="36">
        <v>0</v>
      </c>
      <c r="Y791" s="36"/>
      <c r="Z791" s="36">
        <v>0</v>
      </c>
      <c r="AA791" s="36">
        <v>0</v>
      </c>
      <c r="AB791" s="36"/>
      <c r="AC791" s="36" t="str">
        <f t="shared" ref="AC791:AC854" si="1">RIGHT(D791,4)</f>
        <v>PC26</v>
      </c>
      <c r="AD791" s="36" t="str">
        <f>VLOOKUP(D791,Oficial!A:C,3,0)</f>
        <v>Administración de Fondos</v>
      </c>
    </row>
    <row r="792" spans="1:30" x14ac:dyDescent="0.25">
      <c r="A792" s="36" t="s">
        <v>27</v>
      </c>
      <c r="B792" s="36" t="s">
        <v>773</v>
      </c>
      <c r="C792" s="36" t="s">
        <v>28</v>
      </c>
      <c r="D792" s="36" t="s">
        <v>773</v>
      </c>
      <c r="E792" s="36" t="s">
        <v>30</v>
      </c>
      <c r="F792" s="36" t="s">
        <v>569</v>
      </c>
      <c r="G792" s="37" t="s">
        <v>615</v>
      </c>
      <c r="H792" s="36" t="s">
        <v>774</v>
      </c>
      <c r="I792" s="36" t="s">
        <v>775</v>
      </c>
      <c r="J792" s="36">
        <v>6</v>
      </c>
      <c r="K792" s="36" t="s">
        <v>776</v>
      </c>
      <c r="L792" s="36">
        <v>4</v>
      </c>
      <c r="M792" s="36">
        <v>18</v>
      </c>
      <c r="N792" s="38">
        <v>13334</v>
      </c>
      <c r="O792" s="38">
        <v>240012</v>
      </c>
      <c r="P792" s="36">
        <v>1</v>
      </c>
      <c r="Q792" s="40">
        <v>46054</v>
      </c>
      <c r="R792" s="36" t="s">
        <v>768</v>
      </c>
      <c r="S792" s="36" t="s">
        <v>769</v>
      </c>
      <c r="T792" s="36" t="s">
        <v>770</v>
      </c>
      <c r="U792" s="36" t="s">
        <v>388</v>
      </c>
      <c r="V792" s="40">
        <v>46054</v>
      </c>
      <c r="W792" s="36"/>
      <c r="X792" s="36">
        <v>0</v>
      </c>
      <c r="Y792" s="36"/>
      <c r="Z792" s="36">
        <v>0</v>
      </c>
      <c r="AA792" s="36">
        <v>0</v>
      </c>
      <c r="AB792" s="36"/>
      <c r="AC792" s="36" t="str">
        <f t="shared" si="1"/>
        <v>PC26</v>
      </c>
      <c r="AD792" s="36" t="str">
        <f>VLOOKUP(D792,Oficial!A:C,3,0)</f>
        <v>Bienes y Servicios</v>
      </c>
    </row>
    <row r="793" spans="1:30" x14ac:dyDescent="0.25">
      <c r="A793" s="36" t="s">
        <v>27</v>
      </c>
      <c r="B793" s="36" t="s">
        <v>773</v>
      </c>
      <c r="C793" s="36" t="s">
        <v>28</v>
      </c>
      <c r="D793" s="36" t="s">
        <v>773</v>
      </c>
      <c r="E793" s="36" t="s">
        <v>30</v>
      </c>
      <c r="F793" s="36" t="s">
        <v>569</v>
      </c>
      <c r="G793" s="37" t="s">
        <v>615</v>
      </c>
      <c r="H793" s="36" t="s">
        <v>774</v>
      </c>
      <c r="I793" s="36" t="s">
        <v>775</v>
      </c>
      <c r="J793" s="36">
        <v>6</v>
      </c>
      <c r="K793" s="36" t="s">
        <v>777</v>
      </c>
      <c r="L793" s="36">
        <v>4</v>
      </c>
      <c r="M793" s="36">
        <v>39</v>
      </c>
      <c r="N793" s="38">
        <v>17924</v>
      </c>
      <c r="O793" s="38">
        <v>699036</v>
      </c>
      <c r="P793" s="36">
        <v>1</v>
      </c>
      <c r="Q793" s="40">
        <v>46054</v>
      </c>
      <c r="R793" s="36" t="s">
        <v>768</v>
      </c>
      <c r="S793" s="36" t="s">
        <v>769</v>
      </c>
      <c r="T793" s="36" t="s">
        <v>770</v>
      </c>
      <c r="U793" s="36" t="s">
        <v>388</v>
      </c>
      <c r="V793" s="40">
        <v>46054</v>
      </c>
      <c r="W793" s="36"/>
      <c r="X793" s="36">
        <v>0</v>
      </c>
      <c r="Y793" s="36"/>
      <c r="Z793" s="36">
        <v>0</v>
      </c>
      <c r="AA793" s="36">
        <v>0</v>
      </c>
      <c r="AB793" s="36"/>
      <c r="AC793" s="36" t="str">
        <f t="shared" si="1"/>
        <v>PC26</v>
      </c>
      <c r="AD793" s="36" t="str">
        <f>VLOOKUP(D793,Oficial!A:C,3,0)</f>
        <v>Bienes y Servicios</v>
      </c>
    </row>
    <row r="794" spans="1:30" x14ac:dyDescent="0.25">
      <c r="A794" s="36" t="s">
        <v>27</v>
      </c>
      <c r="B794" s="36" t="s">
        <v>773</v>
      </c>
      <c r="C794" s="36" t="s">
        <v>28</v>
      </c>
      <c r="D794" s="36" t="s">
        <v>773</v>
      </c>
      <c r="E794" s="36" t="s">
        <v>30</v>
      </c>
      <c r="F794" s="36" t="s">
        <v>569</v>
      </c>
      <c r="G794" s="37" t="s">
        <v>615</v>
      </c>
      <c r="H794" s="36" t="s">
        <v>774</v>
      </c>
      <c r="I794" s="36" t="s">
        <v>775</v>
      </c>
      <c r="J794" s="36">
        <v>6</v>
      </c>
      <c r="K794" s="36" t="s">
        <v>778</v>
      </c>
      <c r="L794" s="36">
        <v>4</v>
      </c>
      <c r="M794" s="36">
        <v>2</v>
      </c>
      <c r="N794" s="38">
        <v>62000</v>
      </c>
      <c r="O794" s="38">
        <v>124000</v>
      </c>
      <c r="P794" s="36">
        <v>1</v>
      </c>
      <c r="Q794" s="40">
        <v>46054</v>
      </c>
      <c r="R794" s="36" t="s">
        <v>768</v>
      </c>
      <c r="S794" s="36" t="s">
        <v>769</v>
      </c>
      <c r="T794" s="36" t="s">
        <v>770</v>
      </c>
      <c r="U794" s="36" t="s">
        <v>388</v>
      </c>
      <c r="V794" s="40">
        <v>46054</v>
      </c>
      <c r="W794" s="36"/>
      <c r="X794" s="36">
        <v>0</v>
      </c>
      <c r="Y794" s="36"/>
      <c r="Z794" s="36">
        <v>0</v>
      </c>
      <c r="AA794" s="36">
        <v>0</v>
      </c>
      <c r="AB794" s="36"/>
      <c r="AC794" s="36" t="str">
        <f t="shared" si="1"/>
        <v>PC26</v>
      </c>
      <c r="AD794" s="36" t="str">
        <f>VLOOKUP(D794,Oficial!A:C,3,0)</f>
        <v>Bienes y Servicios</v>
      </c>
    </row>
    <row r="795" spans="1:30" x14ac:dyDescent="0.25">
      <c r="A795" s="36" t="s">
        <v>27</v>
      </c>
      <c r="B795" s="36" t="s">
        <v>773</v>
      </c>
      <c r="C795" s="36" t="s">
        <v>28</v>
      </c>
      <c r="D795" s="36" t="s">
        <v>773</v>
      </c>
      <c r="E795" s="36" t="s">
        <v>30</v>
      </c>
      <c r="F795" s="36" t="s">
        <v>569</v>
      </c>
      <c r="G795" s="37" t="s">
        <v>615</v>
      </c>
      <c r="H795" s="36" t="s">
        <v>774</v>
      </c>
      <c r="I795" s="36" t="s">
        <v>775</v>
      </c>
      <c r="J795" s="36">
        <v>6</v>
      </c>
      <c r="K795" s="36" t="s">
        <v>779</v>
      </c>
      <c r="L795" s="36">
        <v>4</v>
      </c>
      <c r="M795" s="36">
        <v>50</v>
      </c>
      <c r="N795" s="38">
        <v>1400</v>
      </c>
      <c r="O795" s="38">
        <v>70000</v>
      </c>
      <c r="P795" s="36">
        <v>1</v>
      </c>
      <c r="Q795" s="40">
        <v>46054</v>
      </c>
      <c r="R795" s="36" t="s">
        <v>768</v>
      </c>
      <c r="S795" s="36" t="s">
        <v>769</v>
      </c>
      <c r="T795" s="36" t="s">
        <v>770</v>
      </c>
      <c r="U795" s="36" t="s">
        <v>388</v>
      </c>
      <c r="V795" s="40">
        <v>46054</v>
      </c>
      <c r="W795" s="36"/>
      <c r="X795" s="36">
        <v>0</v>
      </c>
      <c r="Y795" s="36"/>
      <c r="Z795" s="36">
        <v>0</v>
      </c>
      <c r="AA795" s="36">
        <v>0</v>
      </c>
      <c r="AB795" s="36"/>
      <c r="AC795" s="36" t="str">
        <f t="shared" si="1"/>
        <v>PC26</v>
      </c>
      <c r="AD795" s="36" t="str">
        <f>VLOOKUP(D795,Oficial!A:C,3,0)</f>
        <v>Bienes y Servicios</v>
      </c>
    </row>
    <row r="796" spans="1:30" x14ac:dyDescent="0.25">
      <c r="A796" s="36" t="s">
        <v>27</v>
      </c>
      <c r="B796" s="36" t="s">
        <v>773</v>
      </c>
      <c r="C796" s="36" t="s">
        <v>28</v>
      </c>
      <c r="D796" s="36" t="s">
        <v>773</v>
      </c>
      <c r="E796" s="36" t="s">
        <v>30</v>
      </c>
      <c r="F796" s="36" t="s">
        <v>569</v>
      </c>
      <c r="G796" s="37" t="s">
        <v>615</v>
      </c>
      <c r="H796" s="36" t="s">
        <v>774</v>
      </c>
      <c r="I796" s="36" t="s">
        <v>775</v>
      </c>
      <c r="J796" s="36">
        <v>6</v>
      </c>
      <c r="K796" s="36" t="s">
        <v>780</v>
      </c>
      <c r="L796" s="36">
        <v>4</v>
      </c>
      <c r="M796" s="36">
        <v>1</v>
      </c>
      <c r="N796" s="38">
        <v>25000</v>
      </c>
      <c r="O796" s="38">
        <v>25000</v>
      </c>
      <c r="P796" s="36">
        <v>1</v>
      </c>
      <c r="Q796" s="40">
        <v>46054</v>
      </c>
      <c r="R796" s="36" t="s">
        <v>768</v>
      </c>
      <c r="S796" s="36" t="s">
        <v>769</v>
      </c>
      <c r="T796" s="36" t="s">
        <v>770</v>
      </c>
      <c r="U796" s="36" t="s">
        <v>388</v>
      </c>
      <c r="V796" s="40">
        <v>46054</v>
      </c>
      <c r="W796" s="36"/>
      <c r="X796" s="36">
        <v>0</v>
      </c>
      <c r="Y796" s="36"/>
      <c r="Z796" s="36">
        <v>0</v>
      </c>
      <c r="AA796" s="36">
        <v>0</v>
      </c>
      <c r="AB796" s="36"/>
      <c r="AC796" s="36" t="str">
        <f t="shared" si="1"/>
        <v>PC26</v>
      </c>
      <c r="AD796" s="36" t="str">
        <f>VLOOKUP(D796,Oficial!A:C,3,0)</f>
        <v>Bienes y Servicios</v>
      </c>
    </row>
    <row r="797" spans="1:30" x14ac:dyDescent="0.25">
      <c r="A797" s="36" t="s">
        <v>27</v>
      </c>
      <c r="B797" s="36" t="s">
        <v>773</v>
      </c>
      <c r="C797" s="36" t="s">
        <v>28</v>
      </c>
      <c r="D797" s="36" t="s">
        <v>773</v>
      </c>
      <c r="E797" s="36" t="s">
        <v>30</v>
      </c>
      <c r="F797" s="36" t="s">
        <v>569</v>
      </c>
      <c r="G797" s="37" t="s">
        <v>615</v>
      </c>
      <c r="H797" s="36" t="s">
        <v>774</v>
      </c>
      <c r="I797" s="36" t="s">
        <v>775</v>
      </c>
      <c r="J797" s="36">
        <v>6</v>
      </c>
      <c r="K797" s="36" t="s">
        <v>781</v>
      </c>
      <c r="L797" s="36">
        <v>4</v>
      </c>
      <c r="M797" s="36">
        <v>1</v>
      </c>
      <c r="N797" s="38">
        <v>8000</v>
      </c>
      <c r="O797" s="38">
        <v>8000</v>
      </c>
      <c r="P797" s="36">
        <v>1</v>
      </c>
      <c r="Q797" s="40">
        <v>46054</v>
      </c>
      <c r="R797" s="36" t="s">
        <v>768</v>
      </c>
      <c r="S797" s="36" t="s">
        <v>769</v>
      </c>
      <c r="T797" s="36" t="s">
        <v>770</v>
      </c>
      <c r="U797" s="36" t="s">
        <v>388</v>
      </c>
      <c r="V797" s="40">
        <v>46054</v>
      </c>
      <c r="W797" s="36"/>
      <c r="X797" s="36">
        <v>0</v>
      </c>
      <c r="Y797" s="36"/>
      <c r="Z797" s="36">
        <v>0</v>
      </c>
      <c r="AA797" s="36">
        <v>0</v>
      </c>
      <c r="AB797" s="36"/>
      <c r="AC797" s="36" t="str">
        <f t="shared" si="1"/>
        <v>PC26</v>
      </c>
      <c r="AD797" s="36" t="str">
        <f>VLOOKUP(D797,Oficial!A:C,3,0)</f>
        <v>Bienes y Servicios</v>
      </c>
    </row>
    <row r="798" spans="1:30" x14ac:dyDescent="0.25">
      <c r="A798" s="36" t="s">
        <v>27</v>
      </c>
      <c r="B798" s="36" t="s">
        <v>782</v>
      </c>
      <c r="C798" s="36" t="s">
        <v>374</v>
      </c>
      <c r="D798" s="36" t="s">
        <v>782</v>
      </c>
      <c r="E798" s="36" t="s">
        <v>30</v>
      </c>
      <c r="F798" s="36" t="s">
        <v>569</v>
      </c>
      <c r="G798" s="37" t="s">
        <v>783</v>
      </c>
      <c r="H798" s="36" t="s">
        <v>784</v>
      </c>
      <c r="I798" s="36" t="s">
        <v>785</v>
      </c>
      <c r="J798" s="36">
        <v>2</v>
      </c>
      <c r="K798" s="36" t="s">
        <v>359</v>
      </c>
      <c r="L798" s="36">
        <v>4</v>
      </c>
      <c r="M798" s="36">
        <v>86</v>
      </c>
      <c r="N798" s="38">
        <v>1379</v>
      </c>
      <c r="O798" s="38">
        <v>118594</v>
      </c>
      <c r="P798" s="36">
        <v>1</v>
      </c>
      <c r="Q798" s="40">
        <v>46023</v>
      </c>
      <c r="R798" s="36" t="s">
        <v>768</v>
      </c>
      <c r="S798" s="36" t="s">
        <v>769</v>
      </c>
      <c r="T798" s="36" t="s">
        <v>770</v>
      </c>
      <c r="U798" s="36" t="s">
        <v>388</v>
      </c>
      <c r="V798" s="40">
        <v>46023</v>
      </c>
      <c r="W798" s="36"/>
      <c r="X798" s="36">
        <v>0</v>
      </c>
      <c r="Y798" s="36"/>
      <c r="Z798" s="36">
        <v>0</v>
      </c>
      <c r="AA798" s="36">
        <v>0</v>
      </c>
      <c r="AB798" s="36"/>
      <c r="AC798" s="36" t="str">
        <f t="shared" si="1"/>
        <v>PC26</v>
      </c>
      <c r="AD798" s="36" t="str">
        <f>VLOOKUP(D798,Oficial!A:C,3,0)</f>
        <v>Administración de Fondos</v>
      </c>
    </row>
    <row r="799" spans="1:30" x14ac:dyDescent="0.25">
      <c r="A799" s="36" t="s">
        <v>27</v>
      </c>
      <c r="B799" s="36" t="s">
        <v>782</v>
      </c>
      <c r="C799" s="36" t="s">
        <v>374</v>
      </c>
      <c r="D799" s="36" t="s">
        <v>782</v>
      </c>
      <c r="E799" s="36" t="s">
        <v>30</v>
      </c>
      <c r="F799" s="36" t="s">
        <v>569</v>
      </c>
      <c r="G799" s="37" t="s">
        <v>783</v>
      </c>
      <c r="H799" s="36" t="s">
        <v>784</v>
      </c>
      <c r="I799" s="36" t="s">
        <v>785</v>
      </c>
      <c r="J799" s="36">
        <v>2</v>
      </c>
      <c r="K799" s="36" t="s">
        <v>786</v>
      </c>
      <c r="L799" s="36">
        <v>4</v>
      </c>
      <c r="M799" s="36">
        <v>2</v>
      </c>
      <c r="N799" s="38">
        <v>73915</v>
      </c>
      <c r="O799" s="38">
        <v>147830</v>
      </c>
      <c r="P799" s="36">
        <v>1</v>
      </c>
      <c r="Q799" s="40">
        <v>46023</v>
      </c>
      <c r="R799" s="36" t="s">
        <v>768</v>
      </c>
      <c r="S799" s="36" t="s">
        <v>769</v>
      </c>
      <c r="T799" s="36" t="s">
        <v>770</v>
      </c>
      <c r="U799" s="36" t="s">
        <v>388</v>
      </c>
      <c r="V799" s="40">
        <v>46023</v>
      </c>
      <c r="W799" s="36"/>
      <c r="X799" s="36">
        <v>0</v>
      </c>
      <c r="Y799" s="36"/>
      <c r="Z799" s="36">
        <v>0</v>
      </c>
      <c r="AA799" s="36">
        <v>0</v>
      </c>
      <c r="AB799" s="36"/>
      <c r="AC799" s="36" t="str">
        <f t="shared" si="1"/>
        <v>PC26</v>
      </c>
      <c r="AD799" s="36" t="str">
        <f>VLOOKUP(D799,Oficial!A:C,3,0)</f>
        <v>Administración de Fondos</v>
      </c>
    </row>
    <row r="800" spans="1:30" x14ac:dyDescent="0.25">
      <c r="A800" s="36" t="s">
        <v>27</v>
      </c>
      <c r="B800" s="36" t="s">
        <v>787</v>
      </c>
      <c r="C800" s="36" t="s">
        <v>28</v>
      </c>
      <c r="D800" s="36" t="s">
        <v>787</v>
      </c>
      <c r="E800" s="36" t="s">
        <v>30</v>
      </c>
      <c r="F800" s="36" t="s">
        <v>569</v>
      </c>
      <c r="G800" s="37" t="s">
        <v>654</v>
      </c>
      <c r="H800" s="36" t="s">
        <v>788</v>
      </c>
      <c r="I800" s="36" t="s">
        <v>789</v>
      </c>
      <c r="J800" s="36">
        <v>2</v>
      </c>
      <c r="K800" s="36" t="s">
        <v>359</v>
      </c>
      <c r="L800" s="36">
        <v>4</v>
      </c>
      <c r="M800" s="36">
        <v>821</v>
      </c>
      <c r="N800" s="38">
        <v>1122</v>
      </c>
      <c r="O800" s="38">
        <v>921162</v>
      </c>
      <c r="P800" s="36">
        <v>1</v>
      </c>
      <c r="Q800" s="40">
        <v>46082</v>
      </c>
      <c r="R800" s="36" t="s">
        <v>790</v>
      </c>
      <c r="S800" s="36" t="s">
        <v>791</v>
      </c>
      <c r="T800" s="36" t="s">
        <v>792</v>
      </c>
      <c r="U800" s="36" t="s">
        <v>793</v>
      </c>
      <c r="V800" s="40">
        <v>46082</v>
      </c>
      <c r="W800" s="36"/>
      <c r="X800" s="36">
        <v>0</v>
      </c>
      <c r="Y800" s="36"/>
      <c r="Z800" s="36">
        <v>0</v>
      </c>
      <c r="AA800" s="36">
        <v>0</v>
      </c>
      <c r="AB800" s="36"/>
      <c r="AC800" s="36" t="str">
        <f t="shared" si="1"/>
        <v>PC26</v>
      </c>
      <c r="AD800" s="36" t="str">
        <f>VLOOKUP(D800,Oficial!A:C,3,0)</f>
        <v>Bienes y Servicios</v>
      </c>
    </row>
    <row r="801" spans="1:30" x14ac:dyDescent="0.25">
      <c r="A801" s="36" t="s">
        <v>27</v>
      </c>
      <c r="B801" s="36" t="s">
        <v>787</v>
      </c>
      <c r="C801" s="36" t="s">
        <v>28</v>
      </c>
      <c r="D801" s="36" t="s">
        <v>787</v>
      </c>
      <c r="E801" s="36" t="s">
        <v>30</v>
      </c>
      <c r="F801" s="36" t="s">
        <v>569</v>
      </c>
      <c r="G801" s="37" t="s">
        <v>654</v>
      </c>
      <c r="H801" s="36" t="s">
        <v>788</v>
      </c>
      <c r="I801" s="36" t="s">
        <v>789</v>
      </c>
      <c r="J801" s="36">
        <v>2</v>
      </c>
      <c r="K801" s="36" t="s">
        <v>195</v>
      </c>
      <c r="L801" s="36">
        <v>4</v>
      </c>
      <c r="M801" s="36">
        <v>409</v>
      </c>
      <c r="N801" s="38">
        <v>211</v>
      </c>
      <c r="O801" s="38">
        <v>86299</v>
      </c>
      <c r="P801" s="36">
        <v>1</v>
      </c>
      <c r="Q801" s="40">
        <v>46082</v>
      </c>
      <c r="R801" s="36" t="s">
        <v>790</v>
      </c>
      <c r="S801" s="36" t="s">
        <v>791</v>
      </c>
      <c r="T801" s="36" t="s">
        <v>792</v>
      </c>
      <c r="U801" s="36" t="s">
        <v>793</v>
      </c>
      <c r="V801" s="40">
        <v>46082</v>
      </c>
      <c r="W801" s="36"/>
      <c r="X801" s="36">
        <v>0</v>
      </c>
      <c r="Y801" s="36"/>
      <c r="Z801" s="36">
        <v>0</v>
      </c>
      <c r="AA801" s="36">
        <v>0</v>
      </c>
      <c r="AB801" s="36"/>
      <c r="AC801" s="36" t="str">
        <f t="shared" si="1"/>
        <v>PC26</v>
      </c>
      <c r="AD801" s="36" t="str">
        <f>VLOOKUP(D801,Oficial!A:C,3,0)</f>
        <v>Bienes y Servicios</v>
      </c>
    </row>
    <row r="802" spans="1:30" x14ac:dyDescent="0.25">
      <c r="A802" s="36" t="s">
        <v>27</v>
      </c>
      <c r="B802" s="36" t="s">
        <v>794</v>
      </c>
      <c r="C802" s="36" t="s">
        <v>374</v>
      </c>
      <c r="D802" s="36" t="s">
        <v>794</v>
      </c>
      <c r="E802" s="36" t="s">
        <v>30</v>
      </c>
      <c r="F802" s="36" t="s">
        <v>569</v>
      </c>
      <c r="G802" s="37" t="s">
        <v>666</v>
      </c>
      <c r="H802" s="36" t="s">
        <v>795</v>
      </c>
      <c r="I802" s="36" t="s">
        <v>796</v>
      </c>
      <c r="J802" s="36">
        <v>3</v>
      </c>
      <c r="K802" s="36" t="s">
        <v>797</v>
      </c>
      <c r="L802" s="36">
        <v>4</v>
      </c>
      <c r="M802" s="36">
        <v>106</v>
      </c>
      <c r="N802" s="38">
        <v>4380</v>
      </c>
      <c r="O802" s="38">
        <v>464280</v>
      </c>
      <c r="P802" s="36">
        <v>1</v>
      </c>
      <c r="Q802" s="40">
        <v>46023</v>
      </c>
      <c r="R802" s="36" t="s">
        <v>768</v>
      </c>
      <c r="S802" s="36" t="s">
        <v>769</v>
      </c>
      <c r="T802" s="36" t="s">
        <v>770</v>
      </c>
      <c r="U802" s="36" t="s">
        <v>388</v>
      </c>
      <c r="V802" s="40">
        <v>46023</v>
      </c>
      <c r="W802" s="36"/>
      <c r="X802" s="36">
        <v>0</v>
      </c>
      <c r="Y802" s="36"/>
      <c r="Z802" s="36">
        <v>0</v>
      </c>
      <c r="AA802" s="36">
        <v>0</v>
      </c>
      <c r="AB802" s="36"/>
      <c r="AC802" s="36" t="str">
        <f t="shared" si="1"/>
        <v>PC26</v>
      </c>
      <c r="AD802" s="36" t="str">
        <f>VLOOKUP(D802,Oficial!A:C,3,0)</f>
        <v>Administración de Fondos</v>
      </c>
    </row>
    <row r="803" spans="1:30" x14ac:dyDescent="0.25">
      <c r="A803" s="36" t="s">
        <v>27</v>
      </c>
      <c r="B803" s="36" t="s">
        <v>794</v>
      </c>
      <c r="C803" s="36" t="s">
        <v>374</v>
      </c>
      <c r="D803" s="36" t="s">
        <v>794</v>
      </c>
      <c r="E803" s="36" t="s">
        <v>30</v>
      </c>
      <c r="F803" s="36" t="s">
        <v>569</v>
      </c>
      <c r="G803" s="37" t="s">
        <v>666</v>
      </c>
      <c r="H803" s="36" t="s">
        <v>795</v>
      </c>
      <c r="I803" s="36" t="s">
        <v>796</v>
      </c>
      <c r="J803" s="36">
        <v>3</v>
      </c>
      <c r="K803" s="36" t="s">
        <v>740</v>
      </c>
      <c r="L803" s="36">
        <v>4</v>
      </c>
      <c r="M803" s="36">
        <v>10</v>
      </c>
      <c r="N803" s="38">
        <v>2520</v>
      </c>
      <c r="O803" s="38">
        <v>25200</v>
      </c>
      <c r="P803" s="36">
        <v>1</v>
      </c>
      <c r="Q803" s="40">
        <v>46023</v>
      </c>
      <c r="R803" s="36" t="s">
        <v>768</v>
      </c>
      <c r="S803" s="36" t="s">
        <v>769</v>
      </c>
      <c r="T803" s="36" t="s">
        <v>770</v>
      </c>
      <c r="U803" s="36" t="s">
        <v>388</v>
      </c>
      <c r="V803" s="40">
        <v>46023</v>
      </c>
      <c r="W803" s="36"/>
      <c r="X803" s="36">
        <v>0</v>
      </c>
      <c r="Y803" s="36"/>
      <c r="Z803" s="36">
        <v>0</v>
      </c>
      <c r="AA803" s="36">
        <v>0</v>
      </c>
      <c r="AB803" s="36"/>
      <c r="AC803" s="36" t="str">
        <f t="shared" si="1"/>
        <v>PC26</v>
      </c>
      <c r="AD803" s="36" t="str">
        <f>VLOOKUP(D803,Oficial!A:C,3,0)</f>
        <v>Administración de Fondos</v>
      </c>
    </row>
    <row r="804" spans="1:30" x14ac:dyDescent="0.25">
      <c r="A804" s="36" t="s">
        <v>27</v>
      </c>
      <c r="B804" s="36" t="s">
        <v>794</v>
      </c>
      <c r="C804" s="36" t="s">
        <v>374</v>
      </c>
      <c r="D804" s="36" t="s">
        <v>794</v>
      </c>
      <c r="E804" s="36" t="s">
        <v>30</v>
      </c>
      <c r="F804" s="36" t="s">
        <v>569</v>
      </c>
      <c r="G804" s="37" t="s">
        <v>666</v>
      </c>
      <c r="H804" s="36" t="s">
        <v>795</v>
      </c>
      <c r="I804" s="36" t="s">
        <v>796</v>
      </c>
      <c r="J804" s="36">
        <v>3</v>
      </c>
      <c r="K804" s="36" t="s">
        <v>798</v>
      </c>
      <c r="L804" s="36">
        <v>4</v>
      </c>
      <c r="M804" s="36">
        <v>200</v>
      </c>
      <c r="N804" s="38">
        <v>68</v>
      </c>
      <c r="O804" s="38">
        <v>13600</v>
      </c>
      <c r="P804" s="36">
        <v>1</v>
      </c>
      <c r="Q804" s="40">
        <v>46023</v>
      </c>
      <c r="R804" s="36" t="s">
        <v>768</v>
      </c>
      <c r="S804" s="36" t="s">
        <v>769</v>
      </c>
      <c r="T804" s="36" t="s">
        <v>770</v>
      </c>
      <c r="U804" s="36" t="s">
        <v>388</v>
      </c>
      <c r="V804" s="40">
        <v>46023</v>
      </c>
      <c r="W804" s="36"/>
      <c r="X804" s="36">
        <v>0</v>
      </c>
      <c r="Y804" s="36"/>
      <c r="Z804" s="36">
        <v>0</v>
      </c>
      <c r="AA804" s="36">
        <v>0</v>
      </c>
      <c r="AB804" s="36"/>
      <c r="AC804" s="36" t="str">
        <f t="shared" si="1"/>
        <v>PC26</v>
      </c>
      <c r="AD804" s="36" t="str">
        <f>VLOOKUP(D804,Oficial!A:C,3,0)</f>
        <v>Administración de Fondos</v>
      </c>
    </row>
    <row r="805" spans="1:30" x14ac:dyDescent="0.25">
      <c r="A805" s="36" t="s">
        <v>27</v>
      </c>
      <c r="B805" s="36" t="s">
        <v>799</v>
      </c>
      <c r="C805" s="36" t="s">
        <v>374</v>
      </c>
      <c r="D805" s="36" t="s">
        <v>799</v>
      </c>
      <c r="E805" s="36" t="s">
        <v>30</v>
      </c>
      <c r="F805" s="36" t="s">
        <v>569</v>
      </c>
      <c r="G805" s="37" t="s">
        <v>800</v>
      </c>
      <c r="H805" s="36" t="s">
        <v>801</v>
      </c>
      <c r="I805" s="36" t="s">
        <v>802</v>
      </c>
      <c r="J805" s="36">
        <v>2</v>
      </c>
      <c r="K805" s="36" t="s">
        <v>786</v>
      </c>
      <c r="L805" s="36">
        <v>4</v>
      </c>
      <c r="M805" s="36">
        <v>42</v>
      </c>
      <c r="N805" s="38">
        <v>1729</v>
      </c>
      <c r="O805" s="38">
        <v>72618</v>
      </c>
      <c r="P805" s="36">
        <v>1</v>
      </c>
      <c r="Q805" s="40">
        <v>46054</v>
      </c>
      <c r="R805" s="36" t="s">
        <v>768</v>
      </c>
      <c r="S805" s="36" t="s">
        <v>769</v>
      </c>
      <c r="T805" s="36" t="s">
        <v>770</v>
      </c>
      <c r="U805" s="36" t="s">
        <v>388</v>
      </c>
      <c r="V805" s="40">
        <v>46054</v>
      </c>
      <c r="W805" s="36"/>
      <c r="X805" s="36">
        <v>0</v>
      </c>
      <c r="Y805" s="36"/>
      <c r="Z805" s="36">
        <v>0</v>
      </c>
      <c r="AA805" s="36">
        <v>0</v>
      </c>
      <c r="AB805" s="36"/>
      <c r="AC805" s="36" t="str">
        <f t="shared" si="1"/>
        <v>PC26</v>
      </c>
      <c r="AD805" s="36" t="str">
        <f>VLOOKUP(D805,Oficial!A:C,3,0)</f>
        <v>Administración de Fondos</v>
      </c>
    </row>
    <row r="806" spans="1:30" x14ac:dyDescent="0.25">
      <c r="A806" s="36" t="s">
        <v>27</v>
      </c>
      <c r="B806" s="36" t="s">
        <v>799</v>
      </c>
      <c r="C806" s="36" t="s">
        <v>374</v>
      </c>
      <c r="D806" s="36" t="s">
        <v>799</v>
      </c>
      <c r="E806" s="36" t="s">
        <v>30</v>
      </c>
      <c r="F806" s="36" t="s">
        <v>569</v>
      </c>
      <c r="G806" s="37" t="s">
        <v>800</v>
      </c>
      <c r="H806" s="36" t="s">
        <v>801</v>
      </c>
      <c r="I806" s="36" t="s">
        <v>802</v>
      </c>
      <c r="J806" s="36">
        <v>2</v>
      </c>
      <c r="K806" s="36" t="s">
        <v>359</v>
      </c>
      <c r="L806" s="36">
        <v>4</v>
      </c>
      <c r="M806" s="36">
        <v>1004</v>
      </c>
      <c r="N806" s="38">
        <v>13</v>
      </c>
      <c r="O806" s="38">
        <v>13052</v>
      </c>
      <c r="P806" s="36">
        <v>1</v>
      </c>
      <c r="Q806" s="40">
        <v>46054</v>
      </c>
      <c r="R806" s="36" t="s">
        <v>768</v>
      </c>
      <c r="S806" s="36" t="s">
        <v>769</v>
      </c>
      <c r="T806" s="36" t="s">
        <v>770</v>
      </c>
      <c r="U806" s="36" t="s">
        <v>388</v>
      </c>
      <c r="V806" s="40">
        <v>46054</v>
      </c>
      <c r="W806" s="36"/>
      <c r="X806" s="36">
        <v>0</v>
      </c>
      <c r="Y806" s="36"/>
      <c r="Z806" s="36">
        <v>0</v>
      </c>
      <c r="AA806" s="36">
        <v>0</v>
      </c>
      <c r="AB806" s="36"/>
      <c r="AC806" s="36" t="str">
        <f t="shared" si="1"/>
        <v>PC26</v>
      </c>
      <c r="AD806" s="36" t="str">
        <f>VLOOKUP(D806,Oficial!A:C,3,0)</f>
        <v>Administración de Fondos</v>
      </c>
    </row>
    <row r="807" spans="1:30" x14ac:dyDescent="0.25">
      <c r="A807" s="36" t="s">
        <v>27</v>
      </c>
      <c r="B807" s="36" t="s">
        <v>803</v>
      </c>
      <c r="C807" s="36" t="s">
        <v>594</v>
      </c>
      <c r="D807" s="36" t="s">
        <v>803</v>
      </c>
      <c r="E807" s="36" t="s">
        <v>30</v>
      </c>
      <c r="F807" s="36" t="s">
        <v>569</v>
      </c>
      <c r="G807" s="37" t="s">
        <v>804</v>
      </c>
      <c r="H807" s="36" t="s">
        <v>805</v>
      </c>
      <c r="I807" s="36" t="s">
        <v>806</v>
      </c>
      <c r="J807" s="36">
        <v>1</v>
      </c>
      <c r="K807" s="36" t="s">
        <v>807</v>
      </c>
      <c r="L807" s="36">
        <v>4</v>
      </c>
      <c r="M807" s="36">
        <v>1</v>
      </c>
      <c r="N807" s="38">
        <v>37000000</v>
      </c>
      <c r="O807" s="38">
        <v>37000000</v>
      </c>
      <c r="P807" s="36">
        <v>1</v>
      </c>
      <c r="Q807" s="40">
        <v>46266</v>
      </c>
      <c r="R807" s="36" t="s">
        <v>624</v>
      </c>
      <c r="S807" s="36" t="s">
        <v>625</v>
      </c>
      <c r="T807" s="36" t="s">
        <v>626</v>
      </c>
      <c r="U807" s="36" t="s">
        <v>627</v>
      </c>
      <c r="V807" s="40">
        <v>46266</v>
      </c>
      <c r="W807" s="36"/>
      <c r="X807" s="36">
        <v>0</v>
      </c>
      <c r="Y807" s="36"/>
      <c r="Z807" s="36">
        <v>0</v>
      </c>
      <c r="AA807" s="36">
        <v>0</v>
      </c>
      <c r="AB807" s="36"/>
      <c r="AC807" s="36" t="str">
        <f t="shared" si="1"/>
        <v>PC26</v>
      </c>
      <c r="AD807" s="36" t="str">
        <f>VLOOKUP(D807,Oficial!A:C,3,0)</f>
        <v>Compras Convenio GORE Region de Los Lagos</v>
      </c>
    </row>
    <row r="808" spans="1:30" x14ac:dyDescent="0.25">
      <c r="A808" s="36" t="s">
        <v>27</v>
      </c>
      <c r="B808" s="36" t="s">
        <v>808</v>
      </c>
      <c r="C808" s="36" t="s">
        <v>594</v>
      </c>
      <c r="D808" s="36" t="s">
        <v>808</v>
      </c>
      <c r="E808" s="36" t="s">
        <v>30</v>
      </c>
      <c r="F808" s="36" t="s">
        <v>569</v>
      </c>
      <c r="G808" s="37" t="s">
        <v>804</v>
      </c>
      <c r="H808" s="36" t="s">
        <v>809</v>
      </c>
      <c r="I808" s="36" t="s">
        <v>810</v>
      </c>
      <c r="J808" s="36">
        <v>1</v>
      </c>
      <c r="K808" s="36" t="s">
        <v>807</v>
      </c>
      <c r="L808" s="36">
        <v>4</v>
      </c>
      <c r="M808" s="36">
        <v>1</v>
      </c>
      <c r="N808" s="38">
        <v>37000000</v>
      </c>
      <c r="O808" s="38">
        <v>37000000</v>
      </c>
      <c r="P808" s="36">
        <v>1</v>
      </c>
      <c r="Q808" s="40">
        <v>46296</v>
      </c>
      <c r="R808" s="36" t="s">
        <v>624</v>
      </c>
      <c r="S808" s="36" t="s">
        <v>625</v>
      </c>
      <c r="T808" s="36" t="s">
        <v>626</v>
      </c>
      <c r="U808" s="36" t="s">
        <v>627</v>
      </c>
      <c r="V808" s="40">
        <v>46296</v>
      </c>
      <c r="W808" s="36"/>
      <c r="X808" s="36">
        <v>0</v>
      </c>
      <c r="Y808" s="36"/>
      <c r="Z808" s="36">
        <v>0</v>
      </c>
      <c r="AA808" s="36">
        <v>0</v>
      </c>
      <c r="AB808" s="36"/>
      <c r="AC808" s="36" t="str">
        <f t="shared" si="1"/>
        <v>PC26</v>
      </c>
      <c r="AD808" s="36" t="str">
        <f>VLOOKUP(D808,Oficial!A:C,3,0)</f>
        <v>Compras Convenio GORE Region de Los Lagos</v>
      </c>
    </row>
    <row r="809" spans="1:30" x14ac:dyDescent="0.25">
      <c r="A809" s="36" t="s">
        <v>27</v>
      </c>
      <c r="B809" s="36" t="s">
        <v>811</v>
      </c>
      <c r="C809" s="36" t="s">
        <v>28</v>
      </c>
      <c r="D809" s="36" t="s">
        <v>811</v>
      </c>
      <c r="E809" s="36" t="s">
        <v>30</v>
      </c>
      <c r="F809" s="36" t="s">
        <v>569</v>
      </c>
      <c r="G809" s="37" t="s">
        <v>812</v>
      </c>
      <c r="H809" s="36" t="s">
        <v>813</v>
      </c>
      <c r="I809" s="36" t="s">
        <v>814</v>
      </c>
      <c r="J809" s="36">
        <v>1</v>
      </c>
      <c r="K809" s="36" t="s">
        <v>815</v>
      </c>
      <c r="L809" s="36">
        <v>4</v>
      </c>
      <c r="M809" s="36">
        <v>100</v>
      </c>
      <c r="N809" s="38">
        <v>4000</v>
      </c>
      <c r="O809" s="38">
        <v>400000</v>
      </c>
      <c r="P809" s="36">
        <v>1</v>
      </c>
      <c r="Q809" s="40">
        <v>46082</v>
      </c>
      <c r="R809" s="36" t="s">
        <v>790</v>
      </c>
      <c r="S809" s="36" t="s">
        <v>791</v>
      </c>
      <c r="T809" s="36" t="s">
        <v>792</v>
      </c>
      <c r="U809" s="36" t="s">
        <v>793</v>
      </c>
      <c r="V809" s="40">
        <v>46082</v>
      </c>
      <c r="W809" s="36"/>
      <c r="X809" s="36">
        <v>0</v>
      </c>
      <c r="Y809" s="36"/>
      <c r="Z809" s="36">
        <v>0</v>
      </c>
      <c r="AA809" s="36">
        <v>0</v>
      </c>
      <c r="AB809" s="36"/>
      <c r="AC809" s="36" t="str">
        <f t="shared" si="1"/>
        <v>PC26</v>
      </c>
      <c r="AD809" s="36" t="str">
        <f>VLOOKUP(D809,Oficial!A:C,3,0)</f>
        <v>Bienes y Servicios</v>
      </c>
    </row>
    <row r="810" spans="1:30" x14ac:dyDescent="0.25">
      <c r="A810" s="36" t="s">
        <v>27</v>
      </c>
      <c r="B810" s="36" t="s">
        <v>816</v>
      </c>
      <c r="C810" s="36" t="s">
        <v>28</v>
      </c>
      <c r="D810" s="36" t="s">
        <v>816</v>
      </c>
      <c r="E810" s="36" t="s">
        <v>30</v>
      </c>
      <c r="F810" s="36" t="s">
        <v>569</v>
      </c>
      <c r="G810" s="37" t="s">
        <v>483</v>
      </c>
      <c r="H810" s="36" t="s">
        <v>817</v>
      </c>
      <c r="I810" s="36" t="s">
        <v>818</v>
      </c>
      <c r="J810" s="36">
        <v>5</v>
      </c>
      <c r="K810" s="36" t="s">
        <v>819</v>
      </c>
      <c r="L810" s="36">
        <v>4</v>
      </c>
      <c r="M810" s="36">
        <v>415</v>
      </c>
      <c r="N810" s="38">
        <v>3494</v>
      </c>
      <c r="O810" s="38">
        <v>1450010</v>
      </c>
      <c r="P810" s="36">
        <v>1</v>
      </c>
      <c r="Q810" s="40">
        <v>46113</v>
      </c>
      <c r="R810" s="36" t="s">
        <v>768</v>
      </c>
      <c r="S810" s="36" t="s">
        <v>769</v>
      </c>
      <c r="T810" s="36" t="s">
        <v>770</v>
      </c>
      <c r="U810" s="36" t="s">
        <v>388</v>
      </c>
      <c r="V810" s="40">
        <v>46113</v>
      </c>
      <c r="W810" s="36"/>
      <c r="X810" s="36">
        <v>0</v>
      </c>
      <c r="Y810" s="36"/>
      <c r="Z810" s="36">
        <v>0</v>
      </c>
      <c r="AA810" s="36">
        <v>0</v>
      </c>
      <c r="AB810" s="36"/>
      <c r="AC810" s="36" t="str">
        <f t="shared" si="1"/>
        <v>PC26</v>
      </c>
      <c r="AD810" s="36" t="str">
        <f>VLOOKUP(D810,Oficial!A:C,3,0)</f>
        <v>Bienes y Servicios</v>
      </c>
    </row>
    <row r="811" spans="1:30" x14ac:dyDescent="0.25">
      <c r="A811" s="36" t="s">
        <v>27</v>
      </c>
      <c r="B811" s="36" t="s">
        <v>816</v>
      </c>
      <c r="C811" s="36" t="s">
        <v>28</v>
      </c>
      <c r="D811" s="36" t="s">
        <v>816</v>
      </c>
      <c r="E811" s="36" t="s">
        <v>30</v>
      </c>
      <c r="F811" s="36" t="s">
        <v>569</v>
      </c>
      <c r="G811" s="37" t="s">
        <v>483</v>
      </c>
      <c r="H811" s="36" t="s">
        <v>817</v>
      </c>
      <c r="I811" s="36" t="s">
        <v>818</v>
      </c>
      <c r="J811" s="36">
        <v>5</v>
      </c>
      <c r="K811" s="36" t="s">
        <v>486</v>
      </c>
      <c r="L811" s="36">
        <v>4</v>
      </c>
      <c r="M811" s="36">
        <v>4</v>
      </c>
      <c r="N811" s="38">
        <v>62500</v>
      </c>
      <c r="O811" s="38">
        <v>250000</v>
      </c>
      <c r="P811" s="36">
        <v>1</v>
      </c>
      <c r="Q811" s="40">
        <v>46023</v>
      </c>
      <c r="R811" s="36" t="s">
        <v>768</v>
      </c>
      <c r="S811" s="36" t="s">
        <v>769</v>
      </c>
      <c r="T811" s="36" t="s">
        <v>770</v>
      </c>
      <c r="U811" s="36" t="s">
        <v>388</v>
      </c>
      <c r="V811" s="40">
        <v>46023</v>
      </c>
      <c r="W811" s="36"/>
      <c r="X811" s="36">
        <v>0</v>
      </c>
      <c r="Y811" s="36"/>
      <c r="Z811" s="36">
        <v>0</v>
      </c>
      <c r="AA811" s="36">
        <v>0</v>
      </c>
      <c r="AB811" s="36"/>
      <c r="AC811" s="36" t="str">
        <f t="shared" si="1"/>
        <v>PC26</v>
      </c>
      <c r="AD811" s="36" t="str">
        <f>VLOOKUP(D811,Oficial!A:C,3,0)</f>
        <v>Bienes y Servicios</v>
      </c>
    </row>
    <row r="812" spans="1:30" x14ac:dyDescent="0.25">
      <c r="A812" s="36" t="s">
        <v>27</v>
      </c>
      <c r="B812" s="36" t="s">
        <v>816</v>
      </c>
      <c r="C812" s="36" t="s">
        <v>28</v>
      </c>
      <c r="D812" s="36" t="s">
        <v>816</v>
      </c>
      <c r="E812" s="36" t="s">
        <v>30</v>
      </c>
      <c r="F812" s="36" t="s">
        <v>569</v>
      </c>
      <c r="G812" s="37" t="s">
        <v>483</v>
      </c>
      <c r="H812" s="36" t="s">
        <v>817</v>
      </c>
      <c r="I812" s="36" t="s">
        <v>818</v>
      </c>
      <c r="J812" s="36">
        <v>5</v>
      </c>
      <c r="K812" s="36" t="s">
        <v>820</v>
      </c>
      <c r="L812" s="36">
        <v>4</v>
      </c>
      <c r="M812" s="36">
        <v>2</v>
      </c>
      <c r="N812" s="38">
        <v>750000</v>
      </c>
      <c r="O812" s="38">
        <v>1500000</v>
      </c>
      <c r="P812" s="36">
        <v>1</v>
      </c>
      <c r="Q812" s="40">
        <v>46023</v>
      </c>
      <c r="R812" s="36" t="s">
        <v>768</v>
      </c>
      <c r="S812" s="36" t="s">
        <v>769</v>
      </c>
      <c r="T812" s="36" t="s">
        <v>770</v>
      </c>
      <c r="U812" s="36" t="s">
        <v>388</v>
      </c>
      <c r="V812" s="40">
        <v>46023</v>
      </c>
      <c r="W812" s="36"/>
      <c r="X812" s="36">
        <v>0</v>
      </c>
      <c r="Y812" s="36"/>
      <c r="Z812" s="36">
        <v>0</v>
      </c>
      <c r="AA812" s="36">
        <v>0</v>
      </c>
      <c r="AB812" s="36"/>
      <c r="AC812" s="36" t="str">
        <f t="shared" si="1"/>
        <v>PC26</v>
      </c>
      <c r="AD812" s="36" t="str">
        <f>VLOOKUP(D812,Oficial!A:C,3,0)</f>
        <v>Bienes y Servicios</v>
      </c>
    </row>
    <row r="813" spans="1:30" x14ac:dyDescent="0.25">
      <c r="A813" s="36" t="s">
        <v>27</v>
      </c>
      <c r="B813" s="36" t="s">
        <v>816</v>
      </c>
      <c r="C813" s="36" t="s">
        <v>28</v>
      </c>
      <c r="D813" s="36" t="s">
        <v>816</v>
      </c>
      <c r="E813" s="36" t="s">
        <v>30</v>
      </c>
      <c r="F813" s="36" t="s">
        <v>569</v>
      </c>
      <c r="G813" s="37" t="s">
        <v>483</v>
      </c>
      <c r="H813" s="36" t="s">
        <v>817</v>
      </c>
      <c r="I813" s="36" t="s">
        <v>818</v>
      </c>
      <c r="J813" s="36">
        <v>5</v>
      </c>
      <c r="K813" s="36" t="s">
        <v>821</v>
      </c>
      <c r="L813" s="36">
        <v>4</v>
      </c>
      <c r="M813" s="36">
        <v>146</v>
      </c>
      <c r="N813" s="38">
        <v>13014</v>
      </c>
      <c r="O813" s="38">
        <v>1900044</v>
      </c>
      <c r="P813" s="36">
        <v>1</v>
      </c>
      <c r="Q813" s="40">
        <v>46082</v>
      </c>
      <c r="R813" s="36" t="s">
        <v>768</v>
      </c>
      <c r="S813" s="36" t="s">
        <v>769</v>
      </c>
      <c r="T813" s="36" t="s">
        <v>770</v>
      </c>
      <c r="U813" s="36" t="s">
        <v>388</v>
      </c>
      <c r="V813" s="40">
        <v>46082</v>
      </c>
      <c r="W813" s="36"/>
      <c r="X813" s="36">
        <v>0</v>
      </c>
      <c r="Y813" s="36"/>
      <c r="Z813" s="36">
        <v>0</v>
      </c>
      <c r="AA813" s="36">
        <v>0</v>
      </c>
      <c r="AB813" s="36"/>
      <c r="AC813" s="36" t="str">
        <f t="shared" si="1"/>
        <v>PC26</v>
      </c>
      <c r="AD813" s="36" t="str">
        <f>VLOOKUP(D813,Oficial!A:C,3,0)</f>
        <v>Bienes y Servicios</v>
      </c>
    </row>
    <row r="814" spans="1:30" x14ac:dyDescent="0.25">
      <c r="A814" s="36" t="s">
        <v>27</v>
      </c>
      <c r="B814" s="36" t="s">
        <v>816</v>
      </c>
      <c r="C814" s="36" t="s">
        <v>28</v>
      </c>
      <c r="D814" s="36" t="s">
        <v>816</v>
      </c>
      <c r="E814" s="36" t="s">
        <v>30</v>
      </c>
      <c r="F814" s="36" t="s">
        <v>569</v>
      </c>
      <c r="G814" s="37" t="s">
        <v>483</v>
      </c>
      <c r="H814" s="36" t="s">
        <v>817</v>
      </c>
      <c r="I814" s="36" t="s">
        <v>818</v>
      </c>
      <c r="J814" s="36">
        <v>5</v>
      </c>
      <c r="K814" s="36" t="s">
        <v>821</v>
      </c>
      <c r="L814" s="36">
        <v>4</v>
      </c>
      <c r="M814" s="36">
        <v>6</v>
      </c>
      <c r="N814" s="38">
        <v>17334</v>
      </c>
      <c r="O814" s="38">
        <v>104004</v>
      </c>
      <c r="P814" s="36">
        <v>1</v>
      </c>
      <c r="Q814" s="40">
        <v>46023</v>
      </c>
      <c r="R814" s="36" t="s">
        <v>768</v>
      </c>
      <c r="S814" s="36" t="s">
        <v>769</v>
      </c>
      <c r="T814" s="36" t="s">
        <v>770</v>
      </c>
      <c r="U814" s="36" t="s">
        <v>388</v>
      </c>
      <c r="V814" s="40">
        <v>46023</v>
      </c>
      <c r="W814" s="36"/>
      <c r="X814" s="36">
        <v>0</v>
      </c>
      <c r="Y814" s="36"/>
      <c r="Z814" s="36">
        <v>0</v>
      </c>
      <c r="AA814" s="36">
        <v>0</v>
      </c>
      <c r="AB814" s="36"/>
      <c r="AC814" s="36" t="str">
        <f t="shared" si="1"/>
        <v>PC26</v>
      </c>
      <c r="AD814" s="36" t="str">
        <f>VLOOKUP(D814,Oficial!A:C,3,0)</f>
        <v>Bienes y Servicios</v>
      </c>
    </row>
    <row r="815" spans="1:30" x14ac:dyDescent="0.25">
      <c r="A815" s="36" t="s">
        <v>27</v>
      </c>
      <c r="B815" s="36" t="s">
        <v>822</v>
      </c>
      <c r="C815" s="36" t="s">
        <v>374</v>
      </c>
      <c r="D815" s="36" t="s">
        <v>822</v>
      </c>
      <c r="E815" s="36" t="s">
        <v>30</v>
      </c>
      <c r="F815" s="36" t="s">
        <v>569</v>
      </c>
      <c r="G815" s="37" t="s">
        <v>654</v>
      </c>
      <c r="H815" s="36" t="s">
        <v>823</v>
      </c>
      <c r="I815" s="36" t="s">
        <v>824</v>
      </c>
      <c r="J815" s="36">
        <v>3</v>
      </c>
      <c r="K815" s="36" t="s">
        <v>359</v>
      </c>
      <c r="L815" s="36">
        <v>4</v>
      </c>
      <c r="M815" s="36">
        <v>15</v>
      </c>
      <c r="N815" s="38">
        <v>9600</v>
      </c>
      <c r="O815" s="38">
        <v>144000</v>
      </c>
      <c r="P815" s="36">
        <v>1</v>
      </c>
      <c r="Q815" s="40">
        <v>46023</v>
      </c>
      <c r="R815" s="36" t="s">
        <v>768</v>
      </c>
      <c r="S815" s="36" t="s">
        <v>769</v>
      </c>
      <c r="T815" s="36" t="s">
        <v>770</v>
      </c>
      <c r="U815" s="36" t="s">
        <v>388</v>
      </c>
      <c r="V815" s="40">
        <v>46023</v>
      </c>
      <c r="W815" s="36"/>
      <c r="X815" s="36">
        <v>0</v>
      </c>
      <c r="Y815" s="36"/>
      <c r="Z815" s="36">
        <v>0</v>
      </c>
      <c r="AA815" s="36">
        <v>0</v>
      </c>
      <c r="AB815" s="36"/>
      <c r="AC815" s="36" t="str">
        <f t="shared" si="1"/>
        <v>PC26</v>
      </c>
      <c r="AD815" s="36" t="str">
        <f>VLOOKUP(D815,Oficial!A:C,3,0)</f>
        <v>Administración de Fondos</v>
      </c>
    </row>
    <row r="816" spans="1:30" x14ac:dyDescent="0.25">
      <c r="A816" s="36" t="s">
        <v>27</v>
      </c>
      <c r="B816" s="36" t="s">
        <v>822</v>
      </c>
      <c r="C816" s="36" t="s">
        <v>374</v>
      </c>
      <c r="D816" s="36" t="s">
        <v>822</v>
      </c>
      <c r="E816" s="36" t="s">
        <v>30</v>
      </c>
      <c r="F816" s="36" t="s">
        <v>569</v>
      </c>
      <c r="G816" s="37" t="s">
        <v>654</v>
      </c>
      <c r="H816" s="36" t="s">
        <v>823</v>
      </c>
      <c r="I816" s="36" t="s">
        <v>824</v>
      </c>
      <c r="J816" s="36">
        <v>3</v>
      </c>
      <c r="K816" s="36" t="s">
        <v>825</v>
      </c>
      <c r="L816" s="36">
        <v>4</v>
      </c>
      <c r="M816" s="36">
        <v>16</v>
      </c>
      <c r="N816" s="38">
        <v>11875</v>
      </c>
      <c r="O816" s="38">
        <v>190000</v>
      </c>
      <c r="P816" s="36">
        <v>1</v>
      </c>
      <c r="Q816" s="40">
        <v>46023</v>
      </c>
      <c r="R816" s="36" t="s">
        <v>768</v>
      </c>
      <c r="S816" s="36" t="s">
        <v>769</v>
      </c>
      <c r="T816" s="36" t="s">
        <v>770</v>
      </c>
      <c r="U816" s="36" t="s">
        <v>388</v>
      </c>
      <c r="V816" s="40">
        <v>46023</v>
      </c>
      <c r="W816" s="36"/>
      <c r="X816" s="36">
        <v>0</v>
      </c>
      <c r="Y816" s="36"/>
      <c r="Z816" s="36">
        <v>0</v>
      </c>
      <c r="AA816" s="36">
        <v>0</v>
      </c>
      <c r="AB816" s="36"/>
      <c r="AC816" s="36" t="str">
        <f t="shared" si="1"/>
        <v>PC26</v>
      </c>
      <c r="AD816" s="36" t="str">
        <f>VLOOKUP(D816,Oficial!A:C,3,0)</f>
        <v>Administración de Fondos</v>
      </c>
    </row>
    <row r="817" spans="1:30" x14ac:dyDescent="0.25">
      <c r="A817" s="36" t="s">
        <v>27</v>
      </c>
      <c r="B817" s="36" t="s">
        <v>822</v>
      </c>
      <c r="C817" s="36" t="s">
        <v>374</v>
      </c>
      <c r="D817" s="36" t="s">
        <v>822</v>
      </c>
      <c r="E817" s="36" t="s">
        <v>30</v>
      </c>
      <c r="F817" s="36" t="s">
        <v>569</v>
      </c>
      <c r="G817" s="37" t="s">
        <v>654</v>
      </c>
      <c r="H817" s="36" t="s">
        <v>823</v>
      </c>
      <c r="I817" s="36" t="s">
        <v>824</v>
      </c>
      <c r="J817" s="36">
        <v>3</v>
      </c>
      <c r="K817" s="36" t="s">
        <v>826</v>
      </c>
      <c r="L817" s="36">
        <v>4</v>
      </c>
      <c r="M817" s="36">
        <v>23</v>
      </c>
      <c r="N817" s="38">
        <v>5044</v>
      </c>
      <c r="O817" s="38">
        <v>116012</v>
      </c>
      <c r="P817" s="36">
        <v>1</v>
      </c>
      <c r="Q817" s="40">
        <v>46023</v>
      </c>
      <c r="R817" s="36" t="s">
        <v>768</v>
      </c>
      <c r="S817" s="36" t="s">
        <v>769</v>
      </c>
      <c r="T817" s="36" t="s">
        <v>770</v>
      </c>
      <c r="U817" s="36" t="s">
        <v>388</v>
      </c>
      <c r="V817" s="40">
        <v>46023</v>
      </c>
      <c r="W817" s="36"/>
      <c r="X817" s="36">
        <v>0</v>
      </c>
      <c r="Y817" s="36"/>
      <c r="Z817" s="36">
        <v>0</v>
      </c>
      <c r="AA817" s="36">
        <v>0</v>
      </c>
      <c r="AB817" s="36"/>
      <c r="AC817" s="36" t="str">
        <f t="shared" si="1"/>
        <v>PC26</v>
      </c>
      <c r="AD817" s="36" t="str">
        <f>VLOOKUP(D817,Oficial!A:C,3,0)</f>
        <v>Administración de Fondos</v>
      </c>
    </row>
    <row r="818" spans="1:30" x14ac:dyDescent="0.25">
      <c r="A818" s="36" t="s">
        <v>27</v>
      </c>
      <c r="B818" s="36" t="s">
        <v>827</v>
      </c>
      <c r="C818" s="36" t="s">
        <v>28</v>
      </c>
      <c r="D818" s="36" t="s">
        <v>827</v>
      </c>
      <c r="E818" s="36" t="s">
        <v>30</v>
      </c>
      <c r="F818" s="36" t="s">
        <v>569</v>
      </c>
      <c r="G818" s="37" t="s">
        <v>645</v>
      </c>
      <c r="H818" s="36" t="s">
        <v>828</v>
      </c>
      <c r="I818" s="36" t="s">
        <v>829</v>
      </c>
      <c r="J818" s="36">
        <v>4</v>
      </c>
      <c r="K818" s="36" t="s">
        <v>830</v>
      </c>
      <c r="L818" s="36">
        <v>4</v>
      </c>
      <c r="M818" s="36">
        <v>24</v>
      </c>
      <c r="N818" s="38">
        <v>7334</v>
      </c>
      <c r="O818" s="38">
        <v>176016</v>
      </c>
      <c r="P818" s="36">
        <v>1</v>
      </c>
      <c r="Q818" s="40">
        <v>46082</v>
      </c>
      <c r="R818" s="36" t="s">
        <v>761</v>
      </c>
      <c r="S818" s="36" t="s">
        <v>762</v>
      </c>
      <c r="T818" s="36" t="s">
        <v>763</v>
      </c>
      <c r="U818" s="36" t="s">
        <v>764</v>
      </c>
      <c r="V818" s="40">
        <v>46082</v>
      </c>
      <c r="W818" s="36"/>
      <c r="X818" s="36">
        <v>0</v>
      </c>
      <c r="Y818" s="36"/>
      <c r="Z818" s="36">
        <v>0</v>
      </c>
      <c r="AA818" s="36">
        <v>0</v>
      </c>
      <c r="AB818" s="36"/>
      <c r="AC818" s="36" t="str">
        <f t="shared" si="1"/>
        <v>PC26</v>
      </c>
      <c r="AD818" s="36" t="str">
        <f>VLOOKUP(D818,Oficial!A:C,3,0)</f>
        <v>Bienes y Servicios</v>
      </c>
    </row>
    <row r="819" spans="1:30" x14ac:dyDescent="0.25">
      <c r="A819" s="36" t="s">
        <v>27</v>
      </c>
      <c r="B819" s="36" t="s">
        <v>827</v>
      </c>
      <c r="C819" s="36" t="s">
        <v>28</v>
      </c>
      <c r="D819" s="36" t="s">
        <v>827</v>
      </c>
      <c r="E819" s="36" t="s">
        <v>30</v>
      </c>
      <c r="F819" s="36" t="s">
        <v>569</v>
      </c>
      <c r="G819" s="37" t="s">
        <v>645</v>
      </c>
      <c r="H819" s="36" t="s">
        <v>828</v>
      </c>
      <c r="I819" s="36" t="s">
        <v>829</v>
      </c>
      <c r="J819" s="36">
        <v>4</v>
      </c>
      <c r="K819" s="36" t="s">
        <v>831</v>
      </c>
      <c r="L819" s="36">
        <v>4</v>
      </c>
      <c r="M819" s="36">
        <v>500</v>
      </c>
      <c r="N819" s="38">
        <v>600</v>
      </c>
      <c r="O819" s="38">
        <v>300000</v>
      </c>
      <c r="P819" s="36">
        <v>1</v>
      </c>
      <c r="Q819" s="40">
        <v>46082</v>
      </c>
      <c r="R819" s="36" t="s">
        <v>761</v>
      </c>
      <c r="S819" s="36" t="s">
        <v>762</v>
      </c>
      <c r="T819" s="36" t="s">
        <v>763</v>
      </c>
      <c r="U819" s="36" t="s">
        <v>764</v>
      </c>
      <c r="V819" s="40">
        <v>46082</v>
      </c>
      <c r="W819" s="36"/>
      <c r="X819" s="36">
        <v>0</v>
      </c>
      <c r="Y819" s="36"/>
      <c r="Z819" s="36">
        <v>0</v>
      </c>
      <c r="AA819" s="36">
        <v>0</v>
      </c>
      <c r="AB819" s="36"/>
      <c r="AC819" s="36" t="str">
        <f t="shared" si="1"/>
        <v>PC26</v>
      </c>
      <c r="AD819" s="36" t="str">
        <f>VLOOKUP(D819,Oficial!A:C,3,0)</f>
        <v>Bienes y Servicios</v>
      </c>
    </row>
    <row r="820" spans="1:30" x14ac:dyDescent="0.25">
      <c r="A820" s="36" t="s">
        <v>27</v>
      </c>
      <c r="B820" s="36" t="s">
        <v>827</v>
      </c>
      <c r="C820" s="36" t="s">
        <v>28</v>
      </c>
      <c r="D820" s="36" t="s">
        <v>827</v>
      </c>
      <c r="E820" s="36" t="s">
        <v>30</v>
      </c>
      <c r="F820" s="36" t="s">
        <v>569</v>
      </c>
      <c r="G820" s="37" t="s">
        <v>645</v>
      </c>
      <c r="H820" s="36" t="s">
        <v>828</v>
      </c>
      <c r="I820" s="36" t="s">
        <v>829</v>
      </c>
      <c r="J820" s="36">
        <v>4</v>
      </c>
      <c r="K820" s="36" t="s">
        <v>832</v>
      </c>
      <c r="L820" s="36">
        <v>4</v>
      </c>
      <c r="M820" s="36">
        <v>2</v>
      </c>
      <c r="N820" s="38">
        <v>75000</v>
      </c>
      <c r="O820" s="38">
        <v>150000</v>
      </c>
      <c r="P820" s="36">
        <v>1</v>
      </c>
      <c r="Q820" s="40">
        <v>46023</v>
      </c>
      <c r="R820" s="36" t="s">
        <v>761</v>
      </c>
      <c r="S820" s="36" t="s">
        <v>762</v>
      </c>
      <c r="T820" s="36" t="s">
        <v>763</v>
      </c>
      <c r="U820" s="36" t="s">
        <v>764</v>
      </c>
      <c r="V820" s="40">
        <v>46023</v>
      </c>
      <c r="W820" s="36"/>
      <c r="X820" s="36">
        <v>0</v>
      </c>
      <c r="Y820" s="36"/>
      <c r="Z820" s="36">
        <v>0</v>
      </c>
      <c r="AA820" s="36">
        <v>0</v>
      </c>
      <c r="AB820" s="36"/>
      <c r="AC820" s="36" t="str">
        <f t="shared" si="1"/>
        <v>PC26</v>
      </c>
      <c r="AD820" s="36" t="str">
        <f>VLOOKUP(D820,Oficial!A:C,3,0)</f>
        <v>Bienes y Servicios</v>
      </c>
    </row>
    <row r="821" spans="1:30" x14ac:dyDescent="0.25">
      <c r="A821" s="36" t="s">
        <v>27</v>
      </c>
      <c r="B821" s="36" t="s">
        <v>827</v>
      </c>
      <c r="C821" s="36" t="s">
        <v>28</v>
      </c>
      <c r="D821" s="36" t="s">
        <v>827</v>
      </c>
      <c r="E821" s="36" t="s">
        <v>30</v>
      </c>
      <c r="F821" s="36" t="s">
        <v>569</v>
      </c>
      <c r="G821" s="37" t="s">
        <v>645</v>
      </c>
      <c r="H821" s="36" t="s">
        <v>828</v>
      </c>
      <c r="I821" s="36" t="s">
        <v>829</v>
      </c>
      <c r="J821" s="36">
        <v>4</v>
      </c>
      <c r="K821" s="36" t="s">
        <v>833</v>
      </c>
      <c r="L821" s="36">
        <v>4</v>
      </c>
      <c r="M821" s="36">
        <v>1550</v>
      </c>
      <c r="N821" s="38">
        <v>691</v>
      </c>
      <c r="O821" s="38">
        <v>1071050</v>
      </c>
      <c r="P821" s="36">
        <v>1</v>
      </c>
      <c r="Q821" s="40">
        <v>46082</v>
      </c>
      <c r="R821" s="36" t="s">
        <v>761</v>
      </c>
      <c r="S821" s="36" t="s">
        <v>762</v>
      </c>
      <c r="T821" s="36" t="s">
        <v>763</v>
      </c>
      <c r="U821" s="36" t="s">
        <v>764</v>
      </c>
      <c r="V821" s="40">
        <v>46082</v>
      </c>
      <c r="W821" s="36"/>
      <c r="X821" s="36">
        <v>0</v>
      </c>
      <c r="Y821" s="36"/>
      <c r="Z821" s="36">
        <v>0</v>
      </c>
      <c r="AA821" s="36">
        <v>0</v>
      </c>
      <c r="AB821" s="36"/>
      <c r="AC821" s="36" t="str">
        <f t="shared" si="1"/>
        <v>PC26</v>
      </c>
      <c r="AD821" s="36" t="str">
        <f>VLOOKUP(D821,Oficial!A:C,3,0)</f>
        <v>Bienes y Servicios</v>
      </c>
    </row>
    <row r="822" spans="1:30" x14ac:dyDescent="0.25">
      <c r="A822" s="36" t="s">
        <v>27</v>
      </c>
      <c r="B822" s="36" t="s">
        <v>834</v>
      </c>
      <c r="C822" s="36" t="s">
        <v>28</v>
      </c>
      <c r="D822" s="36" t="s">
        <v>834</v>
      </c>
      <c r="E822" s="36" t="s">
        <v>30</v>
      </c>
      <c r="F822" s="36" t="s">
        <v>569</v>
      </c>
      <c r="G822" s="37" t="s">
        <v>654</v>
      </c>
      <c r="H822" s="36" t="s">
        <v>835</v>
      </c>
      <c r="I822" s="36" t="s">
        <v>836</v>
      </c>
      <c r="J822" s="36">
        <v>1</v>
      </c>
      <c r="K822" s="36" t="s">
        <v>370</v>
      </c>
      <c r="L822" s="36">
        <v>4</v>
      </c>
      <c r="M822" s="36">
        <v>100</v>
      </c>
      <c r="N822" s="38">
        <v>4000</v>
      </c>
      <c r="O822" s="38">
        <v>400000</v>
      </c>
      <c r="P822" s="36">
        <v>1</v>
      </c>
      <c r="Q822" s="40">
        <v>46204</v>
      </c>
      <c r="R822" s="36" t="s">
        <v>790</v>
      </c>
      <c r="S822" s="36" t="s">
        <v>791</v>
      </c>
      <c r="T822" s="36" t="s">
        <v>792</v>
      </c>
      <c r="U822" s="36" t="s">
        <v>793</v>
      </c>
      <c r="V822" s="40">
        <v>46204</v>
      </c>
      <c r="W822" s="36"/>
      <c r="X822" s="36">
        <v>0</v>
      </c>
      <c r="Y822" s="36"/>
      <c r="Z822" s="36">
        <v>0</v>
      </c>
      <c r="AA822" s="36">
        <v>0</v>
      </c>
      <c r="AB822" s="36"/>
      <c r="AC822" s="36" t="str">
        <f t="shared" si="1"/>
        <v>PC26</v>
      </c>
      <c r="AD822" s="36" t="str">
        <f>VLOOKUP(D822,Oficial!A:C,3,0)</f>
        <v>Bienes y Servicios</v>
      </c>
    </row>
    <row r="823" spans="1:30" x14ac:dyDescent="0.25">
      <c r="A823" s="36" t="s">
        <v>27</v>
      </c>
      <c r="B823" s="36" t="s">
        <v>837</v>
      </c>
      <c r="C823" s="36" t="s">
        <v>28</v>
      </c>
      <c r="D823" s="36" t="s">
        <v>837</v>
      </c>
      <c r="E823" s="36" t="s">
        <v>30</v>
      </c>
      <c r="F823" s="36" t="s">
        <v>569</v>
      </c>
      <c r="G823" s="37" t="s">
        <v>645</v>
      </c>
      <c r="H823" s="36" t="s">
        <v>838</v>
      </c>
      <c r="I823" s="36" t="s">
        <v>839</v>
      </c>
      <c r="J823" s="36">
        <v>1</v>
      </c>
      <c r="K823" s="36" t="s">
        <v>840</v>
      </c>
      <c r="L823" s="36">
        <v>4</v>
      </c>
      <c r="M823" s="36">
        <v>1</v>
      </c>
      <c r="N823" s="38">
        <v>130000</v>
      </c>
      <c r="O823" s="38">
        <v>130000</v>
      </c>
      <c r="P823" s="36">
        <v>1</v>
      </c>
      <c r="Q823" s="40">
        <v>46023</v>
      </c>
      <c r="R823" s="36" t="s">
        <v>768</v>
      </c>
      <c r="S823" s="36" t="s">
        <v>769</v>
      </c>
      <c r="T823" s="36" t="s">
        <v>770</v>
      </c>
      <c r="U823" s="36" t="s">
        <v>388</v>
      </c>
      <c r="V823" s="40">
        <v>46023</v>
      </c>
      <c r="W823" s="36"/>
      <c r="X823" s="36">
        <v>0</v>
      </c>
      <c r="Y823" s="36"/>
      <c r="Z823" s="36">
        <v>0</v>
      </c>
      <c r="AA823" s="36">
        <v>0</v>
      </c>
      <c r="AB823" s="36"/>
      <c r="AC823" s="36" t="str">
        <f t="shared" si="1"/>
        <v>PC26</v>
      </c>
      <c r="AD823" s="36" t="str">
        <f>VLOOKUP(D823,Oficial!A:C,3,0)</f>
        <v>Bienes y Servicios</v>
      </c>
    </row>
    <row r="824" spans="1:30" x14ac:dyDescent="0.25">
      <c r="A824" s="36" t="s">
        <v>27</v>
      </c>
      <c r="B824" s="36" t="s">
        <v>841</v>
      </c>
      <c r="C824" s="36" t="s">
        <v>374</v>
      </c>
      <c r="D824" s="36" t="s">
        <v>841</v>
      </c>
      <c r="E824" s="36" t="s">
        <v>30</v>
      </c>
      <c r="F824" s="36" t="s">
        <v>569</v>
      </c>
      <c r="G824" s="37" t="s">
        <v>842</v>
      </c>
      <c r="H824" s="36" t="s">
        <v>843</v>
      </c>
      <c r="I824" s="36" t="s">
        <v>844</v>
      </c>
      <c r="J824" s="36">
        <v>2</v>
      </c>
      <c r="K824" s="36" t="s">
        <v>845</v>
      </c>
      <c r="L824" s="36">
        <v>4</v>
      </c>
      <c r="M824" s="36">
        <v>20</v>
      </c>
      <c r="N824" s="38">
        <v>5250</v>
      </c>
      <c r="O824" s="38">
        <v>105000</v>
      </c>
      <c r="P824" s="36">
        <v>1</v>
      </c>
      <c r="Q824" s="40">
        <v>46023</v>
      </c>
      <c r="R824" s="36" t="s">
        <v>768</v>
      </c>
      <c r="S824" s="36" t="s">
        <v>769</v>
      </c>
      <c r="T824" s="36" t="s">
        <v>770</v>
      </c>
      <c r="U824" s="36" t="s">
        <v>388</v>
      </c>
      <c r="V824" s="40">
        <v>46023</v>
      </c>
      <c r="W824" s="36"/>
      <c r="X824" s="36">
        <v>0</v>
      </c>
      <c r="Y824" s="36"/>
      <c r="Z824" s="36">
        <v>0</v>
      </c>
      <c r="AA824" s="36">
        <v>0</v>
      </c>
      <c r="AB824" s="36"/>
      <c r="AC824" s="36" t="str">
        <f t="shared" si="1"/>
        <v>PC26</v>
      </c>
      <c r="AD824" s="36" t="str">
        <f>VLOOKUP(D824,Oficial!A:C,3,0)</f>
        <v>Administración de Fondos</v>
      </c>
    </row>
    <row r="825" spans="1:30" x14ac:dyDescent="0.25">
      <c r="A825" s="36" t="s">
        <v>27</v>
      </c>
      <c r="B825" s="36" t="s">
        <v>841</v>
      </c>
      <c r="C825" s="36" t="s">
        <v>374</v>
      </c>
      <c r="D825" s="36" t="s">
        <v>841</v>
      </c>
      <c r="E825" s="36" t="s">
        <v>30</v>
      </c>
      <c r="F825" s="36" t="s">
        <v>569</v>
      </c>
      <c r="G825" s="37" t="s">
        <v>842</v>
      </c>
      <c r="H825" s="36" t="s">
        <v>843</v>
      </c>
      <c r="I825" s="36" t="s">
        <v>844</v>
      </c>
      <c r="J825" s="36">
        <v>2</v>
      </c>
      <c r="K825" s="36" t="s">
        <v>846</v>
      </c>
      <c r="L825" s="36">
        <v>4</v>
      </c>
      <c r="M825" s="36">
        <v>10</v>
      </c>
      <c r="N825" s="38">
        <v>4500</v>
      </c>
      <c r="O825" s="38">
        <v>45000</v>
      </c>
      <c r="P825" s="36">
        <v>1</v>
      </c>
      <c r="Q825" s="40">
        <v>46023</v>
      </c>
      <c r="R825" s="36" t="s">
        <v>768</v>
      </c>
      <c r="S825" s="36" t="s">
        <v>769</v>
      </c>
      <c r="T825" s="36" t="s">
        <v>770</v>
      </c>
      <c r="U825" s="36" t="s">
        <v>388</v>
      </c>
      <c r="V825" s="40">
        <v>46023</v>
      </c>
      <c r="W825" s="36"/>
      <c r="X825" s="36">
        <v>0</v>
      </c>
      <c r="Y825" s="36"/>
      <c r="Z825" s="36">
        <v>0</v>
      </c>
      <c r="AA825" s="36">
        <v>0</v>
      </c>
      <c r="AB825" s="36"/>
      <c r="AC825" s="36" t="str">
        <f t="shared" si="1"/>
        <v>PC26</v>
      </c>
      <c r="AD825" s="36" t="str">
        <f>VLOOKUP(D825,Oficial!A:C,3,0)</f>
        <v>Administración de Fondos</v>
      </c>
    </row>
    <row r="826" spans="1:30" x14ac:dyDescent="0.25">
      <c r="A826" s="36" t="s">
        <v>27</v>
      </c>
      <c r="B826" s="36" t="s">
        <v>847</v>
      </c>
      <c r="C826" s="36" t="s">
        <v>374</v>
      </c>
      <c r="D826" s="36" t="s">
        <v>847</v>
      </c>
      <c r="E826" s="36" t="s">
        <v>30</v>
      </c>
      <c r="F826" s="36" t="s">
        <v>569</v>
      </c>
      <c r="G826" s="37" t="s">
        <v>654</v>
      </c>
      <c r="H826" s="36" t="s">
        <v>848</v>
      </c>
      <c r="I826" s="36" t="s">
        <v>849</v>
      </c>
      <c r="J826" s="36">
        <v>2</v>
      </c>
      <c r="K826" s="36" t="s">
        <v>359</v>
      </c>
      <c r="L826" s="36">
        <v>4</v>
      </c>
      <c r="M826" s="36">
        <v>32</v>
      </c>
      <c r="N826" s="38">
        <v>1181</v>
      </c>
      <c r="O826" s="38">
        <v>37792</v>
      </c>
      <c r="P826" s="36">
        <v>1</v>
      </c>
      <c r="Q826" s="40">
        <v>46204</v>
      </c>
      <c r="R826" s="36" t="s">
        <v>768</v>
      </c>
      <c r="S826" s="36" t="s">
        <v>769</v>
      </c>
      <c r="T826" s="36" t="s">
        <v>770</v>
      </c>
      <c r="U826" s="36" t="s">
        <v>388</v>
      </c>
      <c r="V826" s="40">
        <v>46204</v>
      </c>
      <c r="W826" s="36"/>
      <c r="X826" s="36">
        <v>0</v>
      </c>
      <c r="Y826" s="36"/>
      <c r="Z826" s="36">
        <v>0</v>
      </c>
      <c r="AA826" s="36">
        <v>0</v>
      </c>
      <c r="AB826" s="36"/>
      <c r="AC826" s="36" t="str">
        <f t="shared" si="1"/>
        <v>PC26</v>
      </c>
      <c r="AD826" s="36" t="str">
        <f>VLOOKUP(D826,Oficial!A:C,3,0)</f>
        <v>Administración de Fondos</v>
      </c>
    </row>
    <row r="827" spans="1:30" x14ac:dyDescent="0.25">
      <c r="A827" s="36" t="s">
        <v>27</v>
      </c>
      <c r="B827" s="36" t="s">
        <v>847</v>
      </c>
      <c r="C827" s="36" t="s">
        <v>374</v>
      </c>
      <c r="D827" s="36" t="s">
        <v>847</v>
      </c>
      <c r="E827" s="36" t="s">
        <v>30</v>
      </c>
      <c r="F827" s="36" t="s">
        <v>569</v>
      </c>
      <c r="G827" s="37" t="s">
        <v>654</v>
      </c>
      <c r="H827" s="36" t="s">
        <v>848</v>
      </c>
      <c r="I827" s="36" t="s">
        <v>849</v>
      </c>
      <c r="J827" s="36">
        <v>2</v>
      </c>
      <c r="K827" s="36" t="s">
        <v>850</v>
      </c>
      <c r="L827" s="36">
        <v>4</v>
      </c>
      <c r="M827" s="36">
        <v>9</v>
      </c>
      <c r="N827" s="38">
        <v>3889</v>
      </c>
      <c r="O827" s="38">
        <v>35001</v>
      </c>
      <c r="P827" s="36">
        <v>1</v>
      </c>
      <c r="Q827" s="40">
        <v>46204</v>
      </c>
      <c r="R827" s="36" t="s">
        <v>768</v>
      </c>
      <c r="S827" s="36" t="s">
        <v>769</v>
      </c>
      <c r="T827" s="36" t="s">
        <v>770</v>
      </c>
      <c r="U827" s="36" t="s">
        <v>388</v>
      </c>
      <c r="V827" s="40">
        <v>46204</v>
      </c>
      <c r="W827" s="36"/>
      <c r="X827" s="36">
        <v>0</v>
      </c>
      <c r="Y827" s="36"/>
      <c r="Z827" s="36">
        <v>0</v>
      </c>
      <c r="AA827" s="36">
        <v>0</v>
      </c>
      <c r="AB827" s="36"/>
      <c r="AC827" s="36" t="str">
        <f t="shared" si="1"/>
        <v>PC26</v>
      </c>
      <c r="AD827" s="36" t="str">
        <f>VLOOKUP(D827,Oficial!A:C,3,0)</f>
        <v>Administración de Fondos</v>
      </c>
    </row>
    <row r="828" spans="1:30" x14ac:dyDescent="0.25">
      <c r="A828" s="36" t="s">
        <v>27</v>
      </c>
      <c r="B828" s="36" t="s">
        <v>851</v>
      </c>
      <c r="C828" s="36" t="s">
        <v>374</v>
      </c>
      <c r="D828" s="36" t="s">
        <v>851</v>
      </c>
      <c r="E828" s="36" t="s">
        <v>30</v>
      </c>
      <c r="F828" s="36" t="s">
        <v>569</v>
      </c>
      <c r="G828" s="37" t="s">
        <v>645</v>
      </c>
      <c r="H828" s="36" t="s">
        <v>852</v>
      </c>
      <c r="I828" s="36" t="s">
        <v>853</v>
      </c>
      <c r="J828" s="36">
        <v>3</v>
      </c>
      <c r="K828" s="36" t="s">
        <v>854</v>
      </c>
      <c r="L828" s="36">
        <v>4</v>
      </c>
      <c r="M828" s="36">
        <v>78</v>
      </c>
      <c r="N828" s="38">
        <v>949</v>
      </c>
      <c r="O828" s="38">
        <v>74022</v>
      </c>
      <c r="P828" s="36">
        <v>1</v>
      </c>
      <c r="Q828" s="40">
        <v>46235</v>
      </c>
      <c r="R828" s="36" t="s">
        <v>768</v>
      </c>
      <c r="S828" s="36" t="s">
        <v>769</v>
      </c>
      <c r="T828" s="36" t="s">
        <v>770</v>
      </c>
      <c r="U828" s="36" t="s">
        <v>388</v>
      </c>
      <c r="V828" s="40">
        <v>46235</v>
      </c>
      <c r="W828" s="36"/>
      <c r="X828" s="36">
        <v>0</v>
      </c>
      <c r="Y828" s="36"/>
      <c r="Z828" s="36">
        <v>0</v>
      </c>
      <c r="AA828" s="36">
        <v>0</v>
      </c>
      <c r="AB828" s="36"/>
      <c r="AC828" s="36" t="str">
        <f t="shared" si="1"/>
        <v>PC26</v>
      </c>
      <c r="AD828" s="36" t="str">
        <f>VLOOKUP(D828,Oficial!A:C,3,0)</f>
        <v>Administración de Fondos</v>
      </c>
    </row>
    <row r="829" spans="1:30" x14ac:dyDescent="0.25">
      <c r="A829" s="36" t="s">
        <v>27</v>
      </c>
      <c r="B829" s="36" t="s">
        <v>851</v>
      </c>
      <c r="C829" s="36" t="s">
        <v>374</v>
      </c>
      <c r="D829" s="36" t="s">
        <v>851</v>
      </c>
      <c r="E829" s="36" t="s">
        <v>30</v>
      </c>
      <c r="F829" s="36" t="s">
        <v>569</v>
      </c>
      <c r="G829" s="37" t="s">
        <v>645</v>
      </c>
      <c r="H829" s="36" t="s">
        <v>852</v>
      </c>
      <c r="I829" s="36" t="s">
        <v>853</v>
      </c>
      <c r="J829" s="36">
        <v>3</v>
      </c>
      <c r="K829" s="36" t="s">
        <v>602</v>
      </c>
      <c r="L829" s="36">
        <v>4</v>
      </c>
      <c r="M829" s="36">
        <v>1</v>
      </c>
      <c r="N829" s="38">
        <v>500000</v>
      </c>
      <c r="O829" s="38">
        <v>500000</v>
      </c>
      <c r="P829" s="36">
        <v>1</v>
      </c>
      <c r="Q829" s="40">
        <v>46235</v>
      </c>
      <c r="R829" s="36" t="s">
        <v>768</v>
      </c>
      <c r="S829" s="36" t="s">
        <v>769</v>
      </c>
      <c r="T829" s="36" t="s">
        <v>770</v>
      </c>
      <c r="U829" s="36" t="s">
        <v>388</v>
      </c>
      <c r="V829" s="40">
        <v>46235</v>
      </c>
      <c r="W829" s="36"/>
      <c r="X829" s="36">
        <v>0</v>
      </c>
      <c r="Y829" s="36"/>
      <c r="Z829" s="36">
        <v>0</v>
      </c>
      <c r="AA829" s="36">
        <v>0</v>
      </c>
      <c r="AB829" s="36"/>
      <c r="AC829" s="36" t="str">
        <f t="shared" si="1"/>
        <v>PC26</v>
      </c>
      <c r="AD829" s="36" t="str">
        <f>VLOOKUP(D829,Oficial!A:C,3,0)</f>
        <v>Administración de Fondos</v>
      </c>
    </row>
    <row r="830" spans="1:30" x14ac:dyDescent="0.25">
      <c r="A830" s="36" t="s">
        <v>27</v>
      </c>
      <c r="B830" s="36" t="s">
        <v>851</v>
      </c>
      <c r="C830" s="36" t="s">
        <v>374</v>
      </c>
      <c r="D830" s="36" t="s">
        <v>851</v>
      </c>
      <c r="E830" s="36" t="s">
        <v>30</v>
      </c>
      <c r="F830" s="36" t="s">
        <v>569</v>
      </c>
      <c r="G830" s="37" t="s">
        <v>645</v>
      </c>
      <c r="H830" s="36" t="s">
        <v>852</v>
      </c>
      <c r="I830" s="36" t="s">
        <v>853</v>
      </c>
      <c r="J830" s="36">
        <v>3</v>
      </c>
      <c r="K830" s="36" t="s">
        <v>855</v>
      </c>
      <c r="L830" s="36">
        <v>4</v>
      </c>
      <c r="M830" s="36">
        <v>10</v>
      </c>
      <c r="N830" s="38">
        <v>1500</v>
      </c>
      <c r="O830" s="38">
        <v>15000</v>
      </c>
      <c r="P830" s="36">
        <v>1</v>
      </c>
      <c r="Q830" s="40">
        <v>46235</v>
      </c>
      <c r="R830" s="36" t="s">
        <v>768</v>
      </c>
      <c r="S830" s="36" t="s">
        <v>769</v>
      </c>
      <c r="T830" s="36" t="s">
        <v>770</v>
      </c>
      <c r="U830" s="36" t="s">
        <v>388</v>
      </c>
      <c r="V830" s="40">
        <v>46235</v>
      </c>
      <c r="W830" s="36"/>
      <c r="X830" s="36">
        <v>0</v>
      </c>
      <c r="Y830" s="36"/>
      <c r="Z830" s="36">
        <v>0</v>
      </c>
      <c r="AA830" s="36">
        <v>0</v>
      </c>
      <c r="AB830" s="36"/>
      <c r="AC830" s="36" t="str">
        <f t="shared" si="1"/>
        <v>PC26</v>
      </c>
      <c r="AD830" s="36" t="str">
        <f>VLOOKUP(D830,Oficial!A:C,3,0)</f>
        <v>Administración de Fondos</v>
      </c>
    </row>
    <row r="831" spans="1:30" x14ac:dyDescent="0.25">
      <c r="A831" s="36" t="s">
        <v>27</v>
      </c>
      <c r="B831" s="36" t="s">
        <v>856</v>
      </c>
      <c r="C831" s="36" t="s">
        <v>374</v>
      </c>
      <c r="D831" s="36" t="s">
        <v>856</v>
      </c>
      <c r="E831" s="36" t="s">
        <v>30</v>
      </c>
      <c r="F831" s="36" t="s">
        <v>569</v>
      </c>
      <c r="G831" s="37" t="s">
        <v>800</v>
      </c>
      <c r="H831" s="36" t="s">
        <v>857</v>
      </c>
      <c r="I831" s="36" t="s">
        <v>858</v>
      </c>
      <c r="J831" s="36">
        <v>1</v>
      </c>
      <c r="K831" s="36" t="s">
        <v>859</v>
      </c>
      <c r="L831" s="36">
        <v>4</v>
      </c>
      <c r="M831" s="36">
        <v>6</v>
      </c>
      <c r="N831" s="38">
        <v>50000</v>
      </c>
      <c r="O831" s="38">
        <v>300000</v>
      </c>
      <c r="P831" s="36">
        <v>1</v>
      </c>
      <c r="Q831" s="40">
        <v>46082</v>
      </c>
      <c r="R831" s="36" t="s">
        <v>768</v>
      </c>
      <c r="S831" s="36" t="s">
        <v>769</v>
      </c>
      <c r="T831" s="36" t="s">
        <v>770</v>
      </c>
      <c r="U831" s="36" t="s">
        <v>388</v>
      </c>
      <c r="V831" s="40">
        <v>46082</v>
      </c>
      <c r="W831" s="36"/>
      <c r="X831" s="36">
        <v>0</v>
      </c>
      <c r="Y831" s="36"/>
      <c r="Z831" s="36">
        <v>0</v>
      </c>
      <c r="AA831" s="36">
        <v>0</v>
      </c>
      <c r="AB831" s="36"/>
      <c r="AC831" s="36" t="str">
        <f t="shared" si="1"/>
        <v>PC26</v>
      </c>
      <c r="AD831" s="36" t="str">
        <f>VLOOKUP(D831,Oficial!A:C,3,0)</f>
        <v>Administración de Fondos</v>
      </c>
    </row>
    <row r="832" spans="1:30" x14ac:dyDescent="0.25">
      <c r="A832" s="36" t="s">
        <v>27</v>
      </c>
      <c r="B832" s="36" t="s">
        <v>860</v>
      </c>
      <c r="C832" s="36" t="s">
        <v>28</v>
      </c>
      <c r="D832" s="36" t="s">
        <v>860</v>
      </c>
      <c r="E832" s="36" t="s">
        <v>30</v>
      </c>
      <c r="F832" s="36" t="s">
        <v>569</v>
      </c>
      <c r="G832" s="37" t="s">
        <v>483</v>
      </c>
      <c r="H832" s="36" t="s">
        <v>861</v>
      </c>
      <c r="I832" s="36" t="s">
        <v>862</v>
      </c>
      <c r="J832" s="36">
        <v>1</v>
      </c>
      <c r="K832" s="36" t="s">
        <v>863</v>
      </c>
      <c r="L832" s="36">
        <v>4</v>
      </c>
      <c r="M832" s="36">
        <v>177</v>
      </c>
      <c r="N832" s="38">
        <v>2091</v>
      </c>
      <c r="O832" s="38">
        <v>370107</v>
      </c>
      <c r="P832" s="36">
        <v>1</v>
      </c>
      <c r="Q832" s="40">
        <v>46023</v>
      </c>
      <c r="R832" s="36" t="s">
        <v>864</v>
      </c>
      <c r="S832" s="36" t="s">
        <v>865</v>
      </c>
      <c r="T832" s="36" t="s">
        <v>866</v>
      </c>
      <c r="U832" s="36" t="s">
        <v>867</v>
      </c>
      <c r="V832" s="40">
        <v>46023</v>
      </c>
      <c r="W832" s="36"/>
      <c r="X832" s="36">
        <v>0</v>
      </c>
      <c r="Y832" s="36"/>
      <c r="Z832" s="36">
        <v>0</v>
      </c>
      <c r="AA832" s="36">
        <v>0</v>
      </c>
      <c r="AB832" s="36"/>
      <c r="AC832" s="36" t="str">
        <f t="shared" si="1"/>
        <v>PC26</v>
      </c>
      <c r="AD832" s="36" t="str">
        <f>VLOOKUP(D832,Oficial!A:C,3,0)</f>
        <v>Bienes y Servicios</v>
      </c>
    </row>
    <row r="833" spans="1:30" x14ac:dyDescent="0.25">
      <c r="A833" s="36" t="s">
        <v>27</v>
      </c>
      <c r="B833" s="36" t="s">
        <v>868</v>
      </c>
      <c r="C833" s="36" t="s">
        <v>28</v>
      </c>
      <c r="D833" s="36" t="s">
        <v>868</v>
      </c>
      <c r="E833" s="36" t="s">
        <v>30</v>
      </c>
      <c r="F833" s="36" t="s">
        <v>569</v>
      </c>
      <c r="G833" s="37" t="s">
        <v>32</v>
      </c>
      <c r="H833" s="36" t="s">
        <v>869</v>
      </c>
      <c r="I833" s="36" t="s">
        <v>870</v>
      </c>
      <c r="J833" s="36">
        <v>1</v>
      </c>
      <c r="K833" s="36" t="s">
        <v>807</v>
      </c>
      <c r="L833" s="36">
        <v>4</v>
      </c>
      <c r="M833" s="36">
        <v>1</v>
      </c>
      <c r="N833" s="38">
        <v>3000000</v>
      </c>
      <c r="O833" s="38">
        <v>3000000</v>
      </c>
      <c r="P833" s="36">
        <v>1</v>
      </c>
      <c r="Q833" s="40">
        <v>46143</v>
      </c>
      <c r="R833" s="36" t="s">
        <v>624</v>
      </c>
      <c r="S833" s="36" t="s">
        <v>625</v>
      </c>
      <c r="T833" s="36" t="s">
        <v>626</v>
      </c>
      <c r="U833" s="36" t="s">
        <v>627</v>
      </c>
      <c r="V833" s="40">
        <v>46143</v>
      </c>
      <c r="W833" s="36"/>
      <c r="X833" s="36">
        <v>0</v>
      </c>
      <c r="Y833" s="36"/>
      <c r="Z833" s="36">
        <v>0</v>
      </c>
      <c r="AA833" s="36">
        <v>0</v>
      </c>
      <c r="AB833" s="36"/>
      <c r="AC833" s="36" t="str">
        <f t="shared" si="1"/>
        <v>PC26</v>
      </c>
      <c r="AD833" s="36" t="str">
        <f>VLOOKUP(D833,Oficial!A:C,3,0)</f>
        <v>Bienes y Servicios</v>
      </c>
    </row>
    <row r="834" spans="1:30" x14ac:dyDescent="0.25">
      <c r="A834" s="36" t="s">
        <v>27</v>
      </c>
      <c r="B834" s="36" t="s">
        <v>871</v>
      </c>
      <c r="C834" s="36" t="s">
        <v>28</v>
      </c>
      <c r="D834" s="36" t="s">
        <v>871</v>
      </c>
      <c r="E834" s="36" t="s">
        <v>30</v>
      </c>
      <c r="F834" s="36" t="s">
        <v>569</v>
      </c>
      <c r="G834" s="37" t="s">
        <v>800</v>
      </c>
      <c r="H834" s="36" t="s">
        <v>872</v>
      </c>
      <c r="I834" s="36" t="s">
        <v>873</v>
      </c>
      <c r="J834" s="36">
        <v>1</v>
      </c>
      <c r="K834" s="36" t="s">
        <v>874</v>
      </c>
      <c r="L834" s="36">
        <v>4</v>
      </c>
      <c r="M834" s="36">
        <v>26</v>
      </c>
      <c r="N834" s="38">
        <v>18154</v>
      </c>
      <c r="O834" s="38">
        <v>472004</v>
      </c>
      <c r="P834" s="36">
        <v>1</v>
      </c>
      <c r="Q834" s="40">
        <v>46204</v>
      </c>
      <c r="R834" s="36" t="s">
        <v>761</v>
      </c>
      <c r="S834" s="36" t="s">
        <v>762</v>
      </c>
      <c r="T834" s="36" t="s">
        <v>763</v>
      </c>
      <c r="U834" s="36" t="s">
        <v>764</v>
      </c>
      <c r="V834" s="40">
        <v>46204</v>
      </c>
      <c r="W834" s="36"/>
      <c r="X834" s="36">
        <v>0</v>
      </c>
      <c r="Y834" s="36"/>
      <c r="Z834" s="36">
        <v>0</v>
      </c>
      <c r="AA834" s="36">
        <v>0</v>
      </c>
      <c r="AB834" s="36"/>
      <c r="AC834" s="36" t="str">
        <f t="shared" si="1"/>
        <v>PC26</v>
      </c>
      <c r="AD834" s="36" t="str">
        <f>VLOOKUP(D834,Oficial!A:C,3,0)</f>
        <v>Bienes y Servicios</v>
      </c>
    </row>
    <row r="835" spans="1:30" x14ac:dyDescent="0.25">
      <c r="A835" s="36" t="s">
        <v>27</v>
      </c>
      <c r="B835" s="36" t="s">
        <v>875</v>
      </c>
      <c r="C835" s="36" t="s">
        <v>28</v>
      </c>
      <c r="D835" s="36" t="s">
        <v>875</v>
      </c>
      <c r="E835" s="36" t="s">
        <v>30</v>
      </c>
      <c r="F835" s="36" t="s">
        <v>569</v>
      </c>
      <c r="G835" s="37" t="s">
        <v>645</v>
      </c>
      <c r="H835" s="36" t="s">
        <v>876</v>
      </c>
      <c r="I835" s="36" t="s">
        <v>877</v>
      </c>
      <c r="J835" s="36">
        <v>1</v>
      </c>
      <c r="K835" s="36" t="s">
        <v>878</v>
      </c>
      <c r="L835" s="36">
        <v>4</v>
      </c>
      <c r="M835" s="36">
        <v>4</v>
      </c>
      <c r="N835" s="38">
        <v>150000</v>
      </c>
      <c r="O835" s="38">
        <v>600000</v>
      </c>
      <c r="P835" s="36">
        <v>1</v>
      </c>
      <c r="Q835" s="40">
        <v>46082</v>
      </c>
      <c r="R835" s="36" t="s">
        <v>761</v>
      </c>
      <c r="S835" s="36" t="s">
        <v>762</v>
      </c>
      <c r="T835" s="36" t="s">
        <v>763</v>
      </c>
      <c r="U835" s="36" t="s">
        <v>764</v>
      </c>
      <c r="V835" s="40">
        <v>46082</v>
      </c>
      <c r="W835" s="36"/>
      <c r="X835" s="36">
        <v>0</v>
      </c>
      <c r="Y835" s="36"/>
      <c r="Z835" s="36">
        <v>0</v>
      </c>
      <c r="AA835" s="36">
        <v>0</v>
      </c>
      <c r="AB835" s="36"/>
      <c r="AC835" s="36" t="str">
        <f t="shared" si="1"/>
        <v>PC26</v>
      </c>
      <c r="AD835" s="36" t="str">
        <f>VLOOKUP(D835,Oficial!A:C,3,0)</f>
        <v>Bienes y Servicios</v>
      </c>
    </row>
    <row r="836" spans="1:30" x14ac:dyDescent="0.25">
      <c r="A836" s="36" t="s">
        <v>27</v>
      </c>
      <c r="B836" s="36" t="s">
        <v>879</v>
      </c>
      <c r="C836" s="36" t="s">
        <v>28</v>
      </c>
      <c r="D836" s="36" t="s">
        <v>879</v>
      </c>
      <c r="E836" s="36" t="s">
        <v>30</v>
      </c>
      <c r="F836" s="36" t="s">
        <v>569</v>
      </c>
      <c r="G836" s="37" t="s">
        <v>104</v>
      </c>
      <c r="H836" s="36" t="s">
        <v>880</v>
      </c>
      <c r="I836" s="36" t="s">
        <v>881</v>
      </c>
      <c r="J836" s="36">
        <v>3</v>
      </c>
      <c r="K836" s="36" t="s">
        <v>882</v>
      </c>
      <c r="L836" s="36">
        <v>4</v>
      </c>
      <c r="M836" s="36">
        <v>28</v>
      </c>
      <c r="N836" s="38">
        <v>132143</v>
      </c>
      <c r="O836" s="38">
        <v>3700004</v>
      </c>
      <c r="P836" s="36">
        <v>1</v>
      </c>
      <c r="Q836" s="40">
        <v>46143</v>
      </c>
      <c r="R836" s="36" t="s">
        <v>761</v>
      </c>
      <c r="S836" s="36" t="s">
        <v>762</v>
      </c>
      <c r="T836" s="36" t="s">
        <v>763</v>
      </c>
      <c r="U836" s="36" t="s">
        <v>764</v>
      </c>
      <c r="V836" s="40">
        <v>46143</v>
      </c>
      <c r="W836" s="36"/>
      <c r="X836" s="36">
        <v>0</v>
      </c>
      <c r="Y836" s="36"/>
      <c r="Z836" s="36">
        <v>0</v>
      </c>
      <c r="AA836" s="36">
        <v>0</v>
      </c>
      <c r="AB836" s="36"/>
      <c r="AC836" s="36" t="str">
        <f t="shared" si="1"/>
        <v>PC26</v>
      </c>
      <c r="AD836" s="36" t="str">
        <f>VLOOKUP(D836,Oficial!A:C,3,0)</f>
        <v>Bienes y Servicios</v>
      </c>
    </row>
    <row r="837" spans="1:30" x14ac:dyDescent="0.25">
      <c r="A837" s="36" t="s">
        <v>27</v>
      </c>
      <c r="B837" s="36" t="s">
        <v>879</v>
      </c>
      <c r="C837" s="36" t="s">
        <v>28</v>
      </c>
      <c r="D837" s="36" t="s">
        <v>879</v>
      </c>
      <c r="E837" s="36" t="s">
        <v>30</v>
      </c>
      <c r="F837" s="36" t="s">
        <v>569</v>
      </c>
      <c r="G837" s="37" t="s">
        <v>104</v>
      </c>
      <c r="H837" s="36" t="s">
        <v>880</v>
      </c>
      <c r="I837" s="36" t="s">
        <v>881</v>
      </c>
      <c r="J837" s="36">
        <v>3</v>
      </c>
      <c r="K837" s="36" t="s">
        <v>883</v>
      </c>
      <c r="L837" s="36">
        <v>4</v>
      </c>
      <c r="M837" s="36">
        <v>60</v>
      </c>
      <c r="N837" s="38">
        <v>36667</v>
      </c>
      <c r="O837" s="38">
        <v>2200020</v>
      </c>
      <c r="P837" s="36">
        <v>1</v>
      </c>
      <c r="Q837" s="40">
        <v>46143</v>
      </c>
      <c r="R837" s="36" t="s">
        <v>761</v>
      </c>
      <c r="S837" s="36" t="s">
        <v>762</v>
      </c>
      <c r="T837" s="36" t="s">
        <v>763</v>
      </c>
      <c r="U837" s="36" t="s">
        <v>764</v>
      </c>
      <c r="V837" s="40">
        <v>46143</v>
      </c>
      <c r="W837" s="36"/>
      <c r="X837" s="36">
        <v>0</v>
      </c>
      <c r="Y837" s="36"/>
      <c r="Z837" s="36">
        <v>0</v>
      </c>
      <c r="AA837" s="36">
        <v>0</v>
      </c>
      <c r="AB837" s="36"/>
      <c r="AC837" s="36" t="str">
        <f t="shared" si="1"/>
        <v>PC26</v>
      </c>
      <c r="AD837" s="36" t="str">
        <f>VLOOKUP(D837,Oficial!A:C,3,0)</f>
        <v>Bienes y Servicios</v>
      </c>
    </row>
    <row r="838" spans="1:30" x14ac:dyDescent="0.25">
      <c r="A838" s="36" t="s">
        <v>27</v>
      </c>
      <c r="B838" s="36" t="s">
        <v>879</v>
      </c>
      <c r="C838" s="36" t="s">
        <v>28</v>
      </c>
      <c r="D838" s="36" t="s">
        <v>879</v>
      </c>
      <c r="E838" s="36" t="s">
        <v>30</v>
      </c>
      <c r="F838" s="36" t="s">
        <v>569</v>
      </c>
      <c r="G838" s="37" t="s">
        <v>104</v>
      </c>
      <c r="H838" s="36" t="s">
        <v>880</v>
      </c>
      <c r="I838" s="36" t="s">
        <v>881</v>
      </c>
      <c r="J838" s="36">
        <v>3</v>
      </c>
      <c r="K838" s="36" t="s">
        <v>62</v>
      </c>
      <c r="L838" s="36">
        <v>4</v>
      </c>
      <c r="M838" s="36">
        <v>2</v>
      </c>
      <c r="N838" s="38">
        <v>100000</v>
      </c>
      <c r="O838" s="38">
        <v>200000</v>
      </c>
      <c r="P838" s="36">
        <v>1</v>
      </c>
      <c r="Q838" s="40">
        <v>46143</v>
      </c>
      <c r="R838" s="36" t="s">
        <v>761</v>
      </c>
      <c r="S838" s="36" t="s">
        <v>762</v>
      </c>
      <c r="T838" s="36" t="s">
        <v>763</v>
      </c>
      <c r="U838" s="36" t="s">
        <v>764</v>
      </c>
      <c r="V838" s="40">
        <v>46143</v>
      </c>
      <c r="W838" s="36"/>
      <c r="X838" s="36">
        <v>0</v>
      </c>
      <c r="Y838" s="36"/>
      <c r="Z838" s="36">
        <v>0</v>
      </c>
      <c r="AA838" s="36">
        <v>0</v>
      </c>
      <c r="AB838" s="36"/>
      <c r="AC838" s="36" t="str">
        <f t="shared" si="1"/>
        <v>PC26</v>
      </c>
      <c r="AD838" s="36" t="str">
        <f>VLOOKUP(D838,Oficial!A:C,3,0)</f>
        <v>Bienes y Servicios</v>
      </c>
    </row>
    <row r="839" spans="1:30" x14ac:dyDescent="0.25">
      <c r="A839" s="36" t="s">
        <v>27</v>
      </c>
      <c r="B839" s="36" t="s">
        <v>884</v>
      </c>
      <c r="C839" s="36" t="s">
        <v>28</v>
      </c>
      <c r="D839" s="36" t="s">
        <v>884</v>
      </c>
      <c r="E839" s="36" t="s">
        <v>30</v>
      </c>
      <c r="F839" s="36" t="s">
        <v>569</v>
      </c>
      <c r="G839" s="37" t="s">
        <v>633</v>
      </c>
      <c r="H839" s="36" t="s">
        <v>885</v>
      </c>
      <c r="I839" s="36" t="s">
        <v>886</v>
      </c>
      <c r="J839" s="36">
        <v>3</v>
      </c>
      <c r="K839" s="36" t="s">
        <v>821</v>
      </c>
      <c r="L839" s="36">
        <v>4</v>
      </c>
      <c r="M839" s="36">
        <v>31</v>
      </c>
      <c r="N839" s="38">
        <v>33226</v>
      </c>
      <c r="O839" s="38">
        <v>1030006</v>
      </c>
      <c r="P839" s="36">
        <v>1</v>
      </c>
      <c r="Q839" s="40">
        <v>46113</v>
      </c>
      <c r="R839" s="36" t="s">
        <v>761</v>
      </c>
      <c r="S839" s="36" t="s">
        <v>762</v>
      </c>
      <c r="T839" s="36" t="s">
        <v>763</v>
      </c>
      <c r="U839" s="36" t="s">
        <v>764</v>
      </c>
      <c r="V839" s="40">
        <v>46113</v>
      </c>
      <c r="W839" s="36"/>
      <c r="X839" s="36">
        <v>0</v>
      </c>
      <c r="Y839" s="36"/>
      <c r="Z839" s="36">
        <v>0</v>
      </c>
      <c r="AA839" s="36">
        <v>0</v>
      </c>
      <c r="AB839" s="36"/>
      <c r="AC839" s="36" t="str">
        <f t="shared" si="1"/>
        <v>PC26</v>
      </c>
      <c r="AD839" s="36" t="str">
        <f>VLOOKUP(D839,Oficial!A:C,3,0)</f>
        <v>Bienes y Servicios</v>
      </c>
    </row>
    <row r="840" spans="1:30" x14ac:dyDescent="0.25">
      <c r="A840" s="36" t="s">
        <v>27</v>
      </c>
      <c r="B840" s="36" t="s">
        <v>884</v>
      </c>
      <c r="C840" s="36" t="s">
        <v>28</v>
      </c>
      <c r="D840" s="36" t="s">
        <v>884</v>
      </c>
      <c r="E840" s="36" t="s">
        <v>30</v>
      </c>
      <c r="F840" s="36" t="s">
        <v>569</v>
      </c>
      <c r="G840" s="37" t="s">
        <v>633</v>
      </c>
      <c r="H840" s="36" t="s">
        <v>885</v>
      </c>
      <c r="I840" s="36" t="s">
        <v>886</v>
      </c>
      <c r="J840" s="36">
        <v>3</v>
      </c>
      <c r="K840" s="36" t="s">
        <v>887</v>
      </c>
      <c r="L840" s="36">
        <v>4</v>
      </c>
      <c r="M840" s="36">
        <v>12</v>
      </c>
      <c r="N840" s="38">
        <v>75000</v>
      </c>
      <c r="O840" s="38">
        <v>900000</v>
      </c>
      <c r="P840" s="36">
        <v>1</v>
      </c>
      <c r="Q840" s="40">
        <v>46023</v>
      </c>
      <c r="R840" s="36" t="s">
        <v>761</v>
      </c>
      <c r="S840" s="36" t="s">
        <v>762</v>
      </c>
      <c r="T840" s="36" t="s">
        <v>763</v>
      </c>
      <c r="U840" s="36" t="s">
        <v>764</v>
      </c>
      <c r="V840" s="40">
        <v>46023</v>
      </c>
      <c r="W840" s="36"/>
      <c r="X840" s="36">
        <v>0</v>
      </c>
      <c r="Y840" s="36"/>
      <c r="Z840" s="36">
        <v>0</v>
      </c>
      <c r="AA840" s="36">
        <v>0</v>
      </c>
      <c r="AB840" s="36"/>
      <c r="AC840" s="36" t="str">
        <f t="shared" si="1"/>
        <v>PC26</v>
      </c>
      <c r="AD840" s="36" t="str">
        <f>VLOOKUP(D840,Oficial!A:C,3,0)</f>
        <v>Bienes y Servicios</v>
      </c>
    </row>
    <row r="841" spans="1:30" x14ac:dyDescent="0.25">
      <c r="A841" s="36" t="s">
        <v>27</v>
      </c>
      <c r="B841" s="36" t="s">
        <v>884</v>
      </c>
      <c r="C841" s="36" t="s">
        <v>28</v>
      </c>
      <c r="D841" s="36" t="s">
        <v>884</v>
      </c>
      <c r="E841" s="36" t="s">
        <v>30</v>
      </c>
      <c r="F841" s="36" t="s">
        <v>569</v>
      </c>
      <c r="G841" s="37" t="s">
        <v>633</v>
      </c>
      <c r="H841" s="36" t="s">
        <v>885</v>
      </c>
      <c r="I841" s="36" t="s">
        <v>886</v>
      </c>
      <c r="J841" s="36">
        <v>3</v>
      </c>
      <c r="K841" s="36" t="s">
        <v>883</v>
      </c>
      <c r="L841" s="36">
        <v>4</v>
      </c>
      <c r="M841" s="36">
        <v>20</v>
      </c>
      <c r="N841" s="38">
        <v>40000</v>
      </c>
      <c r="O841" s="38">
        <v>800000</v>
      </c>
      <c r="P841" s="36">
        <v>1</v>
      </c>
      <c r="Q841" s="40">
        <v>46174</v>
      </c>
      <c r="R841" s="36" t="s">
        <v>761</v>
      </c>
      <c r="S841" s="36" t="s">
        <v>762</v>
      </c>
      <c r="T841" s="36" t="s">
        <v>763</v>
      </c>
      <c r="U841" s="36" t="s">
        <v>764</v>
      </c>
      <c r="V841" s="40">
        <v>46174</v>
      </c>
      <c r="W841" s="36"/>
      <c r="X841" s="36">
        <v>0</v>
      </c>
      <c r="Y841" s="36"/>
      <c r="Z841" s="36">
        <v>0</v>
      </c>
      <c r="AA841" s="36">
        <v>0</v>
      </c>
      <c r="AB841" s="36"/>
      <c r="AC841" s="36" t="str">
        <f t="shared" si="1"/>
        <v>PC26</v>
      </c>
      <c r="AD841" s="36" t="str">
        <f>VLOOKUP(D841,Oficial!A:C,3,0)</f>
        <v>Bienes y Servicios</v>
      </c>
    </row>
    <row r="842" spans="1:30" x14ac:dyDescent="0.25">
      <c r="A842" s="36" t="s">
        <v>27</v>
      </c>
      <c r="B842" s="36" t="s">
        <v>888</v>
      </c>
      <c r="C842" s="36" t="s">
        <v>28</v>
      </c>
      <c r="D842" s="36" t="s">
        <v>888</v>
      </c>
      <c r="E842" s="36" t="s">
        <v>45</v>
      </c>
      <c r="F842" s="36" t="s">
        <v>569</v>
      </c>
      <c r="G842" s="37" t="s">
        <v>427</v>
      </c>
      <c r="H842" s="36" t="s">
        <v>889</v>
      </c>
      <c r="I842" s="36" t="s">
        <v>890</v>
      </c>
      <c r="J842" s="36">
        <v>1</v>
      </c>
      <c r="K842" s="36" t="s">
        <v>891</v>
      </c>
      <c r="L842" s="36">
        <v>4</v>
      </c>
      <c r="M842" s="36">
        <v>1</v>
      </c>
      <c r="N842" s="38">
        <v>75000000</v>
      </c>
      <c r="O842" s="38">
        <v>31250000</v>
      </c>
      <c r="P842" s="36">
        <v>12</v>
      </c>
      <c r="Q842" s="36" t="s">
        <v>892</v>
      </c>
      <c r="R842" s="36" t="s">
        <v>309</v>
      </c>
      <c r="S842" s="36" t="s">
        <v>893</v>
      </c>
      <c r="T842" s="36" t="s">
        <v>894</v>
      </c>
      <c r="U842" s="36" t="s">
        <v>312</v>
      </c>
      <c r="V842" s="40">
        <v>46204</v>
      </c>
      <c r="W842" s="36"/>
      <c r="X842" s="36">
        <v>0</v>
      </c>
      <c r="Y842" s="36"/>
      <c r="Z842" s="36">
        <v>0</v>
      </c>
      <c r="AA842" s="36">
        <v>0</v>
      </c>
      <c r="AB842" s="36"/>
      <c r="AC842" s="36" t="str">
        <f t="shared" si="1"/>
        <v>PC26</v>
      </c>
      <c r="AD842" s="36" t="str">
        <f>VLOOKUP(D842,Oficial!A:C,3,0)</f>
        <v>Bienes y Servicios</v>
      </c>
    </row>
    <row r="843" spans="1:30" x14ac:dyDescent="0.25">
      <c r="A843" s="36" t="s">
        <v>27</v>
      </c>
      <c r="B843" s="36" t="s">
        <v>895</v>
      </c>
      <c r="C843" s="36" t="s">
        <v>28</v>
      </c>
      <c r="D843" s="36" t="s">
        <v>895</v>
      </c>
      <c r="E843" s="36" t="s">
        <v>30</v>
      </c>
      <c r="F843" s="36" t="s">
        <v>569</v>
      </c>
      <c r="G843" s="37" t="s">
        <v>645</v>
      </c>
      <c r="H843" s="36" t="s">
        <v>896</v>
      </c>
      <c r="I843" s="36" t="s">
        <v>897</v>
      </c>
      <c r="J843" s="36">
        <v>1</v>
      </c>
      <c r="K843" s="36" t="s">
        <v>898</v>
      </c>
      <c r="L843" s="36">
        <v>4</v>
      </c>
      <c r="M843" s="36">
        <v>50</v>
      </c>
      <c r="N843" s="38">
        <v>4000</v>
      </c>
      <c r="O843" s="38">
        <v>200000</v>
      </c>
      <c r="P843" s="36">
        <v>1</v>
      </c>
      <c r="Q843" s="40">
        <v>46082</v>
      </c>
      <c r="R843" s="36" t="s">
        <v>899</v>
      </c>
      <c r="S843" s="36" t="s">
        <v>900</v>
      </c>
      <c r="T843" s="36" t="s">
        <v>901</v>
      </c>
      <c r="U843" s="36" t="s">
        <v>902</v>
      </c>
      <c r="V843" s="40">
        <v>46082</v>
      </c>
      <c r="W843" s="36"/>
      <c r="X843" s="36">
        <v>0</v>
      </c>
      <c r="Y843" s="36"/>
      <c r="Z843" s="36">
        <v>0</v>
      </c>
      <c r="AA843" s="36">
        <v>0</v>
      </c>
      <c r="AB843" s="36"/>
      <c r="AC843" s="36" t="str">
        <f t="shared" si="1"/>
        <v>PC26</v>
      </c>
      <c r="AD843" s="36" t="str">
        <f>VLOOKUP(D843,Oficial!A:C,3,0)</f>
        <v>Bienes y Servicios</v>
      </c>
    </row>
    <row r="844" spans="1:30" x14ac:dyDescent="0.25">
      <c r="A844" s="36" t="s">
        <v>27</v>
      </c>
      <c r="B844" s="36" t="s">
        <v>903</v>
      </c>
      <c r="C844" s="36" t="s">
        <v>28</v>
      </c>
      <c r="D844" s="36" t="s">
        <v>903</v>
      </c>
      <c r="E844" s="36" t="s">
        <v>30</v>
      </c>
      <c r="F844" s="36" t="s">
        <v>569</v>
      </c>
      <c r="G844" s="37" t="s">
        <v>654</v>
      </c>
      <c r="H844" s="36" t="s">
        <v>904</v>
      </c>
      <c r="I844" s="36" t="s">
        <v>905</v>
      </c>
      <c r="J844" s="36">
        <v>7</v>
      </c>
      <c r="K844" s="36" t="s">
        <v>359</v>
      </c>
      <c r="L844" s="36">
        <v>4</v>
      </c>
      <c r="M844" s="36">
        <v>1</v>
      </c>
      <c r="N844" s="38">
        <v>107000</v>
      </c>
      <c r="O844" s="38">
        <v>107000</v>
      </c>
      <c r="P844" s="36">
        <v>1</v>
      </c>
      <c r="Q844" s="40">
        <v>46054</v>
      </c>
      <c r="R844" s="36" t="s">
        <v>906</v>
      </c>
      <c r="S844" s="36" t="s">
        <v>907</v>
      </c>
      <c r="T844" s="36" t="s">
        <v>908</v>
      </c>
      <c r="U844" s="36" t="s">
        <v>909</v>
      </c>
      <c r="V844" s="40">
        <v>46054</v>
      </c>
      <c r="W844" s="36"/>
      <c r="X844" s="36">
        <v>0</v>
      </c>
      <c r="Y844" s="36"/>
      <c r="Z844" s="36">
        <v>0</v>
      </c>
      <c r="AA844" s="36">
        <v>0</v>
      </c>
      <c r="AB844" s="36"/>
      <c r="AC844" s="36" t="str">
        <f t="shared" si="1"/>
        <v>PC26</v>
      </c>
      <c r="AD844" s="36" t="str">
        <f>VLOOKUP(D844,Oficial!A:C,3,0)</f>
        <v>Bienes y Servicios</v>
      </c>
    </row>
    <row r="845" spans="1:30" x14ac:dyDescent="0.25">
      <c r="A845" s="36" t="s">
        <v>27</v>
      </c>
      <c r="B845" s="36" t="s">
        <v>903</v>
      </c>
      <c r="C845" s="36" t="s">
        <v>28</v>
      </c>
      <c r="D845" s="36" t="s">
        <v>903</v>
      </c>
      <c r="E845" s="36" t="s">
        <v>30</v>
      </c>
      <c r="F845" s="36" t="s">
        <v>569</v>
      </c>
      <c r="G845" s="37" t="s">
        <v>654</v>
      </c>
      <c r="H845" s="36" t="s">
        <v>904</v>
      </c>
      <c r="I845" s="36" t="s">
        <v>905</v>
      </c>
      <c r="J845" s="36">
        <v>7</v>
      </c>
      <c r="K845" s="36" t="s">
        <v>602</v>
      </c>
      <c r="L845" s="36">
        <v>4</v>
      </c>
      <c r="M845" s="36">
        <v>3</v>
      </c>
      <c r="N845" s="38">
        <v>466667</v>
      </c>
      <c r="O845" s="38">
        <v>1400001</v>
      </c>
      <c r="P845" s="36">
        <v>1</v>
      </c>
      <c r="Q845" s="40">
        <v>46143</v>
      </c>
      <c r="R845" s="36" t="s">
        <v>906</v>
      </c>
      <c r="S845" s="36" t="s">
        <v>907</v>
      </c>
      <c r="T845" s="36" t="s">
        <v>908</v>
      </c>
      <c r="U845" s="36" t="s">
        <v>909</v>
      </c>
      <c r="V845" s="40">
        <v>46143</v>
      </c>
      <c r="W845" s="36"/>
      <c r="X845" s="36">
        <v>0</v>
      </c>
      <c r="Y845" s="36"/>
      <c r="Z845" s="36">
        <v>0</v>
      </c>
      <c r="AA845" s="36">
        <v>0</v>
      </c>
      <c r="AB845" s="36"/>
      <c r="AC845" s="36" t="str">
        <f t="shared" si="1"/>
        <v>PC26</v>
      </c>
      <c r="AD845" s="36" t="str">
        <f>VLOOKUP(D845,Oficial!A:C,3,0)</f>
        <v>Bienes y Servicios</v>
      </c>
    </row>
    <row r="846" spans="1:30" x14ac:dyDescent="0.25">
      <c r="A846" s="36" t="s">
        <v>27</v>
      </c>
      <c r="B846" s="36" t="s">
        <v>903</v>
      </c>
      <c r="C846" s="36" t="s">
        <v>28</v>
      </c>
      <c r="D846" s="36" t="s">
        <v>903</v>
      </c>
      <c r="E846" s="36" t="s">
        <v>30</v>
      </c>
      <c r="F846" s="36" t="s">
        <v>569</v>
      </c>
      <c r="G846" s="37" t="s">
        <v>654</v>
      </c>
      <c r="H846" s="36" t="s">
        <v>904</v>
      </c>
      <c r="I846" s="36" t="s">
        <v>905</v>
      </c>
      <c r="J846" s="36">
        <v>7</v>
      </c>
      <c r="K846" s="36" t="s">
        <v>910</v>
      </c>
      <c r="L846" s="36">
        <v>4</v>
      </c>
      <c r="M846" s="36">
        <v>30</v>
      </c>
      <c r="N846" s="38">
        <v>1500000</v>
      </c>
      <c r="O846" s="38">
        <v>45000000</v>
      </c>
      <c r="P846" s="36">
        <v>1</v>
      </c>
      <c r="Q846" s="40">
        <v>46143</v>
      </c>
      <c r="R846" s="36" t="s">
        <v>906</v>
      </c>
      <c r="S846" s="36" t="s">
        <v>907</v>
      </c>
      <c r="T846" s="36" t="s">
        <v>908</v>
      </c>
      <c r="U846" s="36" t="s">
        <v>909</v>
      </c>
      <c r="V846" s="40">
        <v>46143</v>
      </c>
      <c r="W846" s="36"/>
      <c r="X846" s="36">
        <v>0</v>
      </c>
      <c r="Y846" s="36"/>
      <c r="Z846" s="36">
        <v>0</v>
      </c>
      <c r="AA846" s="36">
        <v>0</v>
      </c>
      <c r="AB846" s="36"/>
      <c r="AC846" s="36" t="str">
        <f t="shared" si="1"/>
        <v>PC26</v>
      </c>
      <c r="AD846" s="36" t="str">
        <f>VLOOKUP(D846,Oficial!A:C,3,0)</f>
        <v>Bienes y Servicios</v>
      </c>
    </row>
    <row r="847" spans="1:30" x14ac:dyDescent="0.25">
      <c r="A847" s="36" t="s">
        <v>27</v>
      </c>
      <c r="B847" s="36" t="s">
        <v>903</v>
      </c>
      <c r="C847" s="36" t="s">
        <v>28</v>
      </c>
      <c r="D847" s="36" t="s">
        <v>903</v>
      </c>
      <c r="E847" s="36" t="s">
        <v>30</v>
      </c>
      <c r="F847" s="36" t="s">
        <v>569</v>
      </c>
      <c r="G847" s="37" t="s">
        <v>654</v>
      </c>
      <c r="H847" s="36" t="s">
        <v>904</v>
      </c>
      <c r="I847" s="36" t="s">
        <v>905</v>
      </c>
      <c r="J847" s="36">
        <v>7</v>
      </c>
      <c r="K847" s="36" t="s">
        <v>911</v>
      </c>
      <c r="L847" s="36">
        <v>4</v>
      </c>
      <c r="M847" s="36">
        <v>25</v>
      </c>
      <c r="N847" s="38">
        <v>1000</v>
      </c>
      <c r="O847" s="38">
        <v>25000</v>
      </c>
      <c r="P847" s="36">
        <v>1</v>
      </c>
      <c r="Q847" s="40">
        <v>46143</v>
      </c>
      <c r="R847" s="36" t="s">
        <v>906</v>
      </c>
      <c r="S847" s="36" t="s">
        <v>907</v>
      </c>
      <c r="T847" s="36" t="s">
        <v>908</v>
      </c>
      <c r="U847" s="36" t="s">
        <v>909</v>
      </c>
      <c r="V847" s="40">
        <v>46143</v>
      </c>
      <c r="W847" s="36"/>
      <c r="X847" s="36">
        <v>0</v>
      </c>
      <c r="Y847" s="36"/>
      <c r="Z847" s="36">
        <v>0</v>
      </c>
      <c r="AA847" s="36">
        <v>0</v>
      </c>
      <c r="AB847" s="36"/>
      <c r="AC847" s="36" t="str">
        <f t="shared" si="1"/>
        <v>PC26</v>
      </c>
      <c r="AD847" s="36" t="str">
        <f>VLOOKUP(D847,Oficial!A:C,3,0)</f>
        <v>Bienes y Servicios</v>
      </c>
    </row>
    <row r="848" spans="1:30" x14ac:dyDescent="0.25">
      <c r="A848" s="36" t="s">
        <v>27</v>
      </c>
      <c r="B848" s="36" t="s">
        <v>903</v>
      </c>
      <c r="C848" s="36" t="s">
        <v>28</v>
      </c>
      <c r="D848" s="36" t="s">
        <v>903</v>
      </c>
      <c r="E848" s="36" t="s">
        <v>30</v>
      </c>
      <c r="F848" s="36" t="s">
        <v>569</v>
      </c>
      <c r="G848" s="37" t="s">
        <v>654</v>
      </c>
      <c r="H848" s="36" t="s">
        <v>904</v>
      </c>
      <c r="I848" s="36" t="s">
        <v>905</v>
      </c>
      <c r="J848" s="36">
        <v>7</v>
      </c>
      <c r="K848" s="36" t="s">
        <v>912</v>
      </c>
      <c r="L848" s="36">
        <v>4</v>
      </c>
      <c r="M848" s="36">
        <v>50</v>
      </c>
      <c r="N848" s="38">
        <v>300</v>
      </c>
      <c r="O848" s="38">
        <v>15000</v>
      </c>
      <c r="P848" s="36">
        <v>1</v>
      </c>
      <c r="Q848" s="40">
        <v>46054</v>
      </c>
      <c r="R848" s="36" t="s">
        <v>906</v>
      </c>
      <c r="S848" s="36" t="s">
        <v>907</v>
      </c>
      <c r="T848" s="36" t="s">
        <v>908</v>
      </c>
      <c r="U848" s="36" t="s">
        <v>909</v>
      </c>
      <c r="V848" s="40">
        <v>46054</v>
      </c>
      <c r="W848" s="36"/>
      <c r="X848" s="36">
        <v>0</v>
      </c>
      <c r="Y848" s="36"/>
      <c r="Z848" s="36">
        <v>0</v>
      </c>
      <c r="AA848" s="36">
        <v>0</v>
      </c>
      <c r="AB848" s="36"/>
      <c r="AC848" s="36" t="str">
        <f t="shared" si="1"/>
        <v>PC26</v>
      </c>
      <c r="AD848" s="36" t="str">
        <f>VLOOKUP(D848,Oficial!A:C,3,0)</f>
        <v>Bienes y Servicios</v>
      </c>
    </row>
    <row r="849" spans="1:30" x14ac:dyDescent="0.25">
      <c r="A849" s="36" t="s">
        <v>27</v>
      </c>
      <c r="B849" s="36" t="s">
        <v>903</v>
      </c>
      <c r="C849" s="36" t="s">
        <v>28</v>
      </c>
      <c r="D849" s="36" t="s">
        <v>903</v>
      </c>
      <c r="E849" s="36" t="s">
        <v>30</v>
      </c>
      <c r="F849" s="36" t="s">
        <v>569</v>
      </c>
      <c r="G849" s="37" t="s">
        <v>654</v>
      </c>
      <c r="H849" s="36" t="s">
        <v>904</v>
      </c>
      <c r="I849" s="36" t="s">
        <v>905</v>
      </c>
      <c r="J849" s="36">
        <v>7</v>
      </c>
      <c r="K849" s="36" t="s">
        <v>913</v>
      </c>
      <c r="L849" s="36">
        <v>4</v>
      </c>
      <c r="M849" s="36">
        <v>2</v>
      </c>
      <c r="N849" s="38">
        <v>60000</v>
      </c>
      <c r="O849" s="38">
        <v>120000</v>
      </c>
      <c r="P849" s="36">
        <v>1</v>
      </c>
      <c r="Q849" s="40">
        <v>46327</v>
      </c>
      <c r="R849" s="36" t="s">
        <v>906</v>
      </c>
      <c r="S849" s="36" t="s">
        <v>907</v>
      </c>
      <c r="T849" s="36" t="s">
        <v>908</v>
      </c>
      <c r="U849" s="36" t="s">
        <v>909</v>
      </c>
      <c r="V849" s="40">
        <v>46327</v>
      </c>
      <c r="W849" s="36"/>
      <c r="X849" s="36">
        <v>0</v>
      </c>
      <c r="Y849" s="36"/>
      <c r="Z849" s="36">
        <v>0</v>
      </c>
      <c r="AA849" s="36">
        <v>0</v>
      </c>
      <c r="AB849" s="36"/>
      <c r="AC849" s="36" t="str">
        <f t="shared" si="1"/>
        <v>PC26</v>
      </c>
      <c r="AD849" s="36" t="str">
        <f>VLOOKUP(D849,Oficial!A:C,3,0)</f>
        <v>Bienes y Servicios</v>
      </c>
    </row>
    <row r="850" spans="1:30" x14ac:dyDescent="0.25">
      <c r="A850" s="36" t="s">
        <v>27</v>
      </c>
      <c r="B850" s="36" t="s">
        <v>903</v>
      </c>
      <c r="C850" s="36" t="s">
        <v>28</v>
      </c>
      <c r="D850" s="36" t="s">
        <v>903</v>
      </c>
      <c r="E850" s="36" t="s">
        <v>30</v>
      </c>
      <c r="F850" s="36" t="s">
        <v>569</v>
      </c>
      <c r="G850" s="37" t="s">
        <v>654</v>
      </c>
      <c r="H850" s="36" t="s">
        <v>904</v>
      </c>
      <c r="I850" s="36" t="s">
        <v>905</v>
      </c>
      <c r="J850" s="36">
        <v>7</v>
      </c>
      <c r="K850" s="36" t="s">
        <v>914</v>
      </c>
      <c r="L850" s="36">
        <v>4</v>
      </c>
      <c r="M850" s="36">
        <v>200</v>
      </c>
      <c r="N850" s="38">
        <v>50</v>
      </c>
      <c r="O850" s="38">
        <v>10000</v>
      </c>
      <c r="P850" s="36">
        <v>1</v>
      </c>
      <c r="Q850" s="40">
        <v>46054</v>
      </c>
      <c r="R850" s="36" t="s">
        <v>906</v>
      </c>
      <c r="S850" s="36" t="s">
        <v>907</v>
      </c>
      <c r="T850" s="36" t="s">
        <v>908</v>
      </c>
      <c r="U850" s="36" t="s">
        <v>909</v>
      </c>
      <c r="V850" s="40">
        <v>46054</v>
      </c>
      <c r="W850" s="36"/>
      <c r="X850" s="36">
        <v>0</v>
      </c>
      <c r="Y850" s="36"/>
      <c r="Z850" s="36">
        <v>0</v>
      </c>
      <c r="AA850" s="36">
        <v>0</v>
      </c>
      <c r="AB850" s="36"/>
      <c r="AC850" s="36" t="str">
        <f t="shared" si="1"/>
        <v>PC26</v>
      </c>
      <c r="AD850" s="36" t="str">
        <f>VLOOKUP(D850,Oficial!A:C,3,0)</f>
        <v>Bienes y Servicios</v>
      </c>
    </row>
    <row r="851" spans="1:30" x14ac:dyDescent="0.25">
      <c r="A851" s="36" t="s">
        <v>27</v>
      </c>
      <c r="B851" s="36" t="s">
        <v>915</v>
      </c>
      <c r="C851" s="36" t="s">
        <v>374</v>
      </c>
      <c r="D851" s="36" t="s">
        <v>915</v>
      </c>
      <c r="E851" s="36" t="s">
        <v>30</v>
      </c>
      <c r="F851" s="36" t="s">
        <v>569</v>
      </c>
      <c r="G851" s="37" t="s">
        <v>654</v>
      </c>
      <c r="H851" s="36" t="s">
        <v>916</v>
      </c>
      <c r="I851" s="36" t="s">
        <v>917</v>
      </c>
      <c r="J851" s="36">
        <v>4</v>
      </c>
      <c r="K851" s="36" t="s">
        <v>602</v>
      </c>
      <c r="L851" s="36">
        <v>4</v>
      </c>
      <c r="M851" s="36">
        <v>1</v>
      </c>
      <c r="N851" s="38">
        <v>250000</v>
      </c>
      <c r="O851" s="38">
        <v>250000</v>
      </c>
      <c r="P851" s="36">
        <v>1</v>
      </c>
      <c r="Q851" s="40">
        <v>46327</v>
      </c>
      <c r="R851" s="36" t="s">
        <v>768</v>
      </c>
      <c r="S851" s="36" t="s">
        <v>769</v>
      </c>
      <c r="T851" s="36" t="s">
        <v>770</v>
      </c>
      <c r="U851" s="36" t="s">
        <v>388</v>
      </c>
      <c r="V851" s="40">
        <v>46327</v>
      </c>
      <c r="W851" s="36"/>
      <c r="X851" s="36">
        <v>0</v>
      </c>
      <c r="Y851" s="36"/>
      <c r="Z851" s="36">
        <v>0</v>
      </c>
      <c r="AA851" s="36">
        <v>0</v>
      </c>
      <c r="AB851" s="36"/>
      <c r="AC851" s="36" t="str">
        <f t="shared" si="1"/>
        <v>PC26</v>
      </c>
      <c r="AD851" s="36" t="str">
        <f>VLOOKUP(D851,Oficial!A:C,3,0)</f>
        <v>Administración de Fondos</v>
      </c>
    </row>
    <row r="852" spans="1:30" x14ac:dyDescent="0.25">
      <c r="A852" s="36" t="s">
        <v>27</v>
      </c>
      <c r="B852" s="36" t="s">
        <v>915</v>
      </c>
      <c r="C852" s="36" t="s">
        <v>374</v>
      </c>
      <c r="D852" s="36" t="s">
        <v>915</v>
      </c>
      <c r="E852" s="36" t="s">
        <v>30</v>
      </c>
      <c r="F852" s="36" t="s">
        <v>569</v>
      </c>
      <c r="G852" s="37" t="s">
        <v>654</v>
      </c>
      <c r="H852" s="36" t="s">
        <v>916</v>
      </c>
      <c r="I852" s="36" t="s">
        <v>917</v>
      </c>
      <c r="J852" s="36">
        <v>4</v>
      </c>
      <c r="K852" s="36" t="s">
        <v>359</v>
      </c>
      <c r="L852" s="36">
        <v>4</v>
      </c>
      <c r="M852" s="36">
        <v>110</v>
      </c>
      <c r="N852" s="38">
        <v>775</v>
      </c>
      <c r="O852" s="38">
        <v>85250</v>
      </c>
      <c r="P852" s="36">
        <v>1</v>
      </c>
      <c r="Q852" s="40">
        <v>46327</v>
      </c>
      <c r="R852" s="36" t="s">
        <v>768</v>
      </c>
      <c r="S852" s="36" t="s">
        <v>769</v>
      </c>
      <c r="T852" s="36" t="s">
        <v>770</v>
      </c>
      <c r="U852" s="36" t="s">
        <v>388</v>
      </c>
      <c r="V852" s="40">
        <v>46327</v>
      </c>
      <c r="W852" s="36"/>
      <c r="X852" s="36">
        <v>0</v>
      </c>
      <c r="Y852" s="36"/>
      <c r="Z852" s="36">
        <v>0</v>
      </c>
      <c r="AA852" s="36">
        <v>0</v>
      </c>
      <c r="AB852" s="36"/>
      <c r="AC852" s="36" t="str">
        <f t="shared" si="1"/>
        <v>PC26</v>
      </c>
      <c r="AD852" s="36" t="str">
        <f>VLOOKUP(D852,Oficial!A:C,3,0)</f>
        <v>Administración de Fondos</v>
      </c>
    </row>
    <row r="853" spans="1:30" x14ac:dyDescent="0.25">
      <c r="A853" s="36" t="s">
        <v>27</v>
      </c>
      <c r="B853" s="36" t="s">
        <v>915</v>
      </c>
      <c r="C853" s="36" t="s">
        <v>374</v>
      </c>
      <c r="D853" s="36" t="s">
        <v>915</v>
      </c>
      <c r="E853" s="36" t="s">
        <v>30</v>
      </c>
      <c r="F853" s="36" t="s">
        <v>569</v>
      </c>
      <c r="G853" s="37" t="s">
        <v>654</v>
      </c>
      <c r="H853" s="36" t="s">
        <v>916</v>
      </c>
      <c r="I853" s="36" t="s">
        <v>917</v>
      </c>
      <c r="J853" s="36">
        <v>4</v>
      </c>
      <c r="K853" s="36" t="s">
        <v>786</v>
      </c>
      <c r="L853" s="36">
        <v>4</v>
      </c>
      <c r="M853" s="36">
        <v>31</v>
      </c>
      <c r="N853" s="38">
        <v>1320</v>
      </c>
      <c r="O853" s="38">
        <v>40920</v>
      </c>
      <c r="P853" s="36">
        <v>1</v>
      </c>
      <c r="Q853" s="40">
        <v>46327</v>
      </c>
      <c r="R853" s="36" t="s">
        <v>768</v>
      </c>
      <c r="S853" s="36" t="s">
        <v>769</v>
      </c>
      <c r="T853" s="36" t="s">
        <v>770</v>
      </c>
      <c r="U853" s="36" t="s">
        <v>388</v>
      </c>
      <c r="V853" s="40">
        <v>46327</v>
      </c>
      <c r="W853" s="36"/>
      <c r="X853" s="36">
        <v>0</v>
      </c>
      <c r="Y853" s="36"/>
      <c r="Z853" s="36">
        <v>0</v>
      </c>
      <c r="AA853" s="36">
        <v>0</v>
      </c>
      <c r="AB853" s="36"/>
      <c r="AC853" s="36" t="str">
        <f t="shared" si="1"/>
        <v>PC26</v>
      </c>
      <c r="AD853" s="36" t="str">
        <f>VLOOKUP(D853,Oficial!A:C,3,0)</f>
        <v>Administración de Fondos</v>
      </c>
    </row>
    <row r="854" spans="1:30" x14ac:dyDescent="0.25">
      <c r="A854" s="36" t="s">
        <v>27</v>
      </c>
      <c r="B854" s="36" t="s">
        <v>915</v>
      </c>
      <c r="C854" s="36" t="s">
        <v>374</v>
      </c>
      <c r="D854" s="36" t="s">
        <v>915</v>
      </c>
      <c r="E854" s="36" t="s">
        <v>30</v>
      </c>
      <c r="F854" s="36" t="s">
        <v>569</v>
      </c>
      <c r="G854" s="37" t="s">
        <v>654</v>
      </c>
      <c r="H854" s="36" t="s">
        <v>916</v>
      </c>
      <c r="I854" s="36" t="s">
        <v>917</v>
      </c>
      <c r="J854" s="36">
        <v>4</v>
      </c>
      <c r="K854" s="36" t="s">
        <v>918</v>
      </c>
      <c r="L854" s="36">
        <v>4</v>
      </c>
      <c r="M854" s="36">
        <v>30</v>
      </c>
      <c r="N854" s="38">
        <v>790</v>
      </c>
      <c r="O854" s="38">
        <v>23700</v>
      </c>
      <c r="P854" s="36">
        <v>1</v>
      </c>
      <c r="Q854" s="40">
        <v>46327</v>
      </c>
      <c r="R854" s="36" t="s">
        <v>768</v>
      </c>
      <c r="S854" s="36" t="s">
        <v>769</v>
      </c>
      <c r="T854" s="36" t="s">
        <v>770</v>
      </c>
      <c r="U854" s="36" t="s">
        <v>388</v>
      </c>
      <c r="V854" s="40">
        <v>46327</v>
      </c>
      <c r="W854" s="36"/>
      <c r="X854" s="36">
        <v>0</v>
      </c>
      <c r="Y854" s="36"/>
      <c r="Z854" s="36">
        <v>0</v>
      </c>
      <c r="AA854" s="36">
        <v>0</v>
      </c>
      <c r="AB854" s="36"/>
      <c r="AC854" s="36" t="str">
        <f t="shared" si="1"/>
        <v>PC26</v>
      </c>
      <c r="AD854" s="36" t="str">
        <f>VLOOKUP(D854,Oficial!A:C,3,0)</f>
        <v>Administración de Fondos</v>
      </c>
    </row>
    <row r="855" spans="1:30" x14ac:dyDescent="0.25">
      <c r="A855" s="36" t="s">
        <v>27</v>
      </c>
      <c r="B855" s="36" t="s">
        <v>919</v>
      </c>
      <c r="C855" s="36" t="s">
        <v>374</v>
      </c>
      <c r="D855" s="36" t="s">
        <v>919</v>
      </c>
      <c r="E855" s="36" t="s">
        <v>30</v>
      </c>
      <c r="F855" s="36" t="s">
        <v>569</v>
      </c>
      <c r="G855" s="37" t="s">
        <v>800</v>
      </c>
      <c r="H855" s="36" t="s">
        <v>920</v>
      </c>
      <c r="I855" s="36" t="s">
        <v>921</v>
      </c>
      <c r="J855" s="36">
        <v>1</v>
      </c>
      <c r="K855" s="36" t="s">
        <v>786</v>
      </c>
      <c r="L855" s="36">
        <v>4</v>
      </c>
      <c r="M855" s="36">
        <v>26</v>
      </c>
      <c r="N855" s="38">
        <v>6116</v>
      </c>
      <c r="O855" s="38">
        <v>159016</v>
      </c>
      <c r="P855" s="36">
        <v>1</v>
      </c>
      <c r="Q855" s="40">
        <v>46023</v>
      </c>
      <c r="R855" s="36" t="s">
        <v>768</v>
      </c>
      <c r="S855" s="36" t="s">
        <v>769</v>
      </c>
      <c r="T855" s="36" t="s">
        <v>770</v>
      </c>
      <c r="U855" s="36" t="s">
        <v>388</v>
      </c>
      <c r="V855" s="40">
        <v>46023</v>
      </c>
      <c r="W855" s="36"/>
      <c r="X855" s="36">
        <v>0</v>
      </c>
      <c r="Y855" s="36"/>
      <c r="Z855" s="36">
        <v>0</v>
      </c>
      <c r="AA855" s="36">
        <v>0</v>
      </c>
      <c r="AB855" s="36"/>
      <c r="AC855" s="36" t="str">
        <f t="shared" ref="AC855:AC918" si="2">RIGHT(D855,4)</f>
        <v>PC26</v>
      </c>
      <c r="AD855" s="36" t="str">
        <f>VLOOKUP(D855,Oficial!A:C,3,0)</f>
        <v>Administración de Fondos</v>
      </c>
    </row>
    <row r="856" spans="1:30" x14ac:dyDescent="0.25">
      <c r="A856" s="36" t="s">
        <v>27</v>
      </c>
      <c r="B856" s="36" t="s">
        <v>922</v>
      </c>
      <c r="C856" s="36" t="s">
        <v>28</v>
      </c>
      <c r="D856" s="36" t="s">
        <v>922</v>
      </c>
      <c r="E856" s="36" t="s">
        <v>30</v>
      </c>
      <c r="F856" s="36" t="s">
        <v>569</v>
      </c>
      <c r="G856" s="37" t="s">
        <v>757</v>
      </c>
      <c r="H856" s="36" t="s">
        <v>923</v>
      </c>
      <c r="I856" s="36" t="s">
        <v>924</v>
      </c>
      <c r="J856" s="36">
        <v>1</v>
      </c>
      <c r="K856" s="36" t="s">
        <v>891</v>
      </c>
      <c r="L856" s="36">
        <v>4</v>
      </c>
      <c r="M856" s="36">
        <v>1</v>
      </c>
      <c r="N856" s="38">
        <v>35000000</v>
      </c>
      <c r="O856" s="38">
        <v>23333328</v>
      </c>
      <c r="P856" s="36">
        <v>12</v>
      </c>
      <c r="Q856" s="36" t="s">
        <v>925</v>
      </c>
      <c r="R856" s="36" t="s">
        <v>926</v>
      </c>
      <c r="S856" s="36" t="s">
        <v>893</v>
      </c>
      <c r="T856" s="36" t="s">
        <v>894</v>
      </c>
      <c r="U856" s="36" t="s">
        <v>312</v>
      </c>
      <c r="V856" s="40">
        <v>46143</v>
      </c>
      <c r="W856" s="36"/>
      <c r="X856" s="36">
        <v>0</v>
      </c>
      <c r="Y856" s="36"/>
      <c r="Z856" s="36">
        <v>0</v>
      </c>
      <c r="AA856" s="36">
        <v>0</v>
      </c>
      <c r="AB856" s="36"/>
      <c r="AC856" s="36" t="str">
        <f t="shared" si="2"/>
        <v>PC26</v>
      </c>
      <c r="AD856" s="36" t="str">
        <f>VLOOKUP(D856,Oficial!A:C,3,0)</f>
        <v>Bienes y Servicios</v>
      </c>
    </row>
    <row r="857" spans="1:30" x14ac:dyDescent="0.25">
      <c r="A857" s="36" t="s">
        <v>27</v>
      </c>
      <c r="B857" s="36" t="s">
        <v>927</v>
      </c>
      <c r="C857" s="36" t="s">
        <v>374</v>
      </c>
      <c r="D857" s="36" t="s">
        <v>927</v>
      </c>
      <c r="E857" s="36" t="s">
        <v>30</v>
      </c>
      <c r="F857" s="36" t="s">
        <v>569</v>
      </c>
      <c r="G857" s="37" t="s">
        <v>137</v>
      </c>
      <c r="H857" s="36" t="s">
        <v>928</v>
      </c>
      <c r="I857" s="36" t="s">
        <v>929</v>
      </c>
      <c r="J857" s="36">
        <v>3</v>
      </c>
      <c r="K857" s="36" t="s">
        <v>602</v>
      </c>
      <c r="L857" s="36">
        <v>4</v>
      </c>
      <c r="M857" s="36">
        <v>2</v>
      </c>
      <c r="N857" s="38">
        <v>350000</v>
      </c>
      <c r="O857" s="38">
        <v>700000</v>
      </c>
      <c r="P857" s="36">
        <v>1</v>
      </c>
      <c r="Q857" s="40">
        <v>46054</v>
      </c>
      <c r="R857" s="36" t="s">
        <v>768</v>
      </c>
      <c r="S857" s="36" t="s">
        <v>769</v>
      </c>
      <c r="T857" s="36" t="s">
        <v>770</v>
      </c>
      <c r="U857" s="36" t="s">
        <v>388</v>
      </c>
      <c r="V857" s="40">
        <v>46054</v>
      </c>
      <c r="W857" s="36"/>
      <c r="X857" s="36">
        <v>0</v>
      </c>
      <c r="Y857" s="36"/>
      <c r="Z857" s="36">
        <v>0</v>
      </c>
      <c r="AA857" s="36">
        <v>0</v>
      </c>
      <c r="AB857" s="36"/>
      <c r="AC857" s="36" t="str">
        <f t="shared" si="2"/>
        <v>PC26</v>
      </c>
      <c r="AD857" s="36" t="str">
        <f>VLOOKUP(D857,Oficial!A:C,3,0)</f>
        <v>Administración de Fondos</v>
      </c>
    </row>
    <row r="858" spans="1:30" x14ac:dyDescent="0.25">
      <c r="A858" s="36" t="s">
        <v>27</v>
      </c>
      <c r="B858" s="36" t="s">
        <v>927</v>
      </c>
      <c r="C858" s="36" t="s">
        <v>374</v>
      </c>
      <c r="D858" s="36" t="s">
        <v>927</v>
      </c>
      <c r="E858" s="36" t="s">
        <v>30</v>
      </c>
      <c r="F858" s="36" t="s">
        <v>569</v>
      </c>
      <c r="G858" s="37" t="s">
        <v>137</v>
      </c>
      <c r="H858" s="36" t="s">
        <v>928</v>
      </c>
      <c r="I858" s="36" t="s">
        <v>929</v>
      </c>
      <c r="J858" s="36">
        <v>3</v>
      </c>
      <c r="K858" s="36" t="s">
        <v>359</v>
      </c>
      <c r="L858" s="36">
        <v>4</v>
      </c>
      <c r="M858" s="36">
        <v>173</v>
      </c>
      <c r="N858" s="38">
        <v>2267</v>
      </c>
      <c r="O858" s="38">
        <v>392191</v>
      </c>
      <c r="P858" s="36">
        <v>1</v>
      </c>
      <c r="Q858" s="40">
        <v>46054</v>
      </c>
      <c r="R858" s="36" t="s">
        <v>768</v>
      </c>
      <c r="S858" s="36" t="s">
        <v>769</v>
      </c>
      <c r="T858" s="36" t="s">
        <v>770</v>
      </c>
      <c r="U858" s="36" t="s">
        <v>388</v>
      </c>
      <c r="V858" s="40">
        <v>46054</v>
      </c>
      <c r="W858" s="36"/>
      <c r="X858" s="36">
        <v>0</v>
      </c>
      <c r="Y858" s="36"/>
      <c r="Z858" s="36">
        <v>0</v>
      </c>
      <c r="AA858" s="36">
        <v>0</v>
      </c>
      <c r="AB858" s="36"/>
      <c r="AC858" s="36" t="str">
        <f t="shared" si="2"/>
        <v>PC26</v>
      </c>
      <c r="AD858" s="36" t="str">
        <f>VLOOKUP(D858,Oficial!A:C,3,0)</f>
        <v>Administración de Fondos</v>
      </c>
    </row>
    <row r="859" spans="1:30" x14ac:dyDescent="0.25">
      <c r="A859" s="36" t="s">
        <v>27</v>
      </c>
      <c r="B859" s="36" t="s">
        <v>927</v>
      </c>
      <c r="C859" s="36" t="s">
        <v>374</v>
      </c>
      <c r="D859" s="36" t="s">
        <v>927</v>
      </c>
      <c r="E859" s="36" t="s">
        <v>30</v>
      </c>
      <c r="F859" s="36" t="s">
        <v>569</v>
      </c>
      <c r="G859" s="37" t="s">
        <v>137</v>
      </c>
      <c r="H859" s="36" t="s">
        <v>928</v>
      </c>
      <c r="I859" s="36" t="s">
        <v>929</v>
      </c>
      <c r="J859" s="36">
        <v>3</v>
      </c>
      <c r="K859" s="36" t="s">
        <v>855</v>
      </c>
      <c r="L859" s="36">
        <v>4</v>
      </c>
      <c r="M859" s="36">
        <v>400</v>
      </c>
      <c r="N859" s="38">
        <v>99</v>
      </c>
      <c r="O859" s="38">
        <v>39600</v>
      </c>
      <c r="P859" s="36">
        <v>1</v>
      </c>
      <c r="Q859" s="40">
        <v>46054</v>
      </c>
      <c r="R859" s="36" t="s">
        <v>768</v>
      </c>
      <c r="S859" s="36" t="s">
        <v>769</v>
      </c>
      <c r="T859" s="36" t="s">
        <v>770</v>
      </c>
      <c r="U859" s="36" t="s">
        <v>388</v>
      </c>
      <c r="V859" s="40">
        <v>46054</v>
      </c>
      <c r="W859" s="36"/>
      <c r="X859" s="36">
        <v>0</v>
      </c>
      <c r="Y859" s="36"/>
      <c r="Z859" s="36">
        <v>0</v>
      </c>
      <c r="AA859" s="36">
        <v>0</v>
      </c>
      <c r="AB859" s="36"/>
      <c r="AC859" s="36" t="str">
        <f t="shared" si="2"/>
        <v>PC26</v>
      </c>
      <c r="AD859" s="36" t="str">
        <f>VLOOKUP(D859,Oficial!A:C,3,0)</f>
        <v>Administración de Fondos</v>
      </c>
    </row>
    <row r="860" spans="1:30" x14ac:dyDescent="0.25">
      <c r="A860" s="36" t="s">
        <v>27</v>
      </c>
      <c r="B860" s="36" t="s">
        <v>930</v>
      </c>
      <c r="C860" s="36" t="s">
        <v>28</v>
      </c>
      <c r="D860" s="36" t="s">
        <v>930</v>
      </c>
      <c r="E860" s="36" t="s">
        <v>30</v>
      </c>
      <c r="F860" s="36" t="s">
        <v>569</v>
      </c>
      <c r="G860" s="37" t="s">
        <v>645</v>
      </c>
      <c r="H860" s="36" t="s">
        <v>931</v>
      </c>
      <c r="I860" s="36" t="s">
        <v>932</v>
      </c>
      <c r="J860" s="36">
        <v>1</v>
      </c>
      <c r="K860" s="36" t="s">
        <v>933</v>
      </c>
      <c r="L860" s="36">
        <v>4</v>
      </c>
      <c r="M860" s="36">
        <v>1328</v>
      </c>
      <c r="N860" s="38">
        <v>513</v>
      </c>
      <c r="O860" s="38">
        <v>681264</v>
      </c>
      <c r="P860" s="36">
        <v>1</v>
      </c>
      <c r="Q860" s="40">
        <v>46023</v>
      </c>
      <c r="R860" s="36" t="s">
        <v>934</v>
      </c>
      <c r="S860" s="36" t="s">
        <v>935</v>
      </c>
      <c r="T860" s="36" t="s">
        <v>936</v>
      </c>
      <c r="U860" s="36" t="s">
        <v>937</v>
      </c>
      <c r="V860" s="40">
        <v>46023</v>
      </c>
      <c r="W860" s="36"/>
      <c r="X860" s="36">
        <v>0</v>
      </c>
      <c r="Y860" s="36"/>
      <c r="Z860" s="36">
        <v>0</v>
      </c>
      <c r="AA860" s="36">
        <v>0</v>
      </c>
      <c r="AB860" s="36"/>
      <c r="AC860" s="36" t="str">
        <f t="shared" si="2"/>
        <v>PC26</v>
      </c>
      <c r="AD860" s="36" t="str">
        <f>VLOOKUP(D860,Oficial!A:C,3,0)</f>
        <v>Bienes y Servicios</v>
      </c>
    </row>
    <row r="861" spans="1:30" x14ac:dyDescent="0.25">
      <c r="A861" s="36" t="s">
        <v>27</v>
      </c>
      <c r="B861" s="36" t="s">
        <v>938</v>
      </c>
      <c r="C861" s="36" t="s">
        <v>28</v>
      </c>
      <c r="D861" s="36" t="s">
        <v>938</v>
      </c>
      <c r="E861" s="36" t="s">
        <v>30</v>
      </c>
      <c r="F861" s="36" t="s">
        <v>569</v>
      </c>
      <c r="G861" s="37" t="s">
        <v>725</v>
      </c>
      <c r="H861" s="36" t="s">
        <v>939</v>
      </c>
      <c r="I861" s="36" t="s">
        <v>940</v>
      </c>
      <c r="J861" s="36">
        <v>3</v>
      </c>
      <c r="K861" s="36" t="s">
        <v>941</v>
      </c>
      <c r="L861" s="36">
        <v>4</v>
      </c>
      <c r="M861" s="36">
        <v>750</v>
      </c>
      <c r="N861" s="38">
        <v>2230</v>
      </c>
      <c r="O861" s="38">
        <v>1672500</v>
      </c>
      <c r="P861" s="36">
        <v>1</v>
      </c>
      <c r="Q861" s="40">
        <v>46113</v>
      </c>
      <c r="R861" s="36" t="s">
        <v>942</v>
      </c>
      <c r="S861" s="36" t="s">
        <v>943</v>
      </c>
      <c r="T861" s="36" t="s">
        <v>944</v>
      </c>
      <c r="U861" s="36" t="s">
        <v>475</v>
      </c>
      <c r="V861" s="40">
        <v>46113</v>
      </c>
      <c r="W861" s="36"/>
      <c r="X861" s="36">
        <v>0</v>
      </c>
      <c r="Y861" s="36"/>
      <c r="Z861" s="36">
        <v>0</v>
      </c>
      <c r="AA861" s="36">
        <v>0</v>
      </c>
      <c r="AB861" s="36"/>
      <c r="AC861" s="36" t="str">
        <f t="shared" si="2"/>
        <v>PC26</v>
      </c>
      <c r="AD861" s="36" t="str">
        <f>VLOOKUP(D861,Oficial!A:C,3,0)</f>
        <v>Bienes y Servicios</v>
      </c>
    </row>
    <row r="862" spans="1:30" x14ac:dyDescent="0.25">
      <c r="A862" s="36" t="s">
        <v>27</v>
      </c>
      <c r="B862" s="36" t="s">
        <v>938</v>
      </c>
      <c r="C862" s="36" t="s">
        <v>28</v>
      </c>
      <c r="D862" s="36" t="s">
        <v>938</v>
      </c>
      <c r="E862" s="36" t="s">
        <v>30</v>
      </c>
      <c r="F862" s="36" t="s">
        <v>569</v>
      </c>
      <c r="G862" s="37" t="s">
        <v>725</v>
      </c>
      <c r="H862" s="36" t="s">
        <v>939</v>
      </c>
      <c r="I862" s="36" t="s">
        <v>940</v>
      </c>
      <c r="J862" s="36">
        <v>3</v>
      </c>
      <c r="K862" s="36" t="s">
        <v>945</v>
      </c>
      <c r="L862" s="36">
        <v>4</v>
      </c>
      <c r="M862" s="36">
        <v>702</v>
      </c>
      <c r="N862" s="38">
        <v>11618</v>
      </c>
      <c r="O862" s="38">
        <v>8155836</v>
      </c>
      <c r="P862" s="36">
        <v>1</v>
      </c>
      <c r="Q862" s="40">
        <v>46113</v>
      </c>
      <c r="R862" s="36" t="s">
        <v>942</v>
      </c>
      <c r="S862" s="36" t="s">
        <v>943</v>
      </c>
      <c r="T862" s="36" t="s">
        <v>944</v>
      </c>
      <c r="U862" s="36" t="s">
        <v>475</v>
      </c>
      <c r="V862" s="40">
        <v>46113</v>
      </c>
      <c r="W862" s="36"/>
      <c r="X862" s="36">
        <v>0</v>
      </c>
      <c r="Y862" s="36"/>
      <c r="Z862" s="36">
        <v>0</v>
      </c>
      <c r="AA862" s="36">
        <v>0</v>
      </c>
      <c r="AB862" s="36"/>
      <c r="AC862" s="36" t="str">
        <f t="shared" si="2"/>
        <v>PC26</v>
      </c>
      <c r="AD862" s="36" t="str">
        <f>VLOOKUP(D862,Oficial!A:C,3,0)</f>
        <v>Bienes y Servicios</v>
      </c>
    </row>
    <row r="863" spans="1:30" x14ac:dyDescent="0.25">
      <c r="A863" s="36" t="s">
        <v>27</v>
      </c>
      <c r="B863" s="36" t="s">
        <v>938</v>
      </c>
      <c r="C863" s="36" t="s">
        <v>28</v>
      </c>
      <c r="D863" s="36" t="s">
        <v>938</v>
      </c>
      <c r="E863" s="36" t="s">
        <v>30</v>
      </c>
      <c r="F863" s="36" t="s">
        <v>569</v>
      </c>
      <c r="G863" s="37" t="s">
        <v>725</v>
      </c>
      <c r="H863" s="36" t="s">
        <v>939</v>
      </c>
      <c r="I863" s="36" t="s">
        <v>940</v>
      </c>
      <c r="J863" s="36">
        <v>3</v>
      </c>
      <c r="K863" s="36" t="s">
        <v>946</v>
      </c>
      <c r="L863" s="36">
        <v>4</v>
      </c>
      <c r="M863" s="36">
        <v>200</v>
      </c>
      <c r="N863" s="38">
        <v>10875</v>
      </c>
      <c r="O863" s="38">
        <v>2175000</v>
      </c>
      <c r="P863" s="36">
        <v>1</v>
      </c>
      <c r="Q863" s="40">
        <v>46113</v>
      </c>
      <c r="R863" s="36" t="s">
        <v>942</v>
      </c>
      <c r="S863" s="36" t="s">
        <v>943</v>
      </c>
      <c r="T863" s="36" t="s">
        <v>944</v>
      </c>
      <c r="U863" s="36" t="s">
        <v>475</v>
      </c>
      <c r="V863" s="40">
        <v>46113</v>
      </c>
      <c r="W863" s="36"/>
      <c r="X863" s="36">
        <v>0</v>
      </c>
      <c r="Y863" s="36"/>
      <c r="Z863" s="36">
        <v>0</v>
      </c>
      <c r="AA863" s="36">
        <v>0</v>
      </c>
      <c r="AB863" s="36"/>
      <c r="AC863" s="36" t="str">
        <f t="shared" si="2"/>
        <v>PC26</v>
      </c>
      <c r="AD863" s="36" t="str">
        <f>VLOOKUP(D863,Oficial!A:C,3,0)</f>
        <v>Bienes y Servicios</v>
      </c>
    </row>
    <row r="864" spans="1:30" x14ac:dyDescent="0.25">
      <c r="A864" s="36" t="s">
        <v>27</v>
      </c>
      <c r="B864" s="36" t="s">
        <v>947</v>
      </c>
      <c r="C864" s="36" t="s">
        <v>28</v>
      </c>
      <c r="D864" s="36" t="s">
        <v>947</v>
      </c>
      <c r="E864" s="36" t="s">
        <v>30</v>
      </c>
      <c r="F864" s="36" t="s">
        <v>569</v>
      </c>
      <c r="G864" s="37" t="s">
        <v>483</v>
      </c>
      <c r="H864" s="36" t="s">
        <v>948</v>
      </c>
      <c r="I864" s="36" t="s">
        <v>949</v>
      </c>
      <c r="J864" s="36">
        <v>2</v>
      </c>
      <c r="K864" s="36" t="s">
        <v>486</v>
      </c>
      <c r="L864" s="36">
        <v>4</v>
      </c>
      <c r="M864" s="36">
        <v>3248</v>
      </c>
      <c r="N864" s="38">
        <v>157</v>
      </c>
      <c r="O864" s="38">
        <v>509936</v>
      </c>
      <c r="P864" s="36">
        <v>1</v>
      </c>
      <c r="Q864" s="40">
        <v>46082</v>
      </c>
      <c r="R864" s="36" t="s">
        <v>950</v>
      </c>
      <c r="S864" s="36" t="s">
        <v>951</v>
      </c>
      <c r="T864" s="36" t="s">
        <v>952</v>
      </c>
      <c r="U864" s="36" t="s">
        <v>293</v>
      </c>
      <c r="V864" s="40">
        <v>46082</v>
      </c>
      <c r="W864" s="36"/>
      <c r="X864" s="36">
        <v>0</v>
      </c>
      <c r="Y864" s="36"/>
      <c r="Z864" s="36">
        <v>0</v>
      </c>
      <c r="AA864" s="36">
        <v>0</v>
      </c>
      <c r="AB864" s="36"/>
      <c r="AC864" s="36" t="str">
        <f t="shared" si="2"/>
        <v>PC26</v>
      </c>
      <c r="AD864" s="36" t="str">
        <f>VLOOKUP(D864,Oficial!A:C,3,0)</f>
        <v>Bienes y Servicios</v>
      </c>
    </row>
    <row r="865" spans="1:30" x14ac:dyDescent="0.25">
      <c r="A865" s="36" t="s">
        <v>27</v>
      </c>
      <c r="B865" s="36" t="s">
        <v>947</v>
      </c>
      <c r="C865" s="36" t="s">
        <v>28</v>
      </c>
      <c r="D865" s="36" t="s">
        <v>947</v>
      </c>
      <c r="E865" s="36" t="s">
        <v>30</v>
      </c>
      <c r="F865" s="36" t="s">
        <v>569</v>
      </c>
      <c r="G865" s="37" t="s">
        <v>483</v>
      </c>
      <c r="H865" s="36" t="s">
        <v>948</v>
      </c>
      <c r="I865" s="36" t="s">
        <v>949</v>
      </c>
      <c r="J865" s="36">
        <v>2</v>
      </c>
      <c r="K865" s="36" t="s">
        <v>953</v>
      </c>
      <c r="L865" s="36">
        <v>4</v>
      </c>
      <c r="M865" s="36">
        <v>4</v>
      </c>
      <c r="N865" s="38">
        <v>12000</v>
      </c>
      <c r="O865" s="38">
        <v>48000</v>
      </c>
      <c r="P865" s="36">
        <v>1</v>
      </c>
      <c r="Q865" s="40">
        <v>46082</v>
      </c>
      <c r="R865" s="36" t="s">
        <v>950</v>
      </c>
      <c r="S865" s="36" t="s">
        <v>951</v>
      </c>
      <c r="T865" s="36" t="s">
        <v>952</v>
      </c>
      <c r="U865" s="36" t="s">
        <v>293</v>
      </c>
      <c r="V865" s="40">
        <v>46082</v>
      </c>
      <c r="W865" s="36"/>
      <c r="X865" s="36">
        <v>0</v>
      </c>
      <c r="Y865" s="36"/>
      <c r="Z865" s="36">
        <v>0</v>
      </c>
      <c r="AA865" s="36">
        <v>0</v>
      </c>
      <c r="AB865" s="36"/>
      <c r="AC865" s="36" t="str">
        <f t="shared" si="2"/>
        <v>PC26</v>
      </c>
      <c r="AD865" s="36" t="str">
        <f>VLOOKUP(D865,Oficial!A:C,3,0)</f>
        <v>Bienes y Servicios</v>
      </c>
    </row>
    <row r="866" spans="1:30" x14ac:dyDescent="0.25">
      <c r="A866" s="36" t="s">
        <v>27</v>
      </c>
      <c r="B866" s="36" t="s">
        <v>954</v>
      </c>
      <c r="C866" s="36" t="s">
        <v>28</v>
      </c>
      <c r="D866" s="36" t="s">
        <v>954</v>
      </c>
      <c r="E866" s="36" t="s">
        <v>30</v>
      </c>
      <c r="F866" s="36" t="s">
        <v>569</v>
      </c>
      <c r="G866" s="37" t="s">
        <v>645</v>
      </c>
      <c r="H866" s="36" t="s">
        <v>955</v>
      </c>
      <c r="I866" s="36" t="s">
        <v>956</v>
      </c>
      <c r="J866" s="36">
        <v>3</v>
      </c>
      <c r="K866" s="36" t="s">
        <v>957</v>
      </c>
      <c r="L866" s="36">
        <v>4</v>
      </c>
      <c r="M866" s="36">
        <v>2</v>
      </c>
      <c r="N866" s="38">
        <v>110000</v>
      </c>
      <c r="O866" s="38">
        <v>220000</v>
      </c>
      <c r="P866" s="36">
        <v>1</v>
      </c>
      <c r="Q866" s="40">
        <v>46235</v>
      </c>
      <c r="R866" s="36" t="s">
        <v>958</v>
      </c>
      <c r="S866" s="36" t="s">
        <v>959</v>
      </c>
      <c r="T866" s="36" t="s">
        <v>960</v>
      </c>
      <c r="U866" s="36" t="s">
        <v>961</v>
      </c>
      <c r="V866" s="40">
        <v>46235</v>
      </c>
      <c r="W866" s="36"/>
      <c r="X866" s="36">
        <v>0</v>
      </c>
      <c r="Y866" s="36"/>
      <c r="Z866" s="36">
        <v>0</v>
      </c>
      <c r="AA866" s="36">
        <v>0</v>
      </c>
      <c r="AB866" s="36"/>
      <c r="AC866" s="36" t="str">
        <f t="shared" si="2"/>
        <v>PC26</v>
      </c>
      <c r="AD866" s="36" t="str">
        <f>VLOOKUP(D866,Oficial!A:C,3,0)</f>
        <v>Bienes y Servicios</v>
      </c>
    </row>
    <row r="867" spans="1:30" x14ac:dyDescent="0.25">
      <c r="A867" s="36" t="s">
        <v>27</v>
      </c>
      <c r="B867" s="36" t="s">
        <v>954</v>
      </c>
      <c r="C867" s="36" t="s">
        <v>28</v>
      </c>
      <c r="D867" s="36" t="s">
        <v>954</v>
      </c>
      <c r="E867" s="36" t="s">
        <v>30</v>
      </c>
      <c r="F867" s="36" t="s">
        <v>569</v>
      </c>
      <c r="G867" s="37" t="s">
        <v>645</v>
      </c>
      <c r="H867" s="36" t="s">
        <v>955</v>
      </c>
      <c r="I867" s="36" t="s">
        <v>956</v>
      </c>
      <c r="J867" s="36">
        <v>3</v>
      </c>
      <c r="K867" s="36" t="s">
        <v>359</v>
      </c>
      <c r="L867" s="36">
        <v>4</v>
      </c>
      <c r="M867" s="36">
        <v>240</v>
      </c>
      <c r="N867" s="38">
        <v>771</v>
      </c>
      <c r="O867" s="38">
        <v>185040</v>
      </c>
      <c r="P867" s="36">
        <v>1</v>
      </c>
      <c r="Q867" s="40">
        <v>46235</v>
      </c>
      <c r="R867" s="36" t="s">
        <v>958</v>
      </c>
      <c r="S867" s="36" t="s">
        <v>959</v>
      </c>
      <c r="T867" s="36" t="s">
        <v>960</v>
      </c>
      <c r="U867" s="36" t="s">
        <v>961</v>
      </c>
      <c r="V867" s="40">
        <v>46235</v>
      </c>
      <c r="W867" s="36"/>
      <c r="X867" s="36">
        <v>0</v>
      </c>
      <c r="Y867" s="36"/>
      <c r="Z867" s="36">
        <v>0</v>
      </c>
      <c r="AA867" s="36">
        <v>0</v>
      </c>
      <c r="AB867" s="36"/>
      <c r="AC867" s="36" t="str">
        <f t="shared" si="2"/>
        <v>PC26</v>
      </c>
      <c r="AD867" s="36" t="str">
        <f>VLOOKUP(D867,Oficial!A:C,3,0)</f>
        <v>Bienes y Servicios</v>
      </c>
    </row>
    <row r="868" spans="1:30" x14ac:dyDescent="0.25">
      <c r="A868" s="36" t="s">
        <v>27</v>
      </c>
      <c r="B868" s="36" t="s">
        <v>954</v>
      </c>
      <c r="C868" s="36" t="s">
        <v>28</v>
      </c>
      <c r="D868" s="36" t="s">
        <v>954</v>
      </c>
      <c r="E868" s="36" t="s">
        <v>30</v>
      </c>
      <c r="F868" s="36" t="s">
        <v>569</v>
      </c>
      <c r="G868" s="37" t="s">
        <v>645</v>
      </c>
      <c r="H868" s="36" t="s">
        <v>955</v>
      </c>
      <c r="I868" s="36" t="s">
        <v>956</v>
      </c>
      <c r="J868" s="36">
        <v>3</v>
      </c>
      <c r="K868" s="36" t="s">
        <v>962</v>
      </c>
      <c r="L868" s="36">
        <v>4</v>
      </c>
      <c r="M868" s="36">
        <v>220</v>
      </c>
      <c r="N868" s="38">
        <v>1228</v>
      </c>
      <c r="O868" s="38">
        <v>270160</v>
      </c>
      <c r="P868" s="36">
        <v>1</v>
      </c>
      <c r="Q868" s="40">
        <v>46235</v>
      </c>
      <c r="R868" s="36" t="s">
        <v>958</v>
      </c>
      <c r="S868" s="36" t="s">
        <v>959</v>
      </c>
      <c r="T868" s="36" t="s">
        <v>960</v>
      </c>
      <c r="U868" s="36" t="s">
        <v>961</v>
      </c>
      <c r="V868" s="40">
        <v>46235</v>
      </c>
      <c r="W868" s="36"/>
      <c r="X868" s="36">
        <v>0</v>
      </c>
      <c r="Y868" s="36"/>
      <c r="Z868" s="36">
        <v>0</v>
      </c>
      <c r="AA868" s="36">
        <v>0</v>
      </c>
      <c r="AB868" s="36"/>
      <c r="AC868" s="36" t="str">
        <f t="shared" si="2"/>
        <v>PC26</v>
      </c>
      <c r="AD868" s="36" t="str">
        <f>VLOOKUP(D868,Oficial!A:C,3,0)</f>
        <v>Bienes y Servicios</v>
      </c>
    </row>
    <row r="869" spans="1:30" x14ac:dyDescent="0.25">
      <c r="A869" s="36" t="s">
        <v>27</v>
      </c>
      <c r="B869" s="36" t="s">
        <v>963</v>
      </c>
      <c r="C869" s="36" t="s">
        <v>28</v>
      </c>
      <c r="D869" s="36" t="s">
        <v>963</v>
      </c>
      <c r="E869" s="36" t="s">
        <v>30</v>
      </c>
      <c r="F869" s="36" t="s">
        <v>569</v>
      </c>
      <c r="G869" s="37" t="s">
        <v>215</v>
      </c>
      <c r="H869" s="36" t="s">
        <v>964</v>
      </c>
      <c r="I869" s="36" t="s">
        <v>965</v>
      </c>
      <c r="J869" s="36">
        <v>1</v>
      </c>
      <c r="K869" s="36" t="s">
        <v>623</v>
      </c>
      <c r="L869" s="36">
        <v>4</v>
      </c>
      <c r="M869" s="36">
        <v>9</v>
      </c>
      <c r="N869" s="38">
        <v>77778</v>
      </c>
      <c r="O869" s="38">
        <v>700002</v>
      </c>
      <c r="P869" s="36">
        <v>1</v>
      </c>
      <c r="Q869" s="40">
        <v>46054</v>
      </c>
      <c r="R869" s="36" t="s">
        <v>768</v>
      </c>
      <c r="S869" s="36" t="s">
        <v>966</v>
      </c>
      <c r="T869" s="36" t="s">
        <v>967</v>
      </c>
      <c r="U869" s="36" t="s">
        <v>968</v>
      </c>
      <c r="V869" s="40">
        <v>46054</v>
      </c>
      <c r="W869" s="36"/>
      <c r="X869" s="36">
        <v>0</v>
      </c>
      <c r="Y869" s="36"/>
      <c r="Z869" s="36">
        <v>0</v>
      </c>
      <c r="AA869" s="36">
        <v>0</v>
      </c>
      <c r="AB869" s="36"/>
      <c r="AC869" s="36" t="str">
        <f t="shared" si="2"/>
        <v>PC26</v>
      </c>
      <c r="AD869" s="36" t="str">
        <f>VLOOKUP(D869,Oficial!A:C,3,0)</f>
        <v>Bienes y Servicios</v>
      </c>
    </row>
    <row r="870" spans="1:30" x14ac:dyDescent="0.25">
      <c r="A870" s="36" t="s">
        <v>27</v>
      </c>
      <c r="B870" s="36" t="s">
        <v>969</v>
      </c>
      <c r="C870" s="36" t="s">
        <v>28</v>
      </c>
      <c r="D870" s="36" t="s">
        <v>969</v>
      </c>
      <c r="E870" s="36" t="s">
        <v>30</v>
      </c>
      <c r="F870" s="36" t="s">
        <v>569</v>
      </c>
      <c r="G870" s="37" t="s">
        <v>215</v>
      </c>
      <c r="H870" s="36" t="s">
        <v>970</v>
      </c>
      <c r="I870" s="36" t="s">
        <v>971</v>
      </c>
      <c r="J870" s="36">
        <v>1</v>
      </c>
      <c r="K870" s="36" t="s">
        <v>623</v>
      </c>
      <c r="L870" s="36">
        <v>4</v>
      </c>
      <c r="M870" s="36">
        <v>12</v>
      </c>
      <c r="N870" s="38">
        <v>583334</v>
      </c>
      <c r="O870" s="38">
        <v>7000008</v>
      </c>
      <c r="P870" s="36">
        <v>1</v>
      </c>
      <c r="Q870" s="40">
        <v>46054</v>
      </c>
      <c r="R870" s="36" t="s">
        <v>768</v>
      </c>
      <c r="S870" s="36" t="s">
        <v>966</v>
      </c>
      <c r="T870" s="36" t="s">
        <v>967</v>
      </c>
      <c r="U870" s="36" t="s">
        <v>968</v>
      </c>
      <c r="V870" s="40">
        <v>46054</v>
      </c>
      <c r="W870" s="36"/>
      <c r="X870" s="36">
        <v>0</v>
      </c>
      <c r="Y870" s="36"/>
      <c r="Z870" s="36">
        <v>0</v>
      </c>
      <c r="AA870" s="36">
        <v>0</v>
      </c>
      <c r="AB870" s="36"/>
      <c r="AC870" s="36" t="str">
        <f t="shared" si="2"/>
        <v>PC26</v>
      </c>
      <c r="AD870" s="36" t="str">
        <f>VLOOKUP(D870,Oficial!A:C,3,0)</f>
        <v>Bienes y Servicios</v>
      </c>
    </row>
    <row r="871" spans="1:30" x14ac:dyDescent="0.25">
      <c r="A871" s="36" t="s">
        <v>27</v>
      </c>
      <c r="B871" s="36" t="s">
        <v>972</v>
      </c>
      <c r="C871" s="36" t="s">
        <v>28</v>
      </c>
      <c r="D871" s="36" t="s">
        <v>972</v>
      </c>
      <c r="E871" s="36" t="s">
        <v>30</v>
      </c>
      <c r="F871" s="36" t="s">
        <v>569</v>
      </c>
      <c r="G871" s="37" t="s">
        <v>215</v>
      </c>
      <c r="H871" s="36" t="s">
        <v>973</v>
      </c>
      <c r="I871" s="36" t="s">
        <v>974</v>
      </c>
      <c r="J871" s="36">
        <v>1</v>
      </c>
      <c r="K871" s="36" t="s">
        <v>623</v>
      </c>
      <c r="L871" s="36">
        <v>4</v>
      </c>
      <c r="M871" s="36">
        <v>1</v>
      </c>
      <c r="N871" s="38">
        <v>800000</v>
      </c>
      <c r="O871" s="38">
        <v>800000</v>
      </c>
      <c r="P871" s="36">
        <v>1</v>
      </c>
      <c r="Q871" s="40">
        <v>46082</v>
      </c>
      <c r="R871" s="36" t="s">
        <v>768</v>
      </c>
      <c r="S871" s="36" t="s">
        <v>966</v>
      </c>
      <c r="T871" s="36" t="s">
        <v>967</v>
      </c>
      <c r="U871" s="36" t="s">
        <v>968</v>
      </c>
      <c r="V871" s="40">
        <v>46082</v>
      </c>
      <c r="W871" s="36"/>
      <c r="X871" s="36">
        <v>0</v>
      </c>
      <c r="Y871" s="36"/>
      <c r="Z871" s="36">
        <v>0</v>
      </c>
      <c r="AA871" s="36">
        <v>0</v>
      </c>
      <c r="AB871" s="36"/>
      <c r="AC871" s="36" t="str">
        <f t="shared" si="2"/>
        <v>PC26</v>
      </c>
      <c r="AD871" s="36" t="str">
        <f>VLOOKUP(D871,Oficial!A:C,3,0)</f>
        <v>Bienes y Servicios</v>
      </c>
    </row>
    <row r="872" spans="1:30" x14ac:dyDescent="0.25">
      <c r="A872" s="36" t="s">
        <v>27</v>
      </c>
      <c r="B872" s="36" t="s">
        <v>975</v>
      </c>
      <c r="C872" s="36" t="s">
        <v>28</v>
      </c>
      <c r="D872" s="36" t="s">
        <v>975</v>
      </c>
      <c r="E872" s="36" t="s">
        <v>30</v>
      </c>
      <c r="F872" s="36" t="s">
        <v>569</v>
      </c>
      <c r="G872" s="37" t="s">
        <v>215</v>
      </c>
      <c r="H872" s="36" t="s">
        <v>976</v>
      </c>
      <c r="I872" s="36" t="s">
        <v>977</v>
      </c>
      <c r="J872" s="36">
        <v>1</v>
      </c>
      <c r="K872" s="36" t="s">
        <v>623</v>
      </c>
      <c r="L872" s="36">
        <v>4</v>
      </c>
      <c r="M872" s="36">
        <v>1</v>
      </c>
      <c r="N872" s="38">
        <v>3500000</v>
      </c>
      <c r="O872" s="38">
        <v>3500000</v>
      </c>
      <c r="P872" s="36">
        <v>1</v>
      </c>
      <c r="Q872" s="40">
        <v>46054</v>
      </c>
      <c r="R872" s="36" t="s">
        <v>768</v>
      </c>
      <c r="S872" s="36" t="s">
        <v>966</v>
      </c>
      <c r="T872" s="36" t="s">
        <v>967</v>
      </c>
      <c r="U872" s="36" t="s">
        <v>968</v>
      </c>
      <c r="V872" s="40">
        <v>46054</v>
      </c>
      <c r="W872" s="36"/>
      <c r="X872" s="36">
        <v>0</v>
      </c>
      <c r="Y872" s="36"/>
      <c r="Z872" s="36">
        <v>0</v>
      </c>
      <c r="AA872" s="36">
        <v>0</v>
      </c>
      <c r="AB872" s="36"/>
      <c r="AC872" s="36" t="str">
        <f t="shared" si="2"/>
        <v>PC26</v>
      </c>
      <c r="AD872" s="36" t="str">
        <f>VLOOKUP(D872,Oficial!A:C,3,0)</f>
        <v>Bienes y Servicios</v>
      </c>
    </row>
    <row r="873" spans="1:30" x14ac:dyDescent="0.25">
      <c r="A873" s="36" t="s">
        <v>27</v>
      </c>
      <c r="B873" s="36" t="s">
        <v>978</v>
      </c>
      <c r="C873" s="36" t="s">
        <v>28</v>
      </c>
      <c r="D873" s="36" t="s">
        <v>978</v>
      </c>
      <c r="E873" s="36" t="s">
        <v>30</v>
      </c>
      <c r="F873" s="36" t="s">
        <v>569</v>
      </c>
      <c r="G873" s="37" t="s">
        <v>215</v>
      </c>
      <c r="H873" s="36" t="s">
        <v>979</v>
      </c>
      <c r="I873" s="36" t="s">
        <v>980</v>
      </c>
      <c r="J873" s="36">
        <v>1</v>
      </c>
      <c r="K873" s="36" t="s">
        <v>623</v>
      </c>
      <c r="L873" s="36">
        <v>4</v>
      </c>
      <c r="M873" s="36">
        <v>1</v>
      </c>
      <c r="N873" s="38">
        <v>2000000</v>
      </c>
      <c r="O873" s="38">
        <v>2000000</v>
      </c>
      <c r="P873" s="36">
        <v>1</v>
      </c>
      <c r="Q873" s="40">
        <v>46082</v>
      </c>
      <c r="R873" s="36" t="s">
        <v>768</v>
      </c>
      <c r="S873" s="36" t="s">
        <v>966</v>
      </c>
      <c r="T873" s="36" t="s">
        <v>967</v>
      </c>
      <c r="U873" s="36" t="s">
        <v>968</v>
      </c>
      <c r="V873" s="40">
        <v>46082</v>
      </c>
      <c r="W873" s="36"/>
      <c r="X873" s="36">
        <v>0</v>
      </c>
      <c r="Y873" s="36"/>
      <c r="Z873" s="36">
        <v>0</v>
      </c>
      <c r="AA873" s="36">
        <v>0</v>
      </c>
      <c r="AB873" s="36"/>
      <c r="AC873" s="36" t="str">
        <f t="shared" si="2"/>
        <v>PC26</v>
      </c>
      <c r="AD873" s="36" t="str">
        <f>VLOOKUP(D873,Oficial!A:C,3,0)</f>
        <v>Bienes y Servicios</v>
      </c>
    </row>
    <row r="874" spans="1:30" x14ac:dyDescent="0.25">
      <c r="A874" s="36" t="s">
        <v>27</v>
      </c>
      <c r="B874" s="36" t="s">
        <v>981</v>
      </c>
      <c r="C874" s="36" t="s">
        <v>28</v>
      </c>
      <c r="D874" s="36" t="s">
        <v>981</v>
      </c>
      <c r="E874" s="36" t="s">
        <v>30</v>
      </c>
      <c r="F874" s="36" t="s">
        <v>569</v>
      </c>
      <c r="G874" s="37" t="s">
        <v>215</v>
      </c>
      <c r="H874" s="36" t="s">
        <v>982</v>
      </c>
      <c r="I874" s="36" t="s">
        <v>983</v>
      </c>
      <c r="J874" s="36">
        <v>1</v>
      </c>
      <c r="K874" s="36" t="s">
        <v>623</v>
      </c>
      <c r="L874" s="36">
        <v>4</v>
      </c>
      <c r="M874" s="36">
        <v>6</v>
      </c>
      <c r="N874" s="38">
        <v>133334</v>
      </c>
      <c r="O874" s="38">
        <v>800004</v>
      </c>
      <c r="P874" s="36">
        <v>1</v>
      </c>
      <c r="Q874" s="40">
        <v>46113</v>
      </c>
      <c r="R874" s="36" t="s">
        <v>768</v>
      </c>
      <c r="S874" s="36" t="s">
        <v>966</v>
      </c>
      <c r="T874" s="36" t="s">
        <v>967</v>
      </c>
      <c r="U874" s="36" t="s">
        <v>968</v>
      </c>
      <c r="V874" s="40">
        <v>46113</v>
      </c>
      <c r="W874" s="36"/>
      <c r="X874" s="36">
        <v>0</v>
      </c>
      <c r="Y874" s="36"/>
      <c r="Z874" s="36">
        <v>0</v>
      </c>
      <c r="AA874" s="36">
        <v>0</v>
      </c>
      <c r="AB874" s="36"/>
      <c r="AC874" s="36" t="str">
        <f t="shared" si="2"/>
        <v>PC26</v>
      </c>
      <c r="AD874" s="36" t="str">
        <f>VLOOKUP(D874,Oficial!A:C,3,0)</f>
        <v>Bienes y Servicios</v>
      </c>
    </row>
    <row r="875" spans="1:30" x14ac:dyDescent="0.25">
      <c r="A875" s="36" t="s">
        <v>27</v>
      </c>
      <c r="B875" s="36" t="s">
        <v>984</v>
      </c>
      <c r="C875" s="36" t="s">
        <v>28</v>
      </c>
      <c r="D875" s="36" t="s">
        <v>984</v>
      </c>
      <c r="E875" s="36" t="s">
        <v>30</v>
      </c>
      <c r="F875" s="36" t="s">
        <v>569</v>
      </c>
      <c r="G875" s="37" t="s">
        <v>215</v>
      </c>
      <c r="H875" s="36" t="s">
        <v>985</v>
      </c>
      <c r="I875" s="36" t="s">
        <v>986</v>
      </c>
      <c r="J875" s="36">
        <v>1</v>
      </c>
      <c r="K875" s="36" t="s">
        <v>623</v>
      </c>
      <c r="L875" s="36">
        <v>4</v>
      </c>
      <c r="M875" s="36">
        <v>1</v>
      </c>
      <c r="N875" s="38">
        <v>600000</v>
      </c>
      <c r="O875" s="38">
        <v>600000</v>
      </c>
      <c r="P875" s="36">
        <v>1</v>
      </c>
      <c r="Q875" s="40">
        <v>46023</v>
      </c>
      <c r="R875" s="36" t="s">
        <v>768</v>
      </c>
      <c r="S875" s="36" t="s">
        <v>966</v>
      </c>
      <c r="T875" s="36" t="s">
        <v>967</v>
      </c>
      <c r="U875" s="36" t="s">
        <v>968</v>
      </c>
      <c r="V875" s="40">
        <v>46023</v>
      </c>
      <c r="W875" s="36"/>
      <c r="X875" s="36">
        <v>0</v>
      </c>
      <c r="Y875" s="36"/>
      <c r="Z875" s="36">
        <v>0</v>
      </c>
      <c r="AA875" s="36">
        <v>0</v>
      </c>
      <c r="AB875" s="36"/>
      <c r="AC875" s="36" t="str">
        <f t="shared" si="2"/>
        <v>PC26</v>
      </c>
      <c r="AD875" s="36" t="str">
        <f>VLOOKUP(D875,Oficial!A:C,3,0)</f>
        <v>Bienes y Servicios</v>
      </c>
    </row>
    <row r="876" spans="1:30" x14ac:dyDescent="0.25">
      <c r="A876" s="36" t="s">
        <v>27</v>
      </c>
      <c r="B876" s="36" t="s">
        <v>987</v>
      </c>
      <c r="C876" s="36" t="s">
        <v>28</v>
      </c>
      <c r="D876" s="36" t="s">
        <v>987</v>
      </c>
      <c r="E876" s="36" t="s">
        <v>30</v>
      </c>
      <c r="F876" s="36" t="s">
        <v>569</v>
      </c>
      <c r="G876" s="37" t="s">
        <v>215</v>
      </c>
      <c r="H876" s="36" t="s">
        <v>988</v>
      </c>
      <c r="I876" s="36" t="s">
        <v>989</v>
      </c>
      <c r="J876" s="36">
        <v>1</v>
      </c>
      <c r="K876" s="36" t="s">
        <v>623</v>
      </c>
      <c r="L876" s="36">
        <v>4</v>
      </c>
      <c r="M876" s="36">
        <v>1</v>
      </c>
      <c r="N876" s="38">
        <v>4000000</v>
      </c>
      <c r="O876" s="38">
        <v>4000000</v>
      </c>
      <c r="P876" s="36">
        <v>1</v>
      </c>
      <c r="Q876" s="40">
        <v>46204</v>
      </c>
      <c r="R876" s="36" t="s">
        <v>768</v>
      </c>
      <c r="S876" s="36" t="s">
        <v>966</v>
      </c>
      <c r="T876" s="36" t="s">
        <v>967</v>
      </c>
      <c r="U876" s="36" t="s">
        <v>968</v>
      </c>
      <c r="V876" s="40">
        <v>46204</v>
      </c>
      <c r="W876" s="36"/>
      <c r="X876" s="36">
        <v>0</v>
      </c>
      <c r="Y876" s="36"/>
      <c r="Z876" s="36">
        <v>0</v>
      </c>
      <c r="AA876" s="36">
        <v>0</v>
      </c>
      <c r="AB876" s="36"/>
      <c r="AC876" s="36" t="str">
        <f t="shared" si="2"/>
        <v>PC26</v>
      </c>
      <c r="AD876" s="36" t="str">
        <f>VLOOKUP(D876,Oficial!A:C,3,0)</f>
        <v>Bienes y Servicios</v>
      </c>
    </row>
    <row r="877" spans="1:30" x14ac:dyDescent="0.25">
      <c r="A877" s="36" t="s">
        <v>27</v>
      </c>
      <c r="B877" s="36" t="s">
        <v>990</v>
      </c>
      <c r="C877" s="36" t="s">
        <v>28</v>
      </c>
      <c r="D877" s="36" t="s">
        <v>990</v>
      </c>
      <c r="E877" s="36" t="s">
        <v>30</v>
      </c>
      <c r="F877" s="36" t="s">
        <v>569</v>
      </c>
      <c r="G877" s="37" t="s">
        <v>215</v>
      </c>
      <c r="H877" s="36" t="s">
        <v>991</v>
      </c>
      <c r="I877" s="36" t="s">
        <v>992</v>
      </c>
      <c r="J877" s="36">
        <v>1</v>
      </c>
      <c r="K877" s="36" t="s">
        <v>623</v>
      </c>
      <c r="L877" s="36">
        <v>4</v>
      </c>
      <c r="M877" s="36">
        <v>1</v>
      </c>
      <c r="N877" s="38">
        <v>5500000</v>
      </c>
      <c r="O877" s="38">
        <v>5500000</v>
      </c>
      <c r="P877" s="36">
        <v>1</v>
      </c>
      <c r="Q877" s="40">
        <v>46082</v>
      </c>
      <c r="R877" s="36" t="s">
        <v>768</v>
      </c>
      <c r="S877" s="36" t="s">
        <v>966</v>
      </c>
      <c r="T877" s="36" t="s">
        <v>967</v>
      </c>
      <c r="U877" s="36" t="s">
        <v>968</v>
      </c>
      <c r="V877" s="40">
        <v>46082</v>
      </c>
      <c r="W877" s="36"/>
      <c r="X877" s="36">
        <v>0</v>
      </c>
      <c r="Y877" s="36"/>
      <c r="Z877" s="36">
        <v>0</v>
      </c>
      <c r="AA877" s="36">
        <v>0</v>
      </c>
      <c r="AB877" s="36"/>
      <c r="AC877" s="36" t="str">
        <f t="shared" si="2"/>
        <v>PC26</v>
      </c>
      <c r="AD877" s="36" t="str">
        <f>VLOOKUP(D877,Oficial!A:C,3,0)</f>
        <v>Bienes y Servicios</v>
      </c>
    </row>
    <row r="878" spans="1:30" x14ac:dyDescent="0.25">
      <c r="A878" s="36" t="s">
        <v>27</v>
      </c>
      <c r="B878" s="36" t="s">
        <v>993</v>
      </c>
      <c r="C878" s="36" t="s">
        <v>28</v>
      </c>
      <c r="D878" s="36" t="s">
        <v>993</v>
      </c>
      <c r="E878" s="36" t="s">
        <v>30</v>
      </c>
      <c r="F878" s="36" t="s">
        <v>569</v>
      </c>
      <c r="G878" s="37" t="s">
        <v>215</v>
      </c>
      <c r="H878" s="36" t="s">
        <v>994</v>
      </c>
      <c r="I878" s="36" t="s">
        <v>995</v>
      </c>
      <c r="J878" s="36">
        <v>1</v>
      </c>
      <c r="K878" s="36" t="s">
        <v>623</v>
      </c>
      <c r="L878" s="36">
        <v>4</v>
      </c>
      <c r="M878" s="36">
        <v>1</v>
      </c>
      <c r="N878" s="38">
        <v>3000000</v>
      </c>
      <c r="O878" s="38">
        <v>3000000</v>
      </c>
      <c r="P878" s="36">
        <v>1</v>
      </c>
      <c r="Q878" s="40">
        <v>46113</v>
      </c>
      <c r="R878" s="36" t="s">
        <v>768</v>
      </c>
      <c r="S878" s="36" t="s">
        <v>966</v>
      </c>
      <c r="T878" s="36" t="s">
        <v>967</v>
      </c>
      <c r="U878" s="36" t="s">
        <v>968</v>
      </c>
      <c r="V878" s="40">
        <v>46113</v>
      </c>
      <c r="W878" s="36"/>
      <c r="X878" s="36">
        <v>0</v>
      </c>
      <c r="Y878" s="36"/>
      <c r="Z878" s="36">
        <v>0</v>
      </c>
      <c r="AA878" s="36">
        <v>0</v>
      </c>
      <c r="AB878" s="36"/>
      <c r="AC878" s="36" t="str">
        <f t="shared" si="2"/>
        <v>PC26</v>
      </c>
      <c r="AD878" s="36" t="str">
        <f>VLOOKUP(D878,Oficial!A:C,3,0)</f>
        <v>Bienes y Servicios</v>
      </c>
    </row>
    <row r="879" spans="1:30" x14ac:dyDescent="0.25">
      <c r="A879" s="36" t="s">
        <v>27</v>
      </c>
      <c r="B879" s="36" t="s">
        <v>996</v>
      </c>
      <c r="C879" s="36" t="s">
        <v>28</v>
      </c>
      <c r="D879" s="36" t="s">
        <v>996</v>
      </c>
      <c r="E879" s="36" t="s">
        <v>30</v>
      </c>
      <c r="F879" s="36" t="s">
        <v>569</v>
      </c>
      <c r="G879" s="37" t="s">
        <v>483</v>
      </c>
      <c r="H879" s="36" t="s">
        <v>997</v>
      </c>
      <c r="I879" s="36" t="s">
        <v>998</v>
      </c>
      <c r="J879" s="36">
        <v>1</v>
      </c>
      <c r="K879" s="36" t="s">
        <v>486</v>
      </c>
      <c r="L879" s="36">
        <v>4</v>
      </c>
      <c r="M879" s="36">
        <v>4</v>
      </c>
      <c r="N879" s="38">
        <v>15000</v>
      </c>
      <c r="O879" s="38">
        <v>60000</v>
      </c>
      <c r="P879" s="36">
        <v>1</v>
      </c>
      <c r="Q879" s="40">
        <v>46023</v>
      </c>
      <c r="R879" s="36" t="s">
        <v>934</v>
      </c>
      <c r="S879" s="36" t="s">
        <v>935</v>
      </c>
      <c r="T879" s="36" t="s">
        <v>999</v>
      </c>
      <c r="U879" s="36" t="s">
        <v>937</v>
      </c>
      <c r="V879" s="40">
        <v>46023</v>
      </c>
      <c r="W879" s="36"/>
      <c r="X879" s="36">
        <v>0</v>
      </c>
      <c r="Y879" s="36"/>
      <c r="Z879" s="36">
        <v>0</v>
      </c>
      <c r="AA879" s="36">
        <v>0</v>
      </c>
      <c r="AB879" s="36"/>
      <c r="AC879" s="36" t="str">
        <f t="shared" si="2"/>
        <v>PC26</v>
      </c>
      <c r="AD879" s="36" t="str">
        <f>VLOOKUP(D879,Oficial!A:C,3,0)</f>
        <v>Bienes y Servicios</v>
      </c>
    </row>
    <row r="880" spans="1:30" x14ac:dyDescent="0.25">
      <c r="A880" s="36" t="s">
        <v>27</v>
      </c>
      <c r="B880" s="36" t="s">
        <v>1000</v>
      </c>
      <c r="C880" s="36" t="s">
        <v>28</v>
      </c>
      <c r="D880" s="36" t="s">
        <v>1000</v>
      </c>
      <c r="E880" s="36" t="s">
        <v>30</v>
      </c>
      <c r="F880" s="36" t="s">
        <v>569</v>
      </c>
      <c r="G880" s="37" t="s">
        <v>215</v>
      </c>
      <c r="H880" s="36" t="s">
        <v>1001</v>
      </c>
      <c r="I880" s="36" t="s">
        <v>1002</v>
      </c>
      <c r="J880" s="36">
        <v>1</v>
      </c>
      <c r="K880" s="36" t="s">
        <v>623</v>
      </c>
      <c r="L880" s="36">
        <v>4</v>
      </c>
      <c r="M880" s="36">
        <v>1</v>
      </c>
      <c r="N880" s="38">
        <v>1500000</v>
      </c>
      <c r="O880" s="38">
        <v>1500000</v>
      </c>
      <c r="P880" s="36">
        <v>1</v>
      </c>
      <c r="Q880" s="40">
        <v>46174</v>
      </c>
      <c r="R880" s="36" t="s">
        <v>768</v>
      </c>
      <c r="S880" s="36" t="s">
        <v>966</v>
      </c>
      <c r="T880" s="36" t="s">
        <v>967</v>
      </c>
      <c r="U880" s="36" t="s">
        <v>968</v>
      </c>
      <c r="V880" s="40">
        <v>46204</v>
      </c>
      <c r="W880" s="36"/>
      <c r="X880" s="36">
        <v>0</v>
      </c>
      <c r="Y880" s="36"/>
      <c r="Z880" s="36">
        <v>0</v>
      </c>
      <c r="AA880" s="36">
        <v>0</v>
      </c>
      <c r="AB880" s="36"/>
      <c r="AC880" s="36" t="str">
        <f t="shared" si="2"/>
        <v>PC26</v>
      </c>
      <c r="AD880" s="36" t="str">
        <f>VLOOKUP(D880,Oficial!A:C,3,0)</f>
        <v>Bienes y Servicios</v>
      </c>
    </row>
    <row r="881" spans="1:30" x14ac:dyDescent="0.25">
      <c r="A881" s="36" t="s">
        <v>27</v>
      </c>
      <c r="B881" s="36" t="s">
        <v>1003</v>
      </c>
      <c r="C881" s="36" t="s">
        <v>28</v>
      </c>
      <c r="D881" s="36" t="s">
        <v>1003</v>
      </c>
      <c r="E881" s="36" t="s">
        <v>30</v>
      </c>
      <c r="F881" s="36" t="s">
        <v>569</v>
      </c>
      <c r="G881" s="37" t="s">
        <v>439</v>
      </c>
      <c r="H881" s="36" t="s">
        <v>1004</v>
      </c>
      <c r="I881" s="36" t="s">
        <v>1005</v>
      </c>
      <c r="J881" s="36">
        <v>1</v>
      </c>
      <c r="K881" s="36" t="s">
        <v>1006</v>
      </c>
      <c r="L881" s="36">
        <v>4</v>
      </c>
      <c r="M881" s="36">
        <v>2500</v>
      </c>
      <c r="N881" s="38">
        <v>7000</v>
      </c>
      <c r="O881" s="38">
        <v>17500000</v>
      </c>
      <c r="P881" s="36">
        <v>4</v>
      </c>
      <c r="Q881" s="36" t="s">
        <v>1007</v>
      </c>
      <c r="R881" s="36" t="s">
        <v>768</v>
      </c>
      <c r="S881" s="36" t="s">
        <v>966</v>
      </c>
      <c r="T881" s="36" t="s">
        <v>967</v>
      </c>
      <c r="U881" s="36" t="s">
        <v>968</v>
      </c>
      <c r="V881" s="40">
        <v>46082</v>
      </c>
      <c r="W881" s="36"/>
      <c r="X881" s="36">
        <v>0</v>
      </c>
      <c r="Y881" s="36"/>
      <c r="Z881" s="36">
        <v>0</v>
      </c>
      <c r="AA881" s="36">
        <v>0</v>
      </c>
      <c r="AB881" s="36"/>
      <c r="AC881" s="36" t="str">
        <f t="shared" si="2"/>
        <v>PC26</v>
      </c>
      <c r="AD881" s="36" t="str">
        <f>VLOOKUP(D881,Oficial!A:C,3,0)</f>
        <v>Bienes y Servicios</v>
      </c>
    </row>
    <row r="882" spans="1:30" x14ac:dyDescent="0.25">
      <c r="A882" s="36" t="s">
        <v>27</v>
      </c>
      <c r="B882" s="36" t="s">
        <v>1008</v>
      </c>
      <c r="C882" s="36" t="s">
        <v>28</v>
      </c>
      <c r="D882" s="36" t="s">
        <v>1008</v>
      </c>
      <c r="E882" s="36" t="s">
        <v>30</v>
      </c>
      <c r="F882" s="36" t="s">
        <v>569</v>
      </c>
      <c r="G882" s="37" t="s">
        <v>1009</v>
      </c>
      <c r="H882" s="36" t="s">
        <v>1010</v>
      </c>
      <c r="I882" s="36" t="s">
        <v>1011</v>
      </c>
      <c r="J882" s="36">
        <v>1</v>
      </c>
      <c r="K882" s="36" t="s">
        <v>1012</v>
      </c>
      <c r="L882" s="36">
        <v>4</v>
      </c>
      <c r="M882" s="36">
        <v>700</v>
      </c>
      <c r="N882" s="38">
        <v>2600</v>
      </c>
      <c r="O882" s="38">
        <v>1820000</v>
      </c>
      <c r="P882" s="36">
        <v>1</v>
      </c>
      <c r="Q882" s="40">
        <v>46143</v>
      </c>
      <c r="R882" s="36" t="s">
        <v>768</v>
      </c>
      <c r="S882" s="36" t="s">
        <v>966</v>
      </c>
      <c r="T882" s="36" t="s">
        <v>967</v>
      </c>
      <c r="U882" s="36" t="s">
        <v>968</v>
      </c>
      <c r="V882" s="40">
        <v>46143</v>
      </c>
      <c r="W882" s="36"/>
      <c r="X882" s="36">
        <v>0</v>
      </c>
      <c r="Y882" s="36"/>
      <c r="Z882" s="36">
        <v>0</v>
      </c>
      <c r="AA882" s="36">
        <v>0</v>
      </c>
      <c r="AB882" s="36"/>
      <c r="AC882" s="36" t="str">
        <f t="shared" si="2"/>
        <v>PC26</v>
      </c>
      <c r="AD882" s="36" t="str">
        <f>VLOOKUP(D882,Oficial!A:C,3,0)</f>
        <v>Bienes y Servicios</v>
      </c>
    </row>
    <row r="883" spans="1:30" x14ac:dyDescent="0.25">
      <c r="A883" s="36" t="s">
        <v>27</v>
      </c>
      <c r="B883" s="36" t="s">
        <v>1013</v>
      </c>
      <c r="C883" s="36" t="s">
        <v>28</v>
      </c>
      <c r="D883" s="36" t="s">
        <v>1013</v>
      </c>
      <c r="E883" s="36" t="s">
        <v>30</v>
      </c>
      <c r="F883" s="36" t="s">
        <v>569</v>
      </c>
      <c r="G883" s="37" t="s">
        <v>215</v>
      </c>
      <c r="H883" s="36" t="s">
        <v>1014</v>
      </c>
      <c r="I883" s="36" t="s">
        <v>1015</v>
      </c>
      <c r="J883" s="36">
        <v>1</v>
      </c>
      <c r="K883" s="36" t="s">
        <v>623</v>
      </c>
      <c r="L883" s="36">
        <v>4</v>
      </c>
      <c r="M883" s="36">
        <v>60</v>
      </c>
      <c r="N883" s="38">
        <v>20000</v>
      </c>
      <c r="O883" s="38">
        <v>1200000</v>
      </c>
      <c r="P883" s="36">
        <v>1</v>
      </c>
      <c r="Q883" s="40">
        <v>46082</v>
      </c>
      <c r="R883" s="36" t="s">
        <v>768</v>
      </c>
      <c r="S883" s="36" t="s">
        <v>966</v>
      </c>
      <c r="T883" s="36" t="s">
        <v>967</v>
      </c>
      <c r="U883" s="36" t="s">
        <v>968</v>
      </c>
      <c r="V883" s="40">
        <v>46082</v>
      </c>
      <c r="W883" s="36"/>
      <c r="X883" s="36">
        <v>0</v>
      </c>
      <c r="Y883" s="36"/>
      <c r="Z883" s="36">
        <v>0</v>
      </c>
      <c r="AA883" s="36">
        <v>0</v>
      </c>
      <c r="AB883" s="36"/>
      <c r="AC883" s="36" t="str">
        <f t="shared" si="2"/>
        <v>PC26</v>
      </c>
      <c r="AD883" s="36" t="str">
        <f>VLOOKUP(D883,Oficial!A:C,3,0)</f>
        <v>Bienes y Servicios</v>
      </c>
    </row>
    <row r="884" spans="1:30" x14ac:dyDescent="0.25">
      <c r="A884" s="36" t="s">
        <v>27</v>
      </c>
      <c r="B884" s="36" t="s">
        <v>1016</v>
      </c>
      <c r="C884" s="36" t="s">
        <v>28</v>
      </c>
      <c r="D884" s="36" t="s">
        <v>1016</v>
      </c>
      <c r="E884" s="36" t="s">
        <v>30</v>
      </c>
      <c r="F884" s="36" t="s">
        <v>569</v>
      </c>
      <c r="G884" s="37" t="s">
        <v>215</v>
      </c>
      <c r="H884" s="36" t="s">
        <v>1017</v>
      </c>
      <c r="I884" s="36" t="s">
        <v>1018</v>
      </c>
      <c r="J884" s="36">
        <v>1</v>
      </c>
      <c r="K884" s="36" t="s">
        <v>623</v>
      </c>
      <c r="L884" s="36">
        <v>4</v>
      </c>
      <c r="M884" s="36">
        <v>36</v>
      </c>
      <c r="N884" s="38">
        <v>69445</v>
      </c>
      <c r="O884" s="38">
        <v>2500020</v>
      </c>
      <c r="P884" s="36">
        <v>1</v>
      </c>
      <c r="Q884" s="40">
        <v>46174</v>
      </c>
      <c r="R884" s="36" t="s">
        <v>768</v>
      </c>
      <c r="S884" s="36" t="s">
        <v>966</v>
      </c>
      <c r="T884" s="36" t="s">
        <v>967</v>
      </c>
      <c r="U884" s="36" t="s">
        <v>968</v>
      </c>
      <c r="V884" s="40">
        <v>46174</v>
      </c>
      <c r="W884" s="36"/>
      <c r="X884" s="36">
        <v>0</v>
      </c>
      <c r="Y884" s="36"/>
      <c r="Z884" s="36">
        <v>0</v>
      </c>
      <c r="AA884" s="36">
        <v>0</v>
      </c>
      <c r="AB884" s="36"/>
      <c r="AC884" s="36" t="str">
        <f t="shared" si="2"/>
        <v>PC26</v>
      </c>
      <c r="AD884" s="36" t="str">
        <f>VLOOKUP(D884,Oficial!A:C,3,0)</f>
        <v>Bienes y Servicios</v>
      </c>
    </row>
    <row r="885" spans="1:30" x14ac:dyDescent="0.25">
      <c r="A885" s="36" t="s">
        <v>27</v>
      </c>
      <c r="B885" s="36" t="s">
        <v>1019</v>
      </c>
      <c r="C885" s="36" t="s">
        <v>28</v>
      </c>
      <c r="D885" s="36" t="s">
        <v>1019</v>
      </c>
      <c r="E885" s="36" t="s">
        <v>30</v>
      </c>
      <c r="F885" s="36" t="s">
        <v>569</v>
      </c>
      <c r="G885" s="37" t="s">
        <v>215</v>
      </c>
      <c r="H885" s="36" t="s">
        <v>1020</v>
      </c>
      <c r="I885" s="36" t="s">
        <v>1021</v>
      </c>
      <c r="J885" s="36">
        <v>1</v>
      </c>
      <c r="K885" s="36" t="s">
        <v>121</v>
      </c>
      <c r="L885" s="36">
        <v>4</v>
      </c>
      <c r="M885" s="36">
        <v>25</v>
      </c>
      <c r="N885" s="38">
        <v>100000</v>
      </c>
      <c r="O885" s="38">
        <v>2500000</v>
      </c>
      <c r="P885" s="36">
        <v>1</v>
      </c>
      <c r="Q885" s="40">
        <v>46235</v>
      </c>
      <c r="R885" s="36" t="s">
        <v>768</v>
      </c>
      <c r="S885" s="36" t="s">
        <v>966</v>
      </c>
      <c r="T885" s="36" t="s">
        <v>967</v>
      </c>
      <c r="U885" s="36" t="s">
        <v>968</v>
      </c>
      <c r="V885" s="40">
        <v>46235</v>
      </c>
      <c r="W885" s="36"/>
      <c r="X885" s="36">
        <v>0</v>
      </c>
      <c r="Y885" s="36"/>
      <c r="Z885" s="36">
        <v>0</v>
      </c>
      <c r="AA885" s="36">
        <v>0</v>
      </c>
      <c r="AB885" s="36"/>
      <c r="AC885" s="36" t="str">
        <f t="shared" si="2"/>
        <v>PC26</v>
      </c>
      <c r="AD885" s="36" t="str">
        <f>VLOOKUP(D885,Oficial!A:C,3,0)</f>
        <v>Bienes y Servicios</v>
      </c>
    </row>
    <row r="886" spans="1:30" x14ac:dyDescent="0.25">
      <c r="A886" s="36" t="s">
        <v>27</v>
      </c>
      <c r="B886" s="36" t="s">
        <v>1022</v>
      </c>
      <c r="C886" s="36" t="s">
        <v>28</v>
      </c>
      <c r="D886" s="36" t="s">
        <v>1022</v>
      </c>
      <c r="E886" s="36" t="s">
        <v>30</v>
      </c>
      <c r="F886" s="36" t="s">
        <v>569</v>
      </c>
      <c r="G886" s="37" t="s">
        <v>215</v>
      </c>
      <c r="H886" s="36" t="s">
        <v>1023</v>
      </c>
      <c r="I886" s="36" t="s">
        <v>1024</v>
      </c>
      <c r="J886" s="36">
        <v>1</v>
      </c>
      <c r="K886" s="36" t="s">
        <v>623</v>
      </c>
      <c r="L886" s="36">
        <v>4</v>
      </c>
      <c r="M886" s="36">
        <v>160</v>
      </c>
      <c r="N886" s="38">
        <v>15625</v>
      </c>
      <c r="O886" s="38">
        <v>2500000</v>
      </c>
      <c r="P886" s="36">
        <v>1</v>
      </c>
      <c r="Q886" s="40">
        <v>46235</v>
      </c>
      <c r="R886" s="36" t="s">
        <v>768</v>
      </c>
      <c r="S886" s="36" t="s">
        <v>966</v>
      </c>
      <c r="T886" s="36" t="s">
        <v>967</v>
      </c>
      <c r="U886" s="36" t="s">
        <v>968</v>
      </c>
      <c r="V886" s="40">
        <v>46235</v>
      </c>
      <c r="W886" s="36"/>
      <c r="X886" s="36">
        <v>0</v>
      </c>
      <c r="Y886" s="36"/>
      <c r="Z886" s="36">
        <v>0</v>
      </c>
      <c r="AA886" s="36">
        <v>0</v>
      </c>
      <c r="AB886" s="36"/>
      <c r="AC886" s="36" t="str">
        <f t="shared" si="2"/>
        <v>PC26</v>
      </c>
      <c r="AD886" s="36" t="str">
        <f>VLOOKUP(D886,Oficial!A:C,3,0)</f>
        <v>Bienes y Servicios</v>
      </c>
    </row>
    <row r="887" spans="1:30" x14ac:dyDescent="0.25">
      <c r="A887" s="36" t="s">
        <v>27</v>
      </c>
      <c r="B887" s="36" t="s">
        <v>1025</v>
      </c>
      <c r="C887" s="36" t="s">
        <v>28</v>
      </c>
      <c r="D887" s="36" t="s">
        <v>1025</v>
      </c>
      <c r="E887" s="36" t="s">
        <v>30</v>
      </c>
      <c r="F887" s="36" t="s">
        <v>569</v>
      </c>
      <c r="G887" s="37" t="s">
        <v>314</v>
      </c>
      <c r="H887" s="36" t="s">
        <v>1026</v>
      </c>
      <c r="I887" s="36" t="s">
        <v>1027</v>
      </c>
      <c r="J887" s="36">
        <v>1</v>
      </c>
      <c r="K887" s="36" t="s">
        <v>1028</v>
      </c>
      <c r="L887" s="36">
        <v>4</v>
      </c>
      <c r="M887" s="36">
        <v>1</v>
      </c>
      <c r="N887" s="38">
        <v>18300000</v>
      </c>
      <c r="O887" s="38">
        <v>0</v>
      </c>
      <c r="P887" s="36">
        <v>12</v>
      </c>
      <c r="Q887" s="36" t="s">
        <v>1029</v>
      </c>
      <c r="R887" s="36" t="s">
        <v>768</v>
      </c>
      <c r="S887" s="36" t="s">
        <v>769</v>
      </c>
      <c r="T887" s="36" t="s">
        <v>770</v>
      </c>
      <c r="U887" s="36" t="s">
        <v>388</v>
      </c>
      <c r="V887" s="40">
        <v>46327</v>
      </c>
      <c r="W887" s="36"/>
      <c r="X887" s="36">
        <v>0</v>
      </c>
      <c r="Y887" s="36"/>
      <c r="Z887" s="36">
        <v>0</v>
      </c>
      <c r="AA887" s="36">
        <v>0</v>
      </c>
      <c r="AB887" s="36"/>
      <c r="AC887" s="36" t="str">
        <f t="shared" si="2"/>
        <v>PC26</v>
      </c>
      <c r="AD887" s="36" t="str">
        <f>VLOOKUP(D887,Oficial!A:C,3,0)</f>
        <v>Bienes y Servicios</v>
      </c>
    </row>
    <row r="888" spans="1:30" x14ac:dyDescent="0.25">
      <c r="A888" s="36" t="s">
        <v>27</v>
      </c>
      <c r="B888" s="36" t="s">
        <v>1030</v>
      </c>
      <c r="C888" s="36" t="s">
        <v>374</v>
      </c>
      <c r="D888" s="36" t="s">
        <v>1030</v>
      </c>
      <c r="E888" s="36" t="s">
        <v>30</v>
      </c>
      <c r="F888" s="36" t="s">
        <v>569</v>
      </c>
      <c r="G888" s="37" t="s">
        <v>1031</v>
      </c>
      <c r="H888" s="36" t="s">
        <v>1032</v>
      </c>
      <c r="I888" s="36" t="s">
        <v>1033</v>
      </c>
      <c r="J888" s="36">
        <v>2</v>
      </c>
      <c r="K888" s="36" t="s">
        <v>1034</v>
      </c>
      <c r="L888" s="36">
        <v>4</v>
      </c>
      <c r="M888" s="36">
        <v>1</v>
      </c>
      <c r="N888" s="38">
        <v>21200000</v>
      </c>
      <c r="O888" s="38">
        <v>21200000</v>
      </c>
      <c r="P888" s="36">
        <v>1</v>
      </c>
      <c r="Q888" s="40">
        <v>46082</v>
      </c>
      <c r="R888" s="36" t="s">
        <v>1035</v>
      </c>
      <c r="S888" s="36" t="s">
        <v>1036</v>
      </c>
      <c r="T888" s="36" t="s">
        <v>1037</v>
      </c>
      <c r="U888" s="36" t="s">
        <v>1038</v>
      </c>
      <c r="V888" s="40">
        <v>46082</v>
      </c>
      <c r="W888" s="36"/>
      <c r="X888" s="36">
        <v>0</v>
      </c>
      <c r="Y888" s="36"/>
      <c r="Z888" s="36">
        <v>0</v>
      </c>
      <c r="AA888" s="36">
        <v>0</v>
      </c>
      <c r="AB888" s="36"/>
      <c r="AC888" s="36" t="str">
        <f t="shared" si="2"/>
        <v>PC26</v>
      </c>
      <c r="AD888" s="36" t="str">
        <f>VLOOKUP(D888,Oficial!A:C,3,0)</f>
        <v>Administración de Fondos</v>
      </c>
    </row>
    <row r="889" spans="1:30" x14ac:dyDescent="0.25">
      <c r="A889" s="36" t="s">
        <v>27</v>
      </c>
      <c r="B889" s="36" t="s">
        <v>1030</v>
      </c>
      <c r="C889" s="36" t="s">
        <v>374</v>
      </c>
      <c r="D889" s="36" t="s">
        <v>1030</v>
      </c>
      <c r="E889" s="36" t="s">
        <v>30</v>
      </c>
      <c r="F889" s="36" t="s">
        <v>569</v>
      </c>
      <c r="G889" s="37" t="s">
        <v>1031</v>
      </c>
      <c r="H889" s="36" t="s">
        <v>1032</v>
      </c>
      <c r="I889" s="36" t="s">
        <v>1033</v>
      </c>
      <c r="J889" s="36">
        <v>2</v>
      </c>
      <c r="K889" s="36" t="s">
        <v>359</v>
      </c>
      <c r="L889" s="36">
        <v>4</v>
      </c>
      <c r="M889" s="36">
        <v>1</v>
      </c>
      <c r="N889" s="38">
        <v>9200000</v>
      </c>
      <c r="O889" s="38">
        <v>9200000</v>
      </c>
      <c r="P889" s="36">
        <v>1</v>
      </c>
      <c r="Q889" s="40">
        <v>46082</v>
      </c>
      <c r="R889" s="36" t="s">
        <v>1035</v>
      </c>
      <c r="S889" s="36" t="s">
        <v>1036</v>
      </c>
      <c r="T889" s="36" t="s">
        <v>1037</v>
      </c>
      <c r="U889" s="36" t="s">
        <v>1038</v>
      </c>
      <c r="V889" s="40">
        <v>46082</v>
      </c>
      <c r="W889" s="36"/>
      <c r="X889" s="36">
        <v>0</v>
      </c>
      <c r="Y889" s="36"/>
      <c r="Z889" s="36">
        <v>0</v>
      </c>
      <c r="AA889" s="36">
        <v>0</v>
      </c>
      <c r="AB889" s="36"/>
      <c r="AC889" s="36" t="str">
        <f t="shared" si="2"/>
        <v>PC26</v>
      </c>
      <c r="AD889" s="36" t="str">
        <f>VLOOKUP(D889,Oficial!A:C,3,0)</f>
        <v>Administración de Fondos</v>
      </c>
    </row>
    <row r="890" spans="1:30" x14ac:dyDescent="0.25">
      <c r="A890" s="36" t="s">
        <v>27</v>
      </c>
      <c r="B890" s="36" t="s">
        <v>1039</v>
      </c>
      <c r="C890" s="36" t="s">
        <v>28</v>
      </c>
      <c r="D890" s="36" t="s">
        <v>1039</v>
      </c>
      <c r="E890" s="36" t="s">
        <v>30</v>
      </c>
      <c r="F890" s="36" t="s">
        <v>569</v>
      </c>
      <c r="G890" s="37" t="s">
        <v>483</v>
      </c>
      <c r="H890" s="36" t="s">
        <v>1040</v>
      </c>
      <c r="I890" s="36" t="s">
        <v>1041</v>
      </c>
      <c r="J890" s="36">
        <v>1</v>
      </c>
      <c r="K890" s="36" t="s">
        <v>486</v>
      </c>
      <c r="L890" s="36">
        <v>4</v>
      </c>
      <c r="M890" s="36">
        <v>134</v>
      </c>
      <c r="N890" s="38">
        <v>6095</v>
      </c>
      <c r="O890" s="38">
        <v>816730</v>
      </c>
      <c r="P890" s="36">
        <v>1</v>
      </c>
      <c r="Q890" s="40">
        <v>46082</v>
      </c>
      <c r="R890" s="36" t="s">
        <v>768</v>
      </c>
      <c r="S890" s="36" t="s">
        <v>769</v>
      </c>
      <c r="T890" s="36" t="s">
        <v>770</v>
      </c>
      <c r="U890" s="36" t="s">
        <v>388</v>
      </c>
      <c r="V890" s="40">
        <v>46082</v>
      </c>
      <c r="W890" s="36"/>
      <c r="X890" s="36">
        <v>0</v>
      </c>
      <c r="Y890" s="36"/>
      <c r="Z890" s="36">
        <v>0</v>
      </c>
      <c r="AA890" s="36">
        <v>0</v>
      </c>
      <c r="AB890" s="36"/>
      <c r="AC890" s="36" t="str">
        <f t="shared" si="2"/>
        <v>PC26</v>
      </c>
      <c r="AD890" s="36" t="str">
        <f>VLOOKUP(D890,Oficial!A:C,3,0)</f>
        <v>Bienes y Servicios</v>
      </c>
    </row>
    <row r="891" spans="1:30" x14ac:dyDescent="0.25">
      <c r="A891" s="36" t="s">
        <v>27</v>
      </c>
      <c r="B891" s="36" t="s">
        <v>1042</v>
      </c>
      <c r="C891" s="36" t="s">
        <v>28</v>
      </c>
      <c r="D891" s="36" t="s">
        <v>1042</v>
      </c>
      <c r="E891" s="36" t="s">
        <v>30</v>
      </c>
      <c r="F891" s="36" t="s">
        <v>569</v>
      </c>
      <c r="G891" s="37" t="s">
        <v>1043</v>
      </c>
      <c r="H891" s="36" t="s">
        <v>1044</v>
      </c>
      <c r="I891" s="36" t="s">
        <v>1045</v>
      </c>
      <c r="J891" s="36">
        <v>1</v>
      </c>
      <c r="K891" s="36" t="s">
        <v>1012</v>
      </c>
      <c r="L891" s="36">
        <v>4</v>
      </c>
      <c r="M891" s="36">
        <v>1</v>
      </c>
      <c r="N891" s="38">
        <v>60000000</v>
      </c>
      <c r="O891" s="38">
        <v>60000000</v>
      </c>
      <c r="P891" s="36">
        <v>12</v>
      </c>
      <c r="Q891" s="36" t="s">
        <v>413</v>
      </c>
      <c r="R891" s="36" t="s">
        <v>531</v>
      </c>
      <c r="S891" s="36" t="s">
        <v>532</v>
      </c>
      <c r="T891" s="36" t="s">
        <v>1046</v>
      </c>
      <c r="U891" s="36" t="s">
        <v>534</v>
      </c>
      <c r="V891" s="40">
        <v>46023</v>
      </c>
      <c r="W891" s="36"/>
      <c r="X891" s="36">
        <v>0</v>
      </c>
      <c r="Y891" s="36"/>
      <c r="Z891" s="36">
        <v>0</v>
      </c>
      <c r="AA891" s="36">
        <v>0</v>
      </c>
      <c r="AB891" s="36"/>
      <c r="AC891" s="36" t="str">
        <f t="shared" si="2"/>
        <v>PC26</v>
      </c>
      <c r="AD891" s="36" t="str">
        <f>VLOOKUP(D891,Oficial!A:C,3,0)</f>
        <v>Bienes y Servicios</v>
      </c>
    </row>
    <row r="892" spans="1:30" x14ac:dyDescent="0.25">
      <c r="A892" s="36" t="s">
        <v>27</v>
      </c>
      <c r="B892" s="36" t="s">
        <v>1047</v>
      </c>
      <c r="C892" s="36" t="s">
        <v>28</v>
      </c>
      <c r="D892" s="36" t="s">
        <v>1047</v>
      </c>
      <c r="E892" s="36" t="s">
        <v>30</v>
      </c>
      <c r="F892" s="36" t="s">
        <v>569</v>
      </c>
      <c r="G892" s="37" t="s">
        <v>1048</v>
      </c>
      <c r="H892" s="36" t="s">
        <v>1049</v>
      </c>
      <c r="I892" s="36" t="s">
        <v>1050</v>
      </c>
      <c r="J892" s="36">
        <v>1</v>
      </c>
      <c r="K892" s="36" t="s">
        <v>1012</v>
      </c>
      <c r="L892" s="36">
        <v>4</v>
      </c>
      <c r="M892" s="36">
        <v>1</v>
      </c>
      <c r="N892" s="38">
        <v>11000000</v>
      </c>
      <c r="O892" s="38">
        <v>11000000</v>
      </c>
      <c r="P892" s="36">
        <v>12</v>
      </c>
      <c r="Q892" s="36" t="s">
        <v>413</v>
      </c>
      <c r="R892" s="36" t="s">
        <v>531</v>
      </c>
      <c r="S892" s="36" t="s">
        <v>1051</v>
      </c>
      <c r="T892" s="36" t="s">
        <v>1046</v>
      </c>
      <c r="U892" s="36" t="s">
        <v>534</v>
      </c>
      <c r="V892" s="40">
        <v>46023</v>
      </c>
      <c r="W892" s="36"/>
      <c r="X892" s="36">
        <v>0</v>
      </c>
      <c r="Y892" s="36"/>
      <c r="Z892" s="36">
        <v>0</v>
      </c>
      <c r="AA892" s="36">
        <v>0</v>
      </c>
      <c r="AB892" s="36"/>
      <c r="AC892" s="36" t="str">
        <f t="shared" si="2"/>
        <v>PC26</v>
      </c>
      <c r="AD892" s="36" t="str">
        <f>VLOOKUP(D892,Oficial!A:C,3,0)</f>
        <v>Bienes y Servicios</v>
      </c>
    </row>
    <row r="893" spans="1:30" x14ac:dyDescent="0.25">
      <c r="A893" s="36" t="s">
        <v>27</v>
      </c>
      <c r="B893" s="36" t="s">
        <v>1052</v>
      </c>
      <c r="C893" s="36" t="s">
        <v>374</v>
      </c>
      <c r="D893" s="36" t="s">
        <v>1052</v>
      </c>
      <c r="E893" s="36" t="s">
        <v>30</v>
      </c>
      <c r="F893" s="36" t="s">
        <v>569</v>
      </c>
      <c r="G893" s="37" t="s">
        <v>654</v>
      </c>
      <c r="H893" s="36" t="s">
        <v>1053</v>
      </c>
      <c r="I893" s="36" t="s">
        <v>1054</v>
      </c>
      <c r="J893" s="36">
        <v>2</v>
      </c>
      <c r="K893" s="36" t="s">
        <v>359</v>
      </c>
      <c r="L893" s="36">
        <v>4</v>
      </c>
      <c r="M893" s="36">
        <v>68</v>
      </c>
      <c r="N893" s="38">
        <v>2595</v>
      </c>
      <c r="O893" s="38">
        <v>176460</v>
      </c>
      <c r="P893" s="36">
        <v>1</v>
      </c>
      <c r="Q893" s="40">
        <v>46082</v>
      </c>
      <c r="R893" s="36" t="s">
        <v>768</v>
      </c>
      <c r="S893" s="36" t="s">
        <v>769</v>
      </c>
      <c r="T893" s="36" t="s">
        <v>770</v>
      </c>
      <c r="U893" s="36" t="s">
        <v>388</v>
      </c>
      <c r="V893" s="40">
        <v>46082</v>
      </c>
      <c r="W893" s="36"/>
      <c r="X893" s="36">
        <v>0</v>
      </c>
      <c r="Y893" s="36"/>
      <c r="Z893" s="36">
        <v>0</v>
      </c>
      <c r="AA893" s="36">
        <v>0</v>
      </c>
      <c r="AB893" s="36"/>
      <c r="AC893" s="36" t="str">
        <f t="shared" si="2"/>
        <v>PC26</v>
      </c>
      <c r="AD893" s="36" t="str">
        <f>VLOOKUP(D893,Oficial!A:C,3,0)</f>
        <v>Administración de Fondos</v>
      </c>
    </row>
    <row r="894" spans="1:30" x14ac:dyDescent="0.25">
      <c r="A894" s="36" t="s">
        <v>27</v>
      </c>
      <c r="B894" s="36" t="s">
        <v>1052</v>
      </c>
      <c r="C894" s="36" t="s">
        <v>374</v>
      </c>
      <c r="D894" s="36" t="s">
        <v>1052</v>
      </c>
      <c r="E894" s="36" t="s">
        <v>30</v>
      </c>
      <c r="F894" s="36" t="s">
        <v>569</v>
      </c>
      <c r="G894" s="37" t="s">
        <v>654</v>
      </c>
      <c r="H894" s="36" t="s">
        <v>1053</v>
      </c>
      <c r="I894" s="36" t="s">
        <v>1054</v>
      </c>
      <c r="J894" s="36">
        <v>2</v>
      </c>
      <c r="K894" s="36" t="s">
        <v>855</v>
      </c>
      <c r="L894" s="36">
        <v>4</v>
      </c>
      <c r="M894" s="36">
        <v>5</v>
      </c>
      <c r="N894" s="38">
        <v>7080</v>
      </c>
      <c r="O894" s="38">
        <v>35400</v>
      </c>
      <c r="P894" s="36">
        <v>1</v>
      </c>
      <c r="Q894" s="40">
        <v>46082</v>
      </c>
      <c r="R894" s="36" t="s">
        <v>768</v>
      </c>
      <c r="S894" s="36" t="s">
        <v>769</v>
      </c>
      <c r="T894" s="36" t="s">
        <v>770</v>
      </c>
      <c r="U894" s="36" t="s">
        <v>388</v>
      </c>
      <c r="V894" s="40">
        <v>46082</v>
      </c>
      <c r="W894" s="36"/>
      <c r="X894" s="36">
        <v>0</v>
      </c>
      <c r="Y894" s="36"/>
      <c r="Z894" s="36">
        <v>0</v>
      </c>
      <c r="AA894" s="36">
        <v>0</v>
      </c>
      <c r="AB894" s="36"/>
      <c r="AC894" s="36" t="str">
        <f t="shared" si="2"/>
        <v>PC26</v>
      </c>
      <c r="AD894" s="36" t="str">
        <f>VLOOKUP(D894,Oficial!A:C,3,0)</f>
        <v>Administración de Fondos</v>
      </c>
    </row>
    <row r="895" spans="1:30" x14ac:dyDescent="0.25">
      <c r="A895" s="36" t="s">
        <v>27</v>
      </c>
      <c r="B895" s="36" t="s">
        <v>1055</v>
      </c>
      <c r="C895" s="36" t="s">
        <v>374</v>
      </c>
      <c r="D895" s="36" t="s">
        <v>1055</v>
      </c>
      <c r="E895" s="36" t="s">
        <v>30</v>
      </c>
      <c r="F895" s="36" t="s">
        <v>569</v>
      </c>
      <c r="G895" s="37" t="s">
        <v>654</v>
      </c>
      <c r="H895" s="36" t="s">
        <v>1056</v>
      </c>
      <c r="I895" s="36" t="s">
        <v>1057</v>
      </c>
      <c r="J895" s="36">
        <v>4</v>
      </c>
      <c r="K895" s="36" t="s">
        <v>359</v>
      </c>
      <c r="L895" s="36">
        <v>4</v>
      </c>
      <c r="M895" s="36">
        <v>68</v>
      </c>
      <c r="N895" s="38">
        <v>2595</v>
      </c>
      <c r="O895" s="38">
        <v>176460</v>
      </c>
      <c r="P895" s="36">
        <v>1</v>
      </c>
      <c r="Q895" s="40">
        <v>46082</v>
      </c>
      <c r="R895" s="36" t="s">
        <v>768</v>
      </c>
      <c r="S895" s="36" t="s">
        <v>769</v>
      </c>
      <c r="T895" s="36" t="s">
        <v>770</v>
      </c>
      <c r="U895" s="36" t="s">
        <v>388</v>
      </c>
      <c r="V895" s="40">
        <v>46082</v>
      </c>
      <c r="W895" s="36"/>
      <c r="X895" s="36">
        <v>0</v>
      </c>
      <c r="Y895" s="36"/>
      <c r="Z895" s="36">
        <v>0</v>
      </c>
      <c r="AA895" s="36">
        <v>0</v>
      </c>
      <c r="AB895" s="36"/>
      <c r="AC895" s="36" t="str">
        <f t="shared" si="2"/>
        <v>PC26</v>
      </c>
      <c r="AD895" s="36" t="str">
        <f>VLOOKUP(D895,Oficial!A:C,3,0)</f>
        <v>Administración de Fondos</v>
      </c>
    </row>
    <row r="896" spans="1:30" x14ac:dyDescent="0.25">
      <c r="A896" s="36" t="s">
        <v>27</v>
      </c>
      <c r="B896" s="36" t="s">
        <v>1055</v>
      </c>
      <c r="C896" s="36" t="s">
        <v>374</v>
      </c>
      <c r="D896" s="36" t="s">
        <v>1055</v>
      </c>
      <c r="E896" s="36" t="s">
        <v>30</v>
      </c>
      <c r="F896" s="36" t="s">
        <v>569</v>
      </c>
      <c r="G896" s="37" t="s">
        <v>654</v>
      </c>
      <c r="H896" s="36" t="s">
        <v>1056</v>
      </c>
      <c r="I896" s="36" t="s">
        <v>1057</v>
      </c>
      <c r="J896" s="36">
        <v>4</v>
      </c>
      <c r="K896" s="36" t="s">
        <v>855</v>
      </c>
      <c r="L896" s="36">
        <v>4</v>
      </c>
      <c r="M896" s="36">
        <v>4</v>
      </c>
      <c r="N896" s="38">
        <v>5100</v>
      </c>
      <c r="O896" s="38">
        <v>20400</v>
      </c>
      <c r="P896" s="36">
        <v>1</v>
      </c>
      <c r="Q896" s="40">
        <v>46082</v>
      </c>
      <c r="R896" s="36" t="s">
        <v>768</v>
      </c>
      <c r="S896" s="36" t="s">
        <v>769</v>
      </c>
      <c r="T896" s="36" t="s">
        <v>770</v>
      </c>
      <c r="U896" s="36" t="s">
        <v>388</v>
      </c>
      <c r="V896" s="40">
        <v>46082</v>
      </c>
      <c r="W896" s="36"/>
      <c r="X896" s="36">
        <v>0</v>
      </c>
      <c r="Y896" s="36"/>
      <c r="Z896" s="36">
        <v>0</v>
      </c>
      <c r="AA896" s="36">
        <v>0</v>
      </c>
      <c r="AB896" s="36"/>
      <c r="AC896" s="36" t="str">
        <f t="shared" si="2"/>
        <v>PC26</v>
      </c>
      <c r="AD896" s="36" t="str">
        <f>VLOOKUP(D896,Oficial!A:C,3,0)</f>
        <v>Administración de Fondos</v>
      </c>
    </row>
    <row r="897" spans="1:30" x14ac:dyDescent="0.25">
      <c r="A897" s="36" t="s">
        <v>27</v>
      </c>
      <c r="B897" s="36" t="s">
        <v>1055</v>
      </c>
      <c r="C897" s="36" t="s">
        <v>374</v>
      </c>
      <c r="D897" s="36" t="s">
        <v>1055</v>
      </c>
      <c r="E897" s="36" t="s">
        <v>30</v>
      </c>
      <c r="F897" s="36" t="s">
        <v>569</v>
      </c>
      <c r="G897" s="37" t="s">
        <v>654</v>
      </c>
      <c r="H897" s="36" t="s">
        <v>1056</v>
      </c>
      <c r="I897" s="36" t="s">
        <v>1057</v>
      </c>
      <c r="J897" s="36">
        <v>4</v>
      </c>
      <c r="K897" s="36" t="s">
        <v>486</v>
      </c>
      <c r="L897" s="36">
        <v>4</v>
      </c>
      <c r="M897" s="36">
        <v>1</v>
      </c>
      <c r="N897" s="38">
        <v>15000</v>
      </c>
      <c r="O897" s="38">
        <v>15000</v>
      </c>
      <c r="P897" s="36">
        <v>1</v>
      </c>
      <c r="Q897" s="40">
        <v>46082</v>
      </c>
      <c r="R897" s="36" t="s">
        <v>768</v>
      </c>
      <c r="S897" s="36" t="s">
        <v>769</v>
      </c>
      <c r="T897" s="36" t="s">
        <v>770</v>
      </c>
      <c r="U897" s="36" t="s">
        <v>388</v>
      </c>
      <c r="V897" s="40">
        <v>46082</v>
      </c>
      <c r="W897" s="36"/>
      <c r="X897" s="36">
        <v>0</v>
      </c>
      <c r="Y897" s="36"/>
      <c r="Z897" s="36">
        <v>0</v>
      </c>
      <c r="AA897" s="36">
        <v>0</v>
      </c>
      <c r="AB897" s="36"/>
      <c r="AC897" s="36" t="str">
        <f t="shared" si="2"/>
        <v>PC26</v>
      </c>
      <c r="AD897" s="36" t="str">
        <f>VLOOKUP(D897,Oficial!A:C,3,0)</f>
        <v>Administración de Fondos</v>
      </c>
    </row>
    <row r="898" spans="1:30" x14ac:dyDescent="0.25">
      <c r="A898" s="36" t="s">
        <v>27</v>
      </c>
      <c r="B898" s="36" t="s">
        <v>1055</v>
      </c>
      <c r="C898" s="36" t="s">
        <v>374</v>
      </c>
      <c r="D898" s="36" t="s">
        <v>1055</v>
      </c>
      <c r="E898" s="36" t="s">
        <v>30</v>
      </c>
      <c r="F898" s="36" t="s">
        <v>569</v>
      </c>
      <c r="G898" s="37" t="s">
        <v>654</v>
      </c>
      <c r="H898" s="36" t="s">
        <v>1056</v>
      </c>
      <c r="I898" s="36" t="s">
        <v>1057</v>
      </c>
      <c r="J898" s="36">
        <v>4</v>
      </c>
      <c r="K898" s="36" t="s">
        <v>1058</v>
      </c>
      <c r="L898" s="36">
        <v>4</v>
      </c>
      <c r="M898" s="36">
        <v>2</v>
      </c>
      <c r="N898" s="38">
        <v>26000</v>
      </c>
      <c r="O898" s="38">
        <v>52000</v>
      </c>
      <c r="P898" s="36">
        <v>1</v>
      </c>
      <c r="Q898" s="40">
        <v>46082</v>
      </c>
      <c r="R898" s="36" t="s">
        <v>768</v>
      </c>
      <c r="S898" s="36" t="s">
        <v>769</v>
      </c>
      <c r="T898" s="36" t="s">
        <v>770</v>
      </c>
      <c r="U898" s="36" t="s">
        <v>388</v>
      </c>
      <c r="V898" s="40">
        <v>46082</v>
      </c>
      <c r="W898" s="36"/>
      <c r="X898" s="36">
        <v>0</v>
      </c>
      <c r="Y898" s="36"/>
      <c r="Z898" s="36">
        <v>0</v>
      </c>
      <c r="AA898" s="36">
        <v>0</v>
      </c>
      <c r="AB898" s="36"/>
      <c r="AC898" s="36" t="str">
        <f t="shared" si="2"/>
        <v>PC26</v>
      </c>
      <c r="AD898" s="36" t="str">
        <f>VLOOKUP(D898,Oficial!A:C,3,0)</f>
        <v>Administración de Fondos</v>
      </c>
    </row>
    <row r="899" spans="1:30" x14ac:dyDescent="0.25">
      <c r="A899" s="36" t="s">
        <v>27</v>
      </c>
      <c r="B899" s="36" t="s">
        <v>1059</v>
      </c>
      <c r="C899" s="36" t="s">
        <v>28</v>
      </c>
      <c r="D899" s="36" t="s">
        <v>1059</v>
      </c>
      <c r="E899" s="36" t="s">
        <v>30</v>
      </c>
      <c r="F899" s="36" t="s">
        <v>569</v>
      </c>
      <c r="G899" s="37" t="s">
        <v>367</v>
      </c>
      <c r="H899" s="36" t="s">
        <v>1060</v>
      </c>
      <c r="I899" s="36" t="s">
        <v>1061</v>
      </c>
      <c r="J899" s="36">
        <v>2</v>
      </c>
      <c r="K899" s="36" t="s">
        <v>1062</v>
      </c>
      <c r="L899" s="36">
        <v>4</v>
      </c>
      <c r="M899" s="36">
        <v>50</v>
      </c>
      <c r="N899" s="38">
        <v>8000</v>
      </c>
      <c r="O899" s="38">
        <v>400000</v>
      </c>
      <c r="P899" s="36">
        <v>1</v>
      </c>
      <c r="Q899" s="40">
        <v>46296</v>
      </c>
      <c r="R899" s="36" t="s">
        <v>790</v>
      </c>
      <c r="S899" s="36" t="s">
        <v>791</v>
      </c>
      <c r="T899" s="36" t="s">
        <v>792</v>
      </c>
      <c r="U899" s="36" t="s">
        <v>793</v>
      </c>
      <c r="V899" s="40">
        <v>46296</v>
      </c>
      <c r="W899" s="36"/>
      <c r="X899" s="36">
        <v>0</v>
      </c>
      <c r="Y899" s="36"/>
      <c r="Z899" s="36">
        <v>0</v>
      </c>
      <c r="AA899" s="36">
        <v>0</v>
      </c>
      <c r="AB899" s="36"/>
      <c r="AC899" s="36" t="str">
        <f t="shared" si="2"/>
        <v>PC26</v>
      </c>
      <c r="AD899" s="36" t="str">
        <f>VLOOKUP(D899,Oficial!A:C,3,0)</f>
        <v>Bienes y Servicios</v>
      </c>
    </row>
    <row r="900" spans="1:30" x14ac:dyDescent="0.25">
      <c r="A900" s="36" t="s">
        <v>27</v>
      </c>
      <c r="B900" s="36" t="s">
        <v>1059</v>
      </c>
      <c r="C900" s="36" t="s">
        <v>28</v>
      </c>
      <c r="D900" s="36" t="s">
        <v>1059</v>
      </c>
      <c r="E900" s="36" t="s">
        <v>30</v>
      </c>
      <c r="F900" s="36" t="s">
        <v>569</v>
      </c>
      <c r="G900" s="37" t="s">
        <v>367</v>
      </c>
      <c r="H900" s="36" t="s">
        <v>1060</v>
      </c>
      <c r="I900" s="36" t="s">
        <v>1061</v>
      </c>
      <c r="J900" s="36">
        <v>2</v>
      </c>
      <c r="K900" s="36" t="s">
        <v>486</v>
      </c>
      <c r="L900" s="36">
        <v>4</v>
      </c>
      <c r="M900" s="36">
        <v>26</v>
      </c>
      <c r="N900" s="38">
        <v>4231</v>
      </c>
      <c r="O900" s="38">
        <v>110006</v>
      </c>
      <c r="P900" s="36">
        <v>1</v>
      </c>
      <c r="Q900" s="40">
        <v>46296</v>
      </c>
      <c r="R900" s="36" t="s">
        <v>790</v>
      </c>
      <c r="S900" s="36" t="s">
        <v>791</v>
      </c>
      <c r="T900" s="36" t="s">
        <v>792</v>
      </c>
      <c r="U900" s="36" t="s">
        <v>793</v>
      </c>
      <c r="V900" s="40">
        <v>46296</v>
      </c>
      <c r="W900" s="36"/>
      <c r="X900" s="36">
        <v>0</v>
      </c>
      <c r="Y900" s="36"/>
      <c r="Z900" s="36">
        <v>0</v>
      </c>
      <c r="AA900" s="36">
        <v>0</v>
      </c>
      <c r="AB900" s="36"/>
      <c r="AC900" s="36" t="str">
        <f t="shared" si="2"/>
        <v>PC26</v>
      </c>
      <c r="AD900" s="36" t="str">
        <f>VLOOKUP(D900,Oficial!A:C,3,0)</f>
        <v>Bienes y Servicios</v>
      </c>
    </row>
    <row r="901" spans="1:30" x14ac:dyDescent="0.25">
      <c r="A901" s="36" t="s">
        <v>27</v>
      </c>
      <c r="B901" s="36" t="s">
        <v>1063</v>
      </c>
      <c r="C901" s="36" t="s">
        <v>28</v>
      </c>
      <c r="D901" s="36" t="s">
        <v>1063</v>
      </c>
      <c r="E901" s="36" t="s">
        <v>30</v>
      </c>
      <c r="F901" s="36" t="s">
        <v>569</v>
      </c>
      <c r="G901" s="37" t="s">
        <v>654</v>
      </c>
      <c r="H901" s="36" t="s">
        <v>1064</v>
      </c>
      <c r="I901" s="36" t="s">
        <v>1065</v>
      </c>
      <c r="J901" s="36">
        <v>2</v>
      </c>
      <c r="K901" s="36" t="s">
        <v>602</v>
      </c>
      <c r="L901" s="36">
        <v>4</v>
      </c>
      <c r="M901" s="36">
        <v>50</v>
      </c>
      <c r="N901" s="38">
        <v>8000</v>
      </c>
      <c r="O901" s="38">
        <v>400000</v>
      </c>
      <c r="P901" s="36">
        <v>1</v>
      </c>
      <c r="Q901" s="40">
        <v>46296</v>
      </c>
      <c r="R901" s="36" t="s">
        <v>790</v>
      </c>
      <c r="S901" s="36" t="s">
        <v>791</v>
      </c>
      <c r="T901" s="36" t="s">
        <v>792</v>
      </c>
      <c r="U901" s="36" t="s">
        <v>793</v>
      </c>
      <c r="V901" s="40">
        <v>46296</v>
      </c>
      <c r="W901" s="36"/>
      <c r="X901" s="36">
        <v>0</v>
      </c>
      <c r="Y901" s="36"/>
      <c r="Z901" s="36">
        <v>0</v>
      </c>
      <c r="AA901" s="36">
        <v>0</v>
      </c>
      <c r="AB901" s="36"/>
      <c r="AC901" s="36" t="str">
        <f t="shared" si="2"/>
        <v>PC26</v>
      </c>
      <c r="AD901" s="36" t="str">
        <f>VLOOKUP(D901,Oficial!A:C,3,0)</f>
        <v>Bienes y Servicios</v>
      </c>
    </row>
    <row r="902" spans="1:30" x14ac:dyDescent="0.25">
      <c r="A902" s="36" t="s">
        <v>27</v>
      </c>
      <c r="B902" s="36" t="s">
        <v>1063</v>
      </c>
      <c r="C902" s="36" t="s">
        <v>28</v>
      </c>
      <c r="D902" s="36" t="s">
        <v>1063</v>
      </c>
      <c r="E902" s="36" t="s">
        <v>30</v>
      </c>
      <c r="F902" s="36" t="s">
        <v>569</v>
      </c>
      <c r="G902" s="37" t="s">
        <v>654</v>
      </c>
      <c r="H902" s="36" t="s">
        <v>1064</v>
      </c>
      <c r="I902" s="36" t="s">
        <v>1065</v>
      </c>
      <c r="J902" s="36">
        <v>2</v>
      </c>
      <c r="K902" s="36" t="s">
        <v>486</v>
      </c>
      <c r="L902" s="36">
        <v>4</v>
      </c>
      <c r="M902" s="36">
        <v>50</v>
      </c>
      <c r="N902" s="38">
        <v>1000</v>
      </c>
      <c r="O902" s="38">
        <v>50000</v>
      </c>
      <c r="P902" s="36">
        <v>1</v>
      </c>
      <c r="Q902" s="40">
        <v>46296</v>
      </c>
      <c r="R902" s="36" t="s">
        <v>790</v>
      </c>
      <c r="S902" s="36" t="s">
        <v>791</v>
      </c>
      <c r="T902" s="36" t="s">
        <v>792</v>
      </c>
      <c r="U902" s="36" t="s">
        <v>793</v>
      </c>
      <c r="V902" s="40">
        <v>46296</v>
      </c>
      <c r="W902" s="36"/>
      <c r="X902" s="36">
        <v>0</v>
      </c>
      <c r="Y902" s="36"/>
      <c r="Z902" s="36">
        <v>0</v>
      </c>
      <c r="AA902" s="36">
        <v>0</v>
      </c>
      <c r="AB902" s="36"/>
      <c r="AC902" s="36" t="str">
        <f t="shared" si="2"/>
        <v>PC26</v>
      </c>
      <c r="AD902" s="36" t="str">
        <f>VLOOKUP(D902,Oficial!A:C,3,0)</f>
        <v>Bienes y Servicios</v>
      </c>
    </row>
    <row r="903" spans="1:30" x14ac:dyDescent="0.25">
      <c r="A903" s="36" t="s">
        <v>27</v>
      </c>
      <c r="B903" s="36" t="s">
        <v>1066</v>
      </c>
      <c r="C903" s="36" t="s">
        <v>374</v>
      </c>
      <c r="D903" s="36" t="s">
        <v>1066</v>
      </c>
      <c r="E903" s="36" t="s">
        <v>30</v>
      </c>
      <c r="F903" s="36" t="s">
        <v>569</v>
      </c>
      <c r="G903" s="37" t="s">
        <v>654</v>
      </c>
      <c r="H903" s="36" t="s">
        <v>1067</v>
      </c>
      <c r="I903" s="36" t="s">
        <v>1068</v>
      </c>
      <c r="J903" s="36">
        <v>2</v>
      </c>
      <c r="K903" s="36" t="s">
        <v>602</v>
      </c>
      <c r="L903" s="36">
        <v>4</v>
      </c>
      <c r="M903" s="36">
        <v>200</v>
      </c>
      <c r="N903" s="38">
        <v>7500</v>
      </c>
      <c r="O903" s="38">
        <v>1500000</v>
      </c>
      <c r="P903" s="36">
        <v>1</v>
      </c>
      <c r="Q903" s="40">
        <v>46296</v>
      </c>
      <c r="R903" s="36" t="s">
        <v>790</v>
      </c>
      <c r="S903" s="36" t="s">
        <v>791</v>
      </c>
      <c r="T903" s="36" t="s">
        <v>792</v>
      </c>
      <c r="U903" s="36" t="s">
        <v>793</v>
      </c>
      <c r="V903" s="40">
        <v>46296</v>
      </c>
      <c r="W903" s="36"/>
      <c r="X903" s="36">
        <v>0</v>
      </c>
      <c r="Y903" s="36"/>
      <c r="Z903" s="36">
        <v>0</v>
      </c>
      <c r="AA903" s="36">
        <v>0</v>
      </c>
      <c r="AB903" s="36"/>
      <c r="AC903" s="36" t="str">
        <f t="shared" si="2"/>
        <v>PC26</v>
      </c>
      <c r="AD903" s="36" t="str">
        <f>VLOOKUP(D903,Oficial!A:C,3,0)</f>
        <v>Administración de Fondos</v>
      </c>
    </row>
    <row r="904" spans="1:30" x14ac:dyDescent="0.25">
      <c r="A904" s="36" t="s">
        <v>27</v>
      </c>
      <c r="B904" s="36" t="s">
        <v>1066</v>
      </c>
      <c r="C904" s="36" t="s">
        <v>374</v>
      </c>
      <c r="D904" s="36" t="s">
        <v>1066</v>
      </c>
      <c r="E904" s="36" t="s">
        <v>30</v>
      </c>
      <c r="F904" s="36" t="s">
        <v>569</v>
      </c>
      <c r="G904" s="37" t="s">
        <v>654</v>
      </c>
      <c r="H904" s="36" t="s">
        <v>1067</v>
      </c>
      <c r="I904" s="36" t="s">
        <v>1068</v>
      </c>
      <c r="J904" s="36">
        <v>2</v>
      </c>
      <c r="K904" s="36" t="s">
        <v>486</v>
      </c>
      <c r="L904" s="36">
        <v>4</v>
      </c>
      <c r="M904" s="36">
        <v>50</v>
      </c>
      <c r="N904" s="38">
        <v>5000</v>
      </c>
      <c r="O904" s="38">
        <v>250000</v>
      </c>
      <c r="P904" s="36">
        <v>1</v>
      </c>
      <c r="Q904" s="40">
        <v>46296</v>
      </c>
      <c r="R904" s="36" t="s">
        <v>790</v>
      </c>
      <c r="S904" s="36" t="s">
        <v>791</v>
      </c>
      <c r="T904" s="36" t="s">
        <v>792</v>
      </c>
      <c r="U904" s="36" t="s">
        <v>793</v>
      </c>
      <c r="V904" s="40">
        <v>46266</v>
      </c>
      <c r="W904" s="36"/>
      <c r="X904" s="36">
        <v>0</v>
      </c>
      <c r="Y904" s="36"/>
      <c r="Z904" s="36">
        <v>0</v>
      </c>
      <c r="AA904" s="36">
        <v>0</v>
      </c>
      <c r="AB904" s="36"/>
      <c r="AC904" s="36" t="str">
        <f t="shared" si="2"/>
        <v>PC26</v>
      </c>
      <c r="AD904" s="36" t="str">
        <f>VLOOKUP(D904,Oficial!A:C,3,0)</f>
        <v>Administración de Fondos</v>
      </c>
    </row>
    <row r="905" spans="1:30" x14ac:dyDescent="0.25">
      <c r="A905" s="36" t="s">
        <v>27</v>
      </c>
      <c r="B905" s="36" t="s">
        <v>1069</v>
      </c>
      <c r="C905" s="36" t="s">
        <v>28</v>
      </c>
      <c r="D905" s="36" t="s">
        <v>1069</v>
      </c>
      <c r="E905" s="36" t="s">
        <v>30</v>
      </c>
      <c r="F905" s="36" t="s">
        <v>569</v>
      </c>
      <c r="G905" s="37" t="s">
        <v>483</v>
      </c>
      <c r="H905" s="36" t="s">
        <v>1070</v>
      </c>
      <c r="I905" s="36" t="s">
        <v>1071</v>
      </c>
      <c r="J905" s="36">
        <v>1</v>
      </c>
      <c r="K905" s="36" t="s">
        <v>819</v>
      </c>
      <c r="L905" s="36">
        <v>4</v>
      </c>
      <c r="M905" s="36">
        <v>150</v>
      </c>
      <c r="N905" s="38">
        <v>3000</v>
      </c>
      <c r="O905" s="38">
        <v>450000</v>
      </c>
      <c r="P905" s="36">
        <v>1</v>
      </c>
      <c r="Q905" s="40">
        <v>46023</v>
      </c>
      <c r="R905" s="36" t="s">
        <v>934</v>
      </c>
      <c r="S905" s="36" t="s">
        <v>935</v>
      </c>
      <c r="T905" s="36" t="s">
        <v>936</v>
      </c>
      <c r="U905" s="36" t="s">
        <v>937</v>
      </c>
      <c r="V905" s="40">
        <v>46023</v>
      </c>
      <c r="W905" s="36"/>
      <c r="X905" s="36">
        <v>0</v>
      </c>
      <c r="Y905" s="36"/>
      <c r="Z905" s="36">
        <v>0</v>
      </c>
      <c r="AA905" s="36">
        <v>0</v>
      </c>
      <c r="AB905" s="36"/>
      <c r="AC905" s="36" t="str">
        <f t="shared" si="2"/>
        <v>PC26</v>
      </c>
      <c r="AD905" s="36" t="str">
        <f>VLOOKUP(D905,Oficial!A:C,3,0)</f>
        <v>Bienes y Servicios</v>
      </c>
    </row>
    <row r="906" spans="1:30" x14ac:dyDescent="0.25">
      <c r="A906" s="36" t="s">
        <v>27</v>
      </c>
      <c r="B906" s="36" t="s">
        <v>1072</v>
      </c>
      <c r="C906" s="36" t="s">
        <v>28</v>
      </c>
      <c r="D906" s="36" t="s">
        <v>1072</v>
      </c>
      <c r="E906" s="36" t="s">
        <v>30</v>
      </c>
      <c r="F906" s="36" t="s">
        <v>569</v>
      </c>
      <c r="G906" s="37" t="s">
        <v>483</v>
      </c>
      <c r="H906" s="36" t="s">
        <v>1073</v>
      </c>
      <c r="I906" s="36" t="s">
        <v>1074</v>
      </c>
      <c r="J906" s="36">
        <v>1</v>
      </c>
      <c r="K906" s="36" t="s">
        <v>486</v>
      </c>
      <c r="L906" s="36">
        <v>4</v>
      </c>
      <c r="M906" s="36">
        <v>8</v>
      </c>
      <c r="N906" s="38">
        <v>21125</v>
      </c>
      <c r="O906" s="38">
        <v>169000</v>
      </c>
      <c r="P906" s="36">
        <v>1</v>
      </c>
      <c r="Q906" s="40">
        <v>46054</v>
      </c>
      <c r="R906" s="36" t="s">
        <v>1075</v>
      </c>
      <c r="S906" s="36" t="s">
        <v>1076</v>
      </c>
      <c r="T906" s="36" t="s">
        <v>1077</v>
      </c>
      <c r="U906" s="36" t="s">
        <v>1078</v>
      </c>
      <c r="V906" s="40">
        <v>46054</v>
      </c>
      <c r="W906" s="36"/>
      <c r="X906" s="36">
        <v>0</v>
      </c>
      <c r="Y906" s="36"/>
      <c r="Z906" s="36">
        <v>0</v>
      </c>
      <c r="AA906" s="36">
        <v>0</v>
      </c>
      <c r="AB906" s="36"/>
      <c r="AC906" s="36" t="str">
        <f t="shared" si="2"/>
        <v>PC26</v>
      </c>
      <c r="AD906" s="36" t="str">
        <f>VLOOKUP(D906,Oficial!A:C,3,0)</f>
        <v>Bienes y Servicios</v>
      </c>
    </row>
    <row r="907" spans="1:30" x14ac:dyDescent="0.25">
      <c r="A907" s="36" t="s">
        <v>27</v>
      </c>
      <c r="B907" s="36" t="s">
        <v>1079</v>
      </c>
      <c r="C907" s="36" t="s">
        <v>28</v>
      </c>
      <c r="D907" s="36" t="s">
        <v>1079</v>
      </c>
      <c r="E907" s="36" t="s">
        <v>30</v>
      </c>
      <c r="F907" s="36" t="s">
        <v>569</v>
      </c>
      <c r="G907" s="37" t="s">
        <v>1080</v>
      </c>
      <c r="H907" s="36" t="s">
        <v>1081</v>
      </c>
      <c r="I907" s="36" t="s">
        <v>1082</v>
      </c>
      <c r="J907" s="36">
        <v>1</v>
      </c>
      <c r="K907" s="36" t="s">
        <v>1083</v>
      </c>
      <c r="L907" s="36">
        <v>4</v>
      </c>
      <c r="M907" s="36">
        <v>4</v>
      </c>
      <c r="N907" s="38">
        <v>25000</v>
      </c>
      <c r="O907" s="38">
        <v>100000</v>
      </c>
      <c r="P907" s="36">
        <v>1</v>
      </c>
      <c r="Q907" s="40">
        <v>46082</v>
      </c>
      <c r="R907" s="36" t="s">
        <v>1075</v>
      </c>
      <c r="S907" s="36" t="s">
        <v>1076</v>
      </c>
      <c r="T907" s="36" t="s">
        <v>1077</v>
      </c>
      <c r="U907" s="36" t="s">
        <v>1084</v>
      </c>
      <c r="V907" s="40">
        <v>46082</v>
      </c>
      <c r="W907" s="36"/>
      <c r="X907" s="36">
        <v>0</v>
      </c>
      <c r="Y907" s="36"/>
      <c r="Z907" s="36">
        <v>0</v>
      </c>
      <c r="AA907" s="36">
        <v>0</v>
      </c>
      <c r="AB907" s="36"/>
      <c r="AC907" s="36" t="str">
        <f t="shared" si="2"/>
        <v>PC26</v>
      </c>
      <c r="AD907" s="36" t="str">
        <f>VLOOKUP(D907,Oficial!A:C,3,0)</f>
        <v>Bienes y Servicios</v>
      </c>
    </row>
    <row r="908" spans="1:30" x14ac:dyDescent="0.25">
      <c r="A908" s="36" t="s">
        <v>27</v>
      </c>
      <c r="B908" s="36" t="s">
        <v>1085</v>
      </c>
      <c r="C908" s="36" t="s">
        <v>28</v>
      </c>
      <c r="D908" s="36" t="s">
        <v>1085</v>
      </c>
      <c r="E908" s="36" t="s">
        <v>30</v>
      </c>
      <c r="F908" s="36" t="s">
        <v>569</v>
      </c>
      <c r="G908" s="37" t="s">
        <v>606</v>
      </c>
      <c r="H908" s="36" t="s">
        <v>1086</v>
      </c>
      <c r="I908" s="36" t="s">
        <v>1087</v>
      </c>
      <c r="J908" s="36">
        <v>1</v>
      </c>
      <c r="K908" s="36" t="s">
        <v>1088</v>
      </c>
      <c r="L908" s="36">
        <v>4</v>
      </c>
      <c r="M908" s="36">
        <v>4300</v>
      </c>
      <c r="N908" s="38">
        <v>82</v>
      </c>
      <c r="O908" s="38">
        <v>352600</v>
      </c>
      <c r="P908" s="36">
        <v>1</v>
      </c>
      <c r="Q908" s="40">
        <v>46023</v>
      </c>
      <c r="R908" s="36" t="s">
        <v>934</v>
      </c>
      <c r="S908" s="36" t="s">
        <v>935</v>
      </c>
      <c r="T908" s="36" t="s">
        <v>936</v>
      </c>
      <c r="U908" s="36" t="s">
        <v>937</v>
      </c>
      <c r="V908" s="40">
        <v>46023</v>
      </c>
      <c r="W908" s="36"/>
      <c r="X908" s="36">
        <v>0</v>
      </c>
      <c r="Y908" s="36"/>
      <c r="Z908" s="36">
        <v>0</v>
      </c>
      <c r="AA908" s="36">
        <v>0</v>
      </c>
      <c r="AB908" s="36"/>
      <c r="AC908" s="36" t="str">
        <f t="shared" si="2"/>
        <v>PC26</v>
      </c>
      <c r="AD908" s="36" t="str">
        <f>VLOOKUP(D908,Oficial!A:C,3,0)</f>
        <v>Bienes y Servicios</v>
      </c>
    </row>
    <row r="909" spans="1:30" x14ac:dyDescent="0.25">
      <c r="A909" s="36" t="s">
        <v>27</v>
      </c>
      <c r="B909" s="36" t="s">
        <v>1089</v>
      </c>
      <c r="C909" s="36" t="s">
        <v>28</v>
      </c>
      <c r="D909" s="36" t="s">
        <v>1089</v>
      </c>
      <c r="E909" s="36" t="s">
        <v>30</v>
      </c>
      <c r="F909" s="36" t="s">
        <v>569</v>
      </c>
      <c r="G909" s="37" t="s">
        <v>842</v>
      </c>
      <c r="H909" s="36" t="s">
        <v>1090</v>
      </c>
      <c r="I909" s="36" t="s">
        <v>1091</v>
      </c>
      <c r="J909" s="36">
        <v>1</v>
      </c>
      <c r="K909" s="36" t="s">
        <v>781</v>
      </c>
      <c r="L909" s="36">
        <v>4</v>
      </c>
      <c r="M909" s="36">
        <v>6</v>
      </c>
      <c r="N909" s="38">
        <v>8334</v>
      </c>
      <c r="O909" s="38">
        <v>50004</v>
      </c>
      <c r="P909" s="36">
        <v>1</v>
      </c>
      <c r="Q909" s="40">
        <v>46054</v>
      </c>
      <c r="R909" s="36" t="s">
        <v>934</v>
      </c>
      <c r="S909" s="36" t="s">
        <v>935</v>
      </c>
      <c r="T909" s="36" t="s">
        <v>936</v>
      </c>
      <c r="U909" s="36" t="s">
        <v>937</v>
      </c>
      <c r="V909" s="40">
        <v>46054</v>
      </c>
      <c r="W909" s="36"/>
      <c r="X909" s="36">
        <v>0</v>
      </c>
      <c r="Y909" s="36"/>
      <c r="Z909" s="36">
        <v>0</v>
      </c>
      <c r="AA909" s="36">
        <v>0</v>
      </c>
      <c r="AB909" s="36"/>
      <c r="AC909" s="36" t="str">
        <f t="shared" si="2"/>
        <v>PC26</v>
      </c>
      <c r="AD909" s="36" t="str">
        <f>VLOOKUP(D909,Oficial!A:C,3,0)</f>
        <v>Bienes y Servicios</v>
      </c>
    </row>
    <row r="910" spans="1:30" x14ac:dyDescent="0.25">
      <c r="A910" s="36" t="s">
        <v>27</v>
      </c>
      <c r="B910" s="36" t="s">
        <v>1092</v>
      </c>
      <c r="C910" s="36" t="s">
        <v>28</v>
      </c>
      <c r="D910" s="36" t="s">
        <v>1092</v>
      </c>
      <c r="E910" s="36" t="s">
        <v>30</v>
      </c>
      <c r="F910" s="36" t="s">
        <v>569</v>
      </c>
      <c r="G910" s="37" t="s">
        <v>483</v>
      </c>
      <c r="H910" s="36" t="s">
        <v>1093</v>
      </c>
      <c r="I910" s="36" t="s">
        <v>1094</v>
      </c>
      <c r="J910" s="36">
        <v>1</v>
      </c>
      <c r="K910" s="36" t="s">
        <v>486</v>
      </c>
      <c r="L910" s="36">
        <v>4</v>
      </c>
      <c r="M910" s="36">
        <v>302</v>
      </c>
      <c r="N910" s="38">
        <v>2067</v>
      </c>
      <c r="O910" s="38">
        <v>624234</v>
      </c>
      <c r="P910" s="36">
        <v>1</v>
      </c>
      <c r="Q910" s="40">
        <v>46296</v>
      </c>
      <c r="R910" s="36" t="s">
        <v>1095</v>
      </c>
      <c r="S910" s="36" t="s">
        <v>1096</v>
      </c>
      <c r="T910" s="36" t="s">
        <v>1097</v>
      </c>
      <c r="U910" s="36" t="s">
        <v>1098</v>
      </c>
      <c r="V910" s="40">
        <v>46296</v>
      </c>
      <c r="W910" s="36"/>
      <c r="X910" s="36">
        <v>0</v>
      </c>
      <c r="Y910" s="36"/>
      <c r="Z910" s="36">
        <v>0</v>
      </c>
      <c r="AA910" s="36">
        <v>0</v>
      </c>
      <c r="AB910" s="36"/>
      <c r="AC910" s="36" t="str">
        <f t="shared" si="2"/>
        <v>PC26</v>
      </c>
      <c r="AD910" s="36" t="str">
        <f>VLOOKUP(D910,Oficial!A:C,3,0)</f>
        <v>Bienes y Servicios</v>
      </c>
    </row>
    <row r="911" spans="1:30" x14ac:dyDescent="0.25">
      <c r="A911" s="36" t="s">
        <v>27</v>
      </c>
      <c r="B911" s="36" t="s">
        <v>1099</v>
      </c>
      <c r="C911" s="36" t="s">
        <v>28</v>
      </c>
      <c r="D911" s="36" t="s">
        <v>1099</v>
      </c>
      <c r="E911" s="36" t="s">
        <v>30</v>
      </c>
      <c r="F911" s="36" t="s">
        <v>569</v>
      </c>
      <c r="G911" s="37" t="s">
        <v>654</v>
      </c>
      <c r="H911" s="36" t="s">
        <v>1100</v>
      </c>
      <c r="I911" s="36" t="s">
        <v>1101</v>
      </c>
      <c r="J911" s="36">
        <v>2</v>
      </c>
      <c r="K911" s="36" t="s">
        <v>359</v>
      </c>
      <c r="L911" s="36">
        <v>4</v>
      </c>
      <c r="M911" s="36">
        <v>242</v>
      </c>
      <c r="N911" s="38">
        <v>509</v>
      </c>
      <c r="O911" s="38">
        <v>123178</v>
      </c>
      <c r="P911" s="36">
        <v>1</v>
      </c>
      <c r="Q911" s="40">
        <v>46174</v>
      </c>
      <c r="R911" s="36" t="s">
        <v>457</v>
      </c>
      <c r="S911" s="36" t="s">
        <v>1102</v>
      </c>
      <c r="T911" s="36" t="s">
        <v>1097</v>
      </c>
      <c r="U911" s="36" t="s">
        <v>460</v>
      </c>
      <c r="V911" s="40">
        <v>46174</v>
      </c>
      <c r="W911" s="36"/>
      <c r="X911" s="36">
        <v>0</v>
      </c>
      <c r="Y911" s="36"/>
      <c r="Z911" s="36">
        <v>0</v>
      </c>
      <c r="AA911" s="36">
        <v>0</v>
      </c>
      <c r="AB911" s="36"/>
      <c r="AC911" s="36" t="str">
        <f t="shared" si="2"/>
        <v>PC26</v>
      </c>
      <c r="AD911" s="36" t="str">
        <f>VLOOKUP(D911,Oficial!A:C,3,0)</f>
        <v>Bienes y Servicios</v>
      </c>
    </row>
    <row r="912" spans="1:30" x14ac:dyDescent="0.25">
      <c r="A912" s="36" t="s">
        <v>27</v>
      </c>
      <c r="B912" s="36" t="s">
        <v>1099</v>
      </c>
      <c r="C912" s="36" t="s">
        <v>28</v>
      </c>
      <c r="D912" s="36" t="s">
        <v>1099</v>
      </c>
      <c r="E912" s="36" t="s">
        <v>30</v>
      </c>
      <c r="F912" s="36" t="s">
        <v>569</v>
      </c>
      <c r="G912" s="37" t="s">
        <v>654</v>
      </c>
      <c r="H912" s="36" t="s">
        <v>1100</v>
      </c>
      <c r="I912" s="36" t="s">
        <v>1101</v>
      </c>
      <c r="J912" s="36">
        <v>2</v>
      </c>
      <c r="K912" s="36" t="s">
        <v>855</v>
      </c>
      <c r="L912" s="36">
        <v>4</v>
      </c>
      <c r="M912" s="36">
        <v>210</v>
      </c>
      <c r="N912" s="38">
        <v>286</v>
      </c>
      <c r="O912" s="38">
        <v>60060</v>
      </c>
      <c r="P912" s="36">
        <v>1</v>
      </c>
      <c r="Q912" s="40">
        <v>46174</v>
      </c>
      <c r="R912" s="36" t="s">
        <v>457</v>
      </c>
      <c r="S912" s="36" t="s">
        <v>1102</v>
      </c>
      <c r="T912" s="36" t="s">
        <v>1097</v>
      </c>
      <c r="U912" s="36" t="s">
        <v>460</v>
      </c>
      <c r="V912" s="40">
        <v>46174</v>
      </c>
      <c r="W912" s="36"/>
      <c r="X912" s="36">
        <v>0</v>
      </c>
      <c r="Y912" s="36"/>
      <c r="Z912" s="36">
        <v>0</v>
      </c>
      <c r="AA912" s="36">
        <v>0</v>
      </c>
      <c r="AB912" s="36"/>
      <c r="AC912" s="36" t="str">
        <f t="shared" si="2"/>
        <v>PC26</v>
      </c>
      <c r="AD912" s="36" t="str">
        <f>VLOOKUP(D912,Oficial!A:C,3,0)</f>
        <v>Bienes y Servicios</v>
      </c>
    </row>
    <row r="913" spans="1:30" x14ac:dyDescent="0.25">
      <c r="A913" s="36" t="s">
        <v>27</v>
      </c>
      <c r="B913" s="36" t="s">
        <v>1103</v>
      </c>
      <c r="C913" s="36" t="s">
        <v>28</v>
      </c>
      <c r="D913" s="36" t="s">
        <v>1103</v>
      </c>
      <c r="E913" s="36" t="s">
        <v>30</v>
      </c>
      <c r="F913" s="36" t="s">
        <v>569</v>
      </c>
      <c r="G913" s="37" t="s">
        <v>804</v>
      </c>
      <c r="H913" s="36" t="s">
        <v>1104</v>
      </c>
      <c r="I913" s="36" t="s">
        <v>1105</v>
      </c>
      <c r="J913" s="36">
        <v>1</v>
      </c>
      <c r="K913" s="36" t="s">
        <v>807</v>
      </c>
      <c r="L913" s="36">
        <v>4</v>
      </c>
      <c r="M913" s="36">
        <v>7</v>
      </c>
      <c r="N913" s="38">
        <v>813715</v>
      </c>
      <c r="O913" s="38">
        <v>5696005</v>
      </c>
      <c r="P913" s="36">
        <v>1</v>
      </c>
      <c r="Q913" s="40">
        <v>46296</v>
      </c>
      <c r="R913" s="36" t="s">
        <v>1106</v>
      </c>
      <c r="S913" s="36" t="s">
        <v>1107</v>
      </c>
      <c r="T913" s="36" t="s">
        <v>1108</v>
      </c>
      <c r="U913" s="36" t="s">
        <v>1109</v>
      </c>
      <c r="V913" s="40">
        <v>46296</v>
      </c>
      <c r="W913" s="36"/>
      <c r="X913" s="36">
        <v>0</v>
      </c>
      <c r="Y913" s="36"/>
      <c r="Z913" s="36">
        <v>0</v>
      </c>
      <c r="AA913" s="36">
        <v>0</v>
      </c>
      <c r="AB913" s="36"/>
      <c r="AC913" s="36" t="str">
        <f t="shared" si="2"/>
        <v>PC26</v>
      </c>
      <c r="AD913" s="36" t="str">
        <f>VLOOKUP(D913,Oficial!A:C,3,0)</f>
        <v>Bienes y Servicios</v>
      </c>
    </row>
    <row r="914" spans="1:30" x14ac:dyDescent="0.25">
      <c r="A914" s="36" t="s">
        <v>27</v>
      </c>
      <c r="B914" s="36" t="s">
        <v>1110</v>
      </c>
      <c r="C914" s="36" t="s">
        <v>28</v>
      </c>
      <c r="D914" s="36" t="s">
        <v>1110</v>
      </c>
      <c r="E914" s="36" t="s">
        <v>30</v>
      </c>
      <c r="F914" s="36" t="s">
        <v>569</v>
      </c>
      <c r="G914" s="37" t="s">
        <v>654</v>
      </c>
      <c r="H914" s="36" t="s">
        <v>1111</v>
      </c>
      <c r="I914" s="36" t="s">
        <v>1112</v>
      </c>
      <c r="J914" s="36">
        <v>2</v>
      </c>
      <c r="K914" s="36" t="s">
        <v>359</v>
      </c>
      <c r="L914" s="36">
        <v>4</v>
      </c>
      <c r="M914" s="36">
        <v>138</v>
      </c>
      <c r="N914" s="38">
        <v>1087</v>
      </c>
      <c r="O914" s="38">
        <v>150006</v>
      </c>
      <c r="P914" s="36">
        <v>1</v>
      </c>
      <c r="Q914" s="40">
        <v>46204</v>
      </c>
      <c r="R914" s="36" t="s">
        <v>457</v>
      </c>
      <c r="S914" s="36" t="s">
        <v>1102</v>
      </c>
      <c r="T914" s="36" t="s">
        <v>1097</v>
      </c>
      <c r="U914" s="36" t="s">
        <v>460</v>
      </c>
      <c r="V914" s="40">
        <v>46204</v>
      </c>
      <c r="W914" s="36"/>
      <c r="X914" s="36">
        <v>0</v>
      </c>
      <c r="Y914" s="36"/>
      <c r="Z914" s="36">
        <v>0</v>
      </c>
      <c r="AA914" s="36">
        <v>0</v>
      </c>
      <c r="AB914" s="36"/>
      <c r="AC914" s="36" t="str">
        <f t="shared" si="2"/>
        <v>PC26</v>
      </c>
      <c r="AD914" s="36" t="str">
        <f>VLOOKUP(D914,Oficial!A:C,3,0)</f>
        <v>Bienes y Servicios</v>
      </c>
    </row>
    <row r="915" spans="1:30" x14ac:dyDescent="0.25">
      <c r="A915" s="36" t="s">
        <v>27</v>
      </c>
      <c r="B915" s="36" t="s">
        <v>1110</v>
      </c>
      <c r="C915" s="36" t="s">
        <v>28</v>
      </c>
      <c r="D915" s="36" t="s">
        <v>1110</v>
      </c>
      <c r="E915" s="36" t="s">
        <v>30</v>
      </c>
      <c r="F915" s="36" t="s">
        <v>569</v>
      </c>
      <c r="G915" s="37" t="s">
        <v>654</v>
      </c>
      <c r="H915" s="36" t="s">
        <v>1111</v>
      </c>
      <c r="I915" s="36" t="s">
        <v>1112</v>
      </c>
      <c r="J915" s="36">
        <v>2</v>
      </c>
      <c r="K915" s="36" t="s">
        <v>962</v>
      </c>
      <c r="L915" s="36">
        <v>4</v>
      </c>
      <c r="M915" s="36">
        <v>70</v>
      </c>
      <c r="N915" s="38">
        <v>1072</v>
      </c>
      <c r="O915" s="38">
        <v>75040</v>
      </c>
      <c r="P915" s="36">
        <v>1</v>
      </c>
      <c r="Q915" s="40">
        <v>46204</v>
      </c>
      <c r="R915" s="36" t="s">
        <v>457</v>
      </c>
      <c r="S915" s="36" t="s">
        <v>1102</v>
      </c>
      <c r="T915" s="36" t="s">
        <v>1097</v>
      </c>
      <c r="U915" s="36" t="s">
        <v>460</v>
      </c>
      <c r="V915" s="40">
        <v>46204</v>
      </c>
      <c r="W915" s="36"/>
      <c r="X915" s="36">
        <v>0</v>
      </c>
      <c r="Y915" s="36"/>
      <c r="Z915" s="36">
        <v>0</v>
      </c>
      <c r="AA915" s="36">
        <v>0</v>
      </c>
      <c r="AB915" s="36"/>
      <c r="AC915" s="36" t="str">
        <f t="shared" si="2"/>
        <v>PC26</v>
      </c>
      <c r="AD915" s="36" t="str">
        <f>VLOOKUP(D915,Oficial!A:C,3,0)</f>
        <v>Bienes y Servicios</v>
      </c>
    </row>
    <row r="916" spans="1:30" x14ac:dyDescent="0.25">
      <c r="A916" s="36" t="s">
        <v>27</v>
      </c>
      <c r="B916" s="36" t="s">
        <v>1113</v>
      </c>
      <c r="C916" s="36" t="s">
        <v>28</v>
      </c>
      <c r="D916" s="36" t="s">
        <v>1113</v>
      </c>
      <c r="E916" s="36" t="s">
        <v>30</v>
      </c>
      <c r="F916" s="36" t="s">
        <v>569</v>
      </c>
      <c r="G916" s="37" t="s">
        <v>1114</v>
      </c>
      <c r="H916" s="36" t="s">
        <v>1115</v>
      </c>
      <c r="I916" s="36" t="s">
        <v>1116</v>
      </c>
      <c r="J916" s="36">
        <v>1</v>
      </c>
      <c r="K916" s="36" t="s">
        <v>1117</v>
      </c>
      <c r="L916" s="36">
        <v>4</v>
      </c>
      <c r="M916" s="36">
        <v>1</v>
      </c>
      <c r="N916" s="38">
        <v>2783713888</v>
      </c>
      <c r="O916" s="38">
        <v>371161848</v>
      </c>
      <c r="P916" s="36">
        <v>32</v>
      </c>
      <c r="Q916" s="36" t="s">
        <v>1118</v>
      </c>
      <c r="R916" s="36" t="s">
        <v>309</v>
      </c>
      <c r="S916" s="36" t="s">
        <v>893</v>
      </c>
      <c r="T916" s="36" t="s">
        <v>894</v>
      </c>
      <c r="U916" s="36" t="s">
        <v>312</v>
      </c>
      <c r="V916" s="40">
        <v>46113</v>
      </c>
      <c r="W916" s="36"/>
      <c r="X916" s="36">
        <v>0</v>
      </c>
      <c r="Y916" s="36"/>
      <c r="Z916" s="36">
        <v>0</v>
      </c>
      <c r="AA916" s="36">
        <v>0</v>
      </c>
      <c r="AB916" s="36"/>
      <c r="AC916" s="36" t="str">
        <f t="shared" si="2"/>
        <v>PC26</v>
      </c>
      <c r="AD916" s="36" t="str">
        <f>VLOOKUP(D916,Oficial!A:C,3,0)</f>
        <v>Bienes y Servicios</v>
      </c>
    </row>
    <row r="917" spans="1:30" x14ac:dyDescent="0.25">
      <c r="A917" s="36" t="s">
        <v>27</v>
      </c>
      <c r="B917" s="36" t="s">
        <v>1119</v>
      </c>
      <c r="C917" s="36" t="s">
        <v>28</v>
      </c>
      <c r="D917" s="36" t="s">
        <v>1119</v>
      </c>
      <c r="E917" s="36" t="s">
        <v>30</v>
      </c>
      <c r="F917" s="36" t="s">
        <v>569</v>
      </c>
      <c r="G917" s="37" t="s">
        <v>104</v>
      </c>
      <c r="H917" s="36" t="s">
        <v>1120</v>
      </c>
      <c r="I917" s="36" t="s">
        <v>1120</v>
      </c>
      <c r="J917" s="36">
        <v>1</v>
      </c>
      <c r="K917" s="36" t="s">
        <v>1121</v>
      </c>
      <c r="L917" s="36">
        <v>4</v>
      </c>
      <c r="M917" s="36">
        <v>3</v>
      </c>
      <c r="N917" s="38">
        <v>200000</v>
      </c>
      <c r="O917" s="38">
        <v>600000</v>
      </c>
      <c r="P917" s="36">
        <v>1</v>
      </c>
      <c r="Q917" s="40">
        <v>46082</v>
      </c>
      <c r="R917" s="36" t="s">
        <v>1122</v>
      </c>
      <c r="S917" s="36" t="s">
        <v>1123</v>
      </c>
      <c r="T917" s="36" t="s">
        <v>1124</v>
      </c>
      <c r="U917" s="36" t="s">
        <v>1125</v>
      </c>
      <c r="V917" s="40">
        <v>46082</v>
      </c>
      <c r="W917" s="36"/>
      <c r="X917" s="36">
        <v>0</v>
      </c>
      <c r="Y917" s="36"/>
      <c r="Z917" s="36">
        <v>0</v>
      </c>
      <c r="AA917" s="36">
        <v>0</v>
      </c>
      <c r="AB917" s="36"/>
      <c r="AC917" s="36" t="str">
        <f t="shared" si="2"/>
        <v>PC26</v>
      </c>
      <c r="AD917" s="36" t="str">
        <f>VLOOKUP(D917,Oficial!A:C,3,0)</f>
        <v>Bienes y Servicios</v>
      </c>
    </row>
    <row r="918" spans="1:30" x14ac:dyDescent="0.25">
      <c r="A918" s="36" t="s">
        <v>27</v>
      </c>
      <c r="B918" s="36" t="s">
        <v>1126</v>
      </c>
      <c r="C918" s="36" t="s">
        <v>28</v>
      </c>
      <c r="D918" s="36" t="s">
        <v>1126</v>
      </c>
      <c r="E918" s="36" t="s">
        <v>30</v>
      </c>
      <c r="F918" s="36" t="s">
        <v>569</v>
      </c>
      <c r="G918" s="37" t="s">
        <v>483</v>
      </c>
      <c r="H918" s="36" t="s">
        <v>1127</v>
      </c>
      <c r="I918" s="36" t="s">
        <v>1128</v>
      </c>
      <c r="J918" s="36">
        <v>1</v>
      </c>
      <c r="K918" s="36" t="s">
        <v>1129</v>
      </c>
      <c r="L918" s="36">
        <v>4</v>
      </c>
      <c r="M918" s="36">
        <v>10000</v>
      </c>
      <c r="N918" s="38">
        <v>170</v>
      </c>
      <c r="O918" s="38">
        <v>1700000</v>
      </c>
      <c r="P918" s="36">
        <v>1</v>
      </c>
      <c r="Q918" s="40">
        <v>46082</v>
      </c>
      <c r="R918" s="36" t="s">
        <v>1122</v>
      </c>
      <c r="S918" s="36" t="s">
        <v>1123</v>
      </c>
      <c r="T918" s="36" t="s">
        <v>1124</v>
      </c>
      <c r="U918" s="36" t="s">
        <v>1125</v>
      </c>
      <c r="V918" s="40">
        <v>46082</v>
      </c>
      <c r="W918" s="36"/>
      <c r="X918" s="36">
        <v>0</v>
      </c>
      <c r="Y918" s="36"/>
      <c r="Z918" s="36">
        <v>0</v>
      </c>
      <c r="AA918" s="36">
        <v>0</v>
      </c>
      <c r="AB918" s="36"/>
      <c r="AC918" s="36" t="str">
        <f t="shared" si="2"/>
        <v>PC26</v>
      </c>
      <c r="AD918" s="36" t="str">
        <f>VLOOKUP(D918,Oficial!A:C,3,0)</f>
        <v>Bienes y Servicios</v>
      </c>
    </row>
    <row r="919" spans="1:30" x14ac:dyDescent="0.25">
      <c r="A919" s="36" t="s">
        <v>27</v>
      </c>
      <c r="B919" s="36" t="s">
        <v>1130</v>
      </c>
      <c r="C919" s="36" t="s">
        <v>28</v>
      </c>
      <c r="D919" s="36" t="s">
        <v>1130</v>
      </c>
      <c r="E919" s="36" t="s">
        <v>30</v>
      </c>
      <c r="F919" s="36" t="s">
        <v>569</v>
      </c>
      <c r="G919" s="37" t="s">
        <v>1080</v>
      </c>
      <c r="H919" s="36" t="s">
        <v>1131</v>
      </c>
      <c r="I919" s="36" t="s">
        <v>1132</v>
      </c>
      <c r="J919" s="36">
        <v>1</v>
      </c>
      <c r="K919" s="36" t="s">
        <v>1133</v>
      </c>
      <c r="L919" s="36">
        <v>4</v>
      </c>
      <c r="M919" s="36">
        <v>64</v>
      </c>
      <c r="N919" s="38">
        <v>26094</v>
      </c>
      <c r="O919" s="38">
        <v>1670016</v>
      </c>
      <c r="P919" s="36">
        <v>1</v>
      </c>
      <c r="Q919" s="40">
        <v>46082</v>
      </c>
      <c r="R919" s="36" t="s">
        <v>1122</v>
      </c>
      <c r="S919" s="36" t="s">
        <v>1123</v>
      </c>
      <c r="T919" s="36" t="s">
        <v>1124</v>
      </c>
      <c r="U919" s="36" t="s">
        <v>1125</v>
      </c>
      <c r="V919" s="40">
        <v>46082</v>
      </c>
      <c r="W919" s="36"/>
      <c r="X919" s="36">
        <v>0</v>
      </c>
      <c r="Y919" s="36"/>
      <c r="Z919" s="36">
        <v>0</v>
      </c>
      <c r="AA919" s="36">
        <v>0</v>
      </c>
      <c r="AB919" s="36"/>
      <c r="AC919" s="36" t="str">
        <f t="shared" ref="AC919:AC982" si="3">RIGHT(D919,4)</f>
        <v>PC26</v>
      </c>
      <c r="AD919" s="36" t="str">
        <f>VLOOKUP(D919,Oficial!A:C,3,0)</f>
        <v>Bienes y Servicios</v>
      </c>
    </row>
    <row r="920" spans="1:30" x14ac:dyDescent="0.25">
      <c r="A920" s="36" t="s">
        <v>27</v>
      </c>
      <c r="B920" s="36" t="s">
        <v>1134</v>
      </c>
      <c r="C920" s="36" t="s">
        <v>28</v>
      </c>
      <c r="D920" s="36" t="s">
        <v>1134</v>
      </c>
      <c r="E920" s="36" t="s">
        <v>30</v>
      </c>
      <c r="F920" s="36" t="s">
        <v>569</v>
      </c>
      <c r="G920" s="37" t="s">
        <v>215</v>
      </c>
      <c r="H920" s="36" t="s">
        <v>1135</v>
      </c>
      <c r="I920" s="36" t="s">
        <v>1136</v>
      </c>
      <c r="J920" s="36">
        <v>1</v>
      </c>
      <c r="K920" s="36" t="s">
        <v>1137</v>
      </c>
      <c r="L920" s="36">
        <v>4</v>
      </c>
      <c r="M920" s="36">
        <v>3</v>
      </c>
      <c r="N920" s="38">
        <v>300000</v>
      </c>
      <c r="O920" s="38">
        <v>900000</v>
      </c>
      <c r="P920" s="36">
        <v>1</v>
      </c>
      <c r="Q920" s="40">
        <v>46082</v>
      </c>
      <c r="R920" s="36" t="s">
        <v>1122</v>
      </c>
      <c r="S920" s="36" t="s">
        <v>1123</v>
      </c>
      <c r="T920" s="36" t="s">
        <v>1124</v>
      </c>
      <c r="U920" s="36" t="s">
        <v>1125</v>
      </c>
      <c r="V920" s="40">
        <v>46082</v>
      </c>
      <c r="W920" s="36"/>
      <c r="X920" s="36">
        <v>0</v>
      </c>
      <c r="Y920" s="36"/>
      <c r="Z920" s="36">
        <v>0</v>
      </c>
      <c r="AA920" s="36">
        <v>0</v>
      </c>
      <c r="AB920" s="36"/>
      <c r="AC920" s="36" t="str">
        <f t="shared" si="3"/>
        <v>PC26</v>
      </c>
      <c r="AD920" s="36" t="str">
        <f>VLOOKUP(D920,Oficial!A:C,3,0)</f>
        <v>Bienes y Servicios</v>
      </c>
    </row>
    <row r="921" spans="1:30" x14ac:dyDescent="0.25">
      <c r="A921" s="36" t="s">
        <v>27</v>
      </c>
      <c r="B921" s="36" t="s">
        <v>1138</v>
      </c>
      <c r="C921" s="36" t="s">
        <v>28</v>
      </c>
      <c r="D921" s="36" t="s">
        <v>1138</v>
      </c>
      <c r="E921" s="36" t="s">
        <v>30</v>
      </c>
      <c r="F921" s="36" t="s">
        <v>569</v>
      </c>
      <c r="G921" s="37" t="s">
        <v>1139</v>
      </c>
      <c r="H921" s="36" t="s">
        <v>1140</v>
      </c>
      <c r="I921" s="36" t="s">
        <v>1141</v>
      </c>
      <c r="J921" s="36">
        <v>1</v>
      </c>
      <c r="K921" s="36" t="s">
        <v>1142</v>
      </c>
      <c r="L921" s="36">
        <v>4</v>
      </c>
      <c r="M921" s="36">
        <v>15</v>
      </c>
      <c r="N921" s="38">
        <v>233334</v>
      </c>
      <c r="O921" s="38">
        <v>3500010</v>
      </c>
      <c r="P921" s="36">
        <v>1</v>
      </c>
      <c r="Q921" s="40">
        <v>46082</v>
      </c>
      <c r="R921" s="36" t="s">
        <v>1122</v>
      </c>
      <c r="S921" s="36" t="s">
        <v>1123</v>
      </c>
      <c r="T921" s="36" t="s">
        <v>1124</v>
      </c>
      <c r="U921" s="36" t="s">
        <v>1125</v>
      </c>
      <c r="V921" s="40">
        <v>46082</v>
      </c>
      <c r="W921" s="36"/>
      <c r="X921" s="36">
        <v>0</v>
      </c>
      <c r="Y921" s="36"/>
      <c r="Z921" s="36">
        <v>0</v>
      </c>
      <c r="AA921" s="36">
        <v>0</v>
      </c>
      <c r="AB921" s="36"/>
      <c r="AC921" s="36" t="str">
        <f t="shared" si="3"/>
        <v>PC26</v>
      </c>
      <c r="AD921" s="36" t="str">
        <f>VLOOKUP(D921,Oficial!A:C,3,0)</f>
        <v>Bienes y Servicios</v>
      </c>
    </row>
    <row r="922" spans="1:30" x14ac:dyDescent="0.25">
      <c r="A922" s="36" t="s">
        <v>27</v>
      </c>
      <c r="B922" s="36" t="s">
        <v>1143</v>
      </c>
      <c r="C922" s="36" t="s">
        <v>374</v>
      </c>
      <c r="D922" s="36" t="s">
        <v>1143</v>
      </c>
      <c r="E922" s="36" t="s">
        <v>30</v>
      </c>
      <c r="F922" s="36" t="s">
        <v>569</v>
      </c>
      <c r="G922" s="37" t="s">
        <v>654</v>
      </c>
      <c r="H922" s="36" t="s">
        <v>1144</v>
      </c>
      <c r="I922" s="36" t="s">
        <v>1145</v>
      </c>
      <c r="J922" s="36">
        <v>4</v>
      </c>
      <c r="K922" s="36" t="s">
        <v>359</v>
      </c>
      <c r="L922" s="36">
        <v>4</v>
      </c>
      <c r="M922" s="36">
        <v>16</v>
      </c>
      <c r="N922" s="38">
        <v>5594</v>
      </c>
      <c r="O922" s="38">
        <v>89504</v>
      </c>
      <c r="P922" s="36">
        <v>1</v>
      </c>
      <c r="Q922" s="40">
        <v>46235</v>
      </c>
      <c r="R922" s="36" t="s">
        <v>768</v>
      </c>
      <c r="S922" s="36" t="s">
        <v>769</v>
      </c>
      <c r="T922" s="36" t="s">
        <v>770</v>
      </c>
      <c r="U922" s="36" t="s">
        <v>388</v>
      </c>
      <c r="V922" s="40">
        <v>46235</v>
      </c>
      <c r="W922" s="36"/>
      <c r="X922" s="36">
        <v>0</v>
      </c>
      <c r="Y922" s="36"/>
      <c r="Z922" s="36">
        <v>0</v>
      </c>
      <c r="AA922" s="36">
        <v>0</v>
      </c>
      <c r="AB922" s="36"/>
      <c r="AC922" s="36" t="str">
        <f t="shared" si="3"/>
        <v>PC26</v>
      </c>
      <c r="AD922" s="36" t="str">
        <f>VLOOKUP(D922,Oficial!A:C,3,0)</f>
        <v>Administración de Fondos</v>
      </c>
    </row>
    <row r="923" spans="1:30" x14ac:dyDescent="0.25">
      <c r="A923" s="36" t="s">
        <v>27</v>
      </c>
      <c r="B923" s="36" t="s">
        <v>1143</v>
      </c>
      <c r="C923" s="36" t="s">
        <v>374</v>
      </c>
      <c r="D923" s="36" t="s">
        <v>1143</v>
      </c>
      <c r="E923" s="36" t="s">
        <v>30</v>
      </c>
      <c r="F923" s="36" t="s">
        <v>569</v>
      </c>
      <c r="G923" s="37" t="s">
        <v>654</v>
      </c>
      <c r="H923" s="36" t="s">
        <v>1144</v>
      </c>
      <c r="I923" s="36" t="s">
        <v>1145</v>
      </c>
      <c r="J923" s="36">
        <v>4</v>
      </c>
      <c r="K923" s="36" t="s">
        <v>1146</v>
      </c>
      <c r="L923" s="36">
        <v>4</v>
      </c>
      <c r="M923" s="36">
        <v>5</v>
      </c>
      <c r="N923" s="38">
        <v>5000</v>
      </c>
      <c r="O923" s="38">
        <v>25000</v>
      </c>
      <c r="P923" s="36">
        <v>1</v>
      </c>
      <c r="Q923" s="40">
        <v>46235</v>
      </c>
      <c r="R923" s="36" t="s">
        <v>768</v>
      </c>
      <c r="S923" s="36" t="s">
        <v>769</v>
      </c>
      <c r="T923" s="36" t="s">
        <v>770</v>
      </c>
      <c r="U923" s="36" t="s">
        <v>388</v>
      </c>
      <c r="V923" s="40">
        <v>46235</v>
      </c>
      <c r="W923" s="36"/>
      <c r="X923" s="36">
        <v>0</v>
      </c>
      <c r="Y923" s="36"/>
      <c r="Z923" s="36">
        <v>0</v>
      </c>
      <c r="AA923" s="36">
        <v>0</v>
      </c>
      <c r="AB923" s="36"/>
      <c r="AC923" s="36" t="str">
        <f t="shared" si="3"/>
        <v>PC26</v>
      </c>
      <c r="AD923" s="36" t="str">
        <f>VLOOKUP(D923,Oficial!A:C,3,0)</f>
        <v>Administración de Fondos</v>
      </c>
    </row>
    <row r="924" spans="1:30" x14ac:dyDescent="0.25">
      <c r="A924" s="36" t="s">
        <v>27</v>
      </c>
      <c r="B924" s="36" t="s">
        <v>1143</v>
      </c>
      <c r="C924" s="36" t="s">
        <v>374</v>
      </c>
      <c r="D924" s="36" t="s">
        <v>1143</v>
      </c>
      <c r="E924" s="36" t="s">
        <v>30</v>
      </c>
      <c r="F924" s="36" t="s">
        <v>569</v>
      </c>
      <c r="G924" s="37" t="s">
        <v>654</v>
      </c>
      <c r="H924" s="36" t="s">
        <v>1144</v>
      </c>
      <c r="I924" s="36" t="s">
        <v>1145</v>
      </c>
      <c r="J924" s="36">
        <v>4</v>
      </c>
      <c r="K924" s="36" t="s">
        <v>1147</v>
      </c>
      <c r="L924" s="36">
        <v>4</v>
      </c>
      <c r="M924" s="36">
        <v>5</v>
      </c>
      <c r="N924" s="38">
        <v>5000</v>
      </c>
      <c r="O924" s="38">
        <v>25000</v>
      </c>
      <c r="P924" s="36">
        <v>1</v>
      </c>
      <c r="Q924" s="40">
        <v>46235</v>
      </c>
      <c r="R924" s="36" t="s">
        <v>768</v>
      </c>
      <c r="S924" s="36" t="s">
        <v>769</v>
      </c>
      <c r="T924" s="36" t="s">
        <v>770</v>
      </c>
      <c r="U924" s="36" t="s">
        <v>388</v>
      </c>
      <c r="V924" s="40">
        <v>46235</v>
      </c>
      <c r="W924" s="36"/>
      <c r="X924" s="36">
        <v>0</v>
      </c>
      <c r="Y924" s="36"/>
      <c r="Z924" s="36">
        <v>0</v>
      </c>
      <c r="AA924" s="36">
        <v>0</v>
      </c>
      <c r="AB924" s="36"/>
      <c r="AC924" s="36" t="str">
        <f t="shared" si="3"/>
        <v>PC26</v>
      </c>
      <c r="AD924" s="36" t="str">
        <f>VLOOKUP(D924,Oficial!A:C,3,0)</f>
        <v>Administración de Fondos</v>
      </c>
    </row>
    <row r="925" spans="1:30" x14ac:dyDescent="0.25">
      <c r="A925" s="36" t="s">
        <v>27</v>
      </c>
      <c r="B925" s="36" t="s">
        <v>1143</v>
      </c>
      <c r="C925" s="36" t="s">
        <v>374</v>
      </c>
      <c r="D925" s="36" t="s">
        <v>1143</v>
      </c>
      <c r="E925" s="36" t="s">
        <v>30</v>
      </c>
      <c r="F925" s="36" t="s">
        <v>569</v>
      </c>
      <c r="G925" s="37" t="s">
        <v>654</v>
      </c>
      <c r="H925" s="36" t="s">
        <v>1144</v>
      </c>
      <c r="I925" s="36" t="s">
        <v>1145</v>
      </c>
      <c r="J925" s="36">
        <v>4</v>
      </c>
      <c r="K925" s="36" t="s">
        <v>1148</v>
      </c>
      <c r="L925" s="36">
        <v>4</v>
      </c>
      <c r="M925" s="36">
        <v>10</v>
      </c>
      <c r="N925" s="38">
        <v>11000</v>
      </c>
      <c r="O925" s="38">
        <v>110000</v>
      </c>
      <c r="P925" s="36">
        <v>1</v>
      </c>
      <c r="Q925" s="40">
        <v>46235</v>
      </c>
      <c r="R925" s="36" t="s">
        <v>768</v>
      </c>
      <c r="S925" s="36" t="s">
        <v>769</v>
      </c>
      <c r="T925" s="36" t="s">
        <v>770</v>
      </c>
      <c r="U925" s="36" t="s">
        <v>388</v>
      </c>
      <c r="V925" s="40">
        <v>46235</v>
      </c>
      <c r="W925" s="36"/>
      <c r="X925" s="36">
        <v>0</v>
      </c>
      <c r="Y925" s="36"/>
      <c r="Z925" s="36">
        <v>0</v>
      </c>
      <c r="AA925" s="36">
        <v>0</v>
      </c>
      <c r="AB925" s="36"/>
      <c r="AC925" s="36" t="str">
        <f t="shared" si="3"/>
        <v>PC26</v>
      </c>
      <c r="AD925" s="36" t="str">
        <f>VLOOKUP(D925,Oficial!A:C,3,0)</f>
        <v>Administración de Fondos</v>
      </c>
    </row>
    <row r="926" spans="1:30" x14ac:dyDescent="0.25">
      <c r="A926" s="36" t="s">
        <v>27</v>
      </c>
      <c r="B926" s="36" t="s">
        <v>1149</v>
      </c>
      <c r="C926" s="36" t="s">
        <v>374</v>
      </c>
      <c r="D926" s="36" t="s">
        <v>1149</v>
      </c>
      <c r="E926" s="36" t="s">
        <v>30</v>
      </c>
      <c r="F926" s="36" t="s">
        <v>569</v>
      </c>
      <c r="G926" s="37" t="s">
        <v>654</v>
      </c>
      <c r="H926" s="36" t="s">
        <v>1150</v>
      </c>
      <c r="I926" s="36" t="s">
        <v>1151</v>
      </c>
      <c r="J926" s="36">
        <v>3</v>
      </c>
      <c r="K926" s="36" t="s">
        <v>602</v>
      </c>
      <c r="L926" s="36">
        <v>4</v>
      </c>
      <c r="M926" s="36">
        <v>15</v>
      </c>
      <c r="N926" s="38">
        <v>18000</v>
      </c>
      <c r="O926" s="38">
        <v>270000</v>
      </c>
      <c r="P926" s="36">
        <v>1</v>
      </c>
      <c r="Q926" s="40">
        <v>46113</v>
      </c>
      <c r="R926" s="36" t="s">
        <v>1152</v>
      </c>
      <c r="S926" s="36" t="s">
        <v>1153</v>
      </c>
      <c r="T926" s="36" t="s">
        <v>1154</v>
      </c>
      <c r="U926" s="36" t="s">
        <v>1155</v>
      </c>
      <c r="V926" s="40">
        <v>46113</v>
      </c>
      <c r="W926" s="36"/>
      <c r="X926" s="36">
        <v>0</v>
      </c>
      <c r="Y926" s="36"/>
      <c r="Z926" s="36">
        <v>0</v>
      </c>
      <c r="AA926" s="36">
        <v>0</v>
      </c>
      <c r="AB926" s="36"/>
      <c r="AC926" s="36" t="str">
        <f t="shared" si="3"/>
        <v>PC26</v>
      </c>
      <c r="AD926" s="36" t="str">
        <f>VLOOKUP(D926,Oficial!A:C,3,0)</f>
        <v>Administración de Fondos</v>
      </c>
    </row>
    <row r="927" spans="1:30" x14ac:dyDescent="0.25">
      <c r="A927" s="36" t="s">
        <v>27</v>
      </c>
      <c r="B927" s="36" t="s">
        <v>1149</v>
      </c>
      <c r="C927" s="36" t="s">
        <v>374</v>
      </c>
      <c r="D927" s="36" t="s">
        <v>1149</v>
      </c>
      <c r="E927" s="36" t="s">
        <v>30</v>
      </c>
      <c r="F927" s="36" t="s">
        <v>569</v>
      </c>
      <c r="G927" s="37" t="s">
        <v>654</v>
      </c>
      <c r="H927" s="36" t="s">
        <v>1150</v>
      </c>
      <c r="I927" s="36" t="s">
        <v>1151</v>
      </c>
      <c r="J927" s="36">
        <v>3</v>
      </c>
      <c r="K927" s="36" t="s">
        <v>831</v>
      </c>
      <c r="L927" s="36">
        <v>4</v>
      </c>
      <c r="M927" s="36">
        <v>100</v>
      </c>
      <c r="N927" s="38">
        <v>500</v>
      </c>
      <c r="O927" s="38">
        <v>50000</v>
      </c>
      <c r="P927" s="36">
        <v>1</v>
      </c>
      <c r="Q927" s="40">
        <v>46113</v>
      </c>
      <c r="R927" s="36" t="s">
        <v>1152</v>
      </c>
      <c r="S927" s="36" t="s">
        <v>1153</v>
      </c>
      <c r="T927" s="36" t="s">
        <v>1154</v>
      </c>
      <c r="U927" s="36" t="s">
        <v>1155</v>
      </c>
      <c r="V927" s="40">
        <v>46113</v>
      </c>
      <c r="W927" s="36"/>
      <c r="X927" s="36">
        <v>0</v>
      </c>
      <c r="Y927" s="36"/>
      <c r="Z927" s="36">
        <v>0</v>
      </c>
      <c r="AA927" s="36">
        <v>0</v>
      </c>
      <c r="AB927" s="36"/>
      <c r="AC927" s="36" t="str">
        <f t="shared" si="3"/>
        <v>PC26</v>
      </c>
      <c r="AD927" s="36" t="str">
        <f>VLOOKUP(D927,Oficial!A:C,3,0)</f>
        <v>Administración de Fondos</v>
      </c>
    </row>
    <row r="928" spans="1:30" x14ac:dyDescent="0.25">
      <c r="A928" s="36" t="s">
        <v>27</v>
      </c>
      <c r="B928" s="36" t="s">
        <v>1149</v>
      </c>
      <c r="C928" s="36" t="s">
        <v>374</v>
      </c>
      <c r="D928" s="36" t="s">
        <v>1149</v>
      </c>
      <c r="E928" s="36" t="s">
        <v>30</v>
      </c>
      <c r="F928" s="36" t="s">
        <v>569</v>
      </c>
      <c r="G928" s="37" t="s">
        <v>654</v>
      </c>
      <c r="H928" s="36" t="s">
        <v>1150</v>
      </c>
      <c r="I928" s="36" t="s">
        <v>1151</v>
      </c>
      <c r="J928" s="36">
        <v>3</v>
      </c>
      <c r="K928" s="36" t="s">
        <v>486</v>
      </c>
      <c r="L928" s="36">
        <v>4</v>
      </c>
      <c r="M928" s="36">
        <v>272</v>
      </c>
      <c r="N928" s="38">
        <v>1295</v>
      </c>
      <c r="O928" s="38">
        <v>352240</v>
      </c>
      <c r="P928" s="36">
        <v>1</v>
      </c>
      <c r="Q928" s="40">
        <v>46113</v>
      </c>
      <c r="R928" s="36" t="s">
        <v>1152</v>
      </c>
      <c r="S928" s="36" t="s">
        <v>1153</v>
      </c>
      <c r="T928" s="36" t="s">
        <v>1154</v>
      </c>
      <c r="U928" s="36" t="s">
        <v>1155</v>
      </c>
      <c r="V928" s="40">
        <v>46113</v>
      </c>
      <c r="W928" s="36"/>
      <c r="X928" s="36">
        <v>0</v>
      </c>
      <c r="Y928" s="36"/>
      <c r="Z928" s="36">
        <v>0</v>
      </c>
      <c r="AA928" s="36">
        <v>0</v>
      </c>
      <c r="AB928" s="36"/>
      <c r="AC928" s="36" t="str">
        <f t="shared" si="3"/>
        <v>PC26</v>
      </c>
      <c r="AD928" s="36" t="str">
        <f>VLOOKUP(D928,Oficial!A:C,3,0)</f>
        <v>Administración de Fondos</v>
      </c>
    </row>
    <row r="929" spans="1:30" x14ac:dyDescent="0.25">
      <c r="A929" s="36" t="s">
        <v>27</v>
      </c>
      <c r="B929" s="36" t="s">
        <v>1156</v>
      </c>
      <c r="C929" s="36" t="s">
        <v>28</v>
      </c>
      <c r="D929" s="36" t="s">
        <v>1156</v>
      </c>
      <c r="E929" s="36" t="s">
        <v>30</v>
      </c>
      <c r="F929" s="36" t="s">
        <v>569</v>
      </c>
      <c r="G929" s="37" t="s">
        <v>1157</v>
      </c>
      <c r="H929" s="36" t="s">
        <v>1158</v>
      </c>
      <c r="I929" s="36" t="s">
        <v>1159</v>
      </c>
      <c r="J929" s="36">
        <v>5</v>
      </c>
      <c r="K929" s="36" t="s">
        <v>1160</v>
      </c>
      <c r="L929" s="36">
        <v>4</v>
      </c>
      <c r="M929" s="36">
        <v>4</v>
      </c>
      <c r="N929" s="38">
        <v>1112500</v>
      </c>
      <c r="O929" s="38">
        <v>4450000</v>
      </c>
      <c r="P929" s="36">
        <v>3</v>
      </c>
      <c r="Q929" s="36" t="s">
        <v>1161</v>
      </c>
      <c r="R929" s="36" t="s">
        <v>1162</v>
      </c>
      <c r="S929" s="36" t="s">
        <v>1163</v>
      </c>
      <c r="T929" s="36" t="s">
        <v>259</v>
      </c>
      <c r="U929" s="36" t="s">
        <v>260</v>
      </c>
      <c r="V929" s="40">
        <v>46082</v>
      </c>
      <c r="W929" s="36"/>
      <c r="X929" s="36">
        <v>0</v>
      </c>
      <c r="Y929" s="36"/>
      <c r="Z929" s="36">
        <v>0</v>
      </c>
      <c r="AA929" s="36">
        <v>0</v>
      </c>
      <c r="AB929" s="36"/>
      <c r="AC929" s="36" t="str">
        <f t="shared" si="3"/>
        <v>PC26</v>
      </c>
      <c r="AD929" s="36" t="str">
        <f>VLOOKUP(D929,Oficial!A:C,3,0)</f>
        <v>Bienes y Servicios</v>
      </c>
    </row>
    <row r="930" spans="1:30" x14ac:dyDescent="0.25">
      <c r="A930" s="36" t="s">
        <v>27</v>
      </c>
      <c r="B930" s="36" t="s">
        <v>1156</v>
      </c>
      <c r="C930" s="36" t="s">
        <v>28</v>
      </c>
      <c r="D930" s="36" t="s">
        <v>1156</v>
      </c>
      <c r="E930" s="36" t="s">
        <v>30</v>
      </c>
      <c r="F930" s="36" t="s">
        <v>569</v>
      </c>
      <c r="G930" s="37" t="s">
        <v>1157</v>
      </c>
      <c r="H930" s="36" t="s">
        <v>1158</v>
      </c>
      <c r="I930" s="36" t="s">
        <v>1159</v>
      </c>
      <c r="J930" s="36">
        <v>5</v>
      </c>
      <c r="K930" s="36" t="s">
        <v>1164</v>
      </c>
      <c r="L930" s="36">
        <v>4</v>
      </c>
      <c r="M930" s="36">
        <v>6</v>
      </c>
      <c r="N930" s="38">
        <v>616667</v>
      </c>
      <c r="O930" s="38">
        <v>3700002</v>
      </c>
      <c r="P930" s="36">
        <v>1</v>
      </c>
      <c r="Q930" s="40">
        <v>46174</v>
      </c>
      <c r="R930" s="36" t="s">
        <v>1162</v>
      </c>
      <c r="S930" s="36" t="s">
        <v>1163</v>
      </c>
      <c r="T930" s="36" t="s">
        <v>259</v>
      </c>
      <c r="U930" s="36" t="s">
        <v>260</v>
      </c>
      <c r="V930" s="40">
        <v>46174</v>
      </c>
      <c r="W930" s="36"/>
      <c r="X930" s="36">
        <v>0</v>
      </c>
      <c r="Y930" s="36"/>
      <c r="Z930" s="36">
        <v>0</v>
      </c>
      <c r="AA930" s="36">
        <v>0</v>
      </c>
      <c r="AB930" s="36"/>
      <c r="AC930" s="36" t="str">
        <f t="shared" si="3"/>
        <v>PC26</v>
      </c>
      <c r="AD930" s="36" t="str">
        <f>VLOOKUP(D930,Oficial!A:C,3,0)</f>
        <v>Bienes y Servicios</v>
      </c>
    </row>
    <row r="931" spans="1:30" x14ac:dyDescent="0.25">
      <c r="A931" s="36" t="s">
        <v>27</v>
      </c>
      <c r="B931" s="36" t="s">
        <v>1156</v>
      </c>
      <c r="C931" s="36" t="s">
        <v>28</v>
      </c>
      <c r="D931" s="36" t="s">
        <v>1156</v>
      </c>
      <c r="E931" s="36" t="s">
        <v>30</v>
      </c>
      <c r="F931" s="36" t="s">
        <v>569</v>
      </c>
      <c r="G931" s="37" t="s">
        <v>1157</v>
      </c>
      <c r="H931" s="36" t="s">
        <v>1158</v>
      </c>
      <c r="I931" s="36" t="s">
        <v>1159</v>
      </c>
      <c r="J931" s="36">
        <v>5</v>
      </c>
      <c r="K931" s="36" t="s">
        <v>1165</v>
      </c>
      <c r="L931" s="36">
        <v>4</v>
      </c>
      <c r="M931" s="36">
        <v>1</v>
      </c>
      <c r="N931" s="38">
        <v>3000000</v>
      </c>
      <c r="O931" s="38">
        <v>3000000</v>
      </c>
      <c r="P931" s="36">
        <v>1</v>
      </c>
      <c r="Q931" s="40">
        <v>46174</v>
      </c>
      <c r="R931" s="36" t="s">
        <v>1162</v>
      </c>
      <c r="S931" s="36" t="s">
        <v>1163</v>
      </c>
      <c r="T931" s="36" t="s">
        <v>259</v>
      </c>
      <c r="U931" s="36" t="s">
        <v>260</v>
      </c>
      <c r="V931" s="40">
        <v>46174</v>
      </c>
      <c r="W931" s="36"/>
      <c r="X931" s="36">
        <v>0</v>
      </c>
      <c r="Y931" s="36"/>
      <c r="Z931" s="36">
        <v>0</v>
      </c>
      <c r="AA931" s="36">
        <v>0</v>
      </c>
      <c r="AB931" s="36"/>
      <c r="AC931" s="36" t="str">
        <f t="shared" si="3"/>
        <v>PC26</v>
      </c>
      <c r="AD931" s="36" t="str">
        <f>VLOOKUP(D931,Oficial!A:C,3,0)</f>
        <v>Bienes y Servicios</v>
      </c>
    </row>
    <row r="932" spans="1:30" x14ac:dyDescent="0.25">
      <c r="A932" s="36" t="s">
        <v>27</v>
      </c>
      <c r="B932" s="36" t="s">
        <v>1156</v>
      </c>
      <c r="C932" s="36" t="s">
        <v>28</v>
      </c>
      <c r="D932" s="36" t="s">
        <v>1156</v>
      </c>
      <c r="E932" s="36" t="s">
        <v>30</v>
      </c>
      <c r="F932" s="36" t="s">
        <v>569</v>
      </c>
      <c r="G932" s="37" t="s">
        <v>1157</v>
      </c>
      <c r="H932" s="36" t="s">
        <v>1158</v>
      </c>
      <c r="I932" s="36" t="s">
        <v>1159</v>
      </c>
      <c r="J932" s="36">
        <v>5</v>
      </c>
      <c r="K932" s="36" t="s">
        <v>1166</v>
      </c>
      <c r="L932" s="36">
        <v>4</v>
      </c>
      <c r="M932" s="36">
        <v>1</v>
      </c>
      <c r="N932" s="38">
        <v>600000</v>
      </c>
      <c r="O932" s="38">
        <v>600000</v>
      </c>
      <c r="P932" s="36">
        <v>1</v>
      </c>
      <c r="Q932" s="40">
        <v>46174</v>
      </c>
      <c r="R932" s="36" t="s">
        <v>1162</v>
      </c>
      <c r="S932" s="36" t="s">
        <v>1163</v>
      </c>
      <c r="T932" s="36" t="s">
        <v>259</v>
      </c>
      <c r="U932" s="36" t="s">
        <v>260</v>
      </c>
      <c r="V932" s="40">
        <v>46174</v>
      </c>
      <c r="W932" s="36"/>
      <c r="X932" s="36">
        <v>0</v>
      </c>
      <c r="Y932" s="36"/>
      <c r="Z932" s="36">
        <v>0</v>
      </c>
      <c r="AA932" s="36">
        <v>0</v>
      </c>
      <c r="AB932" s="36"/>
      <c r="AC932" s="36" t="str">
        <f t="shared" si="3"/>
        <v>PC26</v>
      </c>
      <c r="AD932" s="36" t="str">
        <f>VLOOKUP(D932,Oficial!A:C,3,0)</f>
        <v>Bienes y Servicios</v>
      </c>
    </row>
    <row r="933" spans="1:30" x14ac:dyDescent="0.25">
      <c r="A933" s="36" t="s">
        <v>27</v>
      </c>
      <c r="B933" s="36" t="s">
        <v>1156</v>
      </c>
      <c r="C933" s="36" t="s">
        <v>28</v>
      </c>
      <c r="D933" s="36" t="s">
        <v>1156</v>
      </c>
      <c r="E933" s="36" t="s">
        <v>30</v>
      </c>
      <c r="F933" s="36" t="s">
        <v>569</v>
      </c>
      <c r="G933" s="37" t="s">
        <v>1157</v>
      </c>
      <c r="H933" s="36" t="s">
        <v>1158</v>
      </c>
      <c r="I933" s="36" t="s">
        <v>1159</v>
      </c>
      <c r="J933" s="36">
        <v>5</v>
      </c>
      <c r="K933" s="36" t="s">
        <v>1167</v>
      </c>
      <c r="L933" s="36">
        <v>4</v>
      </c>
      <c r="M933" s="36">
        <v>1</v>
      </c>
      <c r="N933" s="38">
        <v>6000000</v>
      </c>
      <c r="O933" s="38">
        <v>6000000</v>
      </c>
      <c r="P933" s="36">
        <v>1</v>
      </c>
      <c r="Q933" s="40">
        <v>46174</v>
      </c>
      <c r="R933" s="36" t="s">
        <v>1162</v>
      </c>
      <c r="S933" s="36" t="s">
        <v>1163</v>
      </c>
      <c r="T933" s="36" t="s">
        <v>259</v>
      </c>
      <c r="U933" s="36" t="s">
        <v>260</v>
      </c>
      <c r="V933" s="40">
        <v>46174</v>
      </c>
      <c r="W933" s="36"/>
      <c r="X933" s="36">
        <v>0</v>
      </c>
      <c r="Y933" s="36"/>
      <c r="Z933" s="36">
        <v>0</v>
      </c>
      <c r="AA933" s="36">
        <v>0</v>
      </c>
      <c r="AB933" s="36"/>
      <c r="AC933" s="36" t="str">
        <f t="shared" si="3"/>
        <v>PC26</v>
      </c>
      <c r="AD933" s="36" t="str">
        <f>VLOOKUP(D933,Oficial!A:C,3,0)</f>
        <v>Bienes y Servicios</v>
      </c>
    </row>
    <row r="934" spans="1:30" x14ac:dyDescent="0.25">
      <c r="A934" s="36" t="s">
        <v>27</v>
      </c>
      <c r="B934" s="36" t="s">
        <v>1168</v>
      </c>
      <c r="C934" s="36" t="s">
        <v>28</v>
      </c>
      <c r="D934" s="36" t="s">
        <v>1168</v>
      </c>
      <c r="E934" s="36" t="s">
        <v>30</v>
      </c>
      <c r="F934" s="36" t="s">
        <v>569</v>
      </c>
      <c r="G934" s="37" t="s">
        <v>645</v>
      </c>
      <c r="H934" s="36" t="s">
        <v>1169</v>
      </c>
      <c r="I934" s="36" t="s">
        <v>1170</v>
      </c>
      <c r="J934" s="36">
        <v>1</v>
      </c>
      <c r="K934" s="36" t="s">
        <v>496</v>
      </c>
      <c r="L934" s="36">
        <v>4</v>
      </c>
      <c r="M934" s="36">
        <v>346</v>
      </c>
      <c r="N934" s="38">
        <v>89596</v>
      </c>
      <c r="O934" s="38">
        <v>0</v>
      </c>
      <c r="P934" s="36">
        <v>12</v>
      </c>
      <c r="Q934" s="36" t="s">
        <v>1029</v>
      </c>
      <c r="R934" s="36" t="s">
        <v>1162</v>
      </c>
      <c r="S934" s="36" t="s">
        <v>1163</v>
      </c>
      <c r="T934" s="36" t="s">
        <v>259</v>
      </c>
      <c r="U934" s="36" t="s">
        <v>260</v>
      </c>
      <c r="V934" s="40">
        <v>46266</v>
      </c>
      <c r="W934" s="36"/>
      <c r="X934" s="36">
        <v>0</v>
      </c>
      <c r="Y934" s="36"/>
      <c r="Z934" s="36">
        <v>0</v>
      </c>
      <c r="AA934" s="36">
        <v>0</v>
      </c>
      <c r="AB934" s="36"/>
      <c r="AC934" s="36" t="str">
        <f t="shared" si="3"/>
        <v>PC26</v>
      </c>
      <c r="AD934" s="36" t="str">
        <f>VLOOKUP(D934,Oficial!A:C,3,0)</f>
        <v>Bienes y Servicios</v>
      </c>
    </row>
    <row r="935" spans="1:30" x14ac:dyDescent="0.25">
      <c r="A935" s="36" t="s">
        <v>27</v>
      </c>
      <c r="B935" s="36" t="s">
        <v>1171</v>
      </c>
      <c r="C935" s="36" t="s">
        <v>374</v>
      </c>
      <c r="D935" s="36" t="s">
        <v>1171</v>
      </c>
      <c r="E935" s="36" t="s">
        <v>30</v>
      </c>
      <c r="F935" s="36" t="s">
        <v>569</v>
      </c>
      <c r="G935" s="37" t="s">
        <v>800</v>
      </c>
      <c r="H935" s="36" t="s">
        <v>1172</v>
      </c>
      <c r="I935" s="36" t="s">
        <v>1173</v>
      </c>
      <c r="J935" s="36">
        <v>4</v>
      </c>
      <c r="K935" s="36" t="s">
        <v>874</v>
      </c>
      <c r="L935" s="36">
        <v>4</v>
      </c>
      <c r="M935" s="36">
        <v>1</v>
      </c>
      <c r="N935" s="38">
        <v>1350000</v>
      </c>
      <c r="O935" s="38">
        <v>1350000</v>
      </c>
      <c r="P935" s="36">
        <v>1</v>
      </c>
      <c r="Q935" s="40">
        <v>46174</v>
      </c>
      <c r="R935" s="36" t="s">
        <v>1152</v>
      </c>
      <c r="S935" s="36" t="s">
        <v>1153</v>
      </c>
      <c r="T935" s="36" t="s">
        <v>1154</v>
      </c>
      <c r="U935" s="36" t="s">
        <v>1155</v>
      </c>
      <c r="V935" s="40">
        <v>46174</v>
      </c>
      <c r="W935" s="36"/>
      <c r="X935" s="36">
        <v>0</v>
      </c>
      <c r="Y935" s="36"/>
      <c r="Z935" s="36">
        <v>0</v>
      </c>
      <c r="AA935" s="36">
        <v>0</v>
      </c>
      <c r="AB935" s="36"/>
      <c r="AC935" s="36" t="str">
        <f t="shared" si="3"/>
        <v>PC26</v>
      </c>
      <c r="AD935" s="36" t="str">
        <f>VLOOKUP(D935,Oficial!A:C,3,0)</f>
        <v>Administración de Fondos</v>
      </c>
    </row>
    <row r="936" spans="1:30" x14ac:dyDescent="0.25">
      <c r="A936" s="36" t="s">
        <v>27</v>
      </c>
      <c r="B936" s="36" t="s">
        <v>1171</v>
      </c>
      <c r="C936" s="36" t="s">
        <v>374</v>
      </c>
      <c r="D936" s="36" t="s">
        <v>1171</v>
      </c>
      <c r="E936" s="36" t="s">
        <v>30</v>
      </c>
      <c r="F936" s="36" t="s">
        <v>569</v>
      </c>
      <c r="G936" s="37" t="s">
        <v>800</v>
      </c>
      <c r="H936" s="36" t="s">
        <v>1172</v>
      </c>
      <c r="I936" s="36" t="s">
        <v>1173</v>
      </c>
      <c r="J936" s="36">
        <v>4</v>
      </c>
      <c r="K936" s="36" t="s">
        <v>1174</v>
      </c>
      <c r="L936" s="36">
        <v>4</v>
      </c>
      <c r="M936" s="36">
        <v>98</v>
      </c>
      <c r="N936" s="38">
        <v>10152</v>
      </c>
      <c r="O936" s="38">
        <v>994896</v>
      </c>
      <c r="P936" s="36">
        <v>1</v>
      </c>
      <c r="Q936" s="40">
        <v>46174</v>
      </c>
      <c r="R936" s="36" t="s">
        <v>1152</v>
      </c>
      <c r="S936" s="36" t="s">
        <v>1153</v>
      </c>
      <c r="T936" s="36" t="s">
        <v>1154</v>
      </c>
      <c r="U936" s="36" t="s">
        <v>1155</v>
      </c>
      <c r="V936" s="40">
        <v>46174</v>
      </c>
      <c r="W936" s="36"/>
      <c r="X936" s="36">
        <v>0</v>
      </c>
      <c r="Y936" s="36"/>
      <c r="Z936" s="36">
        <v>0</v>
      </c>
      <c r="AA936" s="36">
        <v>0</v>
      </c>
      <c r="AB936" s="36"/>
      <c r="AC936" s="36" t="str">
        <f t="shared" si="3"/>
        <v>PC26</v>
      </c>
      <c r="AD936" s="36" t="str">
        <f>VLOOKUP(D936,Oficial!A:C,3,0)</f>
        <v>Administración de Fondos</v>
      </c>
    </row>
    <row r="937" spans="1:30" x14ac:dyDescent="0.25">
      <c r="A937" s="36" t="s">
        <v>27</v>
      </c>
      <c r="B937" s="36" t="s">
        <v>1171</v>
      </c>
      <c r="C937" s="36" t="s">
        <v>374</v>
      </c>
      <c r="D937" s="36" t="s">
        <v>1171</v>
      </c>
      <c r="E937" s="36" t="s">
        <v>30</v>
      </c>
      <c r="F937" s="36" t="s">
        <v>569</v>
      </c>
      <c r="G937" s="37" t="s">
        <v>800</v>
      </c>
      <c r="H937" s="36" t="s">
        <v>1172</v>
      </c>
      <c r="I937" s="36" t="s">
        <v>1173</v>
      </c>
      <c r="J937" s="36">
        <v>4</v>
      </c>
      <c r="K937" s="36" t="s">
        <v>780</v>
      </c>
      <c r="L937" s="36">
        <v>4</v>
      </c>
      <c r="M937" s="36">
        <v>5</v>
      </c>
      <c r="N937" s="38">
        <v>10000</v>
      </c>
      <c r="O937" s="38">
        <v>50000</v>
      </c>
      <c r="P937" s="36">
        <v>1</v>
      </c>
      <c r="Q937" s="40">
        <v>46174</v>
      </c>
      <c r="R937" s="36" t="s">
        <v>1152</v>
      </c>
      <c r="S937" s="36" t="s">
        <v>1153</v>
      </c>
      <c r="T937" s="36" t="s">
        <v>1154</v>
      </c>
      <c r="U937" s="36" t="s">
        <v>1155</v>
      </c>
      <c r="V937" s="40">
        <v>46174</v>
      </c>
      <c r="W937" s="36"/>
      <c r="X937" s="36">
        <v>0</v>
      </c>
      <c r="Y937" s="36"/>
      <c r="Z937" s="36">
        <v>0</v>
      </c>
      <c r="AA937" s="36">
        <v>0</v>
      </c>
      <c r="AB937" s="36"/>
      <c r="AC937" s="36" t="str">
        <f t="shared" si="3"/>
        <v>PC26</v>
      </c>
      <c r="AD937" s="36" t="str">
        <f>VLOOKUP(D937,Oficial!A:C,3,0)</f>
        <v>Administración de Fondos</v>
      </c>
    </row>
    <row r="938" spans="1:30" x14ac:dyDescent="0.25">
      <c r="A938" s="36" t="s">
        <v>27</v>
      </c>
      <c r="B938" s="36" t="s">
        <v>1171</v>
      </c>
      <c r="C938" s="36" t="s">
        <v>374</v>
      </c>
      <c r="D938" s="36" t="s">
        <v>1171</v>
      </c>
      <c r="E938" s="36" t="s">
        <v>30</v>
      </c>
      <c r="F938" s="36" t="s">
        <v>569</v>
      </c>
      <c r="G938" s="37" t="s">
        <v>800</v>
      </c>
      <c r="H938" s="36" t="s">
        <v>1172</v>
      </c>
      <c r="I938" s="36" t="s">
        <v>1173</v>
      </c>
      <c r="J938" s="36">
        <v>4</v>
      </c>
      <c r="K938" s="36" t="s">
        <v>1175</v>
      </c>
      <c r="L938" s="36">
        <v>4</v>
      </c>
      <c r="M938" s="36">
        <v>1</v>
      </c>
      <c r="N938" s="38">
        <v>580665</v>
      </c>
      <c r="O938" s="38">
        <v>580665</v>
      </c>
      <c r="P938" s="36">
        <v>1</v>
      </c>
      <c r="Q938" s="40">
        <v>46174</v>
      </c>
      <c r="R938" s="36" t="s">
        <v>1152</v>
      </c>
      <c r="S938" s="36" t="s">
        <v>1153</v>
      </c>
      <c r="T938" s="36" t="s">
        <v>1154</v>
      </c>
      <c r="U938" s="36" t="s">
        <v>1155</v>
      </c>
      <c r="V938" s="40">
        <v>46174</v>
      </c>
      <c r="W938" s="36"/>
      <c r="X938" s="36">
        <v>0</v>
      </c>
      <c r="Y938" s="36"/>
      <c r="Z938" s="36">
        <v>0</v>
      </c>
      <c r="AA938" s="36">
        <v>0</v>
      </c>
      <c r="AB938" s="36"/>
      <c r="AC938" s="36" t="str">
        <f t="shared" si="3"/>
        <v>PC26</v>
      </c>
      <c r="AD938" s="36" t="str">
        <f>VLOOKUP(D938,Oficial!A:C,3,0)</f>
        <v>Administración de Fondos</v>
      </c>
    </row>
    <row r="939" spans="1:30" x14ac:dyDescent="0.25">
      <c r="A939" s="36" t="s">
        <v>27</v>
      </c>
      <c r="B939" s="36" t="s">
        <v>1176</v>
      </c>
      <c r="C939" s="36" t="s">
        <v>28</v>
      </c>
      <c r="D939" s="36" t="s">
        <v>1176</v>
      </c>
      <c r="E939" s="36" t="s">
        <v>30</v>
      </c>
      <c r="F939" s="36" t="s">
        <v>569</v>
      </c>
      <c r="G939" s="37" t="s">
        <v>645</v>
      </c>
      <c r="H939" s="36" t="s">
        <v>1177</v>
      </c>
      <c r="I939" s="36" t="s">
        <v>1178</v>
      </c>
      <c r="J939" s="36">
        <v>1</v>
      </c>
      <c r="K939" s="36" t="s">
        <v>1179</v>
      </c>
      <c r="L939" s="36">
        <v>4</v>
      </c>
      <c r="M939" s="36">
        <v>15</v>
      </c>
      <c r="N939" s="38">
        <v>46400</v>
      </c>
      <c r="O939" s="38">
        <v>696000</v>
      </c>
      <c r="P939" s="36">
        <v>1</v>
      </c>
      <c r="Q939" s="40">
        <v>46082</v>
      </c>
      <c r="R939" s="36" t="s">
        <v>1180</v>
      </c>
      <c r="S939" s="36" t="s">
        <v>1181</v>
      </c>
      <c r="T939" s="36" t="s">
        <v>936</v>
      </c>
      <c r="U939" s="36" t="s">
        <v>1182</v>
      </c>
      <c r="V939" s="40">
        <v>46082</v>
      </c>
      <c r="W939" s="36"/>
      <c r="X939" s="36">
        <v>0</v>
      </c>
      <c r="Y939" s="36"/>
      <c r="Z939" s="36">
        <v>0</v>
      </c>
      <c r="AA939" s="36">
        <v>0</v>
      </c>
      <c r="AB939" s="36"/>
      <c r="AC939" s="36" t="str">
        <f t="shared" si="3"/>
        <v>PC26</v>
      </c>
      <c r="AD939" s="36" t="str">
        <f>VLOOKUP(D939,Oficial!A:C,3,0)</f>
        <v>Bienes y Servicios</v>
      </c>
    </row>
    <row r="940" spans="1:30" x14ac:dyDescent="0.25">
      <c r="A940" s="36" t="s">
        <v>27</v>
      </c>
      <c r="B940" s="36" t="s">
        <v>1183</v>
      </c>
      <c r="C940" s="36" t="s">
        <v>28</v>
      </c>
      <c r="D940" s="36" t="s">
        <v>1183</v>
      </c>
      <c r="E940" s="36" t="s">
        <v>30</v>
      </c>
      <c r="F940" s="36" t="s">
        <v>569</v>
      </c>
      <c r="G940" s="37" t="s">
        <v>1184</v>
      </c>
      <c r="H940" s="36" t="s">
        <v>1185</v>
      </c>
      <c r="I940" s="36" t="s">
        <v>1186</v>
      </c>
      <c r="J940" s="36">
        <v>1</v>
      </c>
      <c r="K940" s="36" t="s">
        <v>1187</v>
      </c>
      <c r="L940" s="36">
        <v>4</v>
      </c>
      <c r="M940" s="36">
        <v>1505</v>
      </c>
      <c r="N940" s="38">
        <v>1917</v>
      </c>
      <c r="O940" s="38">
        <v>2885085</v>
      </c>
      <c r="P940" s="36">
        <v>1</v>
      </c>
      <c r="Q940" s="40">
        <v>46143</v>
      </c>
      <c r="R940" s="36" t="s">
        <v>790</v>
      </c>
      <c r="S940" s="36" t="s">
        <v>791</v>
      </c>
      <c r="T940" s="36" t="s">
        <v>792</v>
      </c>
      <c r="U940" s="36" t="s">
        <v>793</v>
      </c>
      <c r="V940" s="40">
        <v>46143</v>
      </c>
      <c r="W940" s="36"/>
      <c r="X940" s="36">
        <v>0</v>
      </c>
      <c r="Y940" s="36"/>
      <c r="Z940" s="36">
        <v>0</v>
      </c>
      <c r="AA940" s="36">
        <v>0</v>
      </c>
      <c r="AB940" s="36"/>
      <c r="AC940" s="36" t="str">
        <f t="shared" si="3"/>
        <v>PC26</v>
      </c>
      <c r="AD940" s="36" t="str">
        <f>VLOOKUP(D940,Oficial!A:C,3,0)</f>
        <v>Bienes y Servicios</v>
      </c>
    </row>
    <row r="941" spans="1:30" x14ac:dyDescent="0.25">
      <c r="A941" s="36" t="s">
        <v>27</v>
      </c>
      <c r="B941" s="36" t="s">
        <v>1188</v>
      </c>
      <c r="C941" s="36" t="s">
        <v>28</v>
      </c>
      <c r="D941" s="36" t="s">
        <v>1188</v>
      </c>
      <c r="E941" s="36" t="s">
        <v>30</v>
      </c>
      <c r="F941" s="36" t="s">
        <v>569</v>
      </c>
      <c r="G941" s="37" t="s">
        <v>654</v>
      </c>
      <c r="H941" s="36" t="s">
        <v>1189</v>
      </c>
      <c r="I941" s="36" t="s">
        <v>1190</v>
      </c>
      <c r="J941" s="36">
        <v>5</v>
      </c>
      <c r="K941" s="36" t="s">
        <v>602</v>
      </c>
      <c r="L941" s="36">
        <v>4</v>
      </c>
      <c r="M941" s="36">
        <v>1</v>
      </c>
      <c r="N941" s="38">
        <v>1500000</v>
      </c>
      <c r="O941" s="38">
        <v>1500000</v>
      </c>
      <c r="P941" s="36">
        <v>1</v>
      </c>
      <c r="Q941" s="40">
        <v>46296</v>
      </c>
      <c r="R941" s="36" t="s">
        <v>790</v>
      </c>
      <c r="S941" s="36" t="s">
        <v>791</v>
      </c>
      <c r="T941" s="36" t="s">
        <v>792</v>
      </c>
      <c r="U941" s="36" t="s">
        <v>793</v>
      </c>
      <c r="V941" s="40">
        <v>46296</v>
      </c>
      <c r="W941" s="36"/>
      <c r="X941" s="36">
        <v>0</v>
      </c>
      <c r="Y941" s="36"/>
      <c r="Z941" s="36">
        <v>0</v>
      </c>
      <c r="AA941" s="36">
        <v>0</v>
      </c>
      <c r="AB941" s="36"/>
      <c r="AC941" s="36" t="str">
        <f t="shared" si="3"/>
        <v>PC26</v>
      </c>
      <c r="AD941" s="36" t="str">
        <f>VLOOKUP(D941,Oficial!A:C,3,0)</f>
        <v>Bienes y Servicios</v>
      </c>
    </row>
    <row r="942" spans="1:30" x14ac:dyDescent="0.25">
      <c r="A942" s="36" t="s">
        <v>27</v>
      </c>
      <c r="B942" s="36" t="s">
        <v>1188</v>
      </c>
      <c r="C942" s="36" t="s">
        <v>28</v>
      </c>
      <c r="D942" s="36" t="s">
        <v>1188</v>
      </c>
      <c r="E942" s="36" t="s">
        <v>30</v>
      </c>
      <c r="F942" s="36" t="s">
        <v>569</v>
      </c>
      <c r="G942" s="37" t="s">
        <v>654</v>
      </c>
      <c r="H942" s="36" t="s">
        <v>1189</v>
      </c>
      <c r="I942" s="36" t="s">
        <v>1190</v>
      </c>
      <c r="J942" s="36">
        <v>5</v>
      </c>
      <c r="K942" s="36" t="s">
        <v>1191</v>
      </c>
      <c r="L942" s="36">
        <v>4</v>
      </c>
      <c r="M942" s="36">
        <v>1</v>
      </c>
      <c r="N942" s="38">
        <v>1000000</v>
      </c>
      <c r="O942" s="38">
        <v>1000000</v>
      </c>
      <c r="P942" s="36">
        <v>1</v>
      </c>
      <c r="Q942" s="40">
        <v>46296</v>
      </c>
      <c r="R942" s="36" t="s">
        <v>790</v>
      </c>
      <c r="S942" s="36" t="s">
        <v>791</v>
      </c>
      <c r="T942" s="36" t="s">
        <v>792</v>
      </c>
      <c r="U942" s="36" t="s">
        <v>793</v>
      </c>
      <c r="V942" s="40">
        <v>46296</v>
      </c>
      <c r="W942" s="36"/>
      <c r="X942" s="36">
        <v>0</v>
      </c>
      <c r="Y942" s="36"/>
      <c r="Z942" s="36">
        <v>0</v>
      </c>
      <c r="AA942" s="36">
        <v>0</v>
      </c>
      <c r="AB942" s="36"/>
      <c r="AC942" s="36" t="str">
        <f t="shared" si="3"/>
        <v>PC26</v>
      </c>
      <c r="AD942" s="36" t="str">
        <f>VLOOKUP(D942,Oficial!A:C,3,0)</f>
        <v>Bienes y Servicios</v>
      </c>
    </row>
    <row r="943" spans="1:30" x14ac:dyDescent="0.25">
      <c r="A943" s="36" t="s">
        <v>27</v>
      </c>
      <c r="B943" s="36" t="s">
        <v>1188</v>
      </c>
      <c r="C943" s="36" t="s">
        <v>28</v>
      </c>
      <c r="D943" s="36" t="s">
        <v>1188</v>
      </c>
      <c r="E943" s="36" t="s">
        <v>30</v>
      </c>
      <c r="F943" s="36" t="s">
        <v>569</v>
      </c>
      <c r="G943" s="37" t="s">
        <v>654</v>
      </c>
      <c r="H943" s="36" t="s">
        <v>1189</v>
      </c>
      <c r="I943" s="36" t="s">
        <v>1190</v>
      </c>
      <c r="J943" s="36">
        <v>5</v>
      </c>
      <c r="K943" s="36" t="s">
        <v>486</v>
      </c>
      <c r="L943" s="36">
        <v>4</v>
      </c>
      <c r="M943" s="36">
        <v>600</v>
      </c>
      <c r="N943" s="38">
        <v>500</v>
      </c>
      <c r="O943" s="38">
        <v>300000</v>
      </c>
      <c r="P943" s="36">
        <v>1</v>
      </c>
      <c r="Q943" s="40">
        <v>46296</v>
      </c>
      <c r="R943" s="36" t="s">
        <v>790</v>
      </c>
      <c r="S943" s="36" t="s">
        <v>791</v>
      </c>
      <c r="T943" s="36" t="s">
        <v>792</v>
      </c>
      <c r="U943" s="36" t="s">
        <v>793</v>
      </c>
      <c r="V943" s="40">
        <v>46296</v>
      </c>
      <c r="W943" s="36"/>
      <c r="X943" s="36">
        <v>0</v>
      </c>
      <c r="Y943" s="36"/>
      <c r="Z943" s="36">
        <v>0</v>
      </c>
      <c r="AA943" s="36">
        <v>0</v>
      </c>
      <c r="AB943" s="36"/>
      <c r="AC943" s="36" t="str">
        <f t="shared" si="3"/>
        <v>PC26</v>
      </c>
      <c r="AD943" s="36" t="str">
        <f>VLOOKUP(D943,Oficial!A:C,3,0)</f>
        <v>Bienes y Servicios</v>
      </c>
    </row>
    <row r="944" spans="1:30" x14ac:dyDescent="0.25">
      <c r="A944" s="36" t="s">
        <v>27</v>
      </c>
      <c r="B944" s="36" t="s">
        <v>1188</v>
      </c>
      <c r="C944" s="36" t="s">
        <v>28</v>
      </c>
      <c r="D944" s="36" t="s">
        <v>1188</v>
      </c>
      <c r="E944" s="36" t="s">
        <v>30</v>
      </c>
      <c r="F944" s="36" t="s">
        <v>569</v>
      </c>
      <c r="G944" s="37" t="s">
        <v>654</v>
      </c>
      <c r="H944" s="36" t="s">
        <v>1189</v>
      </c>
      <c r="I944" s="36" t="s">
        <v>1190</v>
      </c>
      <c r="J944" s="36">
        <v>5</v>
      </c>
      <c r="K944" s="36" t="s">
        <v>855</v>
      </c>
      <c r="L944" s="36">
        <v>4</v>
      </c>
      <c r="M944" s="36">
        <v>303</v>
      </c>
      <c r="N944" s="38">
        <v>156</v>
      </c>
      <c r="O944" s="38">
        <v>47268</v>
      </c>
      <c r="P944" s="36">
        <v>1</v>
      </c>
      <c r="Q944" s="40">
        <v>46296</v>
      </c>
      <c r="R944" s="36" t="s">
        <v>790</v>
      </c>
      <c r="S944" s="36" t="s">
        <v>791</v>
      </c>
      <c r="T944" s="36" t="s">
        <v>792</v>
      </c>
      <c r="U944" s="36" t="s">
        <v>793</v>
      </c>
      <c r="V944" s="40">
        <v>46296</v>
      </c>
      <c r="W944" s="36"/>
      <c r="X944" s="36">
        <v>0</v>
      </c>
      <c r="Y944" s="36"/>
      <c r="Z944" s="36">
        <v>0</v>
      </c>
      <c r="AA944" s="36">
        <v>0</v>
      </c>
      <c r="AB944" s="36"/>
      <c r="AC944" s="36" t="str">
        <f t="shared" si="3"/>
        <v>PC26</v>
      </c>
      <c r="AD944" s="36" t="str">
        <f>VLOOKUP(D944,Oficial!A:C,3,0)</f>
        <v>Bienes y Servicios</v>
      </c>
    </row>
    <row r="945" spans="1:30" x14ac:dyDescent="0.25">
      <c r="A945" s="36" t="s">
        <v>27</v>
      </c>
      <c r="B945" s="36" t="s">
        <v>1188</v>
      </c>
      <c r="C945" s="36" t="s">
        <v>28</v>
      </c>
      <c r="D945" s="36" t="s">
        <v>1188</v>
      </c>
      <c r="E945" s="36" t="s">
        <v>30</v>
      </c>
      <c r="F945" s="36" t="s">
        <v>569</v>
      </c>
      <c r="G945" s="37" t="s">
        <v>654</v>
      </c>
      <c r="H945" s="36" t="s">
        <v>1189</v>
      </c>
      <c r="I945" s="36" t="s">
        <v>1190</v>
      </c>
      <c r="J945" s="36">
        <v>5</v>
      </c>
      <c r="K945" s="36" t="s">
        <v>1192</v>
      </c>
      <c r="L945" s="36">
        <v>4</v>
      </c>
      <c r="M945" s="36">
        <v>300</v>
      </c>
      <c r="N945" s="38">
        <v>500</v>
      </c>
      <c r="O945" s="38">
        <v>150000</v>
      </c>
      <c r="P945" s="36">
        <v>1</v>
      </c>
      <c r="Q945" s="40">
        <v>46296</v>
      </c>
      <c r="R945" s="36" t="s">
        <v>790</v>
      </c>
      <c r="S945" s="36" t="s">
        <v>791</v>
      </c>
      <c r="T945" s="36" t="s">
        <v>792</v>
      </c>
      <c r="U945" s="36" t="s">
        <v>793</v>
      </c>
      <c r="V945" s="40">
        <v>46296</v>
      </c>
      <c r="W945" s="36"/>
      <c r="X945" s="36">
        <v>0</v>
      </c>
      <c r="Y945" s="36"/>
      <c r="Z945" s="36">
        <v>0</v>
      </c>
      <c r="AA945" s="36">
        <v>0</v>
      </c>
      <c r="AB945" s="36"/>
      <c r="AC945" s="36" t="str">
        <f t="shared" si="3"/>
        <v>PC26</v>
      </c>
      <c r="AD945" s="36" t="str">
        <f>VLOOKUP(D945,Oficial!A:C,3,0)</f>
        <v>Bienes y Servicios</v>
      </c>
    </row>
    <row r="946" spans="1:30" x14ac:dyDescent="0.25">
      <c r="A946" s="36" t="s">
        <v>27</v>
      </c>
      <c r="B946" s="36" t="s">
        <v>1193</v>
      </c>
      <c r="C946" s="36" t="s">
        <v>374</v>
      </c>
      <c r="D946" s="36" t="s">
        <v>1193</v>
      </c>
      <c r="E946" s="36" t="s">
        <v>30</v>
      </c>
      <c r="F946" s="36" t="s">
        <v>569</v>
      </c>
      <c r="G946" s="37" t="s">
        <v>730</v>
      </c>
      <c r="H946" s="36" t="s">
        <v>1194</v>
      </c>
      <c r="I946" s="36" t="s">
        <v>1195</v>
      </c>
      <c r="J946" s="36">
        <v>2</v>
      </c>
      <c r="K946" s="36" t="s">
        <v>602</v>
      </c>
      <c r="L946" s="36">
        <v>4</v>
      </c>
      <c r="M946" s="36">
        <v>1</v>
      </c>
      <c r="N946" s="38">
        <v>750000</v>
      </c>
      <c r="O946" s="38">
        <v>750000</v>
      </c>
      <c r="P946" s="36">
        <v>1</v>
      </c>
      <c r="Q946" s="40">
        <v>46204</v>
      </c>
      <c r="R946" s="36" t="s">
        <v>733</v>
      </c>
      <c r="S946" s="36" t="s">
        <v>734</v>
      </c>
      <c r="T946" s="36" t="s">
        <v>735</v>
      </c>
      <c r="U946" s="36" t="s">
        <v>736</v>
      </c>
      <c r="V946" s="40">
        <v>46204</v>
      </c>
      <c r="W946" s="36"/>
      <c r="X946" s="36">
        <v>0</v>
      </c>
      <c r="Y946" s="36"/>
      <c r="Z946" s="36">
        <v>0</v>
      </c>
      <c r="AA946" s="36">
        <v>0</v>
      </c>
      <c r="AB946" s="36"/>
      <c r="AC946" s="36" t="str">
        <f t="shared" si="3"/>
        <v>PC26</v>
      </c>
      <c r="AD946" s="36" t="str">
        <f>VLOOKUP(D946,Oficial!A:C,3,0)</f>
        <v>Administración de Fondos</v>
      </c>
    </row>
    <row r="947" spans="1:30" x14ac:dyDescent="0.25">
      <c r="A947" s="36" t="s">
        <v>27</v>
      </c>
      <c r="B947" s="36" t="s">
        <v>1193</v>
      </c>
      <c r="C947" s="36" t="s">
        <v>374</v>
      </c>
      <c r="D947" s="36" t="s">
        <v>1193</v>
      </c>
      <c r="E947" s="36" t="s">
        <v>30</v>
      </c>
      <c r="F947" s="36" t="s">
        <v>569</v>
      </c>
      <c r="G947" s="37" t="s">
        <v>730</v>
      </c>
      <c r="H947" s="36" t="s">
        <v>1194</v>
      </c>
      <c r="I947" s="36" t="s">
        <v>1195</v>
      </c>
      <c r="J947" s="36">
        <v>2</v>
      </c>
      <c r="K947" s="36" t="s">
        <v>602</v>
      </c>
      <c r="L947" s="36">
        <v>4</v>
      </c>
      <c r="M947" s="36">
        <v>1</v>
      </c>
      <c r="N947" s="38">
        <v>750000</v>
      </c>
      <c r="O947" s="38">
        <v>750000</v>
      </c>
      <c r="P947" s="36">
        <v>1</v>
      </c>
      <c r="Q947" s="40">
        <v>46296</v>
      </c>
      <c r="R947" s="36" t="s">
        <v>733</v>
      </c>
      <c r="S947" s="36" t="s">
        <v>734</v>
      </c>
      <c r="T947" s="36" t="s">
        <v>735</v>
      </c>
      <c r="U947" s="36" t="s">
        <v>736</v>
      </c>
      <c r="V947" s="40">
        <v>46296</v>
      </c>
      <c r="W947" s="36"/>
      <c r="X947" s="36">
        <v>0</v>
      </c>
      <c r="Y947" s="36"/>
      <c r="Z947" s="36">
        <v>0</v>
      </c>
      <c r="AA947" s="36">
        <v>0</v>
      </c>
      <c r="AB947" s="36"/>
      <c r="AC947" s="36" t="str">
        <f t="shared" si="3"/>
        <v>PC26</v>
      </c>
      <c r="AD947" s="36" t="str">
        <f>VLOOKUP(D947,Oficial!A:C,3,0)</f>
        <v>Administración de Fondos</v>
      </c>
    </row>
    <row r="948" spans="1:30" x14ac:dyDescent="0.25">
      <c r="A948" s="36" t="s">
        <v>27</v>
      </c>
      <c r="B948" s="36" t="s">
        <v>1196</v>
      </c>
      <c r="C948" s="36" t="s">
        <v>594</v>
      </c>
      <c r="D948" s="36" t="s">
        <v>1196</v>
      </c>
      <c r="E948" s="36" t="s">
        <v>30</v>
      </c>
      <c r="F948" s="36" t="s">
        <v>569</v>
      </c>
      <c r="G948" s="37" t="s">
        <v>804</v>
      </c>
      <c r="H948" s="36" t="s">
        <v>1197</v>
      </c>
      <c r="I948" s="36" t="s">
        <v>1198</v>
      </c>
      <c r="J948" s="36">
        <v>1</v>
      </c>
      <c r="K948" s="36" t="s">
        <v>1199</v>
      </c>
      <c r="L948" s="36">
        <v>4</v>
      </c>
      <c r="M948" s="36">
        <v>6</v>
      </c>
      <c r="N948" s="38">
        <v>571667</v>
      </c>
      <c r="O948" s="38">
        <v>3430002</v>
      </c>
      <c r="P948" s="36">
        <v>1</v>
      </c>
      <c r="Q948" s="40">
        <v>46357</v>
      </c>
      <c r="R948" s="36" t="s">
        <v>1200</v>
      </c>
      <c r="S948" s="36" t="s">
        <v>1201</v>
      </c>
      <c r="T948" s="36" t="s">
        <v>1202</v>
      </c>
      <c r="U948" s="36" t="s">
        <v>1203</v>
      </c>
      <c r="V948" s="40">
        <v>46357</v>
      </c>
      <c r="W948" s="36"/>
      <c r="X948" s="36">
        <v>0</v>
      </c>
      <c r="Y948" s="36"/>
      <c r="Z948" s="36">
        <v>0</v>
      </c>
      <c r="AA948" s="36">
        <v>0</v>
      </c>
      <c r="AB948" s="36"/>
      <c r="AC948" s="36" t="str">
        <f t="shared" si="3"/>
        <v>PC26</v>
      </c>
      <c r="AD948" s="36" t="str">
        <f>VLOOKUP(D948,Oficial!A:C,3,0)</f>
        <v>Compras Convenio GORE Region de Los Lagos</v>
      </c>
    </row>
    <row r="949" spans="1:30" x14ac:dyDescent="0.25">
      <c r="A949" s="36" t="s">
        <v>27</v>
      </c>
      <c r="B949" s="36" t="s">
        <v>1204</v>
      </c>
      <c r="C949" s="36" t="s">
        <v>594</v>
      </c>
      <c r="D949" s="36" t="s">
        <v>1204</v>
      </c>
      <c r="E949" s="36" t="s">
        <v>30</v>
      </c>
      <c r="F949" s="36" t="s">
        <v>569</v>
      </c>
      <c r="G949" s="37" t="s">
        <v>804</v>
      </c>
      <c r="H949" s="36" t="s">
        <v>1205</v>
      </c>
      <c r="I949" s="36" t="s">
        <v>1206</v>
      </c>
      <c r="J949" s="36">
        <v>1</v>
      </c>
      <c r="K949" s="36" t="s">
        <v>807</v>
      </c>
      <c r="L949" s="36">
        <v>4</v>
      </c>
      <c r="M949" s="36">
        <v>1</v>
      </c>
      <c r="N949" s="38">
        <v>37000000</v>
      </c>
      <c r="O949" s="38">
        <v>37000000</v>
      </c>
      <c r="P949" s="36">
        <v>1</v>
      </c>
      <c r="Q949" s="40">
        <v>46327</v>
      </c>
      <c r="R949" s="36" t="s">
        <v>624</v>
      </c>
      <c r="S949" s="36" t="s">
        <v>625</v>
      </c>
      <c r="T949" s="36" t="s">
        <v>626</v>
      </c>
      <c r="U949" s="36" t="s">
        <v>627</v>
      </c>
      <c r="V949" s="40">
        <v>46327</v>
      </c>
      <c r="W949" s="36"/>
      <c r="X949" s="36">
        <v>0</v>
      </c>
      <c r="Y949" s="36"/>
      <c r="Z949" s="36">
        <v>0</v>
      </c>
      <c r="AA949" s="36">
        <v>0</v>
      </c>
      <c r="AB949" s="36"/>
      <c r="AC949" s="36" t="str">
        <f t="shared" si="3"/>
        <v>PC26</v>
      </c>
      <c r="AD949" s="36" t="str">
        <f>VLOOKUP(D949,Oficial!A:C,3,0)</f>
        <v>Compras Convenio GORE Region de Los Lagos</v>
      </c>
    </row>
    <row r="950" spans="1:30" x14ac:dyDescent="0.25">
      <c r="A950" s="36" t="s">
        <v>27</v>
      </c>
      <c r="B950" s="36" t="s">
        <v>1207</v>
      </c>
      <c r="C950" s="36" t="s">
        <v>28</v>
      </c>
      <c r="D950" s="36" t="s">
        <v>1207</v>
      </c>
      <c r="E950" s="36" t="s">
        <v>30</v>
      </c>
      <c r="F950" s="36" t="s">
        <v>569</v>
      </c>
      <c r="G950" s="37" t="s">
        <v>725</v>
      </c>
      <c r="H950" s="36" t="s">
        <v>1208</v>
      </c>
      <c r="I950" s="36" t="s">
        <v>1209</v>
      </c>
      <c r="J950" s="36">
        <v>1</v>
      </c>
      <c r="K950" s="36" t="s">
        <v>1210</v>
      </c>
      <c r="L950" s="36">
        <v>4</v>
      </c>
      <c r="M950" s="36">
        <v>41</v>
      </c>
      <c r="N950" s="38">
        <v>4830</v>
      </c>
      <c r="O950" s="38">
        <v>198030</v>
      </c>
      <c r="P950" s="36">
        <v>1</v>
      </c>
      <c r="Q950" s="40">
        <v>46113</v>
      </c>
      <c r="R950" s="36" t="s">
        <v>1211</v>
      </c>
      <c r="S950" s="36" t="s">
        <v>320</v>
      </c>
      <c r="T950" s="36" t="s">
        <v>1212</v>
      </c>
      <c r="U950" s="36" t="s">
        <v>322</v>
      </c>
      <c r="V950" s="40">
        <v>46082</v>
      </c>
      <c r="W950" s="36"/>
      <c r="X950" s="36">
        <v>0</v>
      </c>
      <c r="Y950" s="36"/>
      <c r="Z950" s="36">
        <v>0</v>
      </c>
      <c r="AA950" s="36">
        <v>0</v>
      </c>
      <c r="AB950" s="36"/>
      <c r="AC950" s="36" t="str">
        <f t="shared" si="3"/>
        <v>PC26</v>
      </c>
      <c r="AD950" s="36" t="str">
        <f>VLOOKUP(D950,Oficial!A:C,3,0)</f>
        <v>Bienes y Servicios</v>
      </c>
    </row>
    <row r="951" spans="1:30" x14ac:dyDescent="0.25">
      <c r="A951" s="36" t="s">
        <v>27</v>
      </c>
      <c r="B951" s="36" t="s">
        <v>1213</v>
      </c>
      <c r="C951" s="36" t="s">
        <v>28</v>
      </c>
      <c r="D951" s="36" t="s">
        <v>1213</v>
      </c>
      <c r="E951" s="36" t="s">
        <v>30</v>
      </c>
      <c r="F951" s="36" t="s">
        <v>569</v>
      </c>
      <c r="G951" s="37" t="s">
        <v>654</v>
      </c>
      <c r="H951" s="36" t="s">
        <v>1214</v>
      </c>
      <c r="I951" s="36" t="s">
        <v>1215</v>
      </c>
      <c r="J951" s="36">
        <v>1</v>
      </c>
      <c r="K951" s="36" t="s">
        <v>1216</v>
      </c>
      <c r="L951" s="36">
        <v>4</v>
      </c>
      <c r="M951" s="36">
        <v>91</v>
      </c>
      <c r="N951" s="38">
        <v>1391</v>
      </c>
      <c r="O951" s="38">
        <v>126581</v>
      </c>
      <c r="P951" s="36">
        <v>1</v>
      </c>
      <c r="Q951" s="40">
        <v>46023</v>
      </c>
      <c r="R951" s="36" t="s">
        <v>395</v>
      </c>
      <c r="S951" s="36" t="s">
        <v>1217</v>
      </c>
      <c r="T951" s="36" t="s">
        <v>1218</v>
      </c>
      <c r="U951" s="36" t="s">
        <v>398</v>
      </c>
      <c r="V951" s="40">
        <v>46023</v>
      </c>
      <c r="W951" s="36"/>
      <c r="X951" s="36">
        <v>0</v>
      </c>
      <c r="Y951" s="36"/>
      <c r="Z951" s="36">
        <v>0</v>
      </c>
      <c r="AA951" s="36">
        <v>0</v>
      </c>
      <c r="AB951" s="36"/>
      <c r="AC951" s="36" t="str">
        <f t="shared" si="3"/>
        <v>PC26</v>
      </c>
      <c r="AD951" s="36" t="str">
        <f>VLOOKUP(D951,Oficial!A:C,3,0)</f>
        <v>Bienes y Servicios</v>
      </c>
    </row>
    <row r="952" spans="1:30" x14ac:dyDescent="0.25">
      <c r="A952" s="36" t="s">
        <v>27</v>
      </c>
      <c r="B952" s="36" t="s">
        <v>1219</v>
      </c>
      <c r="C952" s="36" t="s">
        <v>28</v>
      </c>
      <c r="D952" s="36" t="s">
        <v>1219</v>
      </c>
      <c r="E952" s="36" t="s">
        <v>30</v>
      </c>
      <c r="F952" s="36" t="s">
        <v>569</v>
      </c>
      <c r="G952" s="37" t="s">
        <v>645</v>
      </c>
      <c r="H952" s="36" t="s">
        <v>1220</v>
      </c>
      <c r="I952" s="36" t="s">
        <v>1221</v>
      </c>
      <c r="J952" s="36">
        <v>2</v>
      </c>
      <c r="K952" s="36" t="s">
        <v>1222</v>
      </c>
      <c r="L952" s="36">
        <v>4</v>
      </c>
      <c r="M952" s="36">
        <v>4</v>
      </c>
      <c r="N952" s="38">
        <v>31750</v>
      </c>
      <c r="O952" s="38">
        <v>127000</v>
      </c>
      <c r="P952" s="36">
        <v>1</v>
      </c>
      <c r="Q952" s="40">
        <v>46023</v>
      </c>
      <c r="R952" s="36" t="s">
        <v>395</v>
      </c>
      <c r="S952" s="36" t="s">
        <v>1217</v>
      </c>
      <c r="T952" s="36" t="s">
        <v>1218</v>
      </c>
      <c r="U952" s="36" t="s">
        <v>398</v>
      </c>
      <c r="V952" s="40">
        <v>46023</v>
      </c>
      <c r="W952" s="36"/>
      <c r="X952" s="36">
        <v>0</v>
      </c>
      <c r="Y952" s="36"/>
      <c r="Z952" s="36">
        <v>0</v>
      </c>
      <c r="AA952" s="36">
        <v>0</v>
      </c>
      <c r="AB952" s="36"/>
      <c r="AC952" s="36" t="str">
        <f t="shared" si="3"/>
        <v>PC26</v>
      </c>
      <c r="AD952" s="36" t="str">
        <f>VLOOKUP(D952,Oficial!A:C,3,0)</f>
        <v>Bienes y Servicios</v>
      </c>
    </row>
    <row r="953" spans="1:30" x14ac:dyDescent="0.25">
      <c r="A953" s="36" t="s">
        <v>27</v>
      </c>
      <c r="B953" s="36" t="s">
        <v>1219</v>
      </c>
      <c r="C953" s="36" t="s">
        <v>28</v>
      </c>
      <c r="D953" s="36" t="s">
        <v>1219</v>
      </c>
      <c r="E953" s="36" t="s">
        <v>30</v>
      </c>
      <c r="F953" s="36" t="s">
        <v>569</v>
      </c>
      <c r="G953" s="37" t="s">
        <v>645</v>
      </c>
      <c r="H953" s="36" t="s">
        <v>1220</v>
      </c>
      <c r="I953" s="36" t="s">
        <v>1221</v>
      </c>
      <c r="J953" s="36">
        <v>2</v>
      </c>
      <c r="K953" s="36" t="s">
        <v>1223</v>
      </c>
      <c r="L953" s="36">
        <v>4</v>
      </c>
      <c r="M953" s="36">
        <v>1</v>
      </c>
      <c r="N953" s="38">
        <v>45000</v>
      </c>
      <c r="O953" s="38">
        <v>45000</v>
      </c>
      <c r="P953" s="36">
        <v>1</v>
      </c>
      <c r="Q953" s="40">
        <v>46023</v>
      </c>
      <c r="R953" s="36" t="s">
        <v>395</v>
      </c>
      <c r="S953" s="36" t="s">
        <v>1217</v>
      </c>
      <c r="T953" s="36" t="s">
        <v>1218</v>
      </c>
      <c r="U953" s="36" t="s">
        <v>398</v>
      </c>
      <c r="V953" s="40">
        <v>46023</v>
      </c>
      <c r="W953" s="36"/>
      <c r="X953" s="36">
        <v>0</v>
      </c>
      <c r="Y953" s="36"/>
      <c r="Z953" s="36">
        <v>0</v>
      </c>
      <c r="AA953" s="36">
        <v>0</v>
      </c>
      <c r="AB953" s="36"/>
      <c r="AC953" s="36" t="str">
        <f t="shared" si="3"/>
        <v>PC26</v>
      </c>
      <c r="AD953" s="36" t="str">
        <f>VLOOKUP(D953,Oficial!A:C,3,0)</f>
        <v>Bienes y Servicios</v>
      </c>
    </row>
    <row r="954" spans="1:30" x14ac:dyDescent="0.25">
      <c r="A954" s="36" t="s">
        <v>27</v>
      </c>
      <c r="B954" s="36" t="s">
        <v>1224</v>
      </c>
      <c r="C954" s="36" t="s">
        <v>28</v>
      </c>
      <c r="D954" s="36" t="s">
        <v>1224</v>
      </c>
      <c r="E954" s="36" t="s">
        <v>30</v>
      </c>
      <c r="F954" s="36" t="s">
        <v>569</v>
      </c>
      <c r="G954" s="37" t="s">
        <v>483</v>
      </c>
      <c r="H954" s="36" t="s">
        <v>1225</v>
      </c>
      <c r="I954" s="36" t="s">
        <v>1226</v>
      </c>
      <c r="J954" s="36">
        <v>2</v>
      </c>
      <c r="K954" s="36" t="s">
        <v>486</v>
      </c>
      <c r="L954" s="36">
        <v>4</v>
      </c>
      <c r="M954" s="36">
        <v>29</v>
      </c>
      <c r="N954" s="38">
        <v>23966</v>
      </c>
      <c r="O954" s="38">
        <v>695014</v>
      </c>
      <c r="P954" s="36">
        <v>1</v>
      </c>
      <c r="Q954" s="40">
        <v>46113</v>
      </c>
      <c r="R954" s="36" t="s">
        <v>1211</v>
      </c>
      <c r="S954" s="36" t="s">
        <v>320</v>
      </c>
      <c r="T954" s="36" t="s">
        <v>1212</v>
      </c>
      <c r="U954" s="36" t="s">
        <v>322</v>
      </c>
      <c r="V954" s="40">
        <v>46113</v>
      </c>
      <c r="W954" s="36"/>
      <c r="X954" s="36">
        <v>0</v>
      </c>
      <c r="Y954" s="36"/>
      <c r="Z954" s="36">
        <v>0</v>
      </c>
      <c r="AA954" s="36">
        <v>0</v>
      </c>
      <c r="AB954" s="36"/>
      <c r="AC954" s="36" t="str">
        <f t="shared" si="3"/>
        <v>PC26</v>
      </c>
      <c r="AD954" s="36" t="str">
        <f>VLOOKUP(D954,Oficial!A:C,3,0)</f>
        <v>Bienes y Servicios</v>
      </c>
    </row>
    <row r="955" spans="1:30" x14ac:dyDescent="0.25">
      <c r="A955" s="36" t="s">
        <v>27</v>
      </c>
      <c r="B955" s="36" t="s">
        <v>1224</v>
      </c>
      <c r="C955" s="36" t="s">
        <v>28</v>
      </c>
      <c r="D955" s="36" t="s">
        <v>1224</v>
      </c>
      <c r="E955" s="36" t="s">
        <v>30</v>
      </c>
      <c r="F955" s="36" t="s">
        <v>569</v>
      </c>
      <c r="G955" s="37" t="s">
        <v>483</v>
      </c>
      <c r="H955" s="36" t="s">
        <v>1225</v>
      </c>
      <c r="I955" s="36" t="s">
        <v>1226</v>
      </c>
      <c r="J955" s="36">
        <v>2</v>
      </c>
      <c r="K955" s="36" t="s">
        <v>1227</v>
      </c>
      <c r="L955" s="36">
        <v>4</v>
      </c>
      <c r="M955" s="36">
        <v>1</v>
      </c>
      <c r="N955" s="38">
        <v>20000</v>
      </c>
      <c r="O955" s="38">
        <v>20000</v>
      </c>
      <c r="P955" s="36">
        <v>1</v>
      </c>
      <c r="Q955" s="40">
        <v>46113</v>
      </c>
      <c r="R955" s="36" t="s">
        <v>1211</v>
      </c>
      <c r="S955" s="36" t="s">
        <v>320</v>
      </c>
      <c r="T955" s="36" t="s">
        <v>1212</v>
      </c>
      <c r="U955" s="36" t="s">
        <v>322</v>
      </c>
      <c r="V955" s="40">
        <v>46113</v>
      </c>
      <c r="W955" s="36"/>
      <c r="X955" s="36">
        <v>0</v>
      </c>
      <c r="Y955" s="36"/>
      <c r="Z955" s="36">
        <v>0</v>
      </c>
      <c r="AA955" s="36">
        <v>0</v>
      </c>
      <c r="AB955" s="36"/>
      <c r="AC955" s="36" t="str">
        <f t="shared" si="3"/>
        <v>PC26</v>
      </c>
      <c r="AD955" s="36" t="str">
        <f>VLOOKUP(D955,Oficial!A:C,3,0)</f>
        <v>Bienes y Servicios</v>
      </c>
    </row>
    <row r="956" spans="1:30" x14ac:dyDescent="0.25">
      <c r="A956" s="36" t="s">
        <v>27</v>
      </c>
      <c r="B956" s="36" t="s">
        <v>1228</v>
      </c>
      <c r="C956" s="36" t="s">
        <v>28</v>
      </c>
      <c r="D956" s="36" t="s">
        <v>1228</v>
      </c>
      <c r="E956" s="36" t="s">
        <v>30</v>
      </c>
      <c r="F956" s="36" t="s">
        <v>569</v>
      </c>
      <c r="G956" s="37" t="s">
        <v>483</v>
      </c>
      <c r="H956" s="36" t="s">
        <v>1229</v>
      </c>
      <c r="I956" s="36" t="s">
        <v>1230</v>
      </c>
      <c r="J956" s="36">
        <v>2</v>
      </c>
      <c r="K956" s="36" t="s">
        <v>781</v>
      </c>
      <c r="L956" s="36">
        <v>4</v>
      </c>
      <c r="M956" s="36">
        <v>1</v>
      </c>
      <c r="N956" s="38">
        <v>30000</v>
      </c>
      <c r="O956" s="38">
        <v>30000</v>
      </c>
      <c r="P956" s="36">
        <v>1</v>
      </c>
      <c r="Q956" s="40">
        <v>46023</v>
      </c>
      <c r="R956" s="36" t="s">
        <v>1231</v>
      </c>
      <c r="S956" s="36" t="s">
        <v>1232</v>
      </c>
      <c r="T956" s="36" t="s">
        <v>566</v>
      </c>
      <c r="U956" s="36" t="s">
        <v>67</v>
      </c>
      <c r="V956" s="40">
        <v>46023</v>
      </c>
      <c r="W956" s="36"/>
      <c r="X956" s="36">
        <v>0</v>
      </c>
      <c r="Y956" s="36"/>
      <c r="Z956" s="36">
        <v>0</v>
      </c>
      <c r="AA956" s="36">
        <v>0</v>
      </c>
      <c r="AB956" s="36"/>
      <c r="AC956" s="36" t="str">
        <f t="shared" si="3"/>
        <v>PC26</v>
      </c>
      <c r="AD956" s="36" t="str">
        <f>VLOOKUP(D956,Oficial!A:C,3,0)</f>
        <v>Bienes y Servicios</v>
      </c>
    </row>
    <row r="957" spans="1:30" x14ac:dyDescent="0.25">
      <c r="A957" s="36" t="s">
        <v>27</v>
      </c>
      <c r="B957" s="36" t="s">
        <v>1228</v>
      </c>
      <c r="C957" s="36" t="s">
        <v>28</v>
      </c>
      <c r="D957" s="36" t="s">
        <v>1228</v>
      </c>
      <c r="E957" s="36" t="s">
        <v>30</v>
      </c>
      <c r="F957" s="36" t="s">
        <v>569</v>
      </c>
      <c r="G957" s="37" t="s">
        <v>483</v>
      </c>
      <c r="H957" s="36" t="s">
        <v>1229</v>
      </c>
      <c r="I957" s="36" t="s">
        <v>1230</v>
      </c>
      <c r="J957" s="36">
        <v>2</v>
      </c>
      <c r="K957" s="36" t="s">
        <v>1233</v>
      </c>
      <c r="L957" s="36">
        <v>4</v>
      </c>
      <c r="M957" s="36">
        <v>2</v>
      </c>
      <c r="N957" s="38">
        <v>450000</v>
      </c>
      <c r="O957" s="38">
        <v>900000</v>
      </c>
      <c r="P957" s="36">
        <v>1</v>
      </c>
      <c r="Q957" s="40">
        <v>46023</v>
      </c>
      <c r="R957" s="36" t="s">
        <v>1231</v>
      </c>
      <c r="S957" s="36" t="s">
        <v>1232</v>
      </c>
      <c r="T957" s="36" t="s">
        <v>566</v>
      </c>
      <c r="U957" s="36" t="s">
        <v>67</v>
      </c>
      <c r="V957" s="40">
        <v>46023</v>
      </c>
      <c r="W957" s="36"/>
      <c r="X957" s="36">
        <v>0</v>
      </c>
      <c r="Y957" s="36"/>
      <c r="Z957" s="36">
        <v>0</v>
      </c>
      <c r="AA957" s="36">
        <v>0</v>
      </c>
      <c r="AB957" s="36"/>
      <c r="AC957" s="36" t="str">
        <f t="shared" si="3"/>
        <v>PC26</v>
      </c>
      <c r="AD957" s="36" t="str">
        <f>VLOOKUP(D957,Oficial!A:C,3,0)</f>
        <v>Bienes y Servicios</v>
      </c>
    </row>
    <row r="958" spans="1:30" x14ac:dyDescent="0.25">
      <c r="A958" s="36" t="s">
        <v>27</v>
      </c>
      <c r="B958" s="36" t="s">
        <v>1234</v>
      </c>
      <c r="C958" s="36" t="s">
        <v>28</v>
      </c>
      <c r="D958" s="36" t="s">
        <v>1234</v>
      </c>
      <c r="E958" s="36" t="s">
        <v>30</v>
      </c>
      <c r="F958" s="36" t="s">
        <v>569</v>
      </c>
      <c r="G958" s="37" t="s">
        <v>32</v>
      </c>
      <c r="H958" s="36" t="s">
        <v>1235</v>
      </c>
      <c r="I958" s="36" t="s">
        <v>1236</v>
      </c>
      <c r="J958" s="36">
        <v>1</v>
      </c>
      <c r="K958" s="36" t="s">
        <v>1237</v>
      </c>
      <c r="L958" s="36">
        <v>4</v>
      </c>
      <c r="M958" s="36">
        <v>1</v>
      </c>
      <c r="N958" s="38">
        <v>1400000</v>
      </c>
      <c r="O958" s="38">
        <v>1400000</v>
      </c>
      <c r="P958" s="36">
        <v>1</v>
      </c>
      <c r="Q958" s="40">
        <v>46054</v>
      </c>
      <c r="R958" s="36" t="s">
        <v>1231</v>
      </c>
      <c r="S958" s="36" t="s">
        <v>1232</v>
      </c>
      <c r="T958" s="36" t="s">
        <v>566</v>
      </c>
      <c r="U958" s="36" t="s">
        <v>67</v>
      </c>
      <c r="V958" s="40">
        <v>46023</v>
      </c>
      <c r="W958" s="36"/>
      <c r="X958" s="36">
        <v>0</v>
      </c>
      <c r="Y958" s="36"/>
      <c r="Z958" s="36">
        <v>0</v>
      </c>
      <c r="AA958" s="36">
        <v>0</v>
      </c>
      <c r="AB958" s="36"/>
      <c r="AC958" s="36" t="str">
        <f t="shared" si="3"/>
        <v>PC26</v>
      </c>
      <c r="AD958" s="36" t="str">
        <f>VLOOKUP(D958,Oficial!A:C,3,0)</f>
        <v>Bienes y Servicios</v>
      </c>
    </row>
    <row r="959" spans="1:30" x14ac:dyDescent="0.25">
      <c r="A959" s="36" t="s">
        <v>27</v>
      </c>
      <c r="B959" s="36" t="s">
        <v>1239</v>
      </c>
      <c r="C959" s="36" t="s">
        <v>1238</v>
      </c>
      <c r="D959" s="36" t="s">
        <v>1239</v>
      </c>
      <c r="E959" s="36" t="s">
        <v>30</v>
      </c>
      <c r="F959" s="36" t="s">
        <v>569</v>
      </c>
      <c r="G959" s="37" t="s">
        <v>1240</v>
      </c>
      <c r="H959" s="36" t="s">
        <v>1241</v>
      </c>
      <c r="I959" s="36" t="s">
        <v>1242</v>
      </c>
      <c r="J959" s="36">
        <v>1</v>
      </c>
      <c r="K959" s="36" t="s">
        <v>1243</v>
      </c>
      <c r="L959" s="36">
        <v>4</v>
      </c>
      <c r="M959" s="36">
        <v>1</v>
      </c>
      <c r="N959" s="38">
        <v>108183000</v>
      </c>
      <c r="O959" s="38">
        <v>108183000</v>
      </c>
      <c r="P959" s="36">
        <v>1</v>
      </c>
      <c r="Q959" s="40">
        <v>46113</v>
      </c>
      <c r="R959" s="36" t="s">
        <v>122</v>
      </c>
      <c r="S959" s="36" t="s">
        <v>544</v>
      </c>
      <c r="T959" s="36" t="s">
        <v>1244</v>
      </c>
      <c r="U959" s="36" t="s">
        <v>58</v>
      </c>
      <c r="V959" s="40">
        <v>46113</v>
      </c>
      <c r="W959" s="36"/>
      <c r="X959" s="36">
        <v>0</v>
      </c>
      <c r="Y959" s="36"/>
      <c r="Z959" s="36">
        <v>0</v>
      </c>
      <c r="AA959" s="36">
        <v>0</v>
      </c>
      <c r="AB959" s="36"/>
      <c r="AC959" s="36" t="str">
        <f t="shared" si="3"/>
        <v>PC26</v>
      </c>
      <c r="AD959" s="36" t="str">
        <f>VLOOKUP(D959,Oficial!A:C,3,0)</f>
        <v>Activos Fijos</v>
      </c>
    </row>
    <row r="960" spans="1:30" x14ac:dyDescent="0.25">
      <c r="A960" s="36" t="s">
        <v>27</v>
      </c>
      <c r="B960" s="36" t="s">
        <v>1245</v>
      </c>
      <c r="C960" s="36" t="s">
        <v>28</v>
      </c>
      <c r="D960" s="36" t="s">
        <v>1245</v>
      </c>
      <c r="E960" s="36" t="s">
        <v>30</v>
      </c>
      <c r="F960" s="36" t="s">
        <v>569</v>
      </c>
      <c r="G960" s="37" t="s">
        <v>1246</v>
      </c>
      <c r="H960" s="36" t="s">
        <v>1247</v>
      </c>
      <c r="I960" s="36" t="s">
        <v>1248</v>
      </c>
      <c r="J960" s="36">
        <v>3</v>
      </c>
      <c r="K960" s="36" t="s">
        <v>1249</v>
      </c>
      <c r="L960" s="36">
        <v>4</v>
      </c>
      <c r="M960" s="36">
        <v>2</v>
      </c>
      <c r="N960" s="38">
        <v>80000</v>
      </c>
      <c r="O960" s="38">
        <v>160000</v>
      </c>
      <c r="P960" s="36">
        <v>1</v>
      </c>
      <c r="Q960" s="40">
        <v>46054</v>
      </c>
      <c r="R960" s="36" t="s">
        <v>122</v>
      </c>
      <c r="S960" s="36" t="s">
        <v>544</v>
      </c>
      <c r="T960" s="36" t="s">
        <v>1244</v>
      </c>
      <c r="U960" s="36" t="s">
        <v>58</v>
      </c>
      <c r="V960" s="40">
        <v>46054</v>
      </c>
      <c r="W960" s="36"/>
      <c r="X960" s="36">
        <v>0</v>
      </c>
      <c r="Y960" s="36"/>
      <c r="Z960" s="36">
        <v>0</v>
      </c>
      <c r="AA960" s="36">
        <v>0</v>
      </c>
      <c r="AB960" s="36"/>
      <c r="AC960" s="36" t="str">
        <f t="shared" si="3"/>
        <v>PC26</v>
      </c>
      <c r="AD960" s="36" t="str">
        <f>VLOOKUP(D960,Oficial!A:C,3,0)</f>
        <v>Bienes y Servicios</v>
      </c>
    </row>
    <row r="961" spans="1:30" x14ac:dyDescent="0.25">
      <c r="A961" s="36" t="s">
        <v>27</v>
      </c>
      <c r="B961" s="36" t="s">
        <v>1245</v>
      </c>
      <c r="C961" s="36" t="s">
        <v>28</v>
      </c>
      <c r="D961" s="36" t="s">
        <v>1245</v>
      </c>
      <c r="E961" s="36" t="s">
        <v>30</v>
      </c>
      <c r="F961" s="36" t="s">
        <v>569</v>
      </c>
      <c r="G961" s="37" t="s">
        <v>1246</v>
      </c>
      <c r="H961" s="36" t="s">
        <v>1247</v>
      </c>
      <c r="I961" s="36" t="s">
        <v>1248</v>
      </c>
      <c r="J961" s="36">
        <v>3</v>
      </c>
      <c r="K961" s="36" t="s">
        <v>1250</v>
      </c>
      <c r="L961" s="36">
        <v>4</v>
      </c>
      <c r="M961" s="36">
        <v>26</v>
      </c>
      <c r="N961" s="38">
        <v>15000</v>
      </c>
      <c r="O961" s="38">
        <v>390000</v>
      </c>
      <c r="P961" s="36">
        <v>1</v>
      </c>
      <c r="Q961" s="40">
        <v>46054</v>
      </c>
      <c r="R961" s="36" t="s">
        <v>122</v>
      </c>
      <c r="S961" s="36" t="s">
        <v>544</v>
      </c>
      <c r="T961" s="36" t="s">
        <v>1244</v>
      </c>
      <c r="U961" s="36" t="s">
        <v>58</v>
      </c>
      <c r="V961" s="40">
        <v>46054</v>
      </c>
      <c r="W961" s="36"/>
      <c r="X961" s="36">
        <v>0</v>
      </c>
      <c r="Y961" s="36"/>
      <c r="Z961" s="36">
        <v>0</v>
      </c>
      <c r="AA961" s="36">
        <v>0</v>
      </c>
      <c r="AB961" s="36"/>
      <c r="AC961" s="36" t="str">
        <f t="shared" si="3"/>
        <v>PC26</v>
      </c>
      <c r="AD961" s="36" t="str">
        <f>VLOOKUP(D961,Oficial!A:C,3,0)</f>
        <v>Bienes y Servicios</v>
      </c>
    </row>
    <row r="962" spans="1:30" x14ac:dyDescent="0.25">
      <c r="A962" s="36" t="s">
        <v>27</v>
      </c>
      <c r="B962" s="36" t="s">
        <v>1245</v>
      </c>
      <c r="C962" s="36" t="s">
        <v>28</v>
      </c>
      <c r="D962" s="36" t="s">
        <v>1245</v>
      </c>
      <c r="E962" s="36" t="s">
        <v>30</v>
      </c>
      <c r="F962" s="36" t="s">
        <v>569</v>
      </c>
      <c r="G962" s="37" t="s">
        <v>1246</v>
      </c>
      <c r="H962" s="36" t="s">
        <v>1247</v>
      </c>
      <c r="I962" s="36" t="s">
        <v>1248</v>
      </c>
      <c r="J962" s="36">
        <v>3</v>
      </c>
      <c r="K962" s="36" t="s">
        <v>1251</v>
      </c>
      <c r="L962" s="36">
        <v>4</v>
      </c>
      <c r="M962" s="36">
        <v>2</v>
      </c>
      <c r="N962" s="38">
        <v>30000</v>
      </c>
      <c r="O962" s="38">
        <v>60000</v>
      </c>
      <c r="P962" s="36">
        <v>1</v>
      </c>
      <c r="Q962" s="40">
        <v>46054</v>
      </c>
      <c r="R962" s="36" t="s">
        <v>122</v>
      </c>
      <c r="S962" s="36" t="s">
        <v>544</v>
      </c>
      <c r="T962" s="36" t="s">
        <v>1244</v>
      </c>
      <c r="U962" s="36" t="s">
        <v>58</v>
      </c>
      <c r="V962" s="40">
        <v>46054</v>
      </c>
      <c r="W962" s="36"/>
      <c r="X962" s="36">
        <v>0</v>
      </c>
      <c r="Y962" s="36"/>
      <c r="Z962" s="36">
        <v>0</v>
      </c>
      <c r="AA962" s="36">
        <v>0</v>
      </c>
      <c r="AB962" s="36"/>
      <c r="AC962" s="36" t="str">
        <f t="shared" si="3"/>
        <v>PC26</v>
      </c>
      <c r="AD962" s="36" t="str">
        <f>VLOOKUP(D962,Oficial!A:C,3,0)</f>
        <v>Bienes y Servicios</v>
      </c>
    </row>
    <row r="963" spans="1:30" x14ac:dyDescent="0.25">
      <c r="A963" s="36" t="s">
        <v>27</v>
      </c>
      <c r="B963" s="36" t="s">
        <v>1252</v>
      </c>
      <c r="C963" s="36" t="s">
        <v>28</v>
      </c>
      <c r="D963" s="36" t="s">
        <v>1252</v>
      </c>
      <c r="E963" s="36" t="s">
        <v>30</v>
      </c>
      <c r="F963" s="36" t="s">
        <v>569</v>
      </c>
      <c r="G963" s="37" t="s">
        <v>483</v>
      </c>
      <c r="H963" s="36" t="s">
        <v>1253</v>
      </c>
      <c r="I963" s="36" t="s">
        <v>1254</v>
      </c>
      <c r="J963" s="36">
        <v>1</v>
      </c>
      <c r="K963" s="36" t="s">
        <v>140</v>
      </c>
      <c r="L963" s="36">
        <v>4</v>
      </c>
      <c r="M963" s="36">
        <v>400</v>
      </c>
      <c r="N963" s="38">
        <v>130</v>
      </c>
      <c r="O963" s="38">
        <v>52000</v>
      </c>
      <c r="P963" s="36">
        <v>1</v>
      </c>
      <c r="Q963" s="40">
        <v>46054</v>
      </c>
      <c r="R963" s="36" t="s">
        <v>1255</v>
      </c>
      <c r="S963" s="36" t="s">
        <v>1256</v>
      </c>
      <c r="T963" s="36" t="s">
        <v>1257</v>
      </c>
      <c r="U963" s="36" t="s">
        <v>1258</v>
      </c>
      <c r="V963" s="40">
        <v>46054</v>
      </c>
      <c r="W963" s="36"/>
      <c r="X963" s="36">
        <v>0</v>
      </c>
      <c r="Y963" s="36"/>
      <c r="Z963" s="36">
        <v>0</v>
      </c>
      <c r="AA963" s="36">
        <v>0</v>
      </c>
      <c r="AB963" s="36"/>
      <c r="AC963" s="36" t="str">
        <f t="shared" si="3"/>
        <v>PC26</v>
      </c>
      <c r="AD963" s="36" t="str">
        <f>VLOOKUP(D963,Oficial!A:C,3,0)</f>
        <v>Bienes y Servicios</v>
      </c>
    </row>
    <row r="964" spans="1:30" x14ac:dyDescent="0.25">
      <c r="A964" s="36" t="s">
        <v>27</v>
      </c>
      <c r="B964" s="36" t="s">
        <v>1259</v>
      </c>
      <c r="C964" s="36" t="s">
        <v>28</v>
      </c>
      <c r="D964" s="36" t="s">
        <v>1259</v>
      </c>
      <c r="E964" s="36" t="s">
        <v>30</v>
      </c>
      <c r="F964" s="36" t="s">
        <v>569</v>
      </c>
      <c r="G964" s="37" t="s">
        <v>615</v>
      </c>
      <c r="H964" s="36" t="s">
        <v>1260</v>
      </c>
      <c r="I964" s="36" t="s">
        <v>1261</v>
      </c>
      <c r="J964" s="36">
        <v>2</v>
      </c>
      <c r="K964" s="36" t="s">
        <v>1262</v>
      </c>
      <c r="L964" s="36">
        <v>4</v>
      </c>
      <c r="M964" s="36">
        <v>1700</v>
      </c>
      <c r="N964" s="38">
        <v>53</v>
      </c>
      <c r="O964" s="38">
        <v>90100</v>
      </c>
      <c r="P964" s="36">
        <v>1</v>
      </c>
      <c r="Q964" s="40">
        <v>46023</v>
      </c>
      <c r="R964" s="36" t="s">
        <v>395</v>
      </c>
      <c r="S964" s="36" t="s">
        <v>1217</v>
      </c>
      <c r="T964" s="36" t="s">
        <v>1218</v>
      </c>
      <c r="U964" s="36" t="s">
        <v>398</v>
      </c>
      <c r="V964" s="40">
        <v>46023</v>
      </c>
      <c r="W964" s="36"/>
      <c r="X964" s="36">
        <v>0</v>
      </c>
      <c r="Y964" s="36"/>
      <c r="Z964" s="36">
        <v>0</v>
      </c>
      <c r="AA964" s="36">
        <v>0</v>
      </c>
      <c r="AB964" s="36"/>
      <c r="AC964" s="36" t="str">
        <f t="shared" si="3"/>
        <v>PC26</v>
      </c>
      <c r="AD964" s="36" t="str">
        <f>VLOOKUP(D964,Oficial!A:C,3,0)</f>
        <v>Bienes y Servicios</v>
      </c>
    </row>
    <row r="965" spans="1:30" x14ac:dyDescent="0.25">
      <c r="A965" s="36" t="s">
        <v>27</v>
      </c>
      <c r="B965" s="36" t="s">
        <v>1259</v>
      </c>
      <c r="C965" s="36" t="s">
        <v>28</v>
      </c>
      <c r="D965" s="36" t="s">
        <v>1259</v>
      </c>
      <c r="E965" s="36" t="s">
        <v>30</v>
      </c>
      <c r="F965" s="36" t="s">
        <v>569</v>
      </c>
      <c r="G965" s="37" t="s">
        <v>615</v>
      </c>
      <c r="H965" s="36" t="s">
        <v>1260</v>
      </c>
      <c r="I965" s="36" t="s">
        <v>1261</v>
      </c>
      <c r="J965" s="36">
        <v>2</v>
      </c>
      <c r="K965" s="36" t="s">
        <v>1263</v>
      </c>
      <c r="L965" s="36">
        <v>4</v>
      </c>
      <c r="M965" s="36">
        <v>125</v>
      </c>
      <c r="N965" s="38">
        <v>2240</v>
      </c>
      <c r="O965" s="38">
        <v>280000</v>
      </c>
      <c r="P965" s="36">
        <v>1</v>
      </c>
      <c r="Q965" s="40">
        <v>46023</v>
      </c>
      <c r="R965" s="36" t="s">
        <v>395</v>
      </c>
      <c r="S965" s="36" t="s">
        <v>1217</v>
      </c>
      <c r="T965" s="36" t="s">
        <v>1218</v>
      </c>
      <c r="U965" s="36" t="s">
        <v>398</v>
      </c>
      <c r="V965" s="40">
        <v>46023</v>
      </c>
      <c r="W965" s="36"/>
      <c r="X965" s="36">
        <v>0</v>
      </c>
      <c r="Y965" s="36"/>
      <c r="Z965" s="36">
        <v>0</v>
      </c>
      <c r="AA965" s="36">
        <v>0</v>
      </c>
      <c r="AB965" s="36"/>
      <c r="AC965" s="36" t="str">
        <f t="shared" si="3"/>
        <v>PC26</v>
      </c>
      <c r="AD965" s="36" t="str">
        <f>VLOOKUP(D965,Oficial!A:C,3,0)</f>
        <v>Bienes y Servicios</v>
      </c>
    </row>
    <row r="966" spans="1:30" x14ac:dyDescent="0.25">
      <c r="A966" s="36" t="s">
        <v>27</v>
      </c>
      <c r="B966" s="36" t="s">
        <v>1264</v>
      </c>
      <c r="C966" s="36" t="s">
        <v>374</v>
      </c>
      <c r="D966" s="36" t="s">
        <v>1264</v>
      </c>
      <c r="E966" s="36" t="s">
        <v>30</v>
      </c>
      <c r="F966" s="36" t="s">
        <v>569</v>
      </c>
      <c r="G966" s="37" t="s">
        <v>1265</v>
      </c>
      <c r="H966" s="36" t="s">
        <v>1266</v>
      </c>
      <c r="I966" s="36" t="s">
        <v>1267</v>
      </c>
      <c r="J966" s="36">
        <v>3</v>
      </c>
      <c r="K966" s="36" t="s">
        <v>786</v>
      </c>
      <c r="L966" s="36">
        <v>4</v>
      </c>
      <c r="M966" s="36">
        <v>187</v>
      </c>
      <c r="N966" s="38">
        <v>1313</v>
      </c>
      <c r="O966" s="38">
        <v>245531</v>
      </c>
      <c r="P966" s="36">
        <v>1</v>
      </c>
      <c r="Q966" s="40">
        <v>46082</v>
      </c>
      <c r="R966" s="36" t="s">
        <v>768</v>
      </c>
      <c r="S966" s="36" t="s">
        <v>769</v>
      </c>
      <c r="T966" s="36" t="s">
        <v>770</v>
      </c>
      <c r="U966" s="36" t="s">
        <v>388</v>
      </c>
      <c r="V966" s="40">
        <v>46082</v>
      </c>
      <c r="W966" s="36"/>
      <c r="X966" s="36">
        <v>0</v>
      </c>
      <c r="Y966" s="36"/>
      <c r="Z966" s="36">
        <v>0</v>
      </c>
      <c r="AA966" s="36">
        <v>0</v>
      </c>
      <c r="AB966" s="36"/>
      <c r="AC966" s="36" t="str">
        <f t="shared" si="3"/>
        <v>PC26</v>
      </c>
      <c r="AD966" s="36" t="str">
        <f>VLOOKUP(D966,Oficial!A:C,3,0)</f>
        <v>Administración de Fondos</v>
      </c>
    </row>
    <row r="967" spans="1:30" x14ac:dyDescent="0.25">
      <c r="A967" s="36" t="s">
        <v>27</v>
      </c>
      <c r="B967" s="36" t="s">
        <v>1264</v>
      </c>
      <c r="C967" s="36" t="s">
        <v>374</v>
      </c>
      <c r="D967" s="36" t="s">
        <v>1264</v>
      </c>
      <c r="E967" s="36" t="s">
        <v>30</v>
      </c>
      <c r="F967" s="36" t="s">
        <v>569</v>
      </c>
      <c r="G967" s="37" t="s">
        <v>1265</v>
      </c>
      <c r="H967" s="36" t="s">
        <v>1266</v>
      </c>
      <c r="I967" s="36" t="s">
        <v>1267</v>
      </c>
      <c r="J967" s="36">
        <v>3</v>
      </c>
      <c r="K967" s="36" t="s">
        <v>1268</v>
      </c>
      <c r="L967" s="36">
        <v>4</v>
      </c>
      <c r="M967" s="36">
        <v>6</v>
      </c>
      <c r="N967" s="38">
        <v>2600</v>
      </c>
      <c r="O967" s="38">
        <v>15600</v>
      </c>
      <c r="P967" s="36">
        <v>1</v>
      </c>
      <c r="Q967" s="40">
        <v>46082</v>
      </c>
      <c r="R967" s="36" t="s">
        <v>768</v>
      </c>
      <c r="S967" s="36" t="s">
        <v>769</v>
      </c>
      <c r="T967" s="36" t="s">
        <v>770</v>
      </c>
      <c r="U967" s="36" t="s">
        <v>388</v>
      </c>
      <c r="V967" s="40">
        <v>46082</v>
      </c>
      <c r="W967" s="36"/>
      <c r="X967" s="36">
        <v>0</v>
      </c>
      <c r="Y967" s="36"/>
      <c r="Z967" s="36">
        <v>0</v>
      </c>
      <c r="AA967" s="36">
        <v>0</v>
      </c>
      <c r="AB967" s="36"/>
      <c r="AC967" s="36" t="str">
        <f t="shared" si="3"/>
        <v>PC26</v>
      </c>
      <c r="AD967" s="36" t="str">
        <f>VLOOKUP(D967,Oficial!A:C,3,0)</f>
        <v>Administración de Fondos</v>
      </c>
    </row>
    <row r="968" spans="1:30" x14ac:dyDescent="0.25">
      <c r="A968" s="36" t="s">
        <v>27</v>
      </c>
      <c r="B968" s="36" t="s">
        <v>1264</v>
      </c>
      <c r="C968" s="36" t="s">
        <v>374</v>
      </c>
      <c r="D968" s="36" t="s">
        <v>1264</v>
      </c>
      <c r="E968" s="36" t="s">
        <v>30</v>
      </c>
      <c r="F968" s="36" t="s">
        <v>569</v>
      </c>
      <c r="G968" s="37" t="s">
        <v>1265</v>
      </c>
      <c r="H968" s="36" t="s">
        <v>1266</v>
      </c>
      <c r="I968" s="36" t="s">
        <v>1267</v>
      </c>
      <c r="J968" s="36">
        <v>3</v>
      </c>
      <c r="K968" s="36" t="s">
        <v>772</v>
      </c>
      <c r="L968" s="36">
        <v>4</v>
      </c>
      <c r="M968" s="36">
        <v>4</v>
      </c>
      <c r="N968" s="38">
        <v>4000</v>
      </c>
      <c r="O968" s="38">
        <v>16000</v>
      </c>
      <c r="P968" s="36">
        <v>1</v>
      </c>
      <c r="Q968" s="40">
        <v>46082</v>
      </c>
      <c r="R968" s="36" t="s">
        <v>768</v>
      </c>
      <c r="S968" s="36" t="s">
        <v>769</v>
      </c>
      <c r="T968" s="36" t="s">
        <v>770</v>
      </c>
      <c r="U968" s="36" t="s">
        <v>388</v>
      </c>
      <c r="V968" s="40">
        <v>46082</v>
      </c>
      <c r="W968" s="36"/>
      <c r="X968" s="36">
        <v>0</v>
      </c>
      <c r="Y968" s="36"/>
      <c r="Z968" s="36">
        <v>0</v>
      </c>
      <c r="AA968" s="36">
        <v>0</v>
      </c>
      <c r="AB968" s="36"/>
      <c r="AC968" s="36" t="str">
        <f t="shared" si="3"/>
        <v>PC26</v>
      </c>
      <c r="AD968" s="36" t="str">
        <f>VLOOKUP(D968,Oficial!A:C,3,0)</f>
        <v>Administración de Fondos</v>
      </c>
    </row>
    <row r="969" spans="1:30" x14ac:dyDescent="0.25">
      <c r="A969" s="36" t="s">
        <v>27</v>
      </c>
      <c r="B969" s="36" t="s">
        <v>1269</v>
      </c>
      <c r="C969" s="36" t="s">
        <v>28</v>
      </c>
      <c r="D969" s="36" t="s">
        <v>1269</v>
      </c>
      <c r="E969" s="36" t="s">
        <v>30</v>
      </c>
      <c r="F969" s="36" t="s">
        <v>569</v>
      </c>
      <c r="G969" s="37" t="s">
        <v>483</v>
      </c>
      <c r="H969" s="36" t="s">
        <v>1270</v>
      </c>
      <c r="I969" s="36" t="s">
        <v>1271</v>
      </c>
      <c r="J969" s="36">
        <v>5</v>
      </c>
      <c r="K969" s="36" t="s">
        <v>1272</v>
      </c>
      <c r="L969" s="36">
        <v>4</v>
      </c>
      <c r="M969" s="36">
        <v>200</v>
      </c>
      <c r="N969" s="38">
        <v>990</v>
      </c>
      <c r="O969" s="38">
        <v>198000</v>
      </c>
      <c r="P969" s="36">
        <v>1</v>
      </c>
      <c r="Q969" s="40">
        <v>46023</v>
      </c>
      <c r="R969" s="36" t="s">
        <v>1273</v>
      </c>
      <c r="S969" s="36" t="s">
        <v>1201</v>
      </c>
      <c r="T969" s="36" t="s">
        <v>1274</v>
      </c>
      <c r="U969" s="36" t="s">
        <v>1275</v>
      </c>
      <c r="V969" s="40">
        <v>46023</v>
      </c>
      <c r="W969" s="36"/>
      <c r="X969" s="36">
        <v>0</v>
      </c>
      <c r="Y969" s="36"/>
      <c r="Z969" s="36">
        <v>0</v>
      </c>
      <c r="AA969" s="36">
        <v>0</v>
      </c>
      <c r="AB969" s="36"/>
      <c r="AC969" s="36" t="str">
        <f t="shared" si="3"/>
        <v>PC26</v>
      </c>
      <c r="AD969" s="36" t="str">
        <f>VLOOKUP(D969,Oficial!A:C,3,0)</f>
        <v>Bienes y Servicios</v>
      </c>
    </row>
    <row r="970" spans="1:30" x14ac:dyDescent="0.25">
      <c r="A970" s="36" t="s">
        <v>27</v>
      </c>
      <c r="B970" s="36" t="s">
        <v>1269</v>
      </c>
      <c r="C970" s="36" t="s">
        <v>28</v>
      </c>
      <c r="D970" s="36" t="s">
        <v>1269</v>
      </c>
      <c r="E970" s="36" t="s">
        <v>30</v>
      </c>
      <c r="F970" s="36" t="s">
        <v>569</v>
      </c>
      <c r="G970" s="37" t="s">
        <v>483</v>
      </c>
      <c r="H970" s="36" t="s">
        <v>1270</v>
      </c>
      <c r="I970" s="36" t="s">
        <v>1271</v>
      </c>
      <c r="J970" s="36">
        <v>5</v>
      </c>
      <c r="K970" s="36" t="s">
        <v>1276</v>
      </c>
      <c r="L970" s="36">
        <v>4</v>
      </c>
      <c r="M970" s="36">
        <v>200</v>
      </c>
      <c r="N970" s="38">
        <v>530</v>
      </c>
      <c r="O970" s="38">
        <v>106000</v>
      </c>
      <c r="P970" s="36">
        <v>1</v>
      </c>
      <c r="Q970" s="40">
        <v>46023</v>
      </c>
      <c r="R970" s="36" t="s">
        <v>1273</v>
      </c>
      <c r="S970" s="36" t="s">
        <v>1201</v>
      </c>
      <c r="T970" s="36" t="s">
        <v>1274</v>
      </c>
      <c r="U970" s="36" t="s">
        <v>1275</v>
      </c>
      <c r="V970" s="40">
        <v>46023</v>
      </c>
      <c r="W970" s="36"/>
      <c r="X970" s="36">
        <v>0</v>
      </c>
      <c r="Y970" s="36"/>
      <c r="Z970" s="36">
        <v>0</v>
      </c>
      <c r="AA970" s="36">
        <v>0</v>
      </c>
      <c r="AB970" s="36"/>
      <c r="AC970" s="36" t="str">
        <f t="shared" si="3"/>
        <v>PC26</v>
      </c>
      <c r="AD970" s="36" t="str">
        <f>VLOOKUP(D970,Oficial!A:C,3,0)</f>
        <v>Bienes y Servicios</v>
      </c>
    </row>
    <row r="971" spans="1:30" x14ac:dyDescent="0.25">
      <c r="A971" s="36" t="s">
        <v>27</v>
      </c>
      <c r="B971" s="36" t="s">
        <v>1269</v>
      </c>
      <c r="C971" s="36" t="s">
        <v>28</v>
      </c>
      <c r="D971" s="36" t="s">
        <v>1269</v>
      </c>
      <c r="E971" s="36" t="s">
        <v>30</v>
      </c>
      <c r="F971" s="36" t="s">
        <v>569</v>
      </c>
      <c r="G971" s="37" t="s">
        <v>483</v>
      </c>
      <c r="H971" s="36" t="s">
        <v>1270</v>
      </c>
      <c r="I971" s="36" t="s">
        <v>1271</v>
      </c>
      <c r="J971" s="36">
        <v>5</v>
      </c>
      <c r="K971" s="36" t="s">
        <v>1277</v>
      </c>
      <c r="L971" s="36">
        <v>4</v>
      </c>
      <c r="M971" s="36">
        <v>4</v>
      </c>
      <c r="N971" s="38">
        <v>41000</v>
      </c>
      <c r="O971" s="38">
        <v>164000</v>
      </c>
      <c r="P971" s="36">
        <v>1</v>
      </c>
      <c r="Q971" s="40">
        <v>46082</v>
      </c>
      <c r="R971" s="36" t="s">
        <v>1273</v>
      </c>
      <c r="S971" s="36" t="s">
        <v>1201</v>
      </c>
      <c r="T971" s="36" t="s">
        <v>1274</v>
      </c>
      <c r="U971" s="36" t="s">
        <v>1275</v>
      </c>
      <c r="V971" s="40">
        <v>46082</v>
      </c>
      <c r="W971" s="36"/>
      <c r="X971" s="36">
        <v>0</v>
      </c>
      <c r="Y971" s="36"/>
      <c r="Z971" s="36">
        <v>0</v>
      </c>
      <c r="AA971" s="36">
        <v>0</v>
      </c>
      <c r="AB971" s="36"/>
      <c r="AC971" s="36" t="str">
        <f t="shared" si="3"/>
        <v>PC26</v>
      </c>
      <c r="AD971" s="36" t="str">
        <f>VLOOKUP(D971,Oficial!A:C,3,0)</f>
        <v>Bienes y Servicios</v>
      </c>
    </row>
    <row r="972" spans="1:30" x14ac:dyDescent="0.25">
      <c r="A972" s="36" t="s">
        <v>27</v>
      </c>
      <c r="B972" s="36" t="s">
        <v>1269</v>
      </c>
      <c r="C972" s="36" t="s">
        <v>28</v>
      </c>
      <c r="D972" s="36" t="s">
        <v>1269</v>
      </c>
      <c r="E972" s="36" t="s">
        <v>30</v>
      </c>
      <c r="F972" s="36" t="s">
        <v>569</v>
      </c>
      <c r="G972" s="37" t="s">
        <v>483</v>
      </c>
      <c r="H972" s="36" t="s">
        <v>1270</v>
      </c>
      <c r="I972" s="36" t="s">
        <v>1271</v>
      </c>
      <c r="J972" s="36">
        <v>5</v>
      </c>
      <c r="K972" s="36" t="s">
        <v>1278</v>
      </c>
      <c r="L972" s="36">
        <v>4</v>
      </c>
      <c r="M972" s="36">
        <v>500</v>
      </c>
      <c r="N972" s="38">
        <v>120</v>
      </c>
      <c r="O972" s="38">
        <v>60000</v>
      </c>
      <c r="P972" s="36">
        <v>1</v>
      </c>
      <c r="Q972" s="40">
        <v>46082</v>
      </c>
      <c r="R972" s="36" t="s">
        <v>1273</v>
      </c>
      <c r="S972" s="36" t="s">
        <v>1201</v>
      </c>
      <c r="T972" s="36" t="s">
        <v>1274</v>
      </c>
      <c r="U972" s="36" t="s">
        <v>1275</v>
      </c>
      <c r="V972" s="40">
        <v>46082</v>
      </c>
      <c r="W972" s="36"/>
      <c r="X972" s="36">
        <v>0</v>
      </c>
      <c r="Y972" s="36"/>
      <c r="Z972" s="36">
        <v>0</v>
      </c>
      <c r="AA972" s="36">
        <v>0</v>
      </c>
      <c r="AB972" s="36"/>
      <c r="AC972" s="36" t="str">
        <f t="shared" si="3"/>
        <v>PC26</v>
      </c>
      <c r="AD972" s="36" t="str">
        <f>VLOOKUP(D972,Oficial!A:C,3,0)</f>
        <v>Bienes y Servicios</v>
      </c>
    </row>
    <row r="973" spans="1:30" x14ac:dyDescent="0.25">
      <c r="A973" s="36" t="s">
        <v>27</v>
      </c>
      <c r="B973" s="36" t="s">
        <v>1269</v>
      </c>
      <c r="C973" s="36" t="s">
        <v>28</v>
      </c>
      <c r="D973" s="36" t="s">
        <v>1269</v>
      </c>
      <c r="E973" s="36" t="s">
        <v>30</v>
      </c>
      <c r="F973" s="36" t="s">
        <v>569</v>
      </c>
      <c r="G973" s="37" t="s">
        <v>483</v>
      </c>
      <c r="H973" s="36" t="s">
        <v>1270</v>
      </c>
      <c r="I973" s="36" t="s">
        <v>1271</v>
      </c>
      <c r="J973" s="36">
        <v>5</v>
      </c>
      <c r="K973" s="36" t="s">
        <v>1279</v>
      </c>
      <c r="L973" s="36">
        <v>5</v>
      </c>
      <c r="M973" s="36">
        <v>3</v>
      </c>
      <c r="N973" s="38">
        <v>25000</v>
      </c>
      <c r="O973" s="38">
        <v>75000</v>
      </c>
      <c r="P973" s="36">
        <v>1</v>
      </c>
      <c r="Q973" s="40">
        <v>46082</v>
      </c>
      <c r="R973" s="36" t="s">
        <v>1273</v>
      </c>
      <c r="S973" s="36" t="s">
        <v>1201</v>
      </c>
      <c r="T973" s="36" t="s">
        <v>1274</v>
      </c>
      <c r="U973" s="36" t="s">
        <v>1275</v>
      </c>
      <c r="V973" s="40">
        <v>46082</v>
      </c>
      <c r="W973" s="36"/>
      <c r="X973" s="36">
        <v>0</v>
      </c>
      <c r="Y973" s="36"/>
      <c r="Z973" s="36">
        <v>0</v>
      </c>
      <c r="AA973" s="36">
        <v>0</v>
      </c>
      <c r="AB973" s="36"/>
      <c r="AC973" s="36" t="str">
        <f t="shared" si="3"/>
        <v>PC26</v>
      </c>
      <c r="AD973" s="36" t="str">
        <f>VLOOKUP(D973,Oficial!A:C,3,0)</f>
        <v>Bienes y Servicios</v>
      </c>
    </row>
    <row r="974" spans="1:30" x14ac:dyDescent="0.25">
      <c r="A974" s="36" t="s">
        <v>27</v>
      </c>
      <c r="B974" s="36" t="s">
        <v>1280</v>
      </c>
      <c r="C974" s="36" t="s">
        <v>594</v>
      </c>
      <c r="D974" s="36" t="s">
        <v>1280</v>
      </c>
      <c r="E974" s="36" t="s">
        <v>30</v>
      </c>
      <c r="F974" s="36" t="s">
        <v>569</v>
      </c>
      <c r="G974" s="37" t="s">
        <v>804</v>
      </c>
      <c r="H974" s="36" t="s">
        <v>1281</v>
      </c>
      <c r="I974" s="36" t="s">
        <v>1282</v>
      </c>
      <c r="J974" s="36">
        <v>1</v>
      </c>
      <c r="K974" s="36" t="s">
        <v>807</v>
      </c>
      <c r="L974" s="36">
        <v>4</v>
      </c>
      <c r="M974" s="36">
        <v>1</v>
      </c>
      <c r="N974" s="38">
        <v>25000000</v>
      </c>
      <c r="O974" s="38">
        <v>25000000</v>
      </c>
      <c r="P974" s="36">
        <v>1</v>
      </c>
      <c r="Q974" s="40">
        <v>46296</v>
      </c>
      <c r="R974" s="36" t="s">
        <v>624</v>
      </c>
      <c r="S974" s="36" t="s">
        <v>625</v>
      </c>
      <c r="T974" s="36" t="s">
        <v>626</v>
      </c>
      <c r="U974" s="36" t="s">
        <v>627</v>
      </c>
      <c r="V974" s="40">
        <v>46296</v>
      </c>
      <c r="W974" s="36"/>
      <c r="X974" s="36">
        <v>0</v>
      </c>
      <c r="Y974" s="36"/>
      <c r="Z974" s="36">
        <v>0</v>
      </c>
      <c r="AA974" s="36">
        <v>0</v>
      </c>
      <c r="AB974" s="36"/>
      <c r="AC974" s="36" t="str">
        <f t="shared" si="3"/>
        <v>PC26</v>
      </c>
      <c r="AD974" s="36" t="str">
        <f>VLOOKUP(D974,Oficial!A:C,3,0)</f>
        <v>Compras Convenio GORE Region de Los Lagos</v>
      </c>
    </row>
    <row r="975" spans="1:30" x14ac:dyDescent="0.25">
      <c r="A975" s="36" t="s">
        <v>27</v>
      </c>
      <c r="B975" s="36" t="s">
        <v>1283</v>
      </c>
      <c r="C975" s="36" t="s">
        <v>594</v>
      </c>
      <c r="D975" s="36" t="s">
        <v>1283</v>
      </c>
      <c r="E975" s="36" t="s">
        <v>30</v>
      </c>
      <c r="F975" s="36" t="s">
        <v>569</v>
      </c>
      <c r="G975" s="37" t="s">
        <v>804</v>
      </c>
      <c r="H975" s="36" t="s">
        <v>1284</v>
      </c>
      <c r="I975" s="36" t="s">
        <v>1285</v>
      </c>
      <c r="J975" s="36">
        <v>1</v>
      </c>
      <c r="K975" s="36" t="s">
        <v>807</v>
      </c>
      <c r="L975" s="36">
        <v>4</v>
      </c>
      <c r="M975" s="36">
        <v>1</v>
      </c>
      <c r="N975" s="38">
        <v>37000000</v>
      </c>
      <c r="O975" s="38">
        <v>37000000</v>
      </c>
      <c r="P975" s="36">
        <v>1</v>
      </c>
      <c r="Q975" s="40">
        <v>46327</v>
      </c>
      <c r="R975" s="36" t="s">
        <v>624</v>
      </c>
      <c r="S975" s="36" t="s">
        <v>625</v>
      </c>
      <c r="T975" s="36" t="s">
        <v>626</v>
      </c>
      <c r="U975" s="36" t="s">
        <v>627</v>
      </c>
      <c r="V975" s="40">
        <v>46327</v>
      </c>
      <c r="W975" s="36"/>
      <c r="X975" s="36">
        <v>0</v>
      </c>
      <c r="Y975" s="36"/>
      <c r="Z975" s="36">
        <v>0</v>
      </c>
      <c r="AA975" s="36">
        <v>0</v>
      </c>
      <c r="AB975" s="36"/>
      <c r="AC975" s="36" t="str">
        <f t="shared" si="3"/>
        <v>PC26</v>
      </c>
      <c r="AD975" s="36" t="str">
        <f>VLOOKUP(D975,Oficial!A:C,3,0)</f>
        <v>Compras Convenio GORE Region de Los Lagos</v>
      </c>
    </row>
    <row r="976" spans="1:30" x14ac:dyDescent="0.25">
      <c r="A976" s="36" t="s">
        <v>27</v>
      </c>
      <c r="B976" s="36" t="s">
        <v>1286</v>
      </c>
      <c r="C976" s="36" t="s">
        <v>594</v>
      </c>
      <c r="D976" s="36" t="s">
        <v>1286</v>
      </c>
      <c r="E976" s="36" t="s">
        <v>30</v>
      </c>
      <c r="F976" s="36" t="s">
        <v>569</v>
      </c>
      <c r="G976" s="37" t="s">
        <v>804</v>
      </c>
      <c r="H976" s="36" t="s">
        <v>1287</v>
      </c>
      <c r="I976" s="36" t="s">
        <v>1288</v>
      </c>
      <c r="J976" s="36">
        <v>1</v>
      </c>
      <c r="K976" s="36" t="s">
        <v>807</v>
      </c>
      <c r="L976" s="36">
        <v>4</v>
      </c>
      <c r="M976" s="36">
        <v>1</v>
      </c>
      <c r="N976" s="38">
        <v>60000000</v>
      </c>
      <c r="O976" s="38">
        <v>60000000</v>
      </c>
      <c r="P976" s="36">
        <v>1</v>
      </c>
      <c r="Q976" s="40">
        <v>46235</v>
      </c>
      <c r="R976" s="36" t="s">
        <v>624</v>
      </c>
      <c r="S976" s="36" t="s">
        <v>625</v>
      </c>
      <c r="T976" s="36" t="s">
        <v>626</v>
      </c>
      <c r="U976" s="36" t="s">
        <v>627</v>
      </c>
      <c r="V976" s="40">
        <v>46235</v>
      </c>
      <c r="W976" s="36"/>
      <c r="X976" s="36">
        <v>0</v>
      </c>
      <c r="Y976" s="36"/>
      <c r="Z976" s="36">
        <v>0</v>
      </c>
      <c r="AA976" s="36">
        <v>0</v>
      </c>
      <c r="AB976" s="36"/>
      <c r="AC976" s="36" t="str">
        <f t="shared" si="3"/>
        <v>PC26</v>
      </c>
      <c r="AD976" s="36" t="str">
        <f>VLOOKUP(D976,Oficial!A:C,3,0)</f>
        <v>Compras Convenio GORE Region de Los Lagos</v>
      </c>
    </row>
    <row r="977" spans="1:30" x14ac:dyDescent="0.25">
      <c r="A977" s="36" t="s">
        <v>27</v>
      </c>
      <c r="B977" s="36" t="s">
        <v>1289</v>
      </c>
      <c r="C977" s="36" t="s">
        <v>1238</v>
      </c>
      <c r="D977" s="36" t="s">
        <v>1289</v>
      </c>
      <c r="E977" s="36" t="s">
        <v>30</v>
      </c>
      <c r="F977" s="36" t="s">
        <v>569</v>
      </c>
      <c r="G977" s="37" t="s">
        <v>1290</v>
      </c>
      <c r="H977" s="36" t="s">
        <v>1291</v>
      </c>
      <c r="I977" s="36" t="s">
        <v>1292</v>
      </c>
      <c r="J977" s="36">
        <v>1</v>
      </c>
      <c r="K977" s="36" t="s">
        <v>1293</v>
      </c>
      <c r="L977" s="36">
        <v>4</v>
      </c>
      <c r="M977" s="36">
        <v>15</v>
      </c>
      <c r="N977" s="38">
        <v>266667</v>
      </c>
      <c r="O977" s="38">
        <v>4000005</v>
      </c>
      <c r="P977" s="36">
        <v>1</v>
      </c>
      <c r="Q977" s="40">
        <v>46023</v>
      </c>
      <c r="R977" s="36" t="s">
        <v>768</v>
      </c>
      <c r="S977" s="36" t="s">
        <v>769</v>
      </c>
      <c r="T977" s="36" t="s">
        <v>1294</v>
      </c>
      <c r="U977" s="36" t="s">
        <v>388</v>
      </c>
      <c r="V977" s="40">
        <v>46023</v>
      </c>
      <c r="W977" s="36"/>
      <c r="X977" s="36">
        <v>0</v>
      </c>
      <c r="Y977" s="36"/>
      <c r="Z977" s="36">
        <v>0</v>
      </c>
      <c r="AA977" s="36">
        <v>0</v>
      </c>
      <c r="AB977" s="36"/>
      <c r="AC977" s="36" t="str">
        <f t="shared" si="3"/>
        <v>PC26</v>
      </c>
      <c r="AD977" s="36" t="str">
        <f>VLOOKUP(D977,Oficial!A:C,3,0)</f>
        <v>Activos Fijos</v>
      </c>
    </row>
    <row r="978" spans="1:30" x14ac:dyDescent="0.25">
      <c r="A978" s="36" t="s">
        <v>27</v>
      </c>
      <c r="B978" s="36" t="s">
        <v>1295</v>
      </c>
      <c r="C978" s="36" t="s">
        <v>1238</v>
      </c>
      <c r="D978" s="36" t="s">
        <v>1295</v>
      </c>
      <c r="E978" s="36" t="s">
        <v>30</v>
      </c>
      <c r="F978" s="36" t="s">
        <v>569</v>
      </c>
      <c r="G978" s="37" t="s">
        <v>1296</v>
      </c>
      <c r="H978" s="36" t="s">
        <v>1297</v>
      </c>
      <c r="I978" s="36" t="s">
        <v>1298</v>
      </c>
      <c r="J978" s="36">
        <v>2</v>
      </c>
      <c r="K978" s="36" t="s">
        <v>1175</v>
      </c>
      <c r="L978" s="36">
        <v>4</v>
      </c>
      <c r="M978" s="36">
        <v>1</v>
      </c>
      <c r="N978" s="38">
        <v>75964000</v>
      </c>
      <c r="O978" s="38">
        <v>75964000</v>
      </c>
      <c r="P978" s="36">
        <v>1</v>
      </c>
      <c r="Q978" s="40">
        <v>46113</v>
      </c>
      <c r="R978" s="36" t="s">
        <v>1299</v>
      </c>
      <c r="S978" s="36" t="s">
        <v>1300</v>
      </c>
      <c r="T978" s="36" t="s">
        <v>1301</v>
      </c>
      <c r="U978" s="36" t="s">
        <v>1302</v>
      </c>
      <c r="V978" s="40">
        <v>46113</v>
      </c>
      <c r="W978" s="36"/>
      <c r="X978" s="36">
        <v>0</v>
      </c>
      <c r="Y978" s="36"/>
      <c r="Z978" s="36">
        <v>0</v>
      </c>
      <c r="AA978" s="36">
        <v>0</v>
      </c>
      <c r="AB978" s="36"/>
      <c r="AC978" s="36" t="str">
        <f t="shared" si="3"/>
        <v>PC26</v>
      </c>
      <c r="AD978" s="36" t="str">
        <f>VLOOKUP(D978,Oficial!A:C,3,0)</f>
        <v>Activos Fijos</v>
      </c>
    </row>
    <row r="979" spans="1:30" x14ac:dyDescent="0.25">
      <c r="A979" s="36" t="s">
        <v>27</v>
      </c>
      <c r="B979" s="36" t="s">
        <v>1295</v>
      </c>
      <c r="C979" s="36" t="s">
        <v>1238</v>
      </c>
      <c r="D979" s="36" t="s">
        <v>1295</v>
      </c>
      <c r="E979" s="36" t="s">
        <v>30</v>
      </c>
      <c r="F979" s="36" t="s">
        <v>569</v>
      </c>
      <c r="G979" s="37" t="s">
        <v>1296</v>
      </c>
      <c r="H979" s="36" t="s">
        <v>1297</v>
      </c>
      <c r="I979" s="36" t="s">
        <v>1298</v>
      </c>
      <c r="J979" s="36">
        <v>2</v>
      </c>
      <c r="K979" s="36" t="s">
        <v>1303</v>
      </c>
      <c r="L979" s="36">
        <v>4</v>
      </c>
      <c r="M979" s="36">
        <v>1</v>
      </c>
      <c r="N979" s="38">
        <v>66699000</v>
      </c>
      <c r="O979" s="38">
        <v>66699000</v>
      </c>
      <c r="P979" s="36">
        <v>1</v>
      </c>
      <c r="Q979" s="40">
        <v>46113</v>
      </c>
      <c r="R979" s="36" t="s">
        <v>1299</v>
      </c>
      <c r="S979" s="36" t="s">
        <v>1300</v>
      </c>
      <c r="T979" s="36" t="s">
        <v>1301</v>
      </c>
      <c r="U979" s="36" t="s">
        <v>1302</v>
      </c>
      <c r="V979" s="40">
        <v>46113</v>
      </c>
      <c r="W979" s="36"/>
      <c r="X979" s="36">
        <v>0</v>
      </c>
      <c r="Y979" s="36"/>
      <c r="Z979" s="36">
        <v>0</v>
      </c>
      <c r="AA979" s="36">
        <v>0</v>
      </c>
      <c r="AB979" s="36"/>
      <c r="AC979" s="36" t="str">
        <f t="shared" si="3"/>
        <v>PC26</v>
      </c>
      <c r="AD979" s="36" t="str">
        <f>VLOOKUP(D979,Oficial!A:C,3,0)</f>
        <v>Activos Fijos</v>
      </c>
    </row>
    <row r="980" spans="1:30" x14ac:dyDescent="0.25">
      <c r="A980" s="36" t="s">
        <v>27</v>
      </c>
      <c r="B980" s="36" t="s">
        <v>1305</v>
      </c>
      <c r="C980" s="36" t="s">
        <v>1304</v>
      </c>
      <c r="D980" s="36" t="s">
        <v>1305</v>
      </c>
      <c r="E980" s="36" t="s">
        <v>30</v>
      </c>
      <c r="F980" s="36" t="s">
        <v>569</v>
      </c>
      <c r="G980" s="37">
        <v>31</v>
      </c>
      <c r="H980" s="36" t="s">
        <v>1306</v>
      </c>
      <c r="I980" s="36" t="s">
        <v>1307</v>
      </c>
      <c r="J980" s="36">
        <v>1</v>
      </c>
      <c r="K980" s="36" t="s">
        <v>807</v>
      </c>
      <c r="L980" s="36">
        <v>4</v>
      </c>
      <c r="M980" s="36">
        <v>1</v>
      </c>
      <c r="N980" s="38">
        <v>1680000000</v>
      </c>
      <c r="O980" s="38">
        <v>1680000000</v>
      </c>
      <c r="P980" s="36">
        <v>1</v>
      </c>
      <c r="Q980" s="40">
        <v>46327</v>
      </c>
      <c r="R980" s="36" t="s">
        <v>624</v>
      </c>
      <c r="S980" s="36" t="s">
        <v>625</v>
      </c>
      <c r="T980" s="36" t="s">
        <v>626</v>
      </c>
      <c r="U980" s="36" t="s">
        <v>627</v>
      </c>
      <c r="V980" s="40">
        <v>46266</v>
      </c>
      <c r="W980" s="36"/>
      <c r="X980" s="36">
        <v>0</v>
      </c>
      <c r="Y980" s="36"/>
      <c r="Z980" s="36">
        <v>0</v>
      </c>
      <c r="AA980" s="36">
        <v>0</v>
      </c>
      <c r="AB980" s="36"/>
      <c r="AC980" s="36" t="str">
        <f t="shared" si="3"/>
        <v>PC26</v>
      </c>
      <c r="AD980" s="36" t="str">
        <f>VLOOKUP(D980,Oficial!A:C,3,0)</f>
        <v>Obras Civiles</v>
      </c>
    </row>
    <row r="981" spans="1:30" x14ac:dyDescent="0.25">
      <c r="A981" s="36" t="s">
        <v>27</v>
      </c>
      <c r="B981" s="36" t="s">
        <v>1308</v>
      </c>
      <c r="C981" s="36" t="s">
        <v>1304</v>
      </c>
      <c r="D981" s="36" t="s">
        <v>1308</v>
      </c>
      <c r="E981" s="36" t="s">
        <v>30</v>
      </c>
      <c r="F981" s="36" t="s">
        <v>569</v>
      </c>
      <c r="G981" s="37" t="s">
        <v>804</v>
      </c>
      <c r="H981" s="36" t="s">
        <v>1309</v>
      </c>
      <c r="I981" s="36" t="s">
        <v>1310</v>
      </c>
      <c r="J981" s="36">
        <v>1</v>
      </c>
      <c r="K981" s="36" t="s">
        <v>807</v>
      </c>
      <c r="L981" s="36">
        <v>4</v>
      </c>
      <c r="M981" s="36">
        <v>1</v>
      </c>
      <c r="N981" s="38">
        <v>80000000</v>
      </c>
      <c r="O981" s="38">
        <v>80000000</v>
      </c>
      <c r="P981" s="36">
        <v>1</v>
      </c>
      <c r="Q981" s="40">
        <v>46327</v>
      </c>
      <c r="R981" s="36" t="s">
        <v>624</v>
      </c>
      <c r="S981" s="36" t="s">
        <v>625</v>
      </c>
      <c r="T981" s="36" t="s">
        <v>626</v>
      </c>
      <c r="U981" s="36" t="s">
        <v>627</v>
      </c>
      <c r="V981" s="40">
        <v>46327</v>
      </c>
      <c r="W981" s="36"/>
      <c r="X981" s="36">
        <v>0</v>
      </c>
      <c r="Y981" s="36"/>
      <c r="Z981" s="36">
        <v>0</v>
      </c>
      <c r="AA981" s="36">
        <v>0</v>
      </c>
      <c r="AB981" s="36"/>
      <c r="AC981" s="36" t="str">
        <f t="shared" si="3"/>
        <v>PC26</v>
      </c>
      <c r="AD981" s="36" t="str">
        <f>VLOOKUP(D981,Oficial!A:C,3,0)</f>
        <v>Obras Civiles</v>
      </c>
    </row>
    <row r="982" spans="1:30" x14ac:dyDescent="0.25">
      <c r="A982" s="36" t="s">
        <v>27</v>
      </c>
      <c r="B982" s="36" t="s">
        <v>1311</v>
      </c>
      <c r="C982" s="36" t="s">
        <v>1304</v>
      </c>
      <c r="D982" s="36" t="s">
        <v>1311</v>
      </c>
      <c r="E982" s="36" t="s">
        <v>30</v>
      </c>
      <c r="F982" s="36" t="s">
        <v>569</v>
      </c>
      <c r="G982" s="37" t="s">
        <v>1312</v>
      </c>
      <c r="H982" s="36" t="s">
        <v>1313</v>
      </c>
      <c r="I982" s="36" t="s">
        <v>1314</v>
      </c>
      <c r="J982" s="36">
        <v>1</v>
      </c>
      <c r="K982" s="36" t="s">
        <v>807</v>
      </c>
      <c r="L982" s="36">
        <v>4</v>
      </c>
      <c r="M982" s="36">
        <v>1</v>
      </c>
      <c r="N982" s="38">
        <v>250000000</v>
      </c>
      <c r="O982" s="38">
        <v>250000000</v>
      </c>
      <c r="P982" s="36">
        <v>1</v>
      </c>
      <c r="Q982" s="40">
        <v>46327</v>
      </c>
      <c r="R982" s="36" t="s">
        <v>1315</v>
      </c>
      <c r="S982" s="36" t="s">
        <v>1316</v>
      </c>
      <c r="T982" s="36" t="s">
        <v>1317</v>
      </c>
      <c r="U982" s="36" t="s">
        <v>1318</v>
      </c>
      <c r="V982" s="40">
        <v>46266</v>
      </c>
      <c r="W982" s="36"/>
      <c r="X982" s="36">
        <v>0</v>
      </c>
      <c r="Y982" s="36"/>
      <c r="Z982" s="36">
        <v>0</v>
      </c>
      <c r="AA982" s="36">
        <v>0</v>
      </c>
      <c r="AB982" s="36"/>
      <c r="AC982" s="36" t="str">
        <f t="shared" si="3"/>
        <v>PC26</v>
      </c>
      <c r="AD982" s="36" t="str">
        <f>VLOOKUP(D982,Oficial!A:C,3,0)</f>
        <v>Obras Civiles</v>
      </c>
    </row>
    <row r="983" spans="1:30" x14ac:dyDescent="0.25">
      <c r="A983" s="36" t="s">
        <v>27</v>
      </c>
      <c r="B983" s="36" t="s">
        <v>1319</v>
      </c>
      <c r="C983" s="36" t="s">
        <v>1304</v>
      </c>
      <c r="D983" s="36" t="s">
        <v>1319</v>
      </c>
      <c r="E983" s="36" t="s">
        <v>30</v>
      </c>
      <c r="F983" s="36" t="s">
        <v>569</v>
      </c>
      <c r="G983" s="37" t="s">
        <v>804</v>
      </c>
      <c r="H983" s="36" t="s">
        <v>1320</v>
      </c>
      <c r="I983" s="36" t="s">
        <v>1321</v>
      </c>
      <c r="J983" s="36">
        <v>1</v>
      </c>
      <c r="K983" s="36" t="s">
        <v>807</v>
      </c>
      <c r="L983" s="36">
        <v>4</v>
      </c>
      <c r="M983" s="36">
        <v>1</v>
      </c>
      <c r="N983" s="38">
        <v>55000000</v>
      </c>
      <c r="O983" s="38">
        <v>55000000</v>
      </c>
      <c r="P983" s="36">
        <v>1</v>
      </c>
      <c r="Q983" s="40">
        <v>46266</v>
      </c>
      <c r="R983" s="36" t="s">
        <v>624</v>
      </c>
      <c r="S983" s="36" t="s">
        <v>625</v>
      </c>
      <c r="T983" s="36" t="s">
        <v>626</v>
      </c>
      <c r="U983" s="36" t="s">
        <v>627</v>
      </c>
      <c r="V983" s="40">
        <v>46235</v>
      </c>
      <c r="W983" s="36"/>
      <c r="X983" s="36">
        <v>0</v>
      </c>
      <c r="Y983" s="36"/>
      <c r="Z983" s="36">
        <v>0</v>
      </c>
      <c r="AA983" s="36">
        <v>0</v>
      </c>
      <c r="AB983" s="36"/>
      <c r="AC983" s="36" t="str">
        <f t="shared" ref="AC983:AC1046" si="4">RIGHT(D983,4)</f>
        <v>PC26</v>
      </c>
      <c r="AD983" s="36" t="str">
        <f>VLOOKUP(D983,Oficial!A:C,3,0)</f>
        <v>Obras Civiles</v>
      </c>
    </row>
    <row r="984" spans="1:30" x14ac:dyDescent="0.25">
      <c r="A984" s="36" t="s">
        <v>27</v>
      </c>
      <c r="B984" s="36" t="s">
        <v>1322</v>
      </c>
      <c r="C984" s="36" t="s">
        <v>1304</v>
      </c>
      <c r="D984" s="36" t="s">
        <v>1322</v>
      </c>
      <c r="E984" s="36" t="s">
        <v>30</v>
      </c>
      <c r="F984" s="36" t="s">
        <v>569</v>
      </c>
      <c r="G984" s="37" t="s">
        <v>804</v>
      </c>
      <c r="H984" s="36" t="s">
        <v>1323</v>
      </c>
      <c r="I984" s="36" t="s">
        <v>1324</v>
      </c>
      <c r="J984" s="36">
        <v>1</v>
      </c>
      <c r="K984" s="36" t="s">
        <v>807</v>
      </c>
      <c r="L984" s="36">
        <v>4</v>
      </c>
      <c r="M984" s="36">
        <v>1</v>
      </c>
      <c r="N984" s="38">
        <v>80000000</v>
      </c>
      <c r="O984" s="38">
        <v>80000000</v>
      </c>
      <c r="P984" s="36">
        <v>1</v>
      </c>
      <c r="Q984" s="40">
        <v>46296</v>
      </c>
      <c r="R984" s="36" t="s">
        <v>1325</v>
      </c>
      <c r="S984" s="36" t="s">
        <v>1326</v>
      </c>
      <c r="T984" s="36" t="s">
        <v>866</v>
      </c>
      <c r="U984" s="36" t="s">
        <v>1327</v>
      </c>
      <c r="V984" s="40">
        <v>46296</v>
      </c>
      <c r="W984" s="36"/>
      <c r="X984" s="36">
        <v>0</v>
      </c>
      <c r="Y984" s="36"/>
      <c r="Z984" s="36">
        <v>0</v>
      </c>
      <c r="AA984" s="36">
        <v>0</v>
      </c>
      <c r="AB984" s="36"/>
      <c r="AC984" s="36" t="str">
        <f t="shared" si="4"/>
        <v>PC26</v>
      </c>
      <c r="AD984" s="36" t="str">
        <f>VLOOKUP(D984,Oficial!A:C,3,0)</f>
        <v>Obras Civiles</v>
      </c>
    </row>
    <row r="985" spans="1:30" x14ac:dyDescent="0.25">
      <c r="A985" s="36" t="s">
        <v>27</v>
      </c>
      <c r="B985" s="36" t="s">
        <v>1328</v>
      </c>
      <c r="C985" s="36" t="s">
        <v>1304</v>
      </c>
      <c r="D985" s="36" t="s">
        <v>1328</v>
      </c>
      <c r="E985" s="36" t="s">
        <v>30</v>
      </c>
      <c r="F985" s="36" t="s">
        <v>569</v>
      </c>
      <c r="G985" s="37" t="s">
        <v>804</v>
      </c>
      <c r="H985" s="36" t="s">
        <v>1329</v>
      </c>
      <c r="I985" s="36" t="s">
        <v>1330</v>
      </c>
      <c r="J985" s="36">
        <v>1</v>
      </c>
      <c r="K985" s="36" t="s">
        <v>807</v>
      </c>
      <c r="L985" s="36">
        <v>4</v>
      </c>
      <c r="M985" s="36">
        <v>1</v>
      </c>
      <c r="N985" s="38">
        <v>80000000</v>
      </c>
      <c r="O985" s="38">
        <v>80000000</v>
      </c>
      <c r="P985" s="36">
        <v>1</v>
      </c>
      <c r="Q985" s="40">
        <v>46296</v>
      </c>
      <c r="R985" s="36" t="s">
        <v>1325</v>
      </c>
      <c r="S985" s="36" t="s">
        <v>1326</v>
      </c>
      <c r="T985" s="36" t="s">
        <v>999</v>
      </c>
      <c r="U985" s="36" t="s">
        <v>1327</v>
      </c>
      <c r="V985" s="40">
        <v>46296</v>
      </c>
      <c r="W985" s="36"/>
      <c r="X985" s="36">
        <v>0</v>
      </c>
      <c r="Y985" s="36"/>
      <c r="Z985" s="36">
        <v>0</v>
      </c>
      <c r="AA985" s="36">
        <v>0</v>
      </c>
      <c r="AB985" s="36"/>
      <c r="AC985" s="36" t="str">
        <f t="shared" si="4"/>
        <v>PC26</v>
      </c>
      <c r="AD985" s="36" t="str">
        <f>VLOOKUP(D985,Oficial!A:C,3,0)</f>
        <v>Obras Civiles</v>
      </c>
    </row>
    <row r="986" spans="1:30" x14ac:dyDescent="0.25">
      <c r="A986" s="36" t="s">
        <v>27</v>
      </c>
      <c r="B986" s="36" t="s">
        <v>1331</v>
      </c>
      <c r="C986" s="36" t="s">
        <v>1304</v>
      </c>
      <c r="D986" s="36" t="s">
        <v>1331</v>
      </c>
      <c r="E986" s="36" t="s">
        <v>30</v>
      </c>
      <c r="F986" s="36" t="s">
        <v>569</v>
      </c>
      <c r="G986" s="37" t="s">
        <v>804</v>
      </c>
      <c r="H986" s="36" t="s">
        <v>1332</v>
      </c>
      <c r="I986" s="36" t="s">
        <v>1333</v>
      </c>
      <c r="J986" s="36">
        <v>1</v>
      </c>
      <c r="K986" s="36" t="s">
        <v>807</v>
      </c>
      <c r="L986" s="36">
        <v>4</v>
      </c>
      <c r="M986" s="36">
        <v>1</v>
      </c>
      <c r="N986" s="38">
        <v>90000000</v>
      </c>
      <c r="O986" s="38">
        <v>90000000</v>
      </c>
      <c r="P986" s="36">
        <v>1</v>
      </c>
      <c r="Q986" s="40">
        <v>46296</v>
      </c>
      <c r="R986" s="36" t="s">
        <v>624</v>
      </c>
      <c r="S986" s="36" t="s">
        <v>625</v>
      </c>
      <c r="T986" s="36" t="s">
        <v>626</v>
      </c>
      <c r="U986" s="36" t="s">
        <v>627</v>
      </c>
      <c r="V986" s="40">
        <v>46296</v>
      </c>
      <c r="W986" s="36"/>
      <c r="X986" s="36">
        <v>0</v>
      </c>
      <c r="Y986" s="36"/>
      <c r="Z986" s="36">
        <v>0</v>
      </c>
      <c r="AA986" s="36">
        <v>0</v>
      </c>
      <c r="AB986" s="36"/>
      <c r="AC986" s="36" t="str">
        <f t="shared" si="4"/>
        <v>PC26</v>
      </c>
      <c r="AD986" s="36" t="str">
        <f>VLOOKUP(D986,Oficial!A:C,3,0)</f>
        <v>Obras Civiles</v>
      </c>
    </row>
    <row r="987" spans="1:30" x14ac:dyDescent="0.25">
      <c r="A987" s="36" t="s">
        <v>27</v>
      </c>
      <c r="B987" s="36" t="s">
        <v>1334</v>
      </c>
      <c r="C987" s="36" t="s">
        <v>1304</v>
      </c>
      <c r="D987" s="36" t="s">
        <v>1334</v>
      </c>
      <c r="E987" s="36" t="s">
        <v>30</v>
      </c>
      <c r="F987" s="36" t="s">
        <v>569</v>
      </c>
      <c r="G987" s="37" t="s">
        <v>804</v>
      </c>
      <c r="H987" s="36" t="s">
        <v>1335</v>
      </c>
      <c r="I987" s="36" t="s">
        <v>1336</v>
      </c>
      <c r="J987" s="36">
        <v>1</v>
      </c>
      <c r="K987" s="36" t="s">
        <v>807</v>
      </c>
      <c r="L987" s="36">
        <v>4</v>
      </c>
      <c r="M987" s="36">
        <v>14</v>
      </c>
      <c r="N987" s="38">
        <v>701054</v>
      </c>
      <c r="O987" s="38">
        <v>9814756</v>
      </c>
      <c r="P987" s="36">
        <v>1</v>
      </c>
      <c r="Q987" s="40">
        <v>46357</v>
      </c>
      <c r="R987" s="36" t="s">
        <v>1337</v>
      </c>
      <c r="S987" s="36" t="s">
        <v>1107</v>
      </c>
      <c r="T987" s="36" t="s">
        <v>1202</v>
      </c>
      <c r="U987" s="36" t="s">
        <v>1338</v>
      </c>
      <c r="V987" s="40">
        <v>46357</v>
      </c>
      <c r="W987" s="36"/>
      <c r="X987" s="36">
        <v>0</v>
      </c>
      <c r="Y987" s="36"/>
      <c r="Z987" s="36">
        <v>0</v>
      </c>
      <c r="AA987" s="36">
        <v>0</v>
      </c>
      <c r="AB987" s="36"/>
      <c r="AC987" s="36" t="str">
        <f t="shared" si="4"/>
        <v>PC26</v>
      </c>
      <c r="AD987" s="36" t="str">
        <f>VLOOKUP(D987,Oficial!A:C,3,0)</f>
        <v>Obras Civiles</v>
      </c>
    </row>
    <row r="988" spans="1:30" x14ac:dyDescent="0.25">
      <c r="A988" s="36" t="s">
        <v>27</v>
      </c>
      <c r="B988" s="36" t="s">
        <v>1339</v>
      </c>
      <c r="C988" s="36" t="s">
        <v>1304</v>
      </c>
      <c r="D988" s="36" t="s">
        <v>1339</v>
      </c>
      <c r="E988" s="36" t="s">
        <v>30</v>
      </c>
      <c r="F988" s="36" t="s">
        <v>569</v>
      </c>
      <c r="G988" s="37" t="s">
        <v>804</v>
      </c>
      <c r="H988" s="36" t="s">
        <v>1340</v>
      </c>
      <c r="I988" s="36" t="s">
        <v>1341</v>
      </c>
      <c r="J988" s="36">
        <v>1</v>
      </c>
      <c r="K988" s="36" t="s">
        <v>807</v>
      </c>
      <c r="L988" s="36">
        <v>4</v>
      </c>
      <c r="M988" s="36">
        <v>1</v>
      </c>
      <c r="N988" s="38">
        <v>525000</v>
      </c>
      <c r="O988" s="38">
        <v>525000</v>
      </c>
      <c r="P988" s="36">
        <v>1</v>
      </c>
      <c r="Q988" s="40">
        <v>46174</v>
      </c>
      <c r="R988" s="36" t="s">
        <v>1342</v>
      </c>
      <c r="S988" s="36" t="s">
        <v>1343</v>
      </c>
      <c r="T988" s="36" t="s">
        <v>1202</v>
      </c>
      <c r="U988" s="36" t="s">
        <v>1344</v>
      </c>
      <c r="V988" s="40">
        <v>46174</v>
      </c>
      <c r="W988" s="36"/>
      <c r="X988" s="36">
        <v>0</v>
      </c>
      <c r="Y988" s="36"/>
      <c r="Z988" s="36">
        <v>0</v>
      </c>
      <c r="AA988" s="36">
        <v>0</v>
      </c>
      <c r="AB988" s="36"/>
      <c r="AC988" s="36" t="str">
        <f t="shared" si="4"/>
        <v>PC26</v>
      </c>
      <c r="AD988" s="36" t="str">
        <f>VLOOKUP(D988,Oficial!A:C,3,0)</f>
        <v>Obras Civiles</v>
      </c>
    </row>
    <row r="989" spans="1:30" x14ac:dyDescent="0.25">
      <c r="A989" s="36" t="s">
        <v>27</v>
      </c>
      <c r="B989" s="36" t="s">
        <v>1345</v>
      </c>
      <c r="C989" s="36" t="s">
        <v>28</v>
      </c>
      <c r="D989" s="36" t="s">
        <v>1345</v>
      </c>
      <c r="E989" s="36" t="s">
        <v>30</v>
      </c>
      <c r="F989" s="36" t="s">
        <v>569</v>
      </c>
      <c r="G989" s="37" t="s">
        <v>1346</v>
      </c>
      <c r="H989" s="36" t="s">
        <v>1347</v>
      </c>
      <c r="I989" s="36" t="s">
        <v>1348</v>
      </c>
      <c r="J989" s="36">
        <v>1</v>
      </c>
      <c r="K989" s="36" t="s">
        <v>1133</v>
      </c>
      <c r="L989" s="36">
        <v>4</v>
      </c>
      <c r="M989" s="36">
        <v>1</v>
      </c>
      <c r="N989" s="38">
        <v>150000</v>
      </c>
      <c r="O989" s="38">
        <v>150000</v>
      </c>
      <c r="P989" s="36">
        <v>1</v>
      </c>
      <c r="Q989" s="40">
        <v>46113</v>
      </c>
      <c r="R989" s="36" t="s">
        <v>1299</v>
      </c>
      <c r="S989" s="36" t="s">
        <v>1300</v>
      </c>
      <c r="T989" s="36" t="s">
        <v>1301</v>
      </c>
      <c r="U989" s="36" t="s">
        <v>1302</v>
      </c>
      <c r="V989" s="40">
        <v>46113</v>
      </c>
      <c r="W989" s="36"/>
      <c r="X989" s="36">
        <v>0</v>
      </c>
      <c r="Y989" s="36"/>
      <c r="Z989" s="36">
        <v>0</v>
      </c>
      <c r="AA989" s="36">
        <v>0</v>
      </c>
      <c r="AB989" s="36"/>
      <c r="AC989" s="36" t="str">
        <f t="shared" si="4"/>
        <v>PC26</v>
      </c>
      <c r="AD989" s="36" t="str">
        <f>VLOOKUP(D989,Oficial!A:C,3,0)</f>
        <v>Bienes y Servicios</v>
      </c>
    </row>
    <row r="990" spans="1:30" x14ac:dyDescent="0.25">
      <c r="A990" s="36" t="s">
        <v>27</v>
      </c>
      <c r="B990" s="36" t="s">
        <v>1349</v>
      </c>
      <c r="C990" s="36" t="s">
        <v>1238</v>
      </c>
      <c r="D990" s="36" t="s">
        <v>1349</v>
      </c>
      <c r="E990" s="36" t="s">
        <v>30</v>
      </c>
      <c r="F990" s="36" t="s">
        <v>569</v>
      </c>
      <c r="G990" s="37" t="s">
        <v>596</v>
      </c>
      <c r="H990" s="36" t="s">
        <v>1350</v>
      </c>
      <c r="I990" s="36" t="s">
        <v>1351</v>
      </c>
      <c r="J990" s="36">
        <v>2</v>
      </c>
      <c r="K990" s="36" t="s">
        <v>1175</v>
      </c>
      <c r="L990" s="36">
        <v>4</v>
      </c>
      <c r="M990" s="36">
        <v>1</v>
      </c>
      <c r="N990" s="38">
        <v>10000000</v>
      </c>
      <c r="O990" s="38">
        <v>10000000</v>
      </c>
      <c r="P990" s="36">
        <v>1</v>
      </c>
      <c r="Q990" s="40">
        <v>46113</v>
      </c>
      <c r="R990" s="36" t="s">
        <v>1299</v>
      </c>
      <c r="S990" s="36" t="s">
        <v>1300</v>
      </c>
      <c r="T990" s="36" t="s">
        <v>1301</v>
      </c>
      <c r="U990" s="36" t="s">
        <v>1302</v>
      </c>
      <c r="V990" s="40">
        <v>46113</v>
      </c>
      <c r="W990" s="36"/>
      <c r="X990" s="36">
        <v>0</v>
      </c>
      <c r="Y990" s="36"/>
      <c r="Z990" s="36">
        <v>0</v>
      </c>
      <c r="AA990" s="36">
        <v>0</v>
      </c>
      <c r="AB990" s="36"/>
      <c r="AC990" s="36" t="str">
        <f t="shared" si="4"/>
        <v>PC26</v>
      </c>
      <c r="AD990" s="36" t="str">
        <f>VLOOKUP(D990,Oficial!A:C,3,0)</f>
        <v>Activos Fijos</v>
      </c>
    </row>
    <row r="991" spans="1:30" x14ac:dyDescent="0.25">
      <c r="A991" s="36" t="s">
        <v>27</v>
      </c>
      <c r="B991" s="36" t="s">
        <v>1349</v>
      </c>
      <c r="C991" s="36" t="s">
        <v>1238</v>
      </c>
      <c r="D991" s="36" t="s">
        <v>1349</v>
      </c>
      <c r="E991" s="36" t="s">
        <v>30</v>
      </c>
      <c r="F991" s="36" t="s">
        <v>569</v>
      </c>
      <c r="G991" s="37" t="s">
        <v>596</v>
      </c>
      <c r="H991" s="36" t="s">
        <v>1350</v>
      </c>
      <c r="I991" s="36" t="s">
        <v>1351</v>
      </c>
      <c r="J991" s="36">
        <v>2</v>
      </c>
      <c r="K991" s="36" t="s">
        <v>1303</v>
      </c>
      <c r="L991" s="36">
        <v>4</v>
      </c>
      <c r="M991" s="36">
        <v>1</v>
      </c>
      <c r="N991" s="38">
        <v>200000000</v>
      </c>
      <c r="O991" s="38">
        <v>200000000</v>
      </c>
      <c r="P991" s="36">
        <v>1</v>
      </c>
      <c r="Q991" s="40">
        <v>46113</v>
      </c>
      <c r="R991" s="36" t="s">
        <v>1299</v>
      </c>
      <c r="S991" s="36" t="s">
        <v>1300</v>
      </c>
      <c r="T991" s="36" t="s">
        <v>1301</v>
      </c>
      <c r="U991" s="36" t="s">
        <v>1302</v>
      </c>
      <c r="V991" s="40">
        <v>46113</v>
      </c>
      <c r="W991" s="36"/>
      <c r="X991" s="36">
        <v>0</v>
      </c>
      <c r="Y991" s="36"/>
      <c r="Z991" s="36">
        <v>0</v>
      </c>
      <c r="AA991" s="36">
        <v>0</v>
      </c>
      <c r="AB991" s="36"/>
      <c r="AC991" s="36" t="str">
        <f t="shared" si="4"/>
        <v>PC26</v>
      </c>
      <c r="AD991" s="36" t="str">
        <f>VLOOKUP(D991,Oficial!A:C,3,0)</f>
        <v>Activos Fijos</v>
      </c>
    </row>
    <row r="992" spans="1:30" x14ac:dyDescent="0.25">
      <c r="A992" s="36" t="s">
        <v>27</v>
      </c>
      <c r="B992" s="36" t="s">
        <v>1352</v>
      </c>
      <c r="C992" s="36" t="s">
        <v>1238</v>
      </c>
      <c r="D992" s="36" t="s">
        <v>1352</v>
      </c>
      <c r="E992" s="36" t="s">
        <v>30</v>
      </c>
      <c r="F992" s="36" t="s">
        <v>569</v>
      </c>
      <c r="G992" s="37" t="s">
        <v>1296</v>
      </c>
      <c r="H992" s="36" t="s">
        <v>1353</v>
      </c>
      <c r="I992" s="36" t="s">
        <v>1354</v>
      </c>
      <c r="J992" s="36">
        <v>2</v>
      </c>
      <c r="K992" s="36" t="s">
        <v>1175</v>
      </c>
      <c r="L992" s="36">
        <v>4</v>
      </c>
      <c r="M992" s="36">
        <v>1</v>
      </c>
      <c r="N992" s="38">
        <v>86892000</v>
      </c>
      <c r="O992" s="38">
        <v>86892000</v>
      </c>
      <c r="P992" s="36">
        <v>1</v>
      </c>
      <c r="Q992" s="40">
        <v>46204</v>
      </c>
      <c r="R992" s="36" t="s">
        <v>1299</v>
      </c>
      <c r="S992" s="36" t="s">
        <v>1300</v>
      </c>
      <c r="T992" s="36" t="s">
        <v>1301</v>
      </c>
      <c r="U992" s="36" t="s">
        <v>1302</v>
      </c>
      <c r="V992" s="40">
        <v>46204</v>
      </c>
      <c r="W992" s="36"/>
      <c r="X992" s="36">
        <v>0</v>
      </c>
      <c r="Y992" s="36"/>
      <c r="Z992" s="36">
        <v>0</v>
      </c>
      <c r="AA992" s="36">
        <v>0</v>
      </c>
      <c r="AB992" s="36"/>
      <c r="AC992" s="36" t="str">
        <f t="shared" si="4"/>
        <v>PC26</v>
      </c>
      <c r="AD992" s="36" t="str">
        <f>VLOOKUP(D992,Oficial!A:C,3,0)</f>
        <v>Activos Fijos</v>
      </c>
    </row>
    <row r="993" spans="1:30" x14ac:dyDescent="0.25">
      <c r="A993" s="36" t="s">
        <v>27</v>
      </c>
      <c r="B993" s="36" t="s">
        <v>1352</v>
      </c>
      <c r="C993" s="36" t="s">
        <v>1238</v>
      </c>
      <c r="D993" s="36" t="s">
        <v>1352</v>
      </c>
      <c r="E993" s="36" t="s">
        <v>30</v>
      </c>
      <c r="F993" s="36" t="s">
        <v>569</v>
      </c>
      <c r="G993" s="37" t="s">
        <v>1296</v>
      </c>
      <c r="H993" s="36" t="s">
        <v>1353</v>
      </c>
      <c r="I993" s="36" t="s">
        <v>1354</v>
      </c>
      <c r="J993" s="36">
        <v>2</v>
      </c>
      <c r="K993" s="36" t="s">
        <v>1303</v>
      </c>
      <c r="L993" s="36">
        <v>4</v>
      </c>
      <c r="M993" s="36">
        <v>1</v>
      </c>
      <c r="N993" s="38">
        <v>42183000</v>
      </c>
      <c r="O993" s="38">
        <v>42183000</v>
      </c>
      <c r="P993" s="36">
        <v>1</v>
      </c>
      <c r="Q993" s="40">
        <v>46204</v>
      </c>
      <c r="R993" s="36" t="s">
        <v>1299</v>
      </c>
      <c r="S993" s="36" t="s">
        <v>1300</v>
      </c>
      <c r="T993" s="36" t="s">
        <v>1301</v>
      </c>
      <c r="U993" s="36" t="s">
        <v>1302</v>
      </c>
      <c r="V993" s="40">
        <v>46204</v>
      </c>
      <c r="W993" s="36"/>
      <c r="X993" s="36">
        <v>0</v>
      </c>
      <c r="Y993" s="36"/>
      <c r="Z993" s="36">
        <v>0</v>
      </c>
      <c r="AA993" s="36">
        <v>0</v>
      </c>
      <c r="AB993" s="36"/>
      <c r="AC993" s="36" t="str">
        <f t="shared" si="4"/>
        <v>PC26</v>
      </c>
      <c r="AD993" s="36" t="str">
        <f>VLOOKUP(D993,Oficial!A:C,3,0)</f>
        <v>Activos Fijos</v>
      </c>
    </row>
    <row r="994" spans="1:30" x14ac:dyDescent="0.25">
      <c r="A994" s="36" t="s">
        <v>27</v>
      </c>
      <c r="B994" s="36" t="s">
        <v>1355</v>
      </c>
      <c r="C994" s="36" t="s">
        <v>594</v>
      </c>
      <c r="D994" s="36" t="s">
        <v>1355</v>
      </c>
      <c r="E994" s="36" t="s">
        <v>30</v>
      </c>
      <c r="F994" s="36" t="s">
        <v>569</v>
      </c>
      <c r="G994" s="37" t="s">
        <v>1296</v>
      </c>
      <c r="H994" s="36" t="s">
        <v>1356</v>
      </c>
      <c r="I994" s="36" t="s">
        <v>1354</v>
      </c>
      <c r="J994" s="36">
        <v>2</v>
      </c>
      <c r="K994" s="36" t="s">
        <v>1175</v>
      </c>
      <c r="L994" s="36">
        <v>4</v>
      </c>
      <c r="M994" s="36">
        <v>1</v>
      </c>
      <c r="N994" s="38">
        <v>9566000</v>
      </c>
      <c r="O994" s="38">
        <v>9566000</v>
      </c>
      <c r="P994" s="36">
        <v>1</v>
      </c>
      <c r="Q994" s="40">
        <v>46204</v>
      </c>
      <c r="R994" s="36" t="s">
        <v>1299</v>
      </c>
      <c r="S994" s="36" t="s">
        <v>1300</v>
      </c>
      <c r="T994" s="36" t="s">
        <v>1301</v>
      </c>
      <c r="U994" s="36" t="s">
        <v>1302</v>
      </c>
      <c r="V994" s="40">
        <v>46204</v>
      </c>
      <c r="W994" s="36"/>
      <c r="X994" s="36">
        <v>0</v>
      </c>
      <c r="Y994" s="36"/>
      <c r="Z994" s="36">
        <v>0</v>
      </c>
      <c r="AA994" s="36">
        <v>0</v>
      </c>
      <c r="AB994" s="36"/>
      <c r="AC994" s="36" t="str">
        <f t="shared" si="4"/>
        <v>PC26</v>
      </c>
      <c r="AD994" s="36" t="str">
        <f>VLOOKUP(D994,Oficial!A:C,3,0)</f>
        <v>Compras Convenio GORE Region de Los Lagos</v>
      </c>
    </row>
    <row r="995" spans="1:30" x14ac:dyDescent="0.25">
      <c r="A995" s="36" t="s">
        <v>27</v>
      </c>
      <c r="B995" s="36" t="s">
        <v>1355</v>
      </c>
      <c r="C995" s="36" t="s">
        <v>594</v>
      </c>
      <c r="D995" s="36" t="s">
        <v>1355</v>
      </c>
      <c r="E995" s="36" t="s">
        <v>30</v>
      </c>
      <c r="F995" s="36" t="s">
        <v>569</v>
      </c>
      <c r="G995" s="37" t="s">
        <v>1296</v>
      </c>
      <c r="H995" s="36" t="s">
        <v>1356</v>
      </c>
      <c r="I995" s="36" t="s">
        <v>1354</v>
      </c>
      <c r="J995" s="36">
        <v>2</v>
      </c>
      <c r="K995" s="36" t="s">
        <v>1303</v>
      </c>
      <c r="L995" s="36">
        <v>4</v>
      </c>
      <c r="M995" s="36">
        <v>1</v>
      </c>
      <c r="N995" s="38">
        <v>7621000</v>
      </c>
      <c r="O995" s="38">
        <v>7621000</v>
      </c>
      <c r="P995" s="36">
        <v>1</v>
      </c>
      <c r="Q995" s="40">
        <v>46204</v>
      </c>
      <c r="R995" s="36" t="s">
        <v>1299</v>
      </c>
      <c r="S995" s="36" t="s">
        <v>1300</v>
      </c>
      <c r="T995" s="36" t="s">
        <v>1301</v>
      </c>
      <c r="U995" s="36" t="s">
        <v>1302</v>
      </c>
      <c r="V995" s="40">
        <v>46204</v>
      </c>
      <c r="W995" s="36"/>
      <c r="X995" s="36">
        <v>0</v>
      </c>
      <c r="Y995" s="36"/>
      <c r="Z995" s="36">
        <v>0</v>
      </c>
      <c r="AA995" s="36">
        <v>0</v>
      </c>
      <c r="AB995" s="36"/>
      <c r="AC995" s="36" t="str">
        <f t="shared" si="4"/>
        <v>PC26</v>
      </c>
      <c r="AD995" s="36" t="str">
        <f>VLOOKUP(D995,Oficial!A:C,3,0)</f>
        <v>Compras Convenio GORE Region de Los Lagos</v>
      </c>
    </row>
    <row r="996" spans="1:30" x14ac:dyDescent="0.25">
      <c r="A996" s="36" t="s">
        <v>27</v>
      </c>
      <c r="B996" s="36" t="s">
        <v>1357</v>
      </c>
      <c r="C996" s="36" t="s">
        <v>594</v>
      </c>
      <c r="D996" s="36" t="s">
        <v>1357</v>
      </c>
      <c r="E996" s="36" t="s">
        <v>30</v>
      </c>
      <c r="F996" s="36" t="s">
        <v>569</v>
      </c>
      <c r="G996" s="37" t="s">
        <v>1296</v>
      </c>
      <c r="H996" s="36" t="s">
        <v>1358</v>
      </c>
      <c r="I996" s="36" t="s">
        <v>1359</v>
      </c>
      <c r="J996" s="36">
        <v>2</v>
      </c>
      <c r="K996" s="36" t="s">
        <v>1175</v>
      </c>
      <c r="L996" s="36">
        <v>4</v>
      </c>
      <c r="M996" s="36">
        <v>1</v>
      </c>
      <c r="N996" s="38">
        <v>97703000</v>
      </c>
      <c r="O996" s="38">
        <v>97703000</v>
      </c>
      <c r="P996" s="36">
        <v>1</v>
      </c>
      <c r="Q996" s="40">
        <v>46174</v>
      </c>
      <c r="R996" s="36" t="s">
        <v>1299</v>
      </c>
      <c r="S996" s="36" t="s">
        <v>1300</v>
      </c>
      <c r="T996" s="36" t="s">
        <v>1301</v>
      </c>
      <c r="U996" s="36" t="s">
        <v>1302</v>
      </c>
      <c r="V996" s="40">
        <v>46174</v>
      </c>
      <c r="W996" s="36"/>
      <c r="X996" s="36">
        <v>0</v>
      </c>
      <c r="Y996" s="36"/>
      <c r="Z996" s="36">
        <v>0</v>
      </c>
      <c r="AA996" s="36">
        <v>0</v>
      </c>
      <c r="AB996" s="36"/>
      <c r="AC996" s="36" t="str">
        <f t="shared" si="4"/>
        <v>PC26</v>
      </c>
      <c r="AD996" s="36" t="str">
        <f>VLOOKUP(D996,Oficial!A:C,3,0)</f>
        <v>Compras Convenio GORE Region de Los Lagos</v>
      </c>
    </row>
    <row r="997" spans="1:30" x14ac:dyDescent="0.25">
      <c r="A997" s="36" t="s">
        <v>27</v>
      </c>
      <c r="B997" s="36" t="s">
        <v>1357</v>
      </c>
      <c r="C997" s="36" t="s">
        <v>594</v>
      </c>
      <c r="D997" s="36" t="s">
        <v>1357</v>
      </c>
      <c r="E997" s="36" t="s">
        <v>30</v>
      </c>
      <c r="F997" s="36" t="s">
        <v>569</v>
      </c>
      <c r="G997" s="37" t="s">
        <v>1296</v>
      </c>
      <c r="H997" s="36" t="s">
        <v>1358</v>
      </c>
      <c r="I997" s="36" t="s">
        <v>1359</v>
      </c>
      <c r="J997" s="36">
        <v>2</v>
      </c>
      <c r="K997" s="36" t="s">
        <v>1303</v>
      </c>
      <c r="L997" s="36">
        <v>4</v>
      </c>
      <c r="M997" s="36">
        <v>1</v>
      </c>
      <c r="N997" s="38">
        <v>196076000</v>
      </c>
      <c r="O997" s="38">
        <v>196076000</v>
      </c>
      <c r="P997" s="36">
        <v>1</v>
      </c>
      <c r="Q997" s="40">
        <v>46174</v>
      </c>
      <c r="R997" s="36" t="s">
        <v>1299</v>
      </c>
      <c r="S997" s="36" t="s">
        <v>1300</v>
      </c>
      <c r="T997" s="36" t="s">
        <v>1301</v>
      </c>
      <c r="U997" s="36" t="s">
        <v>1302</v>
      </c>
      <c r="V997" s="40">
        <v>46174</v>
      </c>
      <c r="W997" s="36"/>
      <c r="X997" s="36">
        <v>0</v>
      </c>
      <c r="Y997" s="36"/>
      <c r="Z997" s="36">
        <v>0</v>
      </c>
      <c r="AA997" s="36">
        <v>0</v>
      </c>
      <c r="AB997" s="36"/>
      <c r="AC997" s="36" t="str">
        <f t="shared" si="4"/>
        <v>PC26</v>
      </c>
      <c r="AD997" s="36" t="str">
        <f>VLOOKUP(D997,Oficial!A:C,3,0)</f>
        <v>Compras Convenio GORE Region de Los Lagos</v>
      </c>
    </row>
    <row r="998" spans="1:30" x14ac:dyDescent="0.25">
      <c r="A998" s="36" t="s">
        <v>27</v>
      </c>
      <c r="B998" s="36" t="s">
        <v>1360</v>
      </c>
      <c r="C998" s="36" t="s">
        <v>594</v>
      </c>
      <c r="D998" s="36" t="s">
        <v>1360</v>
      </c>
      <c r="E998" s="36" t="s">
        <v>30</v>
      </c>
      <c r="F998" s="36" t="s">
        <v>569</v>
      </c>
      <c r="G998" s="37" t="s">
        <v>804</v>
      </c>
      <c r="H998" s="36" t="s">
        <v>1361</v>
      </c>
      <c r="I998" s="36" t="s">
        <v>1362</v>
      </c>
      <c r="J998" s="36">
        <v>1</v>
      </c>
      <c r="K998" s="36" t="s">
        <v>807</v>
      </c>
      <c r="L998" s="36">
        <v>4</v>
      </c>
      <c r="M998" s="36">
        <v>1</v>
      </c>
      <c r="N998" s="38">
        <v>37000000</v>
      </c>
      <c r="O998" s="38">
        <v>37000000</v>
      </c>
      <c r="P998" s="36">
        <v>1</v>
      </c>
      <c r="Q998" s="40">
        <v>46266</v>
      </c>
      <c r="R998" s="36" t="s">
        <v>624</v>
      </c>
      <c r="S998" s="36" t="s">
        <v>625</v>
      </c>
      <c r="T998" s="36" t="s">
        <v>626</v>
      </c>
      <c r="U998" s="36" t="s">
        <v>627</v>
      </c>
      <c r="V998" s="40">
        <v>46266</v>
      </c>
      <c r="W998" s="36"/>
      <c r="X998" s="36">
        <v>0</v>
      </c>
      <c r="Y998" s="36"/>
      <c r="Z998" s="36">
        <v>0</v>
      </c>
      <c r="AA998" s="36">
        <v>0</v>
      </c>
      <c r="AB998" s="36"/>
      <c r="AC998" s="36" t="str">
        <f t="shared" si="4"/>
        <v>PC26</v>
      </c>
      <c r="AD998" s="36" t="str">
        <f>VLOOKUP(D998,Oficial!A:C,3,0)</f>
        <v>Compras Convenio GORE Region de Los Lagos</v>
      </c>
    </row>
    <row r="999" spans="1:30" x14ac:dyDescent="0.25">
      <c r="A999" s="36" t="s">
        <v>27</v>
      </c>
      <c r="B999" s="36" t="s">
        <v>1363</v>
      </c>
      <c r="C999" s="36" t="s">
        <v>594</v>
      </c>
      <c r="D999" s="36" t="s">
        <v>1363</v>
      </c>
      <c r="E999" s="36" t="s">
        <v>30</v>
      </c>
      <c r="F999" s="36" t="s">
        <v>569</v>
      </c>
      <c r="G999" s="37" t="s">
        <v>1296</v>
      </c>
      <c r="H999" s="36" t="s">
        <v>1364</v>
      </c>
      <c r="I999" s="36" t="s">
        <v>1365</v>
      </c>
      <c r="J999" s="36">
        <v>2</v>
      </c>
      <c r="K999" s="36" t="s">
        <v>1175</v>
      </c>
      <c r="L999" s="36">
        <v>4</v>
      </c>
      <c r="M999" s="36">
        <v>1</v>
      </c>
      <c r="N999" s="38">
        <v>44778000</v>
      </c>
      <c r="O999" s="38">
        <v>44778000</v>
      </c>
      <c r="P999" s="36">
        <v>1</v>
      </c>
      <c r="Q999" s="40">
        <v>46143</v>
      </c>
      <c r="R999" s="36" t="s">
        <v>1299</v>
      </c>
      <c r="S999" s="36" t="s">
        <v>1300</v>
      </c>
      <c r="T999" s="36" t="s">
        <v>1301</v>
      </c>
      <c r="U999" s="36" t="s">
        <v>1302</v>
      </c>
      <c r="V999" s="40">
        <v>46143</v>
      </c>
      <c r="W999" s="36"/>
      <c r="X999" s="36">
        <v>0</v>
      </c>
      <c r="Y999" s="36"/>
      <c r="Z999" s="36">
        <v>0</v>
      </c>
      <c r="AA999" s="36">
        <v>0</v>
      </c>
      <c r="AB999" s="36"/>
      <c r="AC999" s="36" t="str">
        <f t="shared" si="4"/>
        <v>PC26</v>
      </c>
      <c r="AD999" s="36" t="str">
        <f>VLOOKUP(D999,Oficial!A:C,3,0)</f>
        <v>Compras Convenio GORE Region de Los Lagos</v>
      </c>
    </row>
    <row r="1000" spans="1:30" x14ac:dyDescent="0.25">
      <c r="A1000" s="36" t="s">
        <v>27</v>
      </c>
      <c r="B1000" s="36" t="s">
        <v>1363</v>
      </c>
      <c r="C1000" s="36" t="s">
        <v>594</v>
      </c>
      <c r="D1000" s="36" t="s">
        <v>1363</v>
      </c>
      <c r="E1000" s="36" t="s">
        <v>30</v>
      </c>
      <c r="F1000" s="36" t="s">
        <v>569</v>
      </c>
      <c r="G1000" s="37" t="s">
        <v>1296</v>
      </c>
      <c r="H1000" s="36" t="s">
        <v>1364</v>
      </c>
      <c r="I1000" s="36" t="s">
        <v>1365</v>
      </c>
      <c r="J1000" s="36">
        <v>2</v>
      </c>
      <c r="K1000" s="36" t="s">
        <v>1303</v>
      </c>
      <c r="L1000" s="36">
        <v>4</v>
      </c>
      <c r="M1000" s="36">
        <v>1</v>
      </c>
      <c r="N1000" s="38">
        <v>57632000</v>
      </c>
      <c r="O1000" s="38">
        <v>57632000</v>
      </c>
      <c r="P1000" s="36">
        <v>1</v>
      </c>
      <c r="Q1000" s="40">
        <v>46143</v>
      </c>
      <c r="R1000" s="36" t="s">
        <v>1299</v>
      </c>
      <c r="S1000" s="36" t="s">
        <v>1300</v>
      </c>
      <c r="T1000" s="36" t="s">
        <v>1301</v>
      </c>
      <c r="U1000" s="36" t="s">
        <v>1302</v>
      </c>
      <c r="V1000" s="40">
        <v>46143</v>
      </c>
      <c r="W1000" s="36"/>
      <c r="X1000" s="36">
        <v>0</v>
      </c>
      <c r="Y1000" s="36"/>
      <c r="Z1000" s="36">
        <v>0</v>
      </c>
      <c r="AA1000" s="36">
        <v>0</v>
      </c>
      <c r="AB1000" s="36"/>
      <c r="AC1000" s="36" t="str">
        <f t="shared" si="4"/>
        <v>PC26</v>
      </c>
      <c r="AD1000" s="36" t="str">
        <f>VLOOKUP(D1000,Oficial!A:C,3,0)</f>
        <v>Compras Convenio GORE Region de Los Lagos</v>
      </c>
    </row>
    <row r="1001" spans="1:30" x14ac:dyDescent="0.25">
      <c r="A1001" s="36" t="s">
        <v>27</v>
      </c>
      <c r="B1001" s="36" t="s">
        <v>1366</v>
      </c>
      <c r="C1001" s="36" t="s">
        <v>594</v>
      </c>
      <c r="D1001" s="36" t="s">
        <v>1366</v>
      </c>
      <c r="E1001" s="36" t="s">
        <v>30</v>
      </c>
      <c r="F1001" s="36" t="s">
        <v>569</v>
      </c>
      <c r="G1001" s="37" t="s">
        <v>804</v>
      </c>
      <c r="H1001" s="36" t="s">
        <v>1367</v>
      </c>
      <c r="I1001" s="36" t="s">
        <v>1368</v>
      </c>
      <c r="J1001" s="36">
        <v>1</v>
      </c>
      <c r="K1001" s="36" t="s">
        <v>807</v>
      </c>
      <c r="L1001" s="36">
        <v>4</v>
      </c>
      <c r="M1001" s="36">
        <v>1</v>
      </c>
      <c r="N1001" s="38">
        <v>103000000</v>
      </c>
      <c r="O1001" s="38">
        <v>103000000</v>
      </c>
      <c r="P1001" s="36">
        <v>1</v>
      </c>
      <c r="Q1001" s="40">
        <v>46266</v>
      </c>
      <c r="R1001" s="36" t="s">
        <v>624</v>
      </c>
      <c r="S1001" s="36" t="s">
        <v>625</v>
      </c>
      <c r="T1001" s="36" t="s">
        <v>626</v>
      </c>
      <c r="U1001" s="36" t="s">
        <v>627</v>
      </c>
      <c r="V1001" s="40">
        <v>46266</v>
      </c>
      <c r="W1001" s="36"/>
      <c r="X1001" s="36">
        <v>0</v>
      </c>
      <c r="Y1001" s="36"/>
      <c r="Z1001" s="36">
        <v>0</v>
      </c>
      <c r="AA1001" s="36">
        <v>0</v>
      </c>
      <c r="AB1001" s="36"/>
      <c r="AC1001" s="36" t="str">
        <f t="shared" si="4"/>
        <v>PC26</v>
      </c>
      <c r="AD1001" s="36" t="str">
        <f>VLOOKUP(D1001,Oficial!A:C,3,0)</f>
        <v>Compras Convenio GORE Region de Los Lagos</v>
      </c>
    </row>
    <row r="1002" spans="1:30" x14ac:dyDescent="0.25">
      <c r="A1002" s="36" t="s">
        <v>27</v>
      </c>
      <c r="B1002" s="36" t="s">
        <v>1369</v>
      </c>
      <c r="C1002" s="36" t="s">
        <v>1238</v>
      </c>
      <c r="D1002" s="36" t="s">
        <v>1369</v>
      </c>
      <c r="E1002" s="36" t="s">
        <v>30</v>
      </c>
      <c r="F1002" s="36" t="s">
        <v>569</v>
      </c>
      <c r="G1002" s="37" t="s">
        <v>1296</v>
      </c>
      <c r="H1002" s="36" t="s">
        <v>1370</v>
      </c>
      <c r="I1002" s="36" t="s">
        <v>1351</v>
      </c>
      <c r="J1002" s="36">
        <v>2</v>
      </c>
      <c r="K1002" s="36" t="s">
        <v>1175</v>
      </c>
      <c r="L1002" s="36">
        <v>4</v>
      </c>
      <c r="M1002" s="36">
        <v>1</v>
      </c>
      <c r="N1002" s="38">
        <v>704255000</v>
      </c>
      <c r="O1002" s="38">
        <v>704255000</v>
      </c>
      <c r="P1002" s="36">
        <v>1</v>
      </c>
      <c r="Q1002" s="40">
        <v>46113</v>
      </c>
      <c r="R1002" s="36" t="s">
        <v>1299</v>
      </c>
      <c r="S1002" s="36" t="s">
        <v>1300</v>
      </c>
      <c r="T1002" s="36" t="s">
        <v>1301</v>
      </c>
      <c r="U1002" s="36" t="s">
        <v>1302</v>
      </c>
      <c r="V1002" s="40">
        <v>46113</v>
      </c>
      <c r="W1002" s="36"/>
      <c r="X1002" s="36">
        <v>0</v>
      </c>
      <c r="Y1002" s="36"/>
      <c r="Z1002" s="36">
        <v>0</v>
      </c>
      <c r="AA1002" s="36">
        <v>0</v>
      </c>
      <c r="AB1002" s="36"/>
      <c r="AC1002" s="36" t="str">
        <f t="shared" si="4"/>
        <v>PC26</v>
      </c>
      <c r="AD1002" s="36" t="str">
        <f>VLOOKUP(D1002,Oficial!A:C,3,0)</f>
        <v>Activos Fijos</v>
      </c>
    </row>
    <row r="1003" spans="1:30" x14ac:dyDescent="0.25">
      <c r="A1003" s="36" t="s">
        <v>27</v>
      </c>
      <c r="B1003" s="36" t="s">
        <v>1369</v>
      </c>
      <c r="C1003" s="36" t="s">
        <v>1238</v>
      </c>
      <c r="D1003" s="36" t="s">
        <v>1369</v>
      </c>
      <c r="E1003" s="36" t="s">
        <v>30</v>
      </c>
      <c r="F1003" s="36" t="s">
        <v>569</v>
      </c>
      <c r="G1003" s="37" t="s">
        <v>1296</v>
      </c>
      <c r="H1003" s="36" t="s">
        <v>1370</v>
      </c>
      <c r="I1003" s="36" t="s">
        <v>1351</v>
      </c>
      <c r="J1003" s="36">
        <v>2</v>
      </c>
      <c r="K1003" s="36" t="s">
        <v>1303</v>
      </c>
      <c r="L1003" s="36">
        <v>4</v>
      </c>
      <c r="M1003" s="36">
        <v>1</v>
      </c>
      <c r="N1003" s="38">
        <v>874576000</v>
      </c>
      <c r="O1003" s="38">
        <v>874576000</v>
      </c>
      <c r="P1003" s="36">
        <v>1</v>
      </c>
      <c r="Q1003" s="40">
        <v>46113</v>
      </c>
      <c r="R1003" s="36" t="s">
        <v>1299</v>
      </c>
      <c r="S1003" s="36" t="s">
        <v>1300</v>
      </c>
      <c r="T1003" s="36" t="s">
        <v>1301</v>
      </c>
      <c r="U1003" s="36" t="s">
        <v>1302</v>
      </c>
      <c r="V1003" s="40">
        <v>46113</v>
      </c>
      <c r="W1003" s="36"/>
      <c r="X1003" s="36">
        <v>0</v>
      </c>
      <c r="Y1003" s="36"/>
      <c r="Z1003" s="36">
        <v>0</v>
      </c>
      <c r="AA1003" s="36">
        <v>0</v>
      </c>
      <c r="AB1003" s="36"/>
      <c r="AC1003" s="36" t="str">
        <f t="shared" si="4"/>
        <v>PC26</v>
      </c>
      <c r="AD1003" s="36" t="str">
        <f>VLOOKUP(D1003,Oficial!A:C,3,0)</f>
        <v>Activos Fijos</v>
      </c>
    </row>
    <row r="1004" spans="1:30" x14ac:dyDescent="0.25">
      <c r="A1004" s="36" t="s">
        <v>27</v>
      </c>
      <c r="B1004" s="36" t="s">
        <v>1371</v>
      </c>
      <c r="C1004" s="36" t="s">
        <v>1304</v>
      </c>
      <c r="D1004" s="36" t="s">
        <v>1371</v>
      </c>
      <c r="E1004" s="36" t="s">
        <v>45</v>
      </c>
      <c r="F1004" s="36" t="s">
        <v>569</v>
      </c>
      <c r="G1004" s="37" t="s">
        <v>1372</v>
      </c>
      <c r="H1004" s="36" t="s">
        <v>1373</v>
      </c>
      <c r="I1004" s="36" t="s">
        <v>1374</v>
      </c>
      <c r="J1004" s="36">
        <v>1</v>
      </c>
      <c r="K1004" s="36" t="s">
        <v>1375</v>
      </c>
      <c r="L1004" s="36">
        <v>4</v>
      </c>
      <c r="M1004" s="36">
        <v>1</v>
      </c>
      <c r="N1004" s="38">
        <v>1058222000</v>
      </c>
      <c r="O1004" s="38">
        <v>1058222000</v>
      </c>
      <c r="P1004" s="36">
        <v>1</v>
      </c>
      <c r="Q1004" s="40">
        <v>46174</v>
      </c>
      <c r="R1004" s="36" t="s">
        <v>1200</v>
      </c>
      <c r="S1004" s="36" t="s">
        <v>1201</v>
      </c>
      <c r="T1004" s="36" t="s">
        <v>1202</v>
      </c>
      <c r="U1004" s="36" t="s">
        <v>1203</v>
      </c>
      <c r="V1004" s="40">
        <v>46113</v>
      </c>
      <c r="W1004" s="36"/>
      <c r="X1004" s="36">
        <v>0</v>
      </c>
      <c r="Y1004" s="36"/>
      <c r="Z1004" s="36">
        <v>0</v>
      </c>
      <c r="AA1004" s="36">
        <v>0</v>
      </c>
      <c r="AB1004" s="36"/>
      <c r="AC1004" s="36" t="str">
        <f t="shared" si="4"/>
        <v>PC26</v>
      </c>
      <c r="AD1004" s="36" t="str">
        <f>VLOOKUP(D1004,Oficial!A:C,3,0)</f>
        <v>Obras Civiles</v>
      </c>
    </row>
    <row r="1005" spans="1:30" x14ac:dyDescent="0.25">
      <c r="A1005" s="36" t="s">
        <v>27</v>
      </c>
      <c r="B1005" s="36" t="s">
        <v>1376</v>
      </c>
      <c r="C1005" s="36" t="s">
        <v>1304</v>
      </c>
      <c r="D1005" s="36" t="s">
        <v>1376</v>
      </c>
      <c r="E1005" s="36" t="s">
        <v>30</v>
      </c>
      <c r="F1005" s="36" t="s">
        <v>569</v>
      </c>
      <c r="G1005" s="37" t="s">
        <v>1372</v>
      </c>
      <c r="H1005" s="36" t="s">
        <v>1377</v>
      </c>
      <c r="I1005" s="36" t="s">
        <v>1378</v>
      </c>
      <c r="J1005" s="36">
        <v>1</v>
      </c>
      <c r="K1005" s="36" t="s">
        <v>1375</v>
      </c>
      <c r="L1005" s="36">
        <v>4</v>
      </c>
      <c r="M1005" s="36">
        <v>1</v>
      </c>
      <c r="N1005" s="38">
        <v>916961000</v>
      </c>
      <c r="O1005" s="38">
        <v>916961000</v>
      </c>
      <c r="P1005" s="36">
        <v>1</v>
      </c>
      <c r="Q1005" s="40">
        <v>46174</v>
      </c>
      <c r="R1005" s="36" t="s">
        <v>1200</v>
      </c>
      <c r="S1005" s="36" t="s">
        <v>1201</v>
      </c>
      <c r="T1005" s="36" t="s">
        <v>1202</v>
      </c>
      <c r="U1005" s="36" t="s">
        <v>1203</v>
      </c>
      <c r="V1005" s="40">
        <v>46113</v>
      </c>
      <c r="W1005" s="36"/>
      <c r="X1005" s="36">
        <v>0</v>
      </c>
      <c r="Y1005" s="36"/>
      <c r="Z1005" s="36">
        <v>0</v>
      </c>
      <c r="AA1005" s="36">
        <v>0</v>
      </c>
      <c r="AB1005" s="36"/>
      <c r="AC1005" s="36" t="str">
        <f t="shared" si="4"/>
        <v>PC26</v>
      </c>
      <c r="AD1005" s="36" t="str">
        <f>VLOOKUP(D1005,Oficial!A:C,3,0)</f>
        <v>Obras Civiles</v>
      </c>
    </row>
    <row r="1006" spans="1:30" x14ac:dyDescent="0.25">
      <c r="A1006" s="36" t="s">
        <v>27</v>
      </c>
      <c r="B1006" s="36" t="s">
        <v>1379</v>
      </c>
      <c r="C1006" s="36" t="s">
        <v>1304</v>
      </c>
      <c r="D1006" s="36" t="s">
        <v>1379</v>
      </c>
      <c r="E1006" s="36" t="s">
        <v>45</v>
      </c>
      <c r="F1006" s="36" t="s">
        <v>569</v>
      </c>
      <c r="G1006" s="37" t="s">
        <v>1372</v>
      </c>
      <c r="H1006" s="36" t="s">
        <v>1380</v>
      </c>
      <c r="I1006" s="36" t="s">
        <v>1381</v>
      </c>
      <c r="J1006" s="36">
        <v>1</v>
      </c>
      <c r="K1006" s="36" t="s">
        <v>1375</v>
      </c>
      <c r="L1006" s="36">
        <v>4</v>
      </c>
      <c r="M1006" s="36">
        <v>1</v>
      </c>
      <c r="N1006" s="38">
        <v>888441000</v>
      </c>
      <c r="O1006" s="38">
        <v>888441000</v>
      </c>
      <c r="P1006" s="36">
        <v>1</v>
      </c>
      <c r="Q1006" s="40">
        <v>46113</v>
      </c>
      <c r="R1006" s="36" t="s">
        <v>1200</v>
      </c>
      <c r="S1006" s="36" t="s">
        <v>1201</v>
      </c>
      <c r="T1006" s="36" t="s">
        <v>1202</v>
      </c>
      <c r="U1006" s="36" t="s">
        <v>1203</v>
      </c>
      <c r="V1006" s="40">
        <v>46113</v>
      </c>
      <c r="W1006" s="36"/>
      <c r="X1006" s="36">
        <v>0</v>
      </c>
      <c r="Y1006" s="36"/>
      <c r="Z1006" s="36">
        <v>0</v>
      </c>
      <c r="AA1006" s="36">
        <v>0</v>
      </c>
      <c r="AB1006" s="36"/>
      <c r="AC1006" s="36" t="str">
        <f t="shared" si="4"/>
        <v>PC26</v>
      </c>
      <c r="AD1006" s="36" t="str">
        <f>VLOOKUP(D1006,Oficial!A:C,3,0)</f>
        <v>Obras Civiles</v>
      </c>
    </row>
    <row r="1007" spans="1:30" x14ac:dyDescent="0.25">
      <c r="A1007" s="36" t="s">
        <v>27</v>
      </c>
      <c r="B1007" s="36" t="s">
        <v>1382</v>
      </c>
      <c r="C1007" s="36" t="s">
        <v>594</v>
      </c>
      <c r="D1007" s="36" t="s">
        <v>1382</v>
      </c>
      <c r="E1007" s="36" t="s">
        <v>30</v>
      </c>
      <c r="F1007" s="36" t="s">
        <v>569</v>
      </c>
      <c r="G1007" s="37" t="s">
        <v>1296</v>
      </c>
      <c r="H1007" s="36" t="s">
        <v>1383</v>
      </c>
      <c r="I1007" s="36" t="s">
        <v>1384</v>
      </c>
      <c r="J1007" s="36">
        <v>1</v>
      </c>
      <c r="K1007" s="36" t="s">
        <v>1175</v>
      </c>
      <c r="L1007" s="36">
        <v>4</v>
      </c>
      <c r="M1007" s="36">
        <v>1</v>
      </c>
      <c r="N1007" s="38">
        <v>6442000</v>
      </c>
      <c r="O1007" s="38">
        <v>6442000</v>
      </c>
      <c r="P1007" s="36">
        <v>1</v>
      </c>
      <c r="Q1007" s="40">
        <v>46113</v>
      </c>
      <c r="R1007" s="36" t="s">
        <v>1299</v>
      </c>
      <c r="S1007" s="36" t="s">
        <v>1300</v>
      </c>
      <c r="T1007" s="36" t="s">
        <v>1301</v>
      </c>
      <c r="U1007" s="36" t="s">
        <v>1302</v>
      </c>
      <c r="V1007" s="40">
        <v>46113</v>
      </c>
      <c r="W1007" s="36"/>
      <c r="X1007" s="36">
        <v>0</v>
      </c>
      <c r="Y1007" s="36"/>
      <c r="Z1007" s="36">
        <v>0</v>
      </c>
      <c r="AA1007" s="36">
        <v>0</v>
      </c>
      <c r="AB1007" s="36"/>
      <c r="AC1007" s="36" t="str">
        <f t="shared" si="4"/>
        <v>PC26</v>
      </c>
      <c r="AD1007" s="36" t="str">
        <f>VLOOKUP(D1007,Oficial!A:C,3,0)</f>
        <v>Compras Convenio GORE Region de Los Lagos</v>
      </c>
    </row>
    <row r="1008" spans="1:30" x14ac:dyDescent="0.25">
      <c r="A1008" s="36" t="s">
        <v>27</v>
      </c>
      <c r="B1008" s="36" t="s">
        <v>1385</v>
      </c>
      <c r="C1008" s="36" t="s">
        <v>1238</v>
      </c>
      <c r="D1008" s="36" t="s">
        <v>1385</v>
      </c>
      <c r="E1008" s="36" t="s">
        <v>30</v>
      </c>
      <c r="F1008" s="36" t="s">
        <v>569</v>
      </c>
      <c r="G1008" s="37" t="s">
        <v>1296</v>
      </c>
      <c r="H1008" s="36" t="s">
        <v>1386</v>
      </c>
      <c r="I1008" s="36" t="s">
        <v>1351</v>
      </c>
      <c r="J1008" s="36">
        <v>2</v>
      </c>
      <c r="K1008" s="36" t="s">
        <v>1175</v>
      </c>
      <c r="L1008" s="36">
        <v>4</v>
      </c>
      <c r="M1008" s="36">
        <v>1</v>
      </c>
      <c r="N1008" s="38">
        <v>64156000</v>
      </c>
      <c r="O1008" s="38">
        <v>64156000</v>
      </c>
      <c r="P1008" s="36">
        <v>1</v>
      </c>
      <c r="Q1008" s="40">
        <v>46113</v>
      </c>
      <c r="R1008" s="36" t="s">
        <v>1299</v>
      </c>
      <c r="S1008" s="36" t="s">
        <v>1300</v>
      </c>
      <c r="T1008" s="36" t="s">
        <v>1301</v>
      </c>
      <c r="U1008" s="36" t="s">
        <v>1302</v>
      </c>
      <c r="V1008" s="40">
        <v>46113</v>
      </c>
      <c r="W1008" s="36"/>
      <c r="X1008" s="36">
        <v>0</v>
      </c>
      <c r="Y1008" s="36"/>
      <c r="Z1008" s="36">
        <v>0</v>
      </c>
      <c r="AA1008" s="36">
        <v>0</v>
      </c>
      <c r="AB1008" s="36"/>
      <c r="AC1008" s="36" t="str">
        <f t="shared" si="4"/>
        <v>PC26</v>
      </c>
      <c r="AD1008" s="36" t="str">
        <f>VLOOKUP(D1008,Oficial!A:C,3,0)</f>
        <v>Activos Fijos</v>
      </c>
    </row>
    <row r="1009" spans="1:30" x14ac:dyDescent="0.25">
      <c r="A1009" s="36" t="s">
        <v>27</v>
      </c>
      <c r="B1009" s="36" t="s">
        <v>1385</v>
      </c>
      <c r="C1009" s="36" t="s">
        <v>1238</v>
      </c>
      <c r="D1009" s="36" t="s">
        <v>1385</v>
      </c>
      <c r="E1009" s="36" t="s">
        <v>30</v>
      </c>
      <c r="F1009" s="36" t="s">
        <v>569</v>
      </c>
      <c r="G1009" s="37" t="s">
        <v>1296</v>
      </c>
      <c r="H1009" s="36" t="s">
        <v>1386</v>
      </c>
      <c r="I1009" s="36" t="s">
        <v>1351</v>
      </c>
      <c r="J1009" s="36">
        <v>2</v>
      </c>
      <c r="K1009" s="36" t="s">
        <v>1303</v>
      </c>
      <c r="L1009" s="36">
        <v>4</v>
      </c>
      <c r="M1009" s="36">
        <v>1</v>
      </c>
      <c r="N1009" s="38">
        <v>1904912000</v>
      </c>
      <c r="O1009" s="38">
        <v>1904912000</v>
      </c>
      <c r="P1009" s="36">
        <v>1</v>
      </c>
      <c r="Q1009" s="40">
        <v>46113</v>
      </c>
      <c r="R1009" s="36" t="s">
        <v>1299</v>
      </c>
      <c r="S1009" s="36" t="s">
        <v>1300</v>
      </c>
      <c r="T1009" s="36" t="s">
        <v>1301</v>
      </c>
      <c r="U1009" s="36" t="s">
        <v>1302</v>
      </c>
      <c r="V1009" s="40">
        <v>46113</v>
      </c>
      <c r="W1009" s="36"/>
      <c r="X1009" s="36">
        <v>0</v>
      </c>
      <c r="Y1009" s="36"/>
      <c r="Z1009" s="36">
        <v>0</v>
      </c>
      <c r="AA1009" s="36">
        <v>0</v>
      </c>
      <c r="AB1009" s="36"/>
      <c r="AC1009" s="36" t="str">
        <f t="shared" si="4"/>
        <v>PC26</v>
      </c>
      <c r="AD1009" s="36" t="str">
        <f>VLOOKUP(D1009,Oficial!A:C,3,0)</f>
        <v>Activos Fijos</v>
      </c>
    </row>
    <row r="1010" spans="1:30" x14ac:dyDescent="0.25">
      <c r="A1010" s="36" t="s">
        <v>27</v>
      </c>
      <c r="B1010" s="36" t="s">
        <v>1387</v>
      </c>
      <c r="C1010" s="36" t="s">
        <v>1238</v>
      </c>
      <c r="D1010" s="36" t="s">
        <v>1387</v>
      </c>
      <c r="E1010" s="36" t="s">
        <v>45</v>
      </c>
      <c r="F1010" s="36" t="s">
        <v>569</v>
      </c>
      <c r="G1010" s="37" t="s">
        <v>1296</v>
      </c>
      <c r="H1010" s="36" t="s">
        <v>1388</v>
      </c>
      <c r="I1010" s="36" t="s">
        <v>1351</v>
      </c>
      <c r="J1010" s="36">
        <v>2</v>
      </c>
      <c r="K1010" s="36" t="s">
        <v>1175</v>
      </c>
      <c r="L1010" s="36">
        <v>4</v>
      </c>
      <c r="M1010" s="36">
        <v>1</v>
      </c>
      <c r="N1010" s="38">
        <v>12678000</v>
      </c>
      <c r="O1010" s="38">
        <v>12678000</v>
      </c>
      <c r="P1010" s="36">
        <v>1</v>
      </c>
      <c r="Q1010" s="40">
        <v>46113</v>
      </c>
      <c r="R1010" s="36" t="s">
        <v>1299</v>
      </c>
      <c r="S1010" s="36" t="s">
        <v>1300</v>
      </c>
      <c r="T1010" s="36" t="s">
        <v>1301</v>
      </c>
      <c r="U1010" s="36" t="s">
        <v>1302</v>
      </c>
      <c r="V1010" s="40">
        <v>46113</v>
      </c>
      <c r="W1010" s="36"/>
      <c r="X1010" s="36">
        <v>0</v>
      </c>
      <c r="Y1010" s="36"/>
      <c r="Z1010" s="36">
        <v>0</v>
      </c>
      <c r="AA1010" s="36">
        <v>0</v>
      </c>
      <c r="AB1010" s="36"/>
      <c r="AC1010" s="36" t="str">
        <f t="shared" si="4"/>
        <v>PC26</v>
      </c>
      <c r="AD1010" s="36" t="str">
        <f>VLOOKUP(D1010,Oficial!A:C,3,0)</f>
        <v>Activos Fijos</v>
      </c>
    </row>
    <row r="1011" spans="1:30" x14ac:dyDescent="0.25">
      <c r="A1011" s="36" t="s">
        <v>27</v>
      </c>
      <c r="B1011" s="36" t="s">
        <v>1387</v>
      </c>
      <c r="C1011" s="36" t="s">
        <v>1238</v>
      </c>
      <c r="D1011" s="36" t="s">
        <v>1387</v>
      </c>
      <c r="E1011" s="36" t="s">
        <v>45</v>
      </c>
      <c r="F1011" s="36" t="s">
        <v>569</v>
      </c>
      <c r="G1011" s="37" t="s">
        <v>1296</v>
      </c>
      <c r="H1011" s="36" t="s">
        <v>1388</v>
      </c>
      <c r="I1011" s="36" t="s">
        <v>1351</v>
      </c>
      <c r="J1011" s="36">
        <v>2</v>
      </c>
      <c r="K1011" s="36" t="s">
        <v>1303</v>
      </c>
      <c r="L1011" s="36">
        <v>4</v>
      </c>
      <c r="M1011" s="36">
        <v>1</v>
      </c>
      <c r="N1011" s="38">
        <v>5954000</v>
      </c>
      <c r="O1011" s="38">
        <v>5954000</v>
      </c>
      <c r="P1011" s="36">
        <v>1</v>
      </c>
      <c r="Q1011" s="40">
        <v>46113</v>
      </c>
      <c r="R1011" s="36" t="s">
        <v>1299</v>
      </c>
      <c r="S1011" s="36" t="s">
        <v>1300</v>
      </c>
      <c r="T1011" s="36" t="s">
        <v>1301</v>
      </c>
      <c r="U1011" s="36" t="s">
        <v>1302</v>
      </c>
      <c r="V1011" s="40">
        <v>46113</v>
      </c>
      <c r="W1011" s="36"/>
      <c r="X1011" s="36">
        <v>0</v>
      </c>
      <c r="Y1011" s="36"/>
      <c r="Z1011" s="36">
        <v>0</v>
      </c>
      <c r="AA1011" s="36">
        <v>0</v>
      </c>
      <c r="AB1011" s="36"/>
      <c r="AC1011" s="36" t="str">
        <f t="shared" si="4"/>
        <v>PC26</v>
      </c>
      <c r="AD1011" s="36" t="str">
        <f>VLOOKUP(D1011,Oficial!A:C,3,0)</f>
        <v>Activos Fijos</v>
      </c>
    </row>
    <row r="1012" spans="1:30" x14ac:dyDescent="0.25">
      <c r="A1012" s="36" t="s">
        <v>27</v>
      </c>
      <c r="B1012" s="36" t="s">
        <v>1389</v>
      </c>
      <c r="C1012" s="36" t="s">
        <v>1304</v>
      </c>
      <c r="D1012" s="36" t="s">
        <v>1389</v>
      </c>
      <c r="E1012" s="36" t="s">
        <v>45</v>
      </c>
      <c r="F1012" s="36" t="s">
        <v>569</v>
      </c>
      <c r="G1012" s="37" t="s">
        <v>804</v>
      </c>
      <c r="H1012" s="36" t="s">
        <v>1390</v>
      </c>
      <c r="I1012" s="36" t="s">
        <v>1391</v>
      </c>
      <c r="J1012" s="36">
        <v>1</v>
      </c>
      <c r="K1012" s="36" t="s">
        <v>807</v>
      </c>
      <c r="L1012" s="36">
        <v>4</v>
      </c>
      <c r="M1012" s="36">
        <v>1</v>
      </c>
      <c r="N1012" s="38">
        <v>630000</v>
      </c>
      <c r="O1012" s="38">
        <v>630000</v>
      </c>
      <c r="P1012" s="36">
        <v>1</v>
      </c>
      <c r="Q1012" s="40">
        <v>46174</v>
      </c>
      <c r="R1012" s="36" t="s">
        <v>1342</v>
      </c>
      <c r="S1012" s="36" t="s">
        <v>1392</v>
      </c>
      <c r="T1012" s="36" t="s">
        <v>1202</v>
      </c>
      <c r="U1012" s="36" t="s">
        <v>1344</v>
      </c>
      <c r="V1012" s="40">
        <v>46174</v>
      </c>
      <c r="W1012" s="36"/>
      <c r="X1012" s="36">
        <v>0</v>
      </c>
      <c r="Y1012" s="36"/>
      <c r="Z1012" s="36">
        <v>0</v>
      </c>
      <c r="AA1012" s="36">
        <v>0</v>
      </c>
      <c r="AB1012" s="36"/>
      <c r="AC1012" s="36" t="str">
        <f t="shared" si="4"/>
        <v>PC26</v>
      </c>
      <c r="AD1012" s="36" t="str">
        <f>VLOOKUP(D1012,Oficial!A:C,3,0)</f>
        <v>Obras Civiles</v>
      </c>
    </row>
    <row r="1013" spans="1:30" x14ac:dyDescent="0.25">
      <c r="A1013" s="36" t="s">
        <v>27</v>
      </c>
      <c r="B1013" s="36" t="s">
        <v>1393</v>
      </c>
      <c r="C1013" s="36" t="s">
        <v>1238</v>
      </c>
      <c r="D1013" s="36" t="s">
        <v>1393</v>
      </c>
      <c r="E1013" s="36" t="s">
        <v>30</v>
      </c>
      <c r="F1013" s="36" t="s">
        <v>569</v>
      </c>
      <c r="G1013" s="37" t="s">
        <v>596</v>
      </c>
      <c r="H1013" s="36" t="s">
        <v>1394</v>
      </c>
      <c r="I1013" s="36" t="s">
        <v>1351</v>
      </c>
      <c r="J1013" s="36">
        <v>2</v>
      </c>
      <c r="K1013" s="36" t="s">
        <v>1175</v>
      </c>
      <c r="L1013" s="36">
        <v>4</v>
      </c>
      <c r="M1013" s="36">
        <v>1</v>
      </c>
      <c r="N1013" s="38">
        <v>30000000</v>
      </c>
      <c r="O1013" s="38">
        <v>30000000</v>
      </c>
      <c r="P1013" s="36">
        <v>1</v>
      </c>
      <c r="Q1013" s="40">
        <v>46113</v>
      </c>
      <c r="R1013" s="36" t="s">
        <v>1299</v>
      </c>
      <c r="S1013" s="36" t="s">
        <v>1300</v>
      </c>
      <c r="T1013" s="36" t="s">
        <v>1301</v>
      </c>
      <c r="U1013" s="36" t="s">
        <v>1302</v>
      </c>
      <c r="V1013" s="40">
        <v>46113</v>
      </c>
      <c r="W1013" s="36"/>
      <c r="X1013" s="36">
        <v>0</v>
      </c>
      <c r="Y1013" s="36"/>
      <c r="Z1013" s="36">
        <v>0</v>
      </c>
      <c r="AA1013" s="36">
        <v>0</v>
      </c>
      <c r="AB1013" s="36"/>
      <c r="AC1013" s="36" t="str">
        <f t="shared" si="4"/>
        <v>PC26</v>
      </c>
      <c r="AD1013" s="36" t="str">
        <f>VLOOKUP(D1013,Oficial!A:C,3,0)</f>
        <v>Activos Fijos</v>
      </c>
    </row>
    <row r="1014" spans="1:30" x14ac:dyDescent="0.25">
      <c r="A1014" s="36" t="s">
        <v>27</v>
      </c>
      <c r="B1014" s="36" t="s">
        <v>1393</v>
      </c>
      <c r="C1014" s="36" t="s">
        <v>1238</v>
      </c>
      <c r="D1014" s="36" t="s">
        <v>1393</v>
      </c>
      <c r="E1014" s="36" t="s">
        <v>30</v>
      </c>
      <c r="F1014" s="36" t="s">
        <v>569</v>
      </c>
      <c r="G1014" s="37" t="s">
        <v>596</v>
      </c>
      <c r="H1014" s="36" t="s">
        <v>1394</v>
      </c>
      <c r="I1014" s="36" t="s">
        <v>1351</v>
      </c>
      <c r="J1014" s="36">
        <v>2</v>
      </c>
      <c r="K1014" s="36" t="s">
        <v>1303</v>
      </c>
      <c r="L1014" s="36">
        <v>4</v>
      </c>
      <c r="M1014" s="36">
        <v>1</v>
      </c>
      <c r="N1014" s="38">
        <v>250000000</v>
      </c>
      <c r="O1014" s="38">
        <v>250000000</v>
      </c>
      <c r="P1014" s="36">
        <v>1</v>
      </c>
      <c r="Q1014" s="40">
        <v>46113</v>
      </c>
      <c r="R1014" s="36" t="s">
        <v>1299</v>
      </c>
      <c r="S1014" s="36" t="s">
        <v>1300</v>
      </c>
      <c r="T1014" s="36" t="s">
        <v>1301</v>
      </c>
      <c r="U1014" s="36" t="s">
        <v>1302</v>
      </c>
      <c r="V1014" s="40">
        <v>46113</v>
      </c>
      <c r="W1014" s="36"/>
      <c r="X1014" s="36">
        <v>0</v>
      </c>
      <c r="Y1014" s="36"/>
      <c r="Z1014" s="36">
        <v>0</v>
      </c>
      <c r="AA1014" s="36">
        <v>0</v>
      </c>
      <c r="AB1014" s="36"/>
      <c r="AC1014" s="36" t="str">
        <f t="shared" si="4"/>
        <v>PC26</v>
      </c>
      <c r="AD1014" s="36" t="str">
        <f>VLOOKUP(D1014,Oficial!A:C,3,0)</f>
        <v>Activos Fijos</v>
      </c>
    </row>
    <row r="1015" spans="1:30" x14ac:dyDescent="0.25">
      <c r="A1015" s="36" t="s">
        <v>27</v>
      </c>
      <c r="B1015" s="36" t="s">
        <v>1395</v>
      </c>
      <c r="C1015" s="36" t="s">
        <v>28</v>
      </c>
      <c r="D1015" s="36" t="s">
        <v>1395</v>
      </c>
      <c r="E1015" s="36" t="s">
        <v>30</v>
      </c>
      <c r="F1015" s="36" t="s">
        <v>569</v>
      </c>
      <c r="G1015" s="37" t="s">
        <v>1246</v>
      </c>
      <c r="H1015" s="36" t="s">
        <v>1396</v>
      </c>
      <c r="I1015" s="36" t="s">
        <v>1397</v>
      </c>
      <c r="J1015" s="36">
        <v>1</v>
      </c>
      <c r="K1015" s="36" t="s">
        <v>1133</v>
      </c>
      <c r="L1015" s="36">
        <v>4</v>
      </c>
      <c r="M1015" s="36">
        <v>6</v>
      </c>
      <c r="N1015" s="38">
        <v>83334</v>
      </c>
      <c r="O1015" s="38">
        <v>500004</v>
      </c>
      <c r="P1015" s="36">
        <v>1</v>
      </c>
      <c r="Q1015" s="40">
        <v>46054</v>
      </c>
      <c r="R1015" s="36" t="s">
        <v>1231</v>
      </c>
      <c r="S1015" s="36" t="s">
        <v>1232</v>
      </c>
      <c r="T1015" s="36" t="s">
        <v>566</v>
      </c>
      <c r="U1015" s="36" t="s">
        <v>67</v>
      </c>
      <c r="V1015" s="40">
        <v>46054</v>
      </c>
      <c r="W1015" s="36"/>
      <c r="X1015" s="36">
        <v>0</v>
      </c>
      <c r="Y1015" s="36"/>
      <c r="Z1015" s="36">
        <v>0</v>
      </c>
      <c r="AA1015" s="36">
        <v>0</v>
      </c>
      <c r="AB1015" s="36"/>
      <c r="AC1015" s="36" t="str">
        <f t="shared" si="4"/>
        <v>PC26</v>
      </c>
      <c r="AD1015" s="36" t="str">
        <f>VLOOKUP(D1015,Oficial!A:C,3,0)</f>
        <v>Bienes y Servicios</v>
      </c>
    </row>
    <row r="1016" spans="1:30" x14ac:dyDescent="0.25">
      <c r="A1016" s="36" t="s">
        <v>27</v>
      </c>
      <c r="B1016" s="36" t="s">
        <v>1398</v>
      </c>
      <c r="C1016" s="36" t="s">
        <v>1238</v>
      </c>
      <c r="D1016" s="36" t="s">
        <v>1398</v>
      </c>
      <c r="E1016" s="36" t="s">
        <v>30</v>
      </c>
      <c r="F1016" s="36" t="s">
        <v>569</v>
      </c>
      <c r="G1016" s="37" t="s">
        <v>596</v>
      </c>
      <c r="H1016" s="36" t="s">
        <v>1399</v>
      </c>
      <c r="I1016" s="36" t="s">
        <v>1400</v>
      </c>
      <c r="J1016" s="36">
        <v>2</v>
      </c>
      <c r="K1016" s="36" t="s">
        <v>1175</v>
      </c>
      <c r="L1016" s="36">
        <v>4</v>
      </c>
      <c r="M1016" s="36">
        <v>1</v>
      </c>
      <c r="N1016" s="38">
        <v>6000000</v>
      </c>
      <c r="O1016" s="38">
        <v>6000000</v>
      </c>
      <c r="P1016" s="36">
        <v>1</v>
      </c>
      <c r="Q1016" s="40">
        <v>46143</v>
      </c>
      <c r="R1016" s="36" t="s">
        <v>1299</v>
      </c>
      <c r="S1016" s="36" t="s">
        <v>1300</v>
      </c>
      <c r="T1016" s="36" t="s">
        <v>1301</v>
      </c>
      <c r="U1016" s="36" t="s">
        <v>1302</v>
      </c>
      <c r="V1016" s="40">
        <v>46143</v>
      </c>
      <c r="W1016" s="36"/>
      <c r="X1016" s="36">
        <v>0</v>
      </c>
      <c r="Y1016" s="36"/>
      <c r="Z1016" s="36">
        <v>0</v>
      </c>
      <c r="AA1016" s="36">
        <v>0</v>
      </c>
      <c r="AB1016" s="36"/>
      <c r="AC1016" s="36" t="str">
        <f t="shared" si="4"/>
        <v>PC26</v>
      </c>
      <c r="AD1016" s="36" t="str">
        <f>VLOOKUP(D1016,Oficial!A:C,3,0)</f>
        <v>Activos Fijos</v>
      </c>
    </row>
    <row r="1017" spans="1:30" x14ac:dyDescent="0.25">
      <c r="A1017" s="36" t="s">
        <v>27</v>
      </c>
      <c r="B1017" s="36" t="s">
        <v>1398</v>
      </c>
      <c r="C1017" s="36" t="s">
        <v>1238</v>
      </c>
      <c r="D1017" s="36" t="s">
        <v>1398</v>
      </c>
      <c r="E1017" s="36" t="s">
        <v>30</v>
      </c>
      <c r="F1017" s="36" t="s">
        <v>569</v>
      </c>
      <c r="G1017" s="37" t="s">
        <v>596</v>
      </c>
      <c r="H1017" s="36" t="s">
        <v>1399</v>
      </c>
      <c r="I1017" s="36" t="s">
        <v>1400</v>
      </c>
      <c r="J1017" s="36">
        <v>2</v>
      </c>
      <c r="K1017" s="36" t="s">
        <v>1303</v>
      </c>
      <c r="L1017" s="36">
        <v>4</v>
      </c>
      <c r="M1017" s="36">
        <v>1</v>
      </c>
      <c r="N1017" s="38">
        <v>55000000</v>
      </c>
      <c r="O1017" s="38">
        <v>55000000</v>
      </c>
      <c r="P1017" s="36">
        <v>1</v>
      </c>
      <c r="Q1017" s="40">
        <v>46143</v>
      </c>
      <c r="R1017" s="36" t="s">
        <v>1299</v>
      </c>
      <c r="S1017" s="36" t="s">
        <v>1300</v>
      </c>
      <c r="T1017" s="36" t="s">
        <v>1301</v>
      </c>
      <c r="U1017" s="36" t="s">
        <v>1302</v>
      </c>
      <c r="V1017" s="40">
        <v>46143</v>
      </c>
      <c r="W1017" s="36"/>
      <c r="X1017" s="36">
        <v>0</v>
      </c>
      <c r="Y1017" s="36"/>
      <c r="Z1017" s="36">
        <v>0</v>
      </c>
      <c r="AA1017" s="36">
        <v>0</v>
      </c>
      <c r="AB1017" s="36"/>
      <c r="AC1017" s="36" t="str">
        <f t="shared" si="4"/>
        <v>PC26</v>
      </c>
      <c r="AD1017" s="36" t="str">
        <f>VLOOKUP(D1017,Oficial!A:C,3,0)</f>
        <v>Activos Fijos</v>
      </c>
    </row>
    <row r="1018" spans="1:30" x14ac:dyDescent="0.25">
      <c r="A1018" s="36" t="s">
        <v>27</v>
      </c>
      <c r="B1018" s="36" t="s">
        <v>1401</v>
      </c>
      <c r="C1018" s="36" t="s">
        <v>594</v>
      </c>
      <c r="D1018" s="36" t="s">
        <v>1401</v>
      </c>
      <c r="E1018" s="36" t="s">
        <v>45</v>
      </c>
      <c r="F1018" s="36" t="s">
        <v>569</v>
      </c>
      <c r="G1018" s="37" t="s">
        <v>1296</v>
      </c>
      <c r="H1018" s="36" t="s">
        <v>1402</v>
      </c>
      <c r="I1018" s="36" t="s">
        <v>1365</v>
      </c>
      <c r="J1018" s="36">
        <v>2</v>
      </c>
      <c r="K1018" s="36" t="s">
        <v>1175</v>
      </c>
      <c r="L1018" s="36">
        <v>4</v>
      </c>
      <c r="M1018" s="36">
        <v>1</v>
      </c>
      <c r="N1018" s="38">
        <v>40289000</v>
      </c>
      <c r="O1018" s="38">
        <v>40289000</v>
      </c>
      <c r="P1018" s="36">
        <v>1</v>
      </c>
      <c r="Q1018" s="40">
        <v>46143</v>
      </c>
      <c r="R1018" s="36" t="s">
        <v>1299</v>
      </c>
      <c r="S1018" s="36" t="s">
        <v>1300</v>
      </c>
      <c r="T1018" s="36" t="s">
        <v>1301</v>
      </c>
      <c r="U1018" s="36" t="s">
        <v>1302</v>
      </c>
      <c r="V1018" s="40">
        <v>46143</v>
      </c>
      <c r="W1018" s="36"/>
      <c r="X1018" s="36">
        <v>0</v>
      </c>
      <c r="Y1018" s="36"/>
      <c r="Z1018" s="36">
        <v>0</v>
      </c>
      <c r="AA1018" s="36">
        <v>0</v>
      </c>
      <c r="AB1018" s="36"/>
      <c r="AC1018" s="36" t="str">
        <f t="shared" si="4"/>
        <v>PC26</v>
      </c>
      <c r="AD1018" s="36" t="str">
        <f>VLOOKUP(D1018,Oficial!A:C,3,0)</f>
        <v>Compras Convenio GORE Region de Los Lagos</v>
      </c>
    </row>
    <row r="1019" spans="1:30" x14ac:dyDescent="0.25">
      <c r="A1019" s="36" t="s">
        <v>27</v>
      </c>
      <c r="B1019" s="36" t="s">
        <v>1401</v>
      </c>
      <c r="C1019" s="36" t="s">
        <v>594</v>
      </c>
      <c r="D1019" s="36" t="s">
        <v>1401</v>
      </c>
      <c r="E1019" s="36" t="s">
        <v>45</v>
      </c>
      <c r="F1019" s="36" t="s">
        <v>569</v>
      </c>
      <c r="G1019" s="37" t="s">
        <v>1296</v>
      </c>
      <c r="H1019" s="36" t="s">
        <v>1402</v>
      </c>
      <c r="I1019" s="36" t="s">
        <v>1365</v>
      </c>
      <c r="J1019" s="36">
        <v>2</v>
      </c>
      <c r="K1019" s="36" t="s">
        <v>1303</v>
      </c>
      <c r="L1019" s="36">
        <v>4</v>
      </c>
      <c r="M1019" s="36">
        <v>1</v>
      </c>
      <c r="N1019" s="38">
        <v>316236000</v>
      </c>
      <c r="O1019" s="38">
        <v>316236000</v>
      </c>
      <c r="P1019" s="36">
        <v>1</v>
      </c>
      <c r="Q1019" s="40">
        <v>46143</v>
      </c>
      <c r="R1019" s="36" t="s">
        <v>1299</v>
      </c>
      <c r="S1019" s="36" t="s">
        <v>1300</v>
      </c>
      <c r="T1019" s="36" t="s">
        <v>1301</v>
      </c>
      <c r="U1019" s="36" t="s">
        <v>1302</v>
      </c>
      <c r="V1019" s="40">
        <v>46143</v>
      </c>
      <c r="W1019" s="36"/>
      <c r="X1019" s="36">
        <v>0</v>
      </c>
      <c r="Y1019" s="36"/>
      <c r="Z1019" s="36">
        <v>0</v>
      </c>
      <c r="AA1019" s="36">
        <v>0</v>
      </c>
      <c r="AB1019" s="36"/>
      <c r="AC1019" s="36" t="str">
        <f t="shared" si="4"/>
        <v>PC26</v>
      </c>
      <c r="AD1019" s="36" t="str">
        <f>VLOOKUP(D1019,Oficial!A:C,3,0)</f>
        <v>Compras Convenio GORE Region de Los Lagos</v>
      </c>
    </row>
    <row r="1020" spans="1:30" x14ac:dyDescent="0.25">
      <c r="A1020" s="36" t="s">
        <v>27</v>
      </c>
      <c r="B1020" s="36" t="s">
        <v>1403</v>
      </c>
      <c r="C1020" s="36" t="s">
        <v>28</v>
      </c>
      <c r="D1020" s="36" t="s">
        <v>1403</v>
      </c>
      <c r="E1020" s="36" t="s">
        <v>30</v>
      </c>
      <c r="F1020" s="36" t="s">
        <v>569</v>
      </c>
      <c r="G1020" s="37" t="s">
        <v>654</v>
      </c>
      <c r="H1020" s="36" t="s">
        <v>1404</v>
      </c>
      <c r="I1020" s="36" t="s">
        <v>1405</v>
      </c>
      <c r="J1020" s="36">
        <v>3</v>
      </c>
      <c r="K1020" s="36" t="s">
        <v>359</v>
      </c>
      <c r="L1020" s="36">
        <v>4</v>
      </c>
      <c r="M1020" s="36">
        <v>74</v>
      </c>
      <c r="N1020" s="38">
        <v>2076</v>
      </c>
      <c r="O1020" s="38">
        <v>153624</v>
      </c>
      <c r="P1020" s="36">
        <v>1</v>
      </c>
      <c r="Q1020" s="40">
        <v>46327</v>
      </c>
      <c r="R1020" s="36" t="s">
        <v>1035</v>
      </c>
      <c r="S1020" s="36" t="s">
        <v>1036</v>
      </c>
      <c r="T1020" s="36" t="s">
        <v>1037</v>
      </c>
      <c r="U1020" s="36" t="s">
        <v>1038</v>
      </c>
      <c r="V1020" s="40">
        <v>46327</v>
      </c>
      <c r="W1020" s="36"/>
      <c r="X1020" s="36">
        <v>0</v>
      </c>
      <c r="Y1020" s="36"/>
      <c r="Z1020" s="36">
        <v>0</v>
      </c>
      <c r="AA1020" s="36">
        <v>0</v>
      </c>
      <c r="AB1020" s="36"/>
      <c r="AC1020" s="36" t="str">
        <f t="shared" si="4"/>
        <v>PC26</v>
      </c>
      <c r="AD1020" s="36" t="str">
        <f>VLOOKUP(D1020,Oficial!A:C,3,0)</f>
        <v>Bienes y Servicios</v>
      </c>
    </row>
    <row r="1021" spans="1:30" x14ac:dyDescent="0.25">
      <c r="A1021" s="36" t="s">
        <v>27</v>
      </c>
      <c r="B1021" s="36" t="s">
        <v>1403</v>
      </c>
      <c r="C1021" s="36" t="s">
        <v>28</v>
      </c>
      <c r="D1021" s="36" t="s">
        <v>1403</v>
      </c>
      <c r="E1021" s="36" t="s">
        <v>30</v>
      </c>
      <c r="F1021" s="36" t="s">
        <v>569</v>
      </c>
      <c r="G1021" s="37" t="s">
        <v>654</v>
      </c>
      <c r="H1021" s="36" t="s">
        <v>1404</v>
      </c>
      <c r="I1021" s="36" t="s">
        <v>1405</v>
      </c>
      <c r="J1021" s="36">
        <v>3</v>
      </c>
      <c r="K1021" s="36" t="s">
        <v>855</v>
      </c>
      <c r="L1021" s="36">
        <v>4</v>
      </c>
      <c r="M1021" s="36">
        <v>100</v>
      </c>
      <c r="N1021" s="38">
        <v>170</v>
      </c>
      <c r="O1021" s="38">
        <v>17000</v>
      </c>
      <c r="P1021" s="36">
        <v>1</v>
      </c>
      <c r="Q1021" s="40">
        <v>46327</v>
      </c>
      <c r="R1021" s="36" t="s">
        <v>1035</v>
      </c>
      <c r="S1021" s="36" t="s">
        <v>1036</v>
      </c>
      <c r="T1021" s="36" t="s">
        <v>1037</v>
      </c>
      <c r="U1021" s="36" t="s">
        <v>1038</v>
      </c>
      <c r="V1021" s="40">
        <v>46327</v>
      </c>
      <c r="W1021" s="36"/>
      <c r="X1021" s="36">
        <v>0</v>
      </c>
      <c r="Y1021" s="36"/>
      <c r="Z1021" s="36">
        <v>0</v>
      </c>
      <c r="AA1021" s="36">
        <v>0</v>
      </c>
      <c r="AB1021" s="36"/>
      <c r="AC1021" s="36" t="str">
        <f t="shared" si="4"/>
        <v>PC26</v>
      </c>
      <c r="AD1021" s="36" t="str">
        <f>VLOOKUP(D1021,Oficial!A:C,3,0)</f>
        <v>Bienes y Servicios</v>
      </c>
    </row>
    <row r="1022" spans="1:30" x14ac:dyDescent="0.25">
      <c r="A1022" s="36" t="s">
        <v>27</v>
      </c>
      <c r="B1022" s="36" t="s">
        <v>1403</v>
      </c>
      <c r="C1022" s="36" t="s">
        <v>28</v>
      </c>
      <c r="D1022" s="36" t="s">
        <v>1403</v>
      </c>
      <c r="E1022" s="36" t="s">
        <v>30</v>
      </c>
      <c r="F1022" s="36" t="s">
        <v>569</v>
      </c>
      <c r="G1022" s="37" t="s">
        <v>654</v>
      </c>
      <c r="H1022" s="36" t="s">
        <v>1404</v>
      </c>
      <c r="I1022" s="36" t="s">
        <v>1405</v>
      </c>
      <c r="J1022" s="36">
        <v>3</v>
      </c>
      <c r="K1022" s="36" t="s">
        <v>1406</v>
      </c>
      <c r="L1022" s="36">
        <v>4</v>
      </c>
      <c r="M1022" s="36">
        <v>2</v>
      </c>
      <c r="N1022" s="38">
        <v>1500</v>
      </c>
      <c r="O1022" s="38">
        <v>3000</v>
      </c>
      <c r="P1022" s="36">
        <v>1</v>
      </c>
      <c r="Q1022" s="40">
        <v>46327</v>
      </c>
      <c r="R1022" s="36" t="s">
        <v>1035</v>
      </c>
      <c r="S1022" s="36" t="s">
        <v>1036</v>
      </c>
      <c r="T1022" s="36" t="s">
        <v>1037</v>
      </c>
      <c r="U1022" s="36" t="s">
        <v>1038</v>
      </c>
      <c r="V1022" s="40">
        <v>46327</v>
      </c>
      <c r="W1022" s="36"/>
      <c r="X1022" s="36">
        <v>0</v>
      </c>
      <c r="Y1022" s="36"/>
      <c r="Z1022" s="36">
        <v>0</v>
      </c>
      <c r="AA1022" s="36">
        <v>0</v>
      </c>
      <c r="AB1022" s="36"/>
      <c r="AC1022" s="36" t="str">
        <f t="shared" si="4"/>
        <v>PC26</v>
      </c>
      <c r="AD1022" s="36" t="str">
        <f>VLOOKUP(D1022,Oficial!A:C,3,0)</f>
        <v>Bienes y Servicios</v>
      </c>
    </row>
    <row r="1023" spans="1:30" x14ac:dyDescent="0.25">
      <c r="A1023" s="36" t="s">
        <v>27</v>
      </c>
      <c r="B1023" s="36" t="s">
        <v>1407</v>
      </c>
      <c r="C1023" s="36" t="s">
        <v>28</v>
      </c>
      <c r="D1023" s="36" t="s">
        <v>1407</v>
      </c>
      <c r="E1023" s="36" t="s">
        <v>30</v>
      </c>
      <c r="F1023" s="36" t="s">
        <v>569</v>
      </c>
      <c r="G1023" s="37" t="s">
        <v>800</v>
      </c>
      <c r="H1023" s="36" t="s">
        <v>1408</v>
      </c>
      <c r="I1023" s="36" t="s">
        <v>1409</v>
      </c>
      <c r="J1023" s="36">
        <v>1</v>
      </c>
      <c r="K1023" s="36" t="s">
        <v>1410</v>
      </c>
      <c r="L1023" s="36">
        <v>4</v>
      </c>
      <c r="M1023" s="36">
        <v>1</v>
      </c>
      <c r="N1023" s="38">
        <v>80000</v>
      </c>
      <c r="O1023" s="38">
        <v>80000</v>
      </c>
      <c r="P1023" s="36">
        <v>1</v>
      </c>
      <c r="Q1023" s="40">
        <v>46082</v>
      </c>
      <c r="R1023" s="36" t="s">
        <v>590</v>
      </c>
      <c r="S1023" s="36" t="s">
        <v>591</v>
      </c>
      <c r="T1023" s="36" t="s">
        <v>592</v>
      </c>
      <c r="U1023" s="36" t="s">
        <v>593</v>
      </c>
      <c r="V1023" s="40">
        <v>46082</v>
      </c>
      <c r="W1023" s="36"/>
      <c r="X1023" s="36">
        <v>0</v>
      </c>
      <c r="Y1023" s="36"/>
      <c r="Z1023" s="36">
        <v>0</v>
      </c>
      <c r="AA1023" s="36">
        <v>0</v>
      </c>
      <c r="AB1023" s="36"/>
      <c r="AC1023" s="36" t="str">
        <f t="shared" si="4"/>
        <v>PC26</v>
      </c>
      <c r="AD1023" s="36" t="str">
        <f>VLOOKUP(D1023,Oficial!A:C,3,0)</f>
        <v>Bienes y Servicios</v>
      </c>
    </row>
    <row r="1024" spans="1:30" x14ac:dyDescent="0.25">
      <c r="A1024" s="36" t="s">
        <v>27</v>
      </c>
      <c r="B1024" s="36" t="s">
        <v>1411</v>
      </c>
      <c r="C1024" s="36" t="s">
        <v>28</v>
      </c>
      <c r="D1024" s="36" t="s">
        <v>1411</v>
      </c>
      <c r="E1024" s="36" t="s">
        <v>30</v>
      </c>
      <c r="F1024" s="36" t="s">
        <v>569</v>
      </c>
      <c r="G1024" s="37" t="s">
        <v>1412</v>
      </c>
      <c r="H1024" s="36" t="s">
        <v>1413</v>
      </c>
      <c r="I1024" s="36" t="s">
        <v>1414</v>
      </c>
      <c r="J1024" s="36">
        <v>1</v>
      </c>
      <c r="K1024" s="36" t="s">
        <v>882</v>
      </c>
      <c r="L1024" s="36">
        <v>4</v>
      </c>
      <c r="M1024" s="36">
        <v>1</v>
      </c>
      <c r="N1024" s="38">
        <v>2000000</v>
      </c>
      <c r="O1024" s="38">
        <v>2000000</v>
      </c>
      <c r="P1024" s="36">
        <v>1</v>
      </c>
      <c r="Q1024" s="40">
        <v>46174</v>
      </c>
      <c r="R1024" s="36" t="s">
        <v>1415</v>
      </c>
      <c r="S1024" s="36" t="s">
        <v>1201</v>
      </c>
      <c r="T1024" s="36" t="s">
        <v>1108</v>
      </c>
      <c r="U1024" s="36" t="s">
        <v>516</v>
      </c>
      <c r="V1024" s="40">
        <v>46174</v>
      </c>
      <c r="W1024" s="36"/>
      <c r="X1024" s="36">
        <v>0</v>
      </c>
      <c r="Y1024" s="36"/>
      <c r="Z1024" s="36">
        <v>0</v>
      </c>
      <c r="AA1024" s="36">
        <v>0</v>
      </c>
      <c r="AB1024" s="36"/>
      <c r="AC1024" s="36" t="str">
        <f t="shared" si="4"/>
        <v>PC26</v>
      </c>
      <c r="AD1024" s="36" t="str">
        <f>VLOOKUP(D1024,Oficial!A:C,3,0)</f>
        <v>Bienes y Servicios</v>
      </c>
    </row>
    <row r="1025" spans="1:30" x14ac:dyDescent="0.25">
      <c r="A1025" s="36" t="s">
        <v>27</v>
      </c>
      <c r="B1025" s="36" t="s">
        <v>1416</v>
      </c>
      <c r="C1025" s="36" t="s">
        <v>28</v>
      </c>
      <c r="D1025" s="36" t="s">
        <v>1416</v>
      </c>
      <c r="E1025" s="36" t="s">
        <v>30</v>
      </c>
      <c r="F1025" s="36" t="s">
        <v>569</v>
      </c>
      <c r="G1025" s="37" t="s">
        <v>215</v>
      </c>
      <c r="H1025" s="36" t="s">
        <v>1417</v>
      </c>
      <c r="I1025" s="36" t="s">
        <v>1418</v>
      </c>
      <c r="J1025" s="36">
        <v>1</v>
      </c>
      <c r="K1025" s="36" t="s">
        <v>623</v>
      </c>
      <c r="L1025" s="36">
        <v>4</v>
      </c>
      <c r="M1025" s="36">
        <v>1</v>
      </c>
      <c r="N1025" s="38">
        <v>6000000</v>
      </c>
      <c r="O1025" s="38">
        <v>6000000</v>
      </c>
      <c r="P1025" s="36">
        <v>1</v>
      </c>
      <c r="Q1025" s="40">
        <v>46357</v>
      </c>
      <c r="R1025" s="36" t="s">
        <v>1415</v>
      </c>
      <c r="S1025" s="36" t="s">
        <v>1201</v>
      </c>
      <c r="T1025" s="36" t="s">
        <v>1108</v>
      </c>
      <c r="U1025" s="36" t="s">
        <v>516</v>
      </c>
      <c r="V1025" s="40">
        <v>46357</v>
      </c>
      <c r="W1025" s="36"/>
      <c r="X1025" s="36">
        <v>0</v>
      </c>
      <c r="Y1025" s="36"/>
      <c r="Z1025" s="36">
        <v>0</v>
      </c>
      <c r="AA1025" s="36">
        <v>0</v>
      </c>
      <c r="AB1025" s="36"/>
      <c r="AC1025" s="36" t="str">
        <f t="shared" si="4"/>
        <v>PC26</v>
      </c>
      <c r="AD1025" s="36" t="str">
        <f>VLOOKUP(D1025,Oficial!A:C,3,0)</f>
        <v>Bienes y Servicios</v>
      </c>
    </row>
    <row r="1026" spans="1:30" x14ac:dyDescent="0.25">
      <c r="A1026" s="36" t="s">
        <v>27</v>
      </c>
      <c r="B1026" s="36" t="s">
        <v>1419</v>
      </c>
      <c r="C1026" s="36" t="s">
        <v>28</v>
      </c>
      <c r="D1026" s="36" t="s">
        <v>1419</v>
      </c>
      <c r="E1026" s="36" t="s">
        <v>30</v>
      </c>
      <c r="F1026" s="36" t="s">
        <v>569</v>
      </c>
      <c r="G1026" s="37" t="s">
        <v>215</v>
      </c>
      <c r="H1026" s="36" t="s">
        <v>1420</v>
      </c>
      <c r="I1026" s="36" t="s">
        <v>1421</v>
      </c>
      <c r="J1026" s="36">
        <v>1</v>
      </c>
      <c r="K1026" s="36" t="s">
        <v>882</v>
      </c>
      <c r="L1026" s="36">
        <v>4</v>
      </c>
      <c r="M1026" s="36">
        <v>1</v>
      </c>
      <c r="N1026" s="38">
        <v>80000000</v>
      </c>
      <c r="O1026" s="38">
        <v>0</v>
      </c>
      <c r="P1026" s="36">
        <v>12</v>
      </c>
      <c r="Q1026" s="36" t="s">
        <v>1029</v>
      </c>
      <c r="R1026" s="36" t="s">
        <v>1415</v>
      </c>
      <c r="S1026" s="36" t="s">
        <v>1201</v>
      </c>
      <c r="T1026" s="36" t="s">
        <v>1108</v>
      </c>
      <c r="U1026" s="36" t="s">
        <v>516</v>
      </c>
      <c r="V1026" s="40">
        <v>46357</v>
      </c>
      <c r="W1026" s="36"/>
      <c r="X1026" s="36">
        <v>0</v>
      </c>
      <c r="Y1026" s="36"/>
      <c r="Z1026" s="36">
        <v>0</v>
      </c>
      <c r="AA1026" s="36">
        <v>0</v>
      </c>
      <c r="AB1026" s="36"/>
      <c r="AC1026" s="36" t="str">
        <f t="shared" si="4"/>
        <v>PC26</v>
      </c>
      <c r="AD1026" s="36" t="str">
        <f>VLOOKUP(D1026,Oficial!A:C,3,0)</f>
        <v>Bienes y Servicios</v>
      </c>
    </row>
    <row r="1027" spans="1:30" x14ac:dyDescent="0.25">
      <c r="A1027" s="36" t="s">
        <v>27</v>
      </c>
      <c r="B1027" s="36" t="s">
        <v>1422</v>
      </c>
      <c r="C1027" s="36" t="s">
        <v>28</v>
      </c>
      <c r="D1027" s="36" t="s">
        <v>1422</v>
      </c>
      <c r="E1027" s="36" t="s">
        <v>30</v>
      </c>
      <c r="F1027" s="36" t="s">
        <v>569</v>
      </c>
      <c r="G1027" s="37" t="s">
        <v>215</v>
      </c>
      <c r="H1027" s="36" t="s">
        <v>1423</v>
      </c>
      <c r="I1027" s="36" t="s">
        <v>1424</v>
      </c>
      <c r="J1027" s="36">
        <v>1</v>
      </c>
      <c r="K1027" s="36" t="s">
        <v>1425</v>
      </c>
      <c r="L1027" s="36">
        <v>4</v>
      </c>
      <c r="M1027" s="36">
        <v>1</v>
      </c>
      <c r="N1027" s="38">
        <v>25000000</v>
      </c>
      <c r="O1027" s="38">
        <v>25000000</v>
      </c>
      <c r="P1027" s="36">
        <v>1</v>
      </c>
      <c r="Q1027" s="40">
        <v>46327</v>
      </c>
      <c r="R1027" s="36" t="s">
        <v>1415</v>
      </c>
      <c r="S1027" s="36" t="s">
        <v>1201</v>
      </c>
      <c r="T1027" s="36" t="s">
        <v>1108</v>
      </c>
      <c r="U1027" s="36" t="s">
        <v>516</v>
      </c>
      <c r="V1027" s="40">
        <v>46327</v>
      </c>
      <c r="W1027" s="36"/>
      <c r="X1027" s="36">
        <v>0</v>
      </c>
      <c r="Y1027" s="36"/>
      <c r="Z1027" s="36">
        <v>0</v>
      </c>
      <c r="AA1027" s="36">
        <v>0</v>
      </c>
      <c r="AB1027" s="36"/>
      <c r="AC1027" s="36" t="str">
        <f t="shared" si="4"/>
        <v>PC26</v>
      </c>
      <c r="AD1027" s="36" t="str">
        <f>VLOOKUP(D1027,Oficial!A:C,3,0)</f>
        <v>Bienes y Servicios</v>
      </c>
    </row>
    <row r="1028" spans="1:30" x14ac:dyDescent="0.25">
      <c r="A1028" s="36" t="s">
        <v>27</v>
      </c>
      <c r="B1028" s="36" t="s">
        <v>1426</v>
      </c>
      <c r="C1028" s="36" t="s">
        <v>28</v>
      </c>
      <c r="D1028" s="36" t="s">
        <v>1426</v>
      </c>
      <c r="E1028" s="36" t="s">
        <v>30</v>
      </c>
      <c r="F1028" s="36" t="s">
        <v>569</v>
      </c>
      <c r="G1028" s="37" t="s">
        <v>215</v>
      </c>
      <c r="H1028" s="36" t="s">
        <v>1427</v>
      </c>
      <c r="I1028" s="36" t="s">
        <v>1428</v>
      </c>
      <c r="J1028" s="36">
        <v>1</v>
      </c>
      <c r="K1028" s="36" t="s">
        <v>623</v>
      </c>
      <c r="L1028" s="36">
        <v>4</v>
      </c>
      <c r="M1028" s="36">
        <v>1</v>
      </c>
      <c r="N1028" s="38">
        <v>10000000</v>
      </c>
      <c r="O1028" s="38">
        <v>10000000</v>
      </c>
      <c r="P1028" s="36">
        <v>1</v>
      </c>
      <c r="Q1028" s="40">
        <v>46327</v>
      </c>
      <c r="R1028" s="36" t="s">
        <v>1415</v>
      </c>
      <c r="S1028" s="36" t="s">
        <v>1201</v>
      </c>
      <c r="T1028" s="36" t="s">
        <v>1108</v>
      </c>
      <c r="U1028" s="36" t="s">
        <v>516</v>
      </c>
      <c r="V1028" s="40">
        <v>46327</v>
      </c>
      <c r="W1028" s="36"/>
      <c r="X1028" s="36">
        <v>0</v>
      </c>
      <c r="Y1028" s="36"/>
      <c r="Z1028" s="36">
        <v>0</v>
      </c>
      <c r="AA1028" s="36">
        <v>0</v>
      </c>
      <c r="AB1028" s="36"/>
      <c r="AC1028" s="36" t="str">
        <f t="shared" si="4"/>
        <v>PC26</v>
      </c>
      <c r="AD1028" s="36" t="str">
        <f>VLOOKUP(D1028,Oficial!A:C,3,0)</f>
        <v>Bienes y Servicios</v>
      </c>
    </row>
    <row r="1029" spans="1:30" x14ac:dyDescent="0.25">
      <c r="A1029" s="36" t="s">
        <v>27</v>
      </c>
      <c r="B1029" s="36" t="s">
        <v>1429</v>
      </c>
      <c r="C1029" s="36" t="s">
        <v>28</v>
      </c>
      <c r="D1029" s="36" t="s">
        <v>1429</v>
      </c>
      <c r="E1029" s="36" t="s">
        <v>30</v>
      </c>
      <c r="F1029" s="36" t="s">
        <v>569</v>
      </c>
      <c r="G1029" s="37" t="s">
        <v>215</v>
      </c>
      <c r="H1029" s="36" t="s">
        <v>1430</v>
      </c>
      <c r="I1029" s="36" t="s">
        <v>1431</v>
      </c>
      <c r="J1029" s="36">
        <v>1</v>
      </c>
      <c r="K1029" s="36" t="s">
        <v>623</v>
      </c>
      <c r="L1029" s="36">
        <v>4</v>
      </c>
      <c r="M1029" s="36">
        <v>112</v>
      </c>
      <c r="N1029" s="38">
        <v>315219</v>
      </c>
      <c r="O1029" s="38">
        <v>35304528</v>
      </c>
      <c r="P1029" s="36">
        <v>1</v>
      </c>
      <c r="Q1029" s="40">
        <v>46296</v>
      </c>
      <c r="R1029" s="36" t="s">
        <v>1432</v>
      </c>
      <c r="S1029" s="36" t="s">
        <v>1433</v>
      </c>
      <c r="T1029" s="36" t="s">
        <v>1434</v>
      </c>
      <c r="U1029" s="36" t="s">
        <v>1435</v>
      </c>
      <c r="V1029" s="40">
        <v>46296</v>
      </c>
      <c r="W1029" s="36"/>
      <c r="X1029" s="36">
        <v>0</v>
      </c>
      <c r="Y1029" s="36"/>
      <c r="Z1029" s="36">
        <v>0</v>
      </c>
      <c r="AA1029" s="36">
        <v>0</v>
      </c>
      <c r="AB1029" s="36"/>
      <c r="AC1029" s="36" t="str">
        <f t="shared" si="4"/>
        <v>PC26</v>
      </c>
      <c r="AD1029" s="36" t="str">
        <f>VLOOKUP(D1029,Oficial!A:C,3,0)</f>
        <v>Bienes y Servicios</v>
      </c>
    </row>
    <row r="1030" spans="1:30" x14ac:dyDescent="0.25">
      <c r="A1030" s="36" t="s">
        <v>27</v>
      </c>
      <c r="B1030" s="36" t="s">
        <v>1436</v>
      </c>
      <c r="C1030" s="36" t="s">
        <v>28</v>
      </c>
      <c r="D1030" s="36" t="s">
        <v>1436</v>
      </c>
      <c r="E1030" s="36" t="s">
        <v>30</v>
      </c>
      <c r="F1030" s="36" t="s">
        <v>569</v>
      </c>
      <c r="G1030" s="37" t="s">
        <v>1437</v>
      </c>
      <c r="H1030" s="36" t="s">
        <v>1438</v>
      </c>
      <c r="I1030" s="36" t="s">
        <v>1439</v>
      </c>
      <c r="J1030" s="36">
        <v>3</v>
      </c>
      <c r="K1030" s="36" t="s">
        <v>1276</v>
      </c>
      <c r="L1030" s="36">
        <v>4</v>
      </c>
      <c r="M1030" s="36">
        <v>30</v>
      </c>
      <c r="N1030" s="38">
        <v>1000</v>
      </c>
      <c r="O1030" s="38">
        <v>30000</v>
      </c>
      <c r="P1030" s="36">
        <v>1</v>
      </c>
      <c r="Q1030" s="40">
        <v>46235</v>
      </c>
      <c r="R1030" s="36" t="s">
        <v>1231</v>
      </c>
      <c r="S1030" s="36" t="s">
        <v>1232</v>
      </c>
      <c r="T1030" s="36" t="s">
        <v>566</v>
      </c>
      <c r="U1030" s="36" t="s">
        <v>67</v>
      </c>
      <c r="V1030" s="40">
        <v>46235</v>
      </c>
      <c r="W1030" s="36"/>
      <c r="X1030" s="36">
        <v>0</v>
      </c>
      <c r="Y1030" s="36"/>
      <c r="Z1030" s="36">
        <v>0</v>
      </c>
      <c r="AA1030" s="36">
        <v>0</v>
      </c>
      <c r="AB1030" s="36"/>
      <c r="AC1030" s="36" t="str">
        <f t="shared" si="4"/>
        <v>PC26</v>
      </c>
      <c r="AD1030" s="36" t="str">
        <f>VLOOKUP(D1030,Oficial!A:C,3,0)</f>
        <v>Bienes y Servicios</v>
      </c>
    </row>
    <row r="1031" spans="1:30" x14ac:dyDescent="0.25">
      <c r="A1031" s="36" t="s">
        <v>27</v>
      </c>
      <c r="B1031" s="36" t="s">
        <v>1436</v>
      </c>
      <c r="C1031" s="36" t="s">
        <v>28</v>
      </c>
      <c r="D1031" s="36" t="s">
        <v>1436</v>
      </c>
      <c r="E1031" s="36" t="s">
        <v>30</v>
      </c>
      <c r="F1031" s="36" t="s">
        <v>569</v>
      </c>
      <c r="G1031" s="37" t="s">
        <v>1437</v>
      </c>
      <c r="H1031" s="36" t="s">
        <v>1438</v>
      </c>
      <c r="I1031" s="36" t="s">
        <v>1439</v>
      </c>
      <c r="J1031" s="36">
        <v>3</v>
      </c>
      <c r="K1031" s="36" t="s">
        <v>1440</v>
      </c>
      <c r="L1031" s="36">
        <v>4</v>
      </c>
      <c r="M1031" s="36">
        <v>10</v>
      </c>
      <c r="N1031" s="38">
        <v>5000</v>
      </c>
      <c r="O1031" s="38">
        <v>50000</v>
      </c>
      <c r="P1031" s="36">
        <v>1</v>
      </c>
      <c r="Q1031" s="40">
        <v>46235</v>
      </c>
      <c r="R1031" s="36" t="s">
        <v>1231</v>
      </c>
      <c r="S1031" s="36" t="s">
        <v>1232</v>
      </c>
      <c r="T1031" s="36" t="s">
        <v>566</v>
      </c>
      <c r="U1031" s="36" t="s">
        <v>67</v>
      </c>
      <c r="V1031" s="40">
        <v>46235</v>
      </c>
      <c r="W1031" s="36"/>
      <c r="X1031" s="36">
        <v>0</v>
      </c>
      <c r="Y1031" s="36"/>
      <c r="Z1031" s="36">
        <v>0</v>
      </c>
      <c r="AA1031" s="36">
        <v>0</v>
      </c>
      <c r="AB1031" s="36"/>
      <c r="AC1031" s="36" t="str">
        <f t="shared" si="4"/>
        <v>PC26</v>
      </c>
      <c r="AD1031" s="36" t="str">
        <f>VLOOKUP(D1031,Oficial!A:C,3,0)</f>
        <v>Bienes y Servicios</v>
      </c>
    </row>
    <row r="1032" spans="1:30" x14ac:dyDescent="0.25">
      <c r="A1032" s="36" t="s">
        <v>27</v>
      </c>
      <c r="B1032" s="36" t="s">
        <v>1436</v>
      </c>
      <c r="C1032" s="36" t="s">
        <v>28</v>
      </c>
      <c r="D1032" s="36" t="s">
        <v>1436</v>
      </c>
      <c r="E1032" s="36" t="s">
        <v>30</v>
      </c>
      <c r="F1032" s="36" t="s">
        <v>569</v>
      </c>
      <c r="G1032" s="37" t="s">
        <v>1437</v>
      </c>
      <c r="H1032" s="36" t="s">
        <v>1438</v>
      </c>
      <c r="I1032" s="36" t="s">
        <v>1439</v>
      </c>
      <c r="J1032" s="36">
        <v>3</v>
      </c>
      <c r="K1032" s="36" t="s">
        <v>1441</v>
      </c>
      <c r="L1032" s="36">
        <v>4</v>
      </c>
      <c r="M1032" s="36">
        <v>1</v>
      </c>
      <c r="N1032" s="38">
        <v>420000</v>
      </c>
      <c r="O1032" s="38">
        <v>420000</v>
      </c>
      <c r="P1032" s="36">
        <v>1</v>
      </c>
      <c r="Q1032" s="40">
        <v>46235</v>
      </c>
      <c r="R1032" s="36" t="s">
        <v>1231</v>
      </c>
      <c r="S1032" s="36" t="s">
        <v>1232</v>
      </c>
      <c r="T1032" s="36" t="s">
        <v>566</v>
      </c>
      <c r="U1032" s="36" t="s">
        <v>67</v>
      </c>
      <c r="V1032" s="40">
        <v>46235</v>
      </c>
      <c r="W1032" s="36"/>
      <c r="X1032" s="36">
        <v>0</v>
      </c>
      <c r="Y1032" s="36"/>
      <c r="Z1032" s="36">
        <v>0</v>
      </c>
      <c r="AA1032" s="36">
        <v>0</v>
      </c>
      <c r="AB1032" s="36"/>
      <c r="AC1032" s="36" t="str">
        <f t="shared" si="4"/>
        <v>PC26</v>
      </c>
      <c r="AD1032" s="36" t="str">
        <f>VLOOKUP(D1032,Oficial!A:C,3,0)</f>
        <v>Bienes y Servicios</v>
      </c>
    </row>
    <row r="1033" spans="1:30" x14ac:dyDescent="0.25">
      <c r="A1033" s="36" t="s">
        <v>27</v>
      </c>
      <c r="B1033" s="36" t="s">
        <v>1442</v>
      </c>
      <c r="C1033" s="36" t="s">
        <v>28</v>
      </c>
      <c r="D1033" s="36" t="s">
        <v>1442</v>
      </c>
      <c r="E1033" s="36" t="s">
        <v>30</v>
      </c>
      <c r="F1033" s="36" t="s">
        <v>569</v>
      </c>
      <c r="G1033" s="37" t="s">
        <v>800</v>
      </c>
      <c r="H1033" s="36" t="s">
        <v>1443</v>
      </c>
      <c r="I1033" s="36" t="s">
        <v>1444</v>
      </c>
      <c r="J1033" s="36">
        <v>1</v>
      </c>
      <c r="K1033" s="36" t="s">
        <v>786</v>
      </c>
      <c r="L1033" s="36">
        <v>4</v>
      </c>
      <c r="M1033" s="36">
        <v>6</v>
      </c>
      <c r="N1033" s="38">
        <v>49990</v>
      </c>
      <c r="O1033" s="38">
        <v>299940</v>
      </c>
      <c r="P1033" s="36">
        <v>1</v>
      </c>
      <c r="Q1033" s="40">
        <v>46054</v>
      </c>
      <c r="R1033" s="36" t="s">
        <v>1445</v>
      </c>
      <c r="S1033" s="36" t="s">
        <v>1446</v>
      </c>
      <c r="T1033" s="36" t="s">
        <v>1447</v>
      </c>
      <c r="U1033" s="36" t="s">
        <v>1448</v>
      </c>
      <c r="V1033" s="40">
        <v>46054</v>
      </c>
      <c r="W1033" s="36"/>
      <c r="X1033" s="36">
        <v>0</v>
      </c>
      <c r="Y1033" s="36"/>
      <c r="Z1033" s="36">
        <v>0</v>
      </c>
      <c r="AA1033" s="36">
        <v>0</v>
      </c>
      <c r="AB1033" s="36"/>
      <c r="AC1033" s="36" t="str">
        <f t="shared" si="4"/>
        <v>PC26</v>
      </c>
      <c r="AD1033" s="36" t="str">
        <f>VLOOKUP(D1033,Oficial!A:C,3,0)</f>
        <v>Bienes y Servicios</v>
      </c>
    </row>
    <row r="1034" spans="1:30" x14ac:dyDescent="0.25">
      <c r="A1034" s="36" t="s">
        <v>27</v>
      </c>
      <c r="B1034" s="36" t="s">
        <v>1449</v>
      </c>
      <c r="C1034" s="36" t="s">
        <v>28</v>
      </c>
      <c r="D1034" s="36" t="s">
        <v>1449</v>
      </c>
      <c r="E1034" s="36" t="s">
        <v>30</v>
      </c>
      <c r="F1034" s="36" t="s">
        <v>569</v>
      </c>
      <c r="G1034" s="37" t="s">
        <v>1246</v>
      </c>
      <c r="H1034" s="36" t="s">
        <v>1450</v>
      </c>
      <c r="I1034" s="36" t="s">
        <v>1451</v>
      </c>
      <c r="J1034" s="36">
        <v>2</v>
      </c>
      <c r="K1034" s="36" t="s">
        <v>1133</v>
      </c>
      <c r="L1034" s="36">
        <v>4</v>
      </c>
      <c r="M1034" s="36">
        <v>16</v>
      </c>
      <c r="N1034" s="38">
        <v>14375</v>
      </c>
      <c r="O1034" s="38">
        <v>230000</v>
      </c>
      <c r="P1034" s="36">
        <v>1</v>
      </c>
      <c r="Q1034" s="40">
        <v>46082</v>
      </c>
      <c r="R1034" s="36" t="s">
        <v>1075</v>
      </c>
      <c r="S1034" s="36" t="s">
        <v>1076</v>
      </c>
      <c r="T1034" s="36" t="s">
        <v>1077</v>
      </c>
      <c r="U1034" s="36" t="s">
        <v>1084</v>
      </c>
      <c r="V1034" s="40">
        <v>46082</v>
      </c>
      <c r="W1034" s="36"/>
      <c r="X1034" s="36">
        <v>0</v>
      </c>
      <c r="Y1034" s="36"/>
      <c r="Z1034" s="36">
        <v>0</v>
      </c>
      <c r="AA1034" s="36">
        <v>0</v>
      </c>
      <c r="AB1034" s="36"/>
      <c r="AC1034" s="36" t="str">
        <f t="shared" si="4"/>
        <v>PC26</v>
      </c>
      <c r="AD1034" s="36" t="str">
        <f>VLOOKUP(D1034,Oficial!A:C,3,0)</f>
        <v>Bienes y Servicios</v>
      </c>
    </row>
    <row r="1035" spans="1:30" x14ac:dyDescent="0.25">
      <c r="A1035" s="36" t="s">
        <v>27</v>
      </c>
      <c r="B1035" s="36" t="s">
        <v>1449</v>
      </c>
      <c r="C1035" s="36" t="s">
        <v>28</v>
      </c>
      <c r="D1035" s="36" t="s">
        <v>1449</v>
      </c>
      <c r="E1035" s="36" t="s">
        <v>30</v>
      </c>
      <c r="F1035" s="36" t="s">
        <v>569</v>
      </c>
      <c r="G1035" s="37" t="s">
        <v>1246</v>
      </c>
      <c r="H1035" s="36" t="s">
        <v>1450</v>
      </c>
      <c r="I1035" s="36" t="s">
        <v>1451</v>
      </c>
      <c r="J1035" s="36">
        <v>2</v>
      </c>
      <c r="K1035" s="36" t="s">
        <v>1452</v>
      </c>
      <c r="L1035" s="36">
        <v>4</v>
      </c>
      <c r="M1035" s="36">
        <v>2</v>
      </c>
      <c r="N1035" s="38">
        <v>80000</v>
      </c>
      <c r="O1035" s="38">
        <v>160000</v>
      </c>
      <c r="P1035" s="36">
        <v>1</v>
      </c>
      <c r="Q1035" s="40">
        <v>46023</v>
      </c>
      <c r="R1035" s="36" t="s">
        <v>1075</v>
      </c>
      <c r="S1035" s="36" t="s">
        <v>1076</v>
      </c>
      <c r="T1035" s="36" t="s">
        <v>1077</v>
      </c>
      <c r="U1035" s="36" t="s">
        <v>1084</v>
      </c>
      <c r="V1035" s="40">
        <v>46023</v>
      </c>
      <c r="W1035" s="36"/>
      <c r="X1035" s="36">
        <v>0</v>
      </c>
      <c r="Y1035" s="36"/>
      <c r="Z1035" s="36">
        <v>0</v>
      </c>
      <c r="AA1035" s="36">
        <v>0</v>
      </c>
      <c r="AB1035" s="36"/>
      <c r="AC1035" s="36" t="str">
        <f t="shared" si="4"/>
        <v>PC26</v>
      </c>
      <c r="AD1035" s="36" t="str">
        <f>VLOOKUP(D1035,Oficial!A:C,3,0)</f>
        <v>Bienes y Servicios</v>
      </c>
    </row>
    <row r="1036" spans="1:30" x14ac:dyDescent="0.25">
      <c r="A1036" s="36" t="s">
        <v>27</v>
      </c>
      <c r="B1036" s="36" t="s">
        <v>1453</v>
      </c>
      <c r="C1036" s="36" t="s">
        <v>28</v>
      </c>
      <c r="D1036" s="36" t="s">
        <v>1453</v>
      </c>
      <c r="E1036" s="36" t="s">
        <v>30</v>
      </c>
      <c r="F1036" s="36" t="s">
        <v>569</v>
      </c>
      <c r="G1036" s="37" t="s">
        <v>654</v>
      </c>
      <c r="H1036" s="36" t="s">
        <v>1454</v>
      </c>
      <c r="I1036" s="36" t="s">
        <v>1455</v>
      </c>
      <c r="J1036" s="36">
        <v>1</v>
      </c>
      <c r="K1036" s="36" t="s">
        <v>602</v>
      </c>
      <c r="L1036" s="36">
        <v>4</v>
      </c>
      <c r="M1036" s="36">
        <v>2</v>
      </c>
      <c r="N1036" s="38">
        <v>360000</v>
      </c>
      <c r="O1036" s="38">
        <v>720000</v>
      </c>
      <c r="P1036" s="36">
        <v>1</v>
      </c>
      <c r="Q1036" s="40">
        <v>46113</v>
      </c>
      <c r="R1036" s="36" t="s">
        <v>1445</v>
      </c>
      <c r="S1036" s="36" t="s">
        <v>1446</v>
      </c>
      <c r="T1036" s="36" t="s">
        <v>1447</v>
      </c>
      <c r="U1036" s="36" t="s">
        <v>1448</v>
      </c>
      <c r="V1036" s="40">
        <v>46113</v>
      </c>
      <c r="W1036" s="36"/>
      <c r="X1036" s="36">
        <v>0</v>
      </c>
      <c r="Y1036" s="36"/>
      <c r="Z1036" s="36">
        <v>0</v>
      </c>
      <c r="AA1036" s="36">
        <v>0</v>
      </c>
      <c r="AB1036" s="36"/>
      <c r="AC1036" s="36" t="str">
        <f t="shared" si="4"/>
        <v>PC26</v>
      </c>
      <c r="AD1036" s="36" t="str">
        <f>VLOOKUP(D1036,Oficial!A:C,3,0)</f>
        <v>Bienes y Servicios</v>
      </c>
    </row>
    <row r="1037" spans="1:30" x14ac:dyDescent="0.25">
      <c r="A1037" s="36" t="s">
        <v>27</v>
      </c>
      <c r="B1037" s="36" t="s">
        <v>1456</v>
      </c>
      <c r="C1037" s="36" t="s">
        <v>28</v>
      </c>
      <c r="D1037" s="36" t="s">
        <v>1456</v>
      </c>
      <c r="E1037" s="36" t="s">
        <v>30</v>
      </c>
      <c r="F1037" s="36" t="s">
        <v>569</v>
      </c>
      <c r="G1037" s="37" t="s">
        <v>104</v>
      </c>
      <c r="H1037" s="36" t="s">
        <v>1457</v>
      </c>
      <c r="I1037" s="36" t="s">
        <v>1458</v>
      </c>
      <c r="J1037" s="36">
        <v>1</v>
      </c>
      <c r="K1037" s="36" t="s">
        <v>1459</v>
      </c>
      <c r="L1037" s="36">
        <v>4</v>
      </c>
      <c r="M1037" s="36">
        <v>9</v>
      </c>
      <c r="N1037" s="38">
        <v>18889</v>
      </c>
      <c r="O1037" s="38">
        <v>170001</v>
      </c>
      <c r="P1037" s="36">
        <v>1</v>
      </c>
      <c r="Q1037" s="40">
        <v>46054</v>
      </c>
      <c r="R1037" s="36" t="s">
        <v>1211</v>
      </c>
      <c r="S1037" s="36" t="s">
        <v>320</v>
      </c>
      <c r="T1037" s="36" t="s">
        <v>1212</v>
      </c>
      <c r="U1037" s="36" t="s">
        <v>322</v>
      </c>
      <c r="V1037" s="40">
        <v>46054</v>
      </c>
      <c r="W1037" s="36"/>
      <c r="X1037" s="36">
        <v>0</v>
      </c>
      <c r="Y1037" s="36"/>
      <c r="Z1037" s="36">
        <v>0</v>
      </c>
      <c r="AA1037" s="36">
        <v>0</v>
      </c>
      <c r="AB1037" s="36"/>
      <c r="AC1037" s="36" t="str">
        <f t="shared" si="4"/>
        <v>PC26</v>
      </c>
      <c r="AD1037" s="36" t="str">
        <f>VLOOKUP(D1037,Oficial!A:C,3,0)</f>
        <v>Bienes y Servicios</v>
      </c>
    </row>
    <row r="1038" spans="1:30" x14ac:dyDescent="0.25">
      <c r="A1038" s="36" t="s">
        <v>27</v>
      </c>
      <c r="B1038" s="36" t="s">
        <v>1460</v>
      </c>
      <c r="C1038" s="36" t="s">
        <v>28</v>
      </c>
      <c r="D1038" s="36" t="s">
        <v>1460</v>
      </c>
      <c r="E1038" s="36" t="s">
        <v>30</v>
      </c>
      <c r="F1038" s="36" t="s">
        <v>569</v>
      </c>
      <c r="G1038" s="37" t="s">
        <v>645</v>
      </c>
      <c r="H1038" s="36" t="s">
        <v>1461</v>
      </c>
      <c r="I1038" s="36" t="s">
        <v>1462</v>
      </c>
      <c r="J1038" s="36">
        <v>1</v>
      </c>
      <c r="K1038" s="36" t="s">
        <v>1463</v>
      </c>
      <c r="L1038" s="36">
        <v>4</v>
      </c>
      <c r="M1038" s="36">
        <v>189</v>
      </c>
      <c r="N1038" s="38">
        <v>43366</v>
      </c>
      <c r="O1038" s="38">
        <v>8196174</v>
      </c>
      <c r="P1038" s="36">
        <v>1</v>
      </c>
      <c r="Q1038" s="40">
        <v>46023</v>
      </c>
      <c r="R1038" s="36" t="s">
        <v>1075</v>
      </c>
      <c r="S1038" s="36" t="s">
        <v>1076</v>
      </c>
      <c r="T1038" s="36" t="s">
        <v>1077</v>
      </c>
      <c r="U1038" s="36" t="s">
        <v>1084</v>
      </c>
      <c r="V1038" s="40">
        <v>46023</v>
      </c>
      <c r="W1038" s="36"/>
      <c r="X1038" s="36">
        <v>0</v>
      </c>
      <c r="Y1038" s="36"/>
      <c r="Z1038" s="36">
        <v>0</v>
      </c>
      <c r="AA1038" s="36">
        <v>0</v>
      </c>
      <c r="AB1038" s="36"/>
      <c r="AC1038" s="36" t="str">
        <f t="shared" si="4"/>
        <v>PC26</v>
      </c>
      <c r="AD1038" s="36" t="str">
        <f>VLOOKUP(D1038,Oficial!A:C,3,0)</f>
        <v>Bienes y Servicios</v>
      </c>
    </row>
    <row r="1039" spans="1:30" x14ac:dyDescent="0.25">
      <c r="A1039" s="36" t="s">
        <v>27</v>
      </c>
      <c r="B1039" s="36" t="s">
        <v>1464</v>
      </c>
      <c r="C1039" s="36" t="s">
        <v>1238</v>
      </c>
      <c r="D1039" s="36" t="s">
        <v>1464</v>
      </c>
      <c r="E1039" s="36" t="s">
        <v>30</v>
      </c>
      <c r="F1039" s="36" t="s">
        <v>745</v>
      </c>
      <c r="G1039" s="37" t="s">
        <v>1290</v>
      </c>
      <c r="H1039" s="36" t="s">
        <v>1465</v>
      </c>
      <c r="I1039" s="36" t="s">
        <v>1462</v>
      </c>
      <c r="J1039" s="36">
        <v>1</v>
      </c>
      <c r="K1039" s="36" t="s">
        <v>1293</v>
      </c>
      <c r="L1039" s="36">
        <v>4</v>
      </c>
      <c r="M1039" s="36">
        <v>10</v>
      </c>
      <c r="N1039" s="38">
        <v>100000</v>
      </c>
      <c r="O1039" s="38">
        <v>1000000</v>
      </c>
      <c r="P1039" s="36">
        <v>1</v>
      </c>
      <c r="Q1039" s="40">
        <v>46023</v>
      </c>
      <c r="R1039" s="36" t="s">
        <v>1075</v>
      </c>
      <c r="S1039" s="36" t="s">
        <v>1076</v>
      </c>
      <c r="T1039" s="36" t="s">
        <v>1077</v>
      </c>
      <c r="U1039" s="36" t="s">
        <v>1084</v>
      </c>
      <c r="V1039" s="40">
        <v>46023</v>
      </c>
      <c r="W1039" s="36"/>
      <c r="X1039" s="36">
        <v>0</v>
      </c>
      <c r="Y1039" s="36"/>
      <c r="Z1039" s="36">
        <v>0</v>
      </c>
      <c r="AA1039" s="36">
        <v>0</v>
      </c>
      <c r="AB1039" s="36"/>
      <c r="AC1039" s="36" t="str">
        <f t="shared" si="4"/>
        <v>PC26</v>
      </c>
      <c r="AD1039" s="36" t="str">
        <f>VLOOKUP(D1039,Oficial!A:C,3,0)</f>
        <v>Activos Fijos</v>
      </c>
    </row>
    <row r="1040" spans="1:30" x14ac:dyDescent="0.25">
      <c r="A1040" s="36" t="s">
        <v>27</v>
      </c>
      <c r="B1040" s="36" t="s">
        <v>1466</v>
      </c>
      <c r="C1040" s="36" t="s">
        <v>28</v>
      </c>
      <c r="D1040" s="36" t="s">
        <v>1466</v>
      </c>
      <c r="E1040" s="36" t="s">
        <v>30</v>
      </c>
      <c r="F1040" s="36" t="s">
        <v>569</v>
      </c>
      <c r="G1040" s="37" t="s">
        <v>483</v>
      </c>
      <c r="H1040" s="36" t="s">
        <v>1467</v>
      </c>
      <c r="I1040" s="36" t="s">
        <v>1468</v>
      </c>
      <c r="J1040" s="36">
        <v>1</v>
      </c>
      <c r="K1040" s="36" t="s">
        <v>760</v>
      </c>
      <c r="L1040" s="36">
        <v>4</v>
      </c>
      <c r="M1040" s="36">
        <v>47</v>
      </c>
      <c r="N1040" s="38">
        <v>106383</v>
      </c>
      <c r="O1040" s="38">
        <v>5000001</v>
      </c>
      <c r="P1040" s="36">
        <v>1</v>
      </c>
      <c r="Q1040" s="40">
        <v>46054</v>
      </c>
      <c r="R1040" s="36" t="s">
        <v>1469</v>
      </c>
      <c r="S1040" s="36" t="s">
        <v>1470</v>
      </c>
      <c r="T1040" s="36" t="s">
        <v>1471</v>
      </c>
      <c r="U1040" s="36" t="s">
        <v>1472</v>
      </c>
      <c r="V1040" s="40">
        <v>46054</v>
      </c>
      <c r="W1040" s="36"/>
      <c r="X1040" s="36">
        <v>0</v>
      </c>
      <c r="Y1040" s="36"/>
      <c r="Z1040" s="36">
        <v>0</v>
      </c>
      <c r="AA1040" s="36">
        <v>0</v>
      </c>
      <c r="AB1040" s="36"/>
      <c r="AC1040" s="36" t="str">
        <f t="shared" si="4"/>
        <v>PC26</v>
      </c>
      <c r="AD1040" s="36" t="str">
        <f>VLOOKUP(D1040,Oficial!A:C,3,0)</f>
        <v>Bienes y Servicios</v>
      </c>
    </row>
    <row r="1041" spans="1:30" x14ac:dyDescent="0.25">
      <c r="A1041" s="36" t="s">
        <v>27</v>
      </c>
      <c r="B1041" s="36" t="s">
        <v>1473</v>
      </c>
      <c r="C1041" s="36" t="s">
        <v>28</v>
      </c>
      <c r="D1041" s="36" t="s">
        <v>1473</v>
      </c>
      <c r="E1041" s="36" t="s">
        <v>30</v>
      </c>
      <c r="F1041" s="36" t="s">
        <v>569</v>
      </c>
      <c r="G1041" s="37" t="s">
        <v>104</v>
      </c>
      <c r="H1041" s="36" t="s">
        <v>1474</v>
      </c>
      <c r="I1041" s="36" t="s">
        <v>1475</v>
      </c>
      <c r="J1041" s="36">
        <v>1</v>
      </c>
      <c r="K1041" s="36" t="s">
        <v>1476</v>
      </c>
      <c r="L1041" s="36">
        <v>4</v>
      </c>
      <c r="M1041" s="36">
        <v>63</v>
      </c>
      <c r="N1041" s="38">
        <v>4762</v>
      </c>
      <c r="O1041" s="38">
        <v>300006</v>
      </c>
      <c r="P1041" s="36">
        <v>1</v>
      </c>
      <c r="Q1041" s="40">
        <v>46023</v>
      </c>
      <c r="R1041" s="36" t="s">
        <v>1477</v>
      </c>
      <c r="S1041" s="36" t="s">
        <v>1478</v>
      </c>
      <c r="T1041" s="36" t="s">
        <v>220</v>
      </c>
      <c r="U1041" s="36" t="s">
        <v>221</v>
      </c>
      <c r="V1041" s="40">
        <v>46023</v>
      </c>
      <c r="W1041" s="36"/>
      <c r="X1041" s="36">
        <v>0</v>
      </c>
      <c r="Y1041" s="36"/>
      <c r="Z1041" s="36">
        <v>0</v>
      </c>
      <c r="AA1041" s="36">
        <v>0</v>
      </c>
      <c r="AB1041" s="36"/>
      <c r="AC1041" s="36" t="str">
        <f t="shared" si="4"/>
        <v>PC26</v>
      </c>
      <c r="AD1041" s="36" t="str">
        <f>VLOOKUP(D1041,Oficial!A:C,3,0)</f>
        <v>Bienes y Servicios</v>
      </c>
    </row>
    <row r="1042" spans="1:30" x14ac:dyDescent="0.25">
      <c r="A1042" s="36" t="s">
        <v>27</v>
      </c>
      <c r="B1042" s="36" t="s">
        <v>1479</v>
      </c>
      <c r="C1042" s="36" t="s">
        <v>28</v>
      </c>
      <c r="D1042" s="36" t="s">
        <v>1479</v>
      </c>
      <c r="E1042" s="36" t="s">
        <v>30</v>
      </c>
      <c r="F1042" s="36" t="s">
        <v>745</v>
      </c>
      <c r="G1042" s="37" t="s">
        <v>367</v>
      </c>
      <c r="H1042" s="36" t="s">
        <v>1480</v>
      </c>
      <c r="I1042" s="36" t="s">
        <v>1481</v>
      </c>
      <c r="J1042" s="36">
        <v>1</v>
      </c>
      <c r="K1042" s="36" t="s">
        <v>602</v>
      </c>
      <c r="L1042" s="36">
        <v>4</v>
      </c>
      <c r="M1042" s="36">
        <v>1</v>
      </c>
      <c r="N1042" s="38">
        <v>220000</v>
      </c>
      <c r="O1042" s="38">
        <v>220000</v>
      </c>
      <c r="P1042" s="36">
        <v>1</v>
      </c>
      <c r="Q1042" s="40">
        <v>46143</v>
      </c>
      <c r="R1042" s="36" t="s">
        <v>1445</v>
      </c>
      <c r="S1042" s="36" t="s">
        <v>1446</v>
      </c>
      <c r="T1042" s="36" t="s">
        <v>1447</v>
      </c>
      <c r="U1042" s="36" t="s">
        <v>1448</v>
      </c>
      <c r="V1042" s="40">
        <v>46113</v>
      </c>
      <c r="W1042" s="36"/>
      <c r="X1042" s="36">
        <v>0</v>
      </c>
      <c r="Y1042" s="36"/>
      <c r="Z1042" s="36">
        <v>0</v>
      </c>
      <c r="AA1042" s="36">
        <v>0</v>
      </c>
      <c r="AB1042" s="36"/>
      <c r="AC1042" s="36" t="str">
        <f t="shared" si="4"/>
        <v>PC26</v>
      </c>
      <c r="AD1042" s="36" t="str">
        <f>VLOOKUP(D1042,Oficial!A:C,3,0)</f>
        <v>Bienes y Servicios</v>
      </c>
    </row>
    <row r="1043" spans="1:30" x14ac:dyDescent="0.25">
      <c r="A1043" s="36" t="s">
        <v>27</v>
      </c>
      <c r="B1043" s="36" t="s">
        <v>1482</v>
      </c>
      <c r="C1043" s="36" t="s">
        <v>28</v>
      </c>
      <c r="D1043" s="36" t="s">
        <v>1482</v>
      </c>
      <c r="E1043" s="36" t="s">
        <v>30</v>
      </c>
      <c r="F1043" s="36" t="s">
        <v>569</v>
      </c>
      <c r="G1043" s="37" t="s">
        <v>104</v>
      </c>
      <c r="H1043" s="36" t="s">
        <v>1483</v>
      </c>
      <c r="I1043" s="36" t="s">
        <v>1484</v>
      </c>
      <c r="J1043" s="36">
        <v>1</v>
      </c>
      <c r="K1043" s="36" t="s">
        <v>1459</v>
      </c>
      <c r="L1043" s="36">
        <v>4</v>
      </c>
      <c r="M1043" s="36">
        <v>26</v>
      </c>
      <c r="N1043" s="38">
        <v>57693</v>
      </c>
      <c r="O1043" s="38">
        <v>1500018</v>
      </c>
      <c r="P1043" s="36">
        <v>1</v>
      </c>
      <c r="Q1043" s="40">
        <v>46023</v>
      </c>
      <c r="R1043" s="36" t="s">
        <v>1477</v>
      </c>
      <c r="S1043" s="36" t="s">
        <v>1478</v>
      </c>
      <c r="T1043" s="36" t="s">
        <v>220</v>
      </c>
      <c r="U1043" s="36" t="s">
        <v>221</v>
      </c>
      <c r="V1043" s="40">
        <v>46023</v>
      </c>
      <c r="W1043" s="36"/>
      <c r="X1043" s="36">
        <v>0</v>
      </c>
      <c r="Y1043" s="36"/>
      <c r="Z1043" s="36">
        <v>0</v>
      </c>
      <c r="AA1043" s="36">
        <v>0</v>
      </c>
      <c r="AB1043" s="36"/>
      <c r="AC1043" s="36" t="str">
        <f t="shared" si="4"/>
        <v>PC26</v>
      </c>
      <c r="AD1043" s="36" t="str">
        <f>VLOOKUP(D1043,Oficial!A:C,3,0)</f>
        <v>Bienes y Servicios</v>
      </c>
    </row>
    <row r="1044" spans="1:30" x14ac:dyDescent="0.25">
      <c r="A1044" s="36" t="s">
        <v>27</v>
      </c>
      <c r="B1044" s="36" t="s">
        <v>1485</v>
      </c>
      <c r="C1044" s="36" t="s">
        <v>1238</v>
      </c>
      <c r="D1044" s="36" t="s">
        <v>1485</v>
      </c>
      <c r="E1044" s="36" t="s">
        <v>30</v>
      </c>
      <c r="F1044" s="36" t="s">
        <v>569</v>
      </c>
      <c r="G1044" s="37" t="s">
        <v>1031</v>
      </c>
      <c r="H1044" s="36" t="s">
        <v>1486</v>
      </c>
      <c r="I1044" s="36" t="s">
        <v>1487</v>
      </c>
      <c r="J1044" s="36">
        <v>1</v>
      </c>
      <c r="K1044" s="36" t="s">
        <v>1488</v>
      </c>
      <c r="L1044" s="36">
        <v>4</v>
      </c>
      <c r="M1044" s="36">
        <v>1</v>
      </c>
      <c r="N1044" s="38">
        <v>250000</v>
      </c>
      <c r="O1044" s="38">
        <v>250000</v>
      </c>
      <c r="P1044" s="36">
        <v>1</v>
      </c>
      <c r="Q1044" s="40">
        <v>46054</v>
      </c>
      <c r="R1044" s="36" t="s">
        <v>1211</v>
      </c>
      <c r="S1044" s="36" t="s">
        <v>320</v>
      </c>
      <c r="T1044" s="36" t="s">
        <v>1212</v>
      </c>
      <c r="U1044" s="36" t="s">
        <v>322</v>
      </c>
      <c r="V1044" s="40">
        <v>46054</v>
      </c>
      <c r="W1044" s="36"/>
      <c r="X1044" s="36">
        <v>0</v>
      </c>
      <c r="Y1044" s="36"/>
      <c r="Z1044" s="36">
        <v>0</v>
      </c>
      <c r="AA1044" s="36">
        <v>0</v>
      </c>
      <c r="AB1044" s="36"/>
      <c r="AC1044" s="36" t="str">
        <f t="shared" si="4"/>
        <v>PC26</v>
      </c>
      <c r="AD1044" s="36" t="str">
        <f>VLOOKUP(D1044,Oficial!A:C,3,0)</f>
        <v>Activos Fijos</v>
      </c>
    </row>
    <row r="1045" spans="1:30" x14ac:dyDescent="0.25">
      <c r="A1045" s="36" t="s">
        <v>27</v>
      </c>
      <c r="B1045" s="36" t="s">
        <v>1489</v>
      </c>
      <c r="C1045" s="36" t="s">
        <v>28</v>
      </c>
      <c r="D1045" s="36" t="s">
        <v>1489</v>
      </c>
      <c r="E1045" s="36" t="s">
        <v>30</v>
      </c>
      <c r="F1045" s="36" t="s">
        <v>569</v>
      </c>
      <c r="G1045" s="37" t="s">
        <v>654</v>
      </c>
      <c r="H1045" s="36" t="s">
        <v>1490</v>
      </c>
      <c r="I1045" s="36" t="s">
        <v>1491</v>
      </c>
      <c r="J1045" s="36">
        <v>1</v>
      </c>
      <c r="K1045" s="36" t="s">
        <v>359</v>
      </c>
      <c r="L1045" s="36">
        <v>4</v>
      </c>
      <c r="M1045" s="36">
        <v>220</v>
      </c>
      <c r="N1045" s="38">
        <v>991</v>
      </c>
      <c r="O1045" s="38">
        <v>218020</v>
      </c>
      <c r="P1045" s="36">
        <v>1</v>
      </c>
      <c r="Q1045" s="40">
        <v>46113</v>
      </c>
      <c r="R1045" s="36" t="s">
        <v>1211</v>
      </c>
      <c r="S1045" s="36" t="s">
        <v>320</v>
      </c>
      <c r="T1045" s="36" t="s">
        <v>1212</v>
      </c>
      <c r="U1045" s="36" t="s">
        <v>322</v>
      </c>
      <c r="V1045" s="40">
        <v>46113</v>
      </c>
      <c r="W1045" s="36"/>
      <c r="X1045" s="36">
        <v>0</v>
      </c>
      <c r="Y1045" s="36"/>
      <c r="Z1045" s="36">
        <v>0</v>
      </c>
      <c r="AA1045" s="36">
        <v>0</v>
      </c>
      <c r="AB1045" s="36"/>
      <c r="AC1045" s="36" t="str">
        <f t="shared" si="4"/>
        <v>PC26</v>
      </c>
      <c r="AD1045" s="36" t="str">
        <f>VLOOKUP(D1045,Oficial!A:C,3,0)</f>
        <v>Bienes y Servicios</v>
      </c>
    </row>
    <row r="1046" spans="1:30" x14ac:dyDescent="0.25">
      <c r="A1046" s="36" t="s">
        <v>27</v>
      </c>
      <c r="B1046" s="36" t="s">
        <v>1492</v>
      </c>
      <c r="C1046" s="36" t="s">
        <v>28</v>
      </c>
      <c r="D1046" s="36" t="s">
        <v>1492</v>
      </c>
      <c r="E1046" s="36" t="s">
        <v>30</v>
      </c>
      <c r="F1046" s="36" t="s">
        <v>569</v>
      </c>
      <c r="G1046" s="37" t="s">
        <v>1493</v>
      </c>
      <c r="H1046" s="36" t="s">
        <v>1494</v>
      </c>
      <c r="I1046" s="36" t="s">
        <v>1495</v>
      </c>
      <c r="J1046" s="36">
        <v>1</v>
      </c>
      <c r="K1046" s="36" t="s">
        <v>1410</v>
      </c>
      <c r="L1046" s="36">
        <v>4</v>
      </c>
      <c r="M1046" s="36">
        <v>1</v>
      </c>
      <c r="N1046" s="38">
        <v>100000</v>
      </c>
      <c r="O1046" s="38">
        <v>100000</v>
      </c>
      <c r="P1046" s="36">
        <v>1</v>
      </c>
      <c r="Q1046" s="40">
        <v>46082</v>
      </c>
      <c r="R1046" s="36" t="s">
        <v>590</v>
      </c>
      <c r="S1046" s="36" t="s">
        <v>591</v>
      </c>
      <c r="T1046" s="36" t="s">
        <v>1496</v>
      </c>
      <c r="U1046" s="36" t="s">
        <v>593</v>
      </c>
      <c r="V1046" s="40">
        <v>46082</v>
      </c>
      <c r="W1046" s="36"/>
      <c r="X1046" s="36">
        <v>0</v>
      </c>
      <c r="Y1046" s="36"/>
      <c r="Z1046" s="36">
        <v>0</v>
      </c>
      <c r="AA1046" s="36">
        <v>0</v>
      </c>
      <c r="AB1046" s="36"/>
      <c r="AC1046" s="36" t="str">
        <f t="shared" si="4"/>
        <v>PC26</v>
      </c>
      <c r="AD1046" s="36" t="str">
        <f>VLOOKUP(D1046,Oficial!A:C,3,0)</f>
        <v>Bienes y Servicios</v>
      </c>
    </row>
    <row r="1047" spans="1:30" x14ac:dyDescent="0.25">
      <c r="A1047" s="36" t="s">
        <v>27</v>
      </c>
      <c r="B1047" s="36" t="s">
        <v>1497</v>
      </c>
      <c r="C1047" s="36" t="s">
        <v>28</v>
      </c>
      <c r="D1047" s="36" t="s">
        <v>1497</v>
      </c>
      <c r="E1047" s="36" t="s">
        <v>30</v>
      </c>
      <c r="F1047" s="36" t="s">
        <v>569</v>
      </c>
      <c r="G1047" s="37" t="s">
        <v>483</v>
      </c>
      <c r="H1047" s="36" t="s">
        <v>1498</v>
      </c>
      <c r="I1047" s="36" t="s">
        <v>1499</v>
      </c>
      <c r="J1047" s="36">
        <v>1</v>
      </c>
      <c r="K1047" s="36" t="s">
        <v>1500</v>
      </c>
      <c r="L1047" s="36">
        <v>4</v>
      </c>
      <c r="M1047" s="36">
        <v>11</v>
      </c>
      <c r="N1047" s="38">
        <v>30455</v>
      </c>
      <c r="O1047" s="38">
        <v>335005</v>
      </c>
      <c r="P1047" s="36">
        <v>1</v>
      </c>
      <c r="Q1047" s="40">
        <v>46082</v>
      </c>
      <c r="R1047" s="36" t="s">
        <v>1075</v>
      </c>
      <c r="S1047" s="36" t="s">
        <v>1076</v>
      </c>
      <c r="T1047" s="36" t="s">
        <v>1077</v>
      </c>
      <c r="U1047" s="36" t="s">
        <v>1084</v>
      </c>
      <c r="V1047" s="40">
        <v>46082</v>
      </c>
      <c r="W1047" s="36"/>
      <c r="X1047" s="36">
        <v>0</v>
      </c>
      <c r="Y1047" s="36"/>
      <c r="Z1047" s="36">
        <v>0</v>
      </c>
      <c r="AA1047" s="36">
        <v>0</v>
      </c>
      <c r="AB1047" s="36"/>
      <c r="AC1047" s="36" t="str">
        <f t="shared" ref="AC1047:AC1110" si="5">RIGHT(D1047,4)</f>
        <v>PC26</v>
      </c>
      <c r="AD1047" s="36" t="str">
        <f>VLOOKUP(D1047,Oficial!A:C,3,0)</f>
        <v>Bienes y Servicios</v>
      </c>
    </row>
    <row r="1048" spans="1:30" x14ac:dyDescent="0.25">
      <c r="A1048" s="36" t="s">
        <v>27</v>
      </c>
      <c r="B1048" s="36" t="s">
        <v>1501</v>
      </c>
      <c r="C1048" s="36" t="s">
        <v>28</v>
      </c>
      <c r="D1048" s="36" t="s">
        <v>1501</v>
      </c>
      <c r="E1048" s="36" t="s">
        <v>30</v>
      </c>
      <c r="F1048" s="36" t="s">
        <v>569</v>
      </c>
      <c r="G1048" s="37" t="s">
        <v>129</v>
      </c>
      <c r="H1048" s="36" t="s">
        <v>1502</v>
      </c>
      <c r="I1048" s="36" t="s">
        <v>1503</v>
      </c>
      <c r="J1048" s="36">
        <v>1</v>
      </c>
      <c r="K1048" s="36" t="s">
        <v>1504</v>
      </c>
      <c r="L1048" s="36">
        <v>4</v>
      </c>
      <c r="M1048" s="36">
        <v>1</v>
      </c>
      <c r="N1048" s="38">
        <v>2400000</v>
      </c>
      <c r="O1048" s="38">
        <v>2400000</v>
      </c>
      <c r="P1048" s="36">
        <v>12</v>
      </c>
      <c r="Q1048" s="36" t="s">
        <v>413</v>
      </c>
      <c r="R1048" s="36" t="s">
        <v>1505</v>
      </c>
      <c r="S1048" s="36" t="s">
        <v>1506</v>
      </c>
      <c r="T1048" s="36" t="s">
        <v>1507</v>
      </c>
      <c r="U1048" s="36" t="s">
        <v>1508</v>
      </c>
      <c r="V1048" s="40">
        <v>46023</v>
      </c>
      <c r="W1048" s="36"/>
      <c r="X1048" s="36">
        <v>0</v>
      </c>
      <c r="Y1048" s="36"/>
      <c r="Z1048" s="36">
        <v>0</v>
      </c>
      <c r="AA1048" s="36">
        <v>0</v>
      </c>
      <c r="AB1048" s="36"/>
      <c r="AC1048" s="36" t="str">
        <f t="shared" si="5"/>
        <v>PC26</v>
      </c>
      <c r="AD1048" s="36" t="str">
        <f>VLOOKUP(D1048,Oficial!A:C,3,0)</f>
        <v>Bienes y Servicios</v>
      </c>
    </row>
    <row r="1049" spans="1:30" x14ac:dyDescent="0.25">
      <c r="A1049" s="36" t="s">
        <v>27</v>
      </c>
      <c r="B1049" s="36" t="s">
        <v>1509</v>
      </c>
      <c r="C1049" s="36" t="s">
        <v>28</v>
      </c>
      <c r="D1049" s="36" t="s">
        <v>1509</v>
      </c>
      <c r="E1049" s="36" t="s">
        <v>30</v>
      </c>
      <c r="F1049" s="36" t="s">
        <v>569</v>
      </c>
      <c r="G1049" s="37" t="s">
        <v>615</v>
      </c>
      <c r="H1049" s="36" t="s">
        <v>1510</v>
      </c>
      <c r="I1049" s="36" t="s">
        <v>1511</v>
      </c>
      <c r="J1049" s="36">
        <v>2</v>
      </c>
      <c r="K1049" s="36" t="s">
        <v>1512</v>
      </c>
      <c r="L1049" s="36">
        <v>4</v>
      </c>
      <c r="M1049" s="36">
        <v>18</v>
      </c>
      <c r="N1049" s="38">
        <v>4227</v>
      </c>
      <c r="O1049" s="38">
        <v>76086</v>
      </c>
      <c r="P1049" s="36">
        <v>1</v>
      </c>
      <c r="Q1049" s="40">
        <v>46113</v>
      </c>
      <c r="R1049" s="36" t="s">
        <v>590</v>
      </c>
      <c r="S1049" s="36" t="s">
        <v>591</v>
      </c>
      <c r="T1049" s="36" t="s">
        <v>592</v>
      </c>
      <c r="U1049" s="36" t="s">
        <v>593</v>
      </c>
      <c r="V1049" s="40">
        <v>46113</v>
      </c>
      <c r="W1049" s="36"/>
      <c r="X1049" s="36">
        <v>0</v>
      </c>
      <c r="Y1049" s="36"/>
      <c r="Z1049" s="36">
        <v>0</v>
      </c>
      <c r="AA1049" s="36">
        <v>0</v>
      </c>
      <c r="AB1049" s="36"/>
      <c r="AC1049" s="36" t="str">
        <f t="shared" si="5"/>
        <v>PC26</v>
      </c>
      <c r="AD1049" s="36" t="str">
        <f>VLOOKUP(D1049,Oficial!A:C,3,0)</f>
        <v>Bienes y Servicios</v>
      </c>
    </row>
    <row r="1050" spans="1:30" x14ac:dyDescent="0.25">
      <c r="A1050" s="36" t="s">
        <v>27</v>
      </c>
      <c r="B1050" s="36" t="s">
        <v>1509</v>
      </c>
      <c r="C1050" s="36" t="s">
        <v>28</v>
      </c>
      <c r="D1050" s="36" t="s">
        <v>1509</v>
      </c>
      <c r="E1050" s="36" t="s">
        <v>30</v>
      </c>
      <c r="F1050" s="36" t="s">
        <v>569</v>
      </c>
      <c r="G1050" s="37" t="s">
        <v>615</v>
      </c>
      <c r="H1050" s="36" t="s">
        <v>1510</v>
      </c>
      <c r="I1050" s="36" t="s">
        <v>1511</v>
      </c>
      <c r="J1050" s="36">
        <v>2</v>
      </c>
      <c r="K1050" s="36" t="s">
        <v>1513</v>
      </c>
      <c r="L1050" s="36">
        <v>4</v>
      </c>
      <c r="M1050" s="36">
        <v>6</v>
      </c>
      <c r="N1050" s="38">
        <v>37334</v>
      </c>
      <c r="O1050" s="38">
        <v>224004</v>
      </c>
      <c r="P1050" s="36">
        <v>1</v>
      </c>
      <c r="Q1050" s="40">
        <v>46113</v>
      </c>
      <c r="R1050" s="36" t="s">
        <v>590</v>
      </c>
      <c r="S1050" s="36" t="s">
        <v>591</v>
      </c>
      <c r="T1050" s="36" t="s">
        <v>592</v>
      </c>
      <c r="U1050" s="36" t="s">
        <v>593</v>
      </c>
      <c r="V1050" s="40">
        <v>46113</v>
      </c>
      <c r="W1050" s="36"/>
      <c r="X1050" s="36">
        <v>0</v>
      </c>
      <c r="Y1050" s="36"/>
      <c r="Z1050" s="36">
        <v>0</v>
      </c>
      <c r="AA1050" s="36">
        <v>0</v>
      </c>
      <c r="AB1050" s="36"/>
      <c r="AC1050" s="36" t="str">
        <f t="shared" si="5"/>
        <v>PC26</v>
      </c>
      <c r="AD1050" s="36" t="str">
        <f>VLOOKUP(D1050,Oficial!A:C,3,0)</f>
        <v>Bienes y Servicios</v>
      </c>
    </row>
    <row r="1051" spans="1:30" x14ac:dyDescent="0.25">
      <c r="A1051" s="36" t="s">
        <v>27</v>
      </c>
      <c r="B1051" s="36" t="s">
        <v>1514</v>
      </c>
      <c r="C1051" s="36" t="s">
        <v>28</v>
      </c>
      <c r="D1051" s="36" t="s">
        <v>1514</v>
      </c>
      <c r="E1051" s="36" t="s">
        <v>30</v>
      </c>
      <c r="F1051" s="36" t="s">
        <v>745</v>
      </c>
      <c r="G1051" s="37" t="s">
        <v>645</v>
      </c>
      <c r="H1051" s="36" t="s">
        <v>1515</v>
      </c>
      <c r="I1051" s="36" t="s">
        <v>1516</v>
      </c>
      <c r="J1051" s="36">
        <v>1</v>
      </c>
      <c r="K1051" s="36" t="s">
        <v>1517</v>
      </c>
      <c r="L1051" s="36">
        <v>4</v>
      </c>
      <c r="M1051" s="36">
        <v>6</v>
      </c>
      <c r="N1051" s="38">
        <v>25000</v>
      </c>
      <c r="O1051" s="38">
        <v>150000</v>
      </c>
      <c r="P1051" s="36">
        <v>1</v>
      </c>
      <c r="Q1051" s="40">
        <v>46266</v>
      </c>
      <c r="R1051" s="36" t="s">
        <v>1075</v>
      </c>
      <c r="S1051" s="36" t="s">
        <v>1076</v>
      </c>
      <c r="T1051" s="36" t="s">
        <v>1077</v>
      </c>
      <c r="U1051" s="36" t="s">
        <v>1084</v>
      </c>
      <c r="V1051" s="40">
        <v>46235</v>
      </c>
      <c r="W1051" s="36"/>
      <c r="X1051" s="36">
        <v>0</v>
      </c>
      <c r="Y1051" s="36"/>
      <c r="Z1051" s="36">
        <v>0</v>
      </c>
      <c r="AA1051" s="36">
        <v>0</v>
      </c>
      <c r="AB1051" s="36"/>
      <c r="AC1051" s="36" t="str">
        <f t="shared" si="5"/>
        <v>PC26</v>
      </c>
      <c r="AD1051" s="36" t="str">
        <f>VLOOKUP(D1051,Oficial!A:C,3,0)</f>
        <v>Bienes y Servicios</v>
      </c>
    </row>
    <row r="1052" spans="1:30" x14ac:dyDescent="0.25">
      <c r="A1052" s="36" t="s">
        <v>27</v>
      </c>
      <c r="B1052" s="36" t="s">
        <v>1518</v>
      </c>
      <c r="C1052" s="36" t="s">
        <v>28</v>
      </c>
      <c r="D1052" s="36" t="s">
        <v>1518</v>
      </c>
      <c r="E1052" s="36" t="s">
        <v>30</v>
      </c>
      <c r="F1052" s="36" t="s">
        <v>569</v>
      </c>
      <c r="G1052" s="37" t="s">
        <v>1519</v>
      </c>
      <c r="H1052" s="36" t="s">
        <v>1520</v>
      </c>
      <c r="I1052" s="36" t="s">
        <v>1521</v>
      </c>
      <c r="J1052" s="36">
        <v>3</v>
      </c>
      <c r="K1052" s="36" t="s">
        <v>1522</v>
      </c>
      <c r="L1052" s="36">
        <v>4</v>
      </c>
      <c r="M1052" s="36">
        <v>96</v>
      </c>
      <c r="N1052" s="38">
        <v>10000</v>
      </c>
      <c r="O1052" s="38">
        <v>960000</v>
      </c>
      <c r="P1052" s="36">
        <v>1</v>
      </c>
      <c r="Q1052" s="40">
        <v>46143</v>
      </c>
      <c r="R1052" s="36" t="s">
        <v>761</v>
      </c>
      <c r="S1052" s="36" t="s">
        <v>762</v>
      </c>
      <c r="T1052" s="36" t="s">
        <v>763</v>
      </c>
      <c r="U1052" s="36" t="s">
        <v>764</v>
      </c>
      <c r="V1052" s="40">
        <v>46143</v>
      </c>
      <c r="W1052" s="36"/>
      <c r="X1052" s="36">
        <v>0</v>
      </c>
      <c r="Y1052" s="36"/>
      <c r="Z1052" s="36">
        <v>0</v>
      </c>
      <c r="AA1052" s="36">
        <v>0</v>
      </c>
      <c r="AB1052" s="36"/>
      <c r="AC1052" s="36" t="str">
        <f t="shared" si="5"/>
        <v>PC26</v>
      </c>
      <c r="AD1052" s="36" t="str">
        <f>VLOOKUP(D1052,Oficial!A:C,3,0)</f>
        <v>Bienes y Servicios</v>
      </c>
    </row>
    <row r="1053" spans="1:30" x14ac:dyDescent="0.25">
      <c r="A1053" s="36" t="s">
        <v>27</v>
      </c>
      <c r="B1053" s="36" t="s">
        <v>1518</v>
      </c>
      <c r="C1053" s="36" t="s">
        <v>28</v>
      </c>
      <c r="D1053" s="36" t="s">
        <v>1518</v>
      </c>
      <c r="E1053" s="36" t="s">
        <v>30</v>
      </c>
      <c r="F1053" s="36" t="s">
        <v>569</v>
      </c>
      <c r="G1053" s="37" t="s">
        <v>1519</v>
      </c>
      <c r="H1053" s="36" t="s">
        <v>1520</v>
      </c>
      <c r="I1053" s="36" t="s">
        <v>1521</v>
      </c>
      <c r="J1053" s="36">
        <v>3</v>
      </c>
      <c r="K1053" s="36" t="s">
        <v>1523</v>
      </c>
      <c r="L1053" s="36">
        <v>4</v>
      </c>
      <c r="M1053" s="36">
        <v>12</v>
      </c>
      <c r="N1053" s="38">
        <v>4167</v>
      </c>
      <c r="O1053" s="38">
        <v>50004</v>
      </c>
      <c r="P1053" s="36">
        <v>1</v>
      </c>
      <c r="Q1053" s="40">
        <v>46143</v>
      </c>
      <c r="R1053" s="36" t="s">
        <v>761</v>
      </c>
      <c r="S1053" s="36" t="s">
        <v>762</v>
      </c>
      <c r="T1053" s="36" t="s">
        <v>763</v>
      </c>
      <c r="U1053" s="36" t="s">
        <v>764</v>
      </c>
      <c r="V1053" s="40">
        <v>46143</v>
      </c>
      <c r="W1053" s="36"/>
      <c r="X1053" s="36">
        <v>0</v>
      </c>
      <c r="Y1053" s="36"/>
      <c r="Z1053" s="36">
        <v>0</v>
      </c>
      <c r="AA1053" s="36">
        <v>0</v>
      </c>
      <c r="AB1053" s="36"/>
      <c r="AC1053" s="36" t="str">
        <f t="shared" si="5"/>
        <v>PC26</v>
      </c>
      <c r="AD1053" s="36" t="str">
        <f>VLOOKUP(D1053,Oficial!A:C,3,0)</f>
        <v>Bienes y Servicios</v>
      </c>
    </row>
    <row r="1054" spans="1:30" x14ac:dyDescent="0.25">
      <c r="A1054" s="36" t="s">
        <v>27</v>
      </c>
      <c r="B1054" s="36" t="s">
        <v>1518</v>
      </c>
      <c r="C1054" s="36" t="s">
        <v>28</v>
      </c>
      <c r="D1054" s="36" t="s">
        <v>1518</v>
      </c>
      <c r="E1054" s="36" t="s">
        <v>30</v>
      </c>
      <c r="F1054" s="36" t="s">
        <v>569</v>
      </c>
      <c r="G1054" s="37" t="s">
        <v>1519</v>
      </c>
      <c r="H1054" s="36" t="s">
        <v>1520</v>
      </c>
      <c r="I1054" s="36" t="s">
        <v>1521</v>
      </c>
      <c r="J1054" s="36">
        <v>3</v>
      </c>
      <c r="K1054" s="36" t="s">
        <v>1524</v>
      </c>
      <c r="L1054" s="36">
        <v>4</v>
      </c>
      <c r="M1054" s="36">
        <v>52</v>
      </c>
      <c r="N1054" s="38">
        <v>12500</v>
      </c>
      <c r="O1054" s="38">
        <v>650000</v>
      </c>
      <c r="P1054" s="36">
        <v>1</v>
      </c>
      <c r="Q1054" s="40">
        <v>46143</v>
      </c>
      <c r="R1054" s="36" t="s">
        <v>761</v>
      </c>
      <c r="S1054" s="36" t="s">
        <v>762</v>
      </c>
      <c r="T1054" s="36" t="s">
        <v>763</v>
      </c>
      <c r="U1054" s="36" t="s">
        <v>764</v>
      </c>
      <c r="V1054" s="40">
        <v>46143</v>
      </c>
      <c r="W1054" s="36"/>
      <c r="X1054" s="36">
        <v>0</v>
      </c>
      <c r="Y1054" s="36"/>
      <c r="Z1054" s="36">
        <v>0</v>
      </c>
      <c r="AA1054" s="36">
        <v>0</v>
      </c>
      <c r="AB1054" s="36"/>
      <c r="AC1054" s="36" t="str">
        <f t="shared" si="5"/>
        <v>PC26</v>
      </c>
      <c r="AD1054" s="36" t="str">
        <f>VLOOKUP(D1054,Oficial!A:C,3,0)</f>
        <v>Bienes y Servicios</v>
      </c>
    </row>
    <row r="1055" spans="1:30" x14ac:dyDescent="0.25">
      <c r="A1055" s="36" t="s">
        <v>27</v>
      </c>
      <c r="B1055" s="36" t="s">
        <v>1525</v>
      </c>
      <c r="C1055" s="36" t="s">
        <v>28</v>
      </c>
      <c r="D1055" s="36" t="s">
        <v>1525</v>
      </c>
      <c r="E1055" s="36" t="s">
        <v>30</v>
      </c>
      <c r="F1055" s="36" t="s">
        <v>569</v>
      </c>
      <c r="G1055" s="37" t="s">
        <v>725</v>
      </c>
      <c r="H1055" s="36" t="s">
        <v>1502</v>
      </c>
      <c r="I1055" s="36" t="s">
        <v>1526</v>
      </c>
      <c r="J1055" s="36">
        <v>1</v>
      </c>
      <c r="K1055" s="36" t="s">
        <v>1527</v>
      </c>
      <c r="L1055" s="36">
        <v>4</v>
      </c>
      <c r="M1055" s="36">
        <v>36</v>
      </c>
      <c r="N1055" s="38">
        <v>107275</v>
      </c>
      <c r="O1055" s="38">
        <v>3861900</v>
      </c>
      <c r="P1055" s="36">
        <v>1</v>
      </c>
      <c r="Q1055" s="40">
        <v>46023</v>
      </c>
      <c r="R1055" s="36" t="s">
        <v>1505</v>
      </c>
      <c r="S1055" s="36" t="s">
        <v>1506</v>
      </c>
      <c r="T1055" s="36" t="s">
        <v>1507</v>
      </c>
      <c r="U1055" s="36" t="s">
        <v>1508</v>
      </c>
      <c r="V1055" s="40">
        <v>46023</v>
      </c>
      <c r="W1055" s="36"/>
      <c r="X1055" s="36">
        <v>0</v>
      </c>
      <c r="Y1055" s="36"/>
      <c r="Z1055" s="36">
        <v>0</v>
      </c>
      <c r="AA1055" s="36">
        <v>0</v>
      </c>
      <c r="AB1055" s="36"/>
      <c r="AC1055" s="36" t="str">
        <f t="shared" si="5"/>
        <v>PC26</v>
      </c>
      <c r="AD1055" s="36" t="str">
        <f>VLOOKUP(D1055,Oficial!A:C,3,0)</f>
        <v>Bienes y Servicios</v>
      </c>
    </row>
    <row r="1056" spans="1:30" x14ac:dyDescent="0.25">
      <c r="A1056" s="36" t="s">
        <v>27</v>
      </c>
      <c r="B1056" s="36" t="s">
        <v>1528</v>
      </c>
      <c r="C1056" s="36" t="s">
        <v>28</v>
      </c>
      <c r="D1056" s="36" t="s">
        <v>1528</v>
      </c>
      <c r="E1056" s="36" t="s">
        <v>30</v>
      </c>
      <c r="F1056" s="36" t="s">
        <v>569</v>
      </c>
      <c r="G1056" s="37" t="s">
        <v>633</v>
      </c>
      <c r="H1056" s="36" t="s">
        <v>1529</v>
      </c>
      <c r="I1056" s="36" t="s">
        <v>1530</v>
      </c>
      <c r="J1056" s="36">
        <v>2</v>
      </c>
      <c r="K1056" s="36" t="s">
        <v>911</v>
      </c>
      <c r="L1056" s="36">
        <v>4</v>
      </c>
      <c r="M1056" s="36">
        <v>2</v>
      </c>
      <c r="N1056" s="38">
        <v>10000</v>
      </c>
      <c r="O1056" s="38">
        <v>20000</v>
      </c>
      <c r="P1056" s="36">
        <v>1</v>
      </c>
      <c r="Q1056" s="40">
        <v>46143</v>
      </c>
      <c r="R1056" s="36" t="s">
        <v>1075</v>
      </c>
      <c r="S1056" s="36" t="s">
        <v>1076</v>
      </c>
      <c r="T1056" s="36" t="s">
        <v>1077</v>
      </c>
      <c r="U1056" s="36" t="s">
        <v>1084</v>
      </c>
      <c r="V1056" s="40">
        <v>46143</v>
      </c>
      <c r="W1056" s="36"/>
      <c r="X1056" s="36">
        <v>0</v>
      </c>
      <c r="Y1056" s="36"/>
      <c r="Z1056" s="36">
        <v>0</v>
      </c>
      <c r="AA1056" s="36">
        <v>0</v>
      </c>
      <c r="AB1056" s="36"/>
      <c r="AC1056" s="36" t="str">
        <f t="shared" si="5"/>
        <v>PC26</v>
      </c>
      <c r="AD1056" s="36" t="str">
        <f>VLOOKUP(D1056,Oficial!A:C,3,0)</f>
        <v>Bienes y Servicios</v>
      </c>
    </row>
    <row r="1057" spans="1:30" x14ac:dyDescent="0.25">
      <c r="A1057" s="36" t="s">
        <v>27</v>
      </c>
      <c r="B1057" s="36" t="s">
        <v>1528</v>
      </c>
      <c r="C1057" s="36" t="s">
        <v>28</v>
      </c>
      <c r="D1057" s="36" t="s">
        <v>1528</v>
      </c>
      <c r="E1057" s="36" t="s">
        <v>30</v>
      </c>
      <c r="F1057" s="36" t="s">
        <v>569</v>
      </c>
      <c r="G1057" s="37" t="s">
        <v>633</v>
      </c>
      <c r="H1057" s="36" t="s">
        <v>1529</v>
      </c>
      <c r="I1057" s="36" t="s">
        <v>1530</v>
      </c>
      <c r="J1057" s="36">
        <v>2</v>
      </c>
      <c r="K1057" s="36" t="s">
        <v>1531</v>
      </c>
      <c r="L1057" s="36">
        <v>4</v>
      </c>
      <c r="M1057" s="36">
        <v>1</v>
      </c>
      <c r="N1057" s="38">
        <v>16000</v>
      </c>
      <c r="O1057" s="38">
        <v>16000</v>
      </c>
      <c r="P1057" s="36">
        <v>1</v>
      </c>
      <c r="Q1057" s="40">
        <v>46143</v>
      </c>
      <c r="R1057" s="36" t="s">
        <v>1075</v>
      </c>
      <c r="S1057" s="36" t="s">
        <v>1076</v>
      </c>
      <c r="T1057" s="36" t="s">
        <v>1077</v>
      </c>
      <c r="U1057" s="36" t="s">
        <v>1084</v>
      </c>
      <c r="V1057" s="40">
        <v>46143</v>
      </c>
      <c r="W1057" s="36"/>
      <c r="X1057" s="36">
        <v>0</v>
      </c>
      <c r="Y1057" s="36"/>
      <c r="Z1057" s="36">
        <v>0</v>
      </c>
      <c r="AA1057" s="36">
        <v>0</v>
      </c>
      <c r="AB1057" s="36"/>
      <c r="AC1057" s="36" t="str">
        <f t="shared" si="5"/>
        <v>PC26</v>
      </c>
      <c r="AD1057" s="36" t="str">
        <f>VLOOKUP(D1057,Oficial!A:C,3,0)</f>
        <v>Bienes y Servicios</v>
      </c>
    </row>
    <row r="1058" spans="1:30" x14ac:dyDescent="0.25">
      <c r="A1058" s="36" t="s">
        <v>27</v>
      </c>
      <c r="B1058" s="36" t="s">
        <v>1532</v>
      </c>
      <c r="C1058" s="36" t="s">
        <v>28</v>
      </c>
      <c r="D1058" s="36" t="s">
        <v>1532</v>
      </c>
      <c r="E1058" s="36" t="s">
        <v>30</v>
      </c>
      <c r="F1058" s="36" t="s">
        <v>569</v>
      </c>
      <c r="G1058" s="37" t="s">
        <v>1437</v>
      </c>
      <c r="H1058" s="36" t="s">
        <v>1533</v>
      </c>
      <c r="I1058" s="36" t="s">
        <v>1521</v>
      </c>
      <c r="J1058" s="36">
        <v>5</v>
      </c>
      <c r="K1058" s="36" t="s">
        <v>1534</v>
      </c>
      <c r="L1058" s="36">
        <v>4</v>
      </c>
      <c r="M1058" s="36">
        <v>49</v>
      </c>
      <c r="N1058" s="38">
        <v>22449</v>
      </c>
      <c r="O1058" s="38">
        <v>1100001</v>
      </c>
      <c r="P1058" s="36">
        <v>1</v>
      </c>
      <c r="Q1058" s="40">
        <v>46143</v>
      </c>
      <c r="R1058" s="36" t="s">
        <v>761</v>
      </c>
      <c r="S1058" s="36" t="s">
        <v>762</v>
      </c>
      <c r="T1058" s="36" t="s">
        <v>763</v>
      </c>
      <c r="U1058" s="36" t="s">
        <v>764</v>
      </c>
      <c r="V1058" s="40">
        <v>46143</v>
      </c>
      <c r="W1058" s="36"/>
      <c r="X1058" s="36">
        <v>0</v>
      </c>
      <c r="Y1058" s="36"/>
      <c r="Z1058" s="36">
        <v>0</v>
      </c>
      <c r="AA1058" s="36">
        <v>0</v>
      </c>
      <c r="AB1058" s="36"/>
      <c r="AC1058" s="36" t="str">
        <f t="shared" si="5"/>
        <v>PC26</v>
      </c>
      <c r="AD1058" s="36" t="str">
        <f>VLOOKUP(D1058,Oficial!A:C,3,0)</f>
        <v>Bienes y Servicios</v>
      </c>
    </row>
    <row r="1059" spans="1:30" x14ac:dyDescent="0.25">
      <c r="A1059" s="36" t="s">
        <v>27</v>
      </c>
      <c r="B1059" s="36" t="s">
        <v>1532</v>
      </c>
      <c r="C1059" s="36" t="s">
        <v>28</v>
      </c>
      <c r="D1059" s="36" t="s">
        <v>1532</v>
      </c>
      <c r="E1059" s="36" t="s">
        <v>30</v>
      </c>
      <c r="F1059" s="36" t="s">
        <v>569</v>
      </c>
      <c r="G1059" s="37" t="s">
        <v>1437</v>
      </c>
      <c r="H1059" s="36" t="s">
        <v>1533</v>
      </c>
      <c r="I1059" s="36" t="s">
        <v>1521</v>
      </c>
      <c r="J1059" s="36">
        <v>5</v>
      </c>
      <c r="K1059" s="36" t="s">
        <v>1535</v>
      </c>
      <c r="L1059" s="36">
        <v>4</v>
      </c>
      <c r="M1059" s="36">
        <v>115</v>
      </c>
      <c r="N1059" s="38">
        <v>9566</v>
      </c>
      <c r="O1059" s="38">
        <v>1100090</v>
      </c>
      <c r="P1059" s="36">
        <v>1</v>
      </c>
      <c r="Q1059" s="40">
        <v>46143</v>
      </c>
      <c r="R1059" s="36" t="s">
        <v>761</v>
      </c>
      <c r="S1059" s="36" t="s">
        <v>762</v>
      </c>
      <c r="T1059" s="36" t="s">
        <v>763</v>
      </c>
      <c r="U1059" s="36" t="s">
        <v>764</v>
      </c>
      <c r="V1059" s="40">
        <v>46143</v>
      </c>
      <c r="W1059" s="36"/>
      <c r="X1059" s="36">
        <v>0</v>
      </c>
      <c r="Y1059" s="36"/>
      <c r="Z1059" s="36">
        <v>0</v>
      </c>
      <c r="AA1059" s="36">
        <v>0</v>
      </c>
      <c r="AB1059" s="36"/>
      <c r="AC1059" s="36" t="str">
        <f t="shared" si="5"/>
        <v>PC26</v>
      </c>
      <c r="AD1059" s="36" t="str">
        <f>VLOOKUP(D1059,Oficial!A:C,3,0)</f>
        <v>Bienes y Servicios</v>
      </c>
    </row>
    <row r="1060" spans="1:30" x14ac:dyDescent="0.25">
      <c r="A1060" s="36" t="s">
        <v>27</v>
      </c>
      <c r="B1060" s="36" t="s">
        <v>1532</v>
      </c>
      <c r="C1060" s="36" t="s">
        <v>28</v>
      </c>
      <c r="D1060" s="36" t="s">
        <v>1532</v>
      </c>
      <c r="E1060" s="36" t="s">
        <v>30</v>
      </c>
      <c r="F1060" s="36" t="s">
        <v>569</v>
      </c>
      <c r="G1060" s="37" t="s">
        <v>1437</v>
      </c>
      <c r="H1060" s="36" t="s">
        <v>1533</v>
      </c>
      <c r="I1060" s="36" t="s">
        <v>1521</v>
      </c>
      <c r="J1060" s="36">
        <v>5</v>
      </c>
      <c r="K1060" s="36" t="s">
        <v>1536</v>
      </c>
      <c r="L1060" s="36">
        <v>4</v>
      </c>
      <c r="M1060" s="36">
        <v>4</v>
      </c>
      <c r="N1060" s="38">
        <v>30000</v>
      </c>
      <c r="O1060" s="38">
        <v>120000</v>
      </c>
      <c r="P1060" s="36">
        <v>1</v>
      </c>
      <c r="Q1060" s="40">
        <v>46143</v>
      </c>
      <c r="R1060" s="36" t="s">
        <v>761</v>
      </c>
      <c r="S1060" s="36" t="s">
        <v>762</v>
      </c>
      <c r="T1060" s="36" t="s">
        <v>763</v>
      </c>
      <c r="U1060" s="36" t="s">
        <v>764</v>
      </c>
      <c r="V1060" s="40">
        <v>46143</v>
      </c>
      <c r="W1060" s="36"/>
      <c r="X1060" s="36">
        <v>0</v>
      </c>
      <c r="Y1060" s="36"/>
      <c r="Z1060" s="36">
        <v>0</v>
      </c>
      <c r="AA1060" s="36">
        <v>0</v>
      </c>
      <c r="AB1060" s="36"/>
      <c r="AC1060" s="36" t="str">
        <f t="shared" si="5"/>
        <v>PC26</v>
      </c>
      <c r="AD1060" s="36" t="str">
        <f>VLOOKUP(D1060,Oficial!A:C,3,0)</f>
        <v>Bienes y Servicios</v>
      </c>
    </row>
    <row r="1061" spans="1:30" x14ac:dyDescent="0.25">
      <c r="A1061" s="36" t="s">
        <v>27</v>
      </c>
      <c r="B1061" s="36" t="s">
        <v>1532</v>
      </c>
      <c r="C1061" s="36" t="s">
        <v>28</v>
      </c>
      <c r="D1061" s="36" t="s">
        <v>1532</v>
      </c>
      <c r="E1061" s="36" t="s">
        <v>30</v>
      </c>
      <c r="F1061" s="36" t="s">
        <v>569</v>
      </c>
      <c r="G1061" s="37" t="s">
        <v>1437</v>
      </c>
      <c r="H1061" s="36" t="s">
        <v>1533</v>
      </c>
      <c r="I1061" s="36" t="s">
        <v>1521</v>
      </c>
      <c r="J1061" s="36">
        <v>5</v>
      </c>
      <c r="K1061" s="36" t="s">
        <v>1537</v>
      </c>
      <c r="L1061" s="36">
        <v>4</v>
      </c>
      <c r="M1061" s="36">
        <v>2</v>
      </c>
      <c r="N1061" s="38">
        <v>15000</v>
      </c>
      <c r="O1061" s="38">
        <v>30000</v>
      </c>
      <c r="P1061" s="36">
        <v>1</v>
      </c>
      <c r="Q1061" s="40">
        <v>46143</v>
      </c>
      <c r="R1061" s="36" t="s">
        <v>761</v>
      </c>
      <c r="S1061" s="36" t="s">
        <v>762</v>
      </c>
      <c r="T1061" s="36" t="s">
        <v>763</v>
      </c>
      <c r="U1061" s="36" t="s">
        <v>764</v>
      </c>
      <c r="V1061" s="40">
        <v>46143</v>
      </c>
      <c r="W1061" s="36"/>
      <c r="X1061" s="36">
        <v>0</v>
      </c>
      <c r="Y1061" s="36"/>
      <c r="Z1061" s="36">
        <v>0</v>
      </c>
      <c r="AA1061" s="36">
        <v>0</v>
      </c>
      <c r="AB1061" s="36"/>
      <c r="AC1061" s="36" t="str">
        <f t="shared" si="5"/>
        <v>PC26</v>
      </c>
      <c r="AD1061" s="36" t="str">
        <f>VLOOKUP(D1061,Oficial!A:C,3,0)</f>
        <v>Bienes y Servicios</v>
      </c>
    </row>
    <row r="1062" spans="1:30" x14ac:dyDescent="0.25">
      <c r="A1062" s="36" t="s">
        <v>27</v>
      </c>
      <c r="B1062" s="36" t="s">
        <v>1532</v>
      </c>
      <c r="C1062" s="36" t="s">
        <v>28</v>
      </c>
      <c r="D1062" s="36" t="s">
        <v>1532</v>
      </c>
      <c r="E1062" s="36" t="s">
        <v>30</v>
      </c>
      <c r="F1062" s="36" t="s">
        <v>569</v>
      </c>
      <c r="G1062" s="37" t="s">
        <v>1437</v>
      </c>
      <c r="H1062" s="36" t="s">
        <v>1533</v>
      </c>
      <c r="I1062" s="36" t="s">
        <v>1521</v>
      </c>
      <c r="J1062" s="36">
        <v>5</v>
      </c>
      <c r="K1062" s="36" t="s">
        <v>1538</v>
      </c>
      <c r="L1062" s="36">
        <v>4</v>
      </c>
      <c r="M1062" s="36">
        <v>25</v>
      </c>
      <c r="N1062" s="38">
        <v>15600</v>
      </c>
      <c r="O1062" s="38">
        <v>390000</v>
      </c>
      <c r="P1062" s="36">
        <v>1</v>
      </c>
      <c r="Q1062" s="40">
        <v>46143</v>
      </c>
      <c r="R1062" s="36" t="s">
        <v>761</v>
      </c>
      <c r="S1062" s="36" t="s">
        <v>762</v>
      </c>
      <c r="T1062" s="36" t="s">
        <v>763</v>
      </c>
      <c r="U1062" s="36" t="s">
        <v>764</v>
      </c>
      <c r="V1062" s="40">
        <v>46143</v>
      </c>
      <c r="W1062" s="36"/>
      <c r="X1062" s="36">
        <v>0</v>
      </c>
      <c r="Y1062" s="36"/>
      <c r="Z1062" s="36">
        <v>0</v>
      </c>
      <c r="AA1062" s="36">
        <v>0</v>
      </c>
      <c r="AB1062" s="36"/>
      <c r="AC1062" s="36" t="str">
        <f t="shared" si="5"/>
        <v>PC26</v>
      </c>
      <c r="AD1062" s="36" t="str">
        <f>VLOOKUP(D1062,Oficial!A:C,3,0)</f>
        <v>Bienes y Servicios</v>
      </c>
    </row>
    <row r="1063" spans="1:30" x14ac:dyDescent="0.25">
      <c r="A1063" s="36" t="s">
        <v>27</v>
      </c>
      <c r="B1063" s="36" t="s">
        <v>1539</v>
      </c>
      <c r="C1063" s="36" t="s">
        <v>28</v>
      </c>
      <c r="D1063" s="36" t="s">
        <v>1539</v>
      </c>
      <c r="E1063" s="36" t="s">
        <v>30</v>
      </c>
      <c r="F1063" s="36" t="s">
        <v>569</v>
      </c>
      <c r="G1063" s="37" t="s">
        <v>654</v>
      </c>
      <c r="H1063" s="36" t="s">
        <v>1540</v>
      </c>
      <c r="I1063" s="36" t="s">
        <v>1541</v>
      </c>
      <c r="J1063" s="36">
        <v>1</v>
      </c>
      <c r="K1063" s="36" t="s">
        <v>1191</v>
      </c>
      <c r="L1063" s="36">
        <v>4</v>
      </c>
      <c r="M1063" s="36">
        <v>1</v>
      </c>
      <c r="N1063" s="38">
        <v>400000</v>
      </c>
      <c r="O1063" s="38">
        <v>400000</v>
      </c>
      <c r="P1063" s="36">
        <v>1</v>
      </c>
      <c r="Q1063" s="40">
        <v>46327</v>
      </c>
      <c r="R1063" s="36" t="s">
        <v>1211</v>
      </c>
      <c r="S1063" s="36" t="s">
        <v>320</v>
      </c>
      <c r="T1063" s="36" t="s">
        <v>1212</v>
      </c>
      <c r="U1063" s="36" t="s">
        <v>322</v>
      </c>
      <c r="V1063" s="40">
        <v>46327</v>
      </c>
      <c r="W1063" s="36"/>
      <c r="X1063" s="36">
        <v>0</v>
      </c>
      <c r="Y1063" s="36"/>
      <c r="Z1063" s="36">
        <v>0</v>
      </c>
      <c r="AA1063" s="36">
        <v>0</v>
      </c>
      <c r="AB1063" s="36"/>
      <c r="AC1063" s="36" t="str">
        <f t="shared" si="5"/>
        <v>PC26</v>
      </c>
      <c r="AD1063" s="36" t="str">
        <f>VLOOKUP(D1063,Oficial!A:C,3,0)</f>
        <v>Bienes y Servicios</v>
      </c>
    </row>
    <row r="1064" spans="1:30" x14ac:dyDescent="0.25">
      <c r="A1064" s="36" t="s">
        <v>27</v>
      </c>
      <c r="B1064" s="36" t="s">
        <v>1542</v>
      </c>
      <c r="C1064" s="36" t="s">
        <v>28</v>
      </c>
      <c r="D1064" s="36" t="s">
        <v>1542</v>
      </c>
      <c r="E1064" s="36" t="s">
        <v>30</v>
      </c>
      <c r="F1064" s="36" t="s">
        <v>745</v>
      </c>
      <c r="G1064" s="37" t="s">
        <v>1080</v>
      </c>
      <c r="H1064" s="36" t="s">
        <v>1543</v>
      </c>
      <c r="I1064" s="36" t="s">
        <v>1544</v>
      </c>
      <c r="J1064" s="36">
        <v>1</v>
      </c>
      <c r="K1064" s="36" t="s">
        <v>1545</v>
      </c>
      <c r="L1064" s="36">
        <v>4</v>
      </c>
      <c r="M1064" s="36">
        <v>100</v>
      </c>
      <c r="N1064" s="38">
        <v>8000</v>
      </c>
      <c r="O1064" s="38">
        <v>800000</v>
      </c>
      <c r="P1064" s="36">
        <v>1</v>
      </c>
      <c r="Q1064" s="40">
        <v>46204</v>
      </c>
      <c r="R1064" s="36" t="s">
        <v>1075</v>
      </c>
      <c r="S1064" s="36" t="s">
        <v>1076</v>
      </c>
      <c r="T1064" s="36" t="s">
        <v>1077</v>
      </c>
      <c r="U1064" s="36" t="s">
        <v>1084</v>
      </c>
      <c r="V1064" s="40">
        <v>46204</v>
      </c>
      <c r="W1064" s="36"/>
      <c r="X1064" s="36">
        <v>0</v>
      </c>
      <c r="Y1064" s="36"/>
      <c r="Z1064" s="36">
        <v>0</v>
      </c>
      <c r="AA1064" s="36">
        <v>0</v>
      </c>
      <c r="AB1064" s="36"/>
      <c r="AC1064" s="36" t="str">
        <f t="shared" si="5"/>
        <v>PC26</v>
      </c>
      <c r="AD1064" s="36" t="str">
        <f>VLOOKUP(D1064,Oficial!A:C,3,0)</f>
        <v>Bienes y Servicios</v>
      </c>
    </row>
    <row r="1065" spans="1:30" x14ac:dyDescent="0.25">
      <c r="A1065" s="36" t="s">
        <v>27</v>
      </c>
      <c r="B1065" s="36" t="s">
        <v>1546</v>
      </c>
      <c r="C1065" s="36" t="s">
        <v>28</v>
      </c>
      <c r="D1065" s="36" t="s">
        <v>1546</v>
      </c>
      <c r="E1065" s="36" t="s">
        <v>30</v>
      </c>
      <c r="F1065" s="36" t="s">
        <v>569</v>
      </c>
      <c r="G1065" s="37" t="s">
        <v>1547</v>
      </c>
      <c r="H1065" s="36" t="s">
        <v>1548</v>
      </c>
      <c r="I1065" s="36" t="s">
        <v>1521</v>
      </c>
      <c r="J1065" s="36">
        <v>3</v>
      </c>
      <c r="K1065" s="36" t="s">
        <v>1549</v>
      </c>
      <c r="L1065" s="36">
        <v>4</v>
      </c>
      <c r="M1065" s="36">
        <v>243</v>
      </c>
      <c r="N1065" s="38">
        <v>3070</v>
      </c>
      <c r="O1065" s="38">
        <v>746010</v>
      </c>
      <c r="P1065" s="36">
        <v>1</v>
      </c>
      <c r="Q1065" s="40">
        <v>46143</v>
      </c>
      <c r="R1065" s="36" t="s">
        <v>761</v>
      </c>
      <c r="S1065" s="36" t="s">
        <v>762</v>
      </c>
      <c r="T1065" s="36" t="s">
        <v>763</v>
      </c>
      <c r="U1065" s="36" t="s">
        <v>764</v>
      </c>
      <c r="V1065" s="40">
        <v>46143</v>
      </c>
      <c r="W1065" s="36"/>
      <c r="X1065" s="36">
        <v>0</v>
      </c>
      <c r="Y1065" s="36"/>
      <c r="Z1065" s="36">
        <v>0</v>
      </c>
      <c r="AA1065" s="36">
        <v>0</v>
      </c>
      <c r="AB1065" s="36"/>
      <c r="AC1065" s="36" t="str">
        <f t="shared" si="5"/>
        <v>PC26</v>
      </c>
      <c r="AD1065" s="36" t="str">
        <f>VLOOKUP(D1065,Oficial!A:C,3,0)</f>
        <v>Bienes y Servicios</v>
      </c>
    </row>
    <row r="1066" spans="1:30" x14ac:dyDescent="0.25">
      <c r="A1066" s="36" t="s">
        <v>27</v>
      </c>
      <c r="B1066" s="36" t="s">
        <v>1546</v>
      </c>
      <c r="C1066" s="36" t="s">
        <v>28</v>
      </c>
      <c r="D1066" s="36" t="s">
        <v>1546</v>
      </c>
      <c r="E1066" s="36" t="s">
        <v>30</v>
      </c>
      <c r="F1066" s="36" t="s">
        <v>569</v>
      </c>
      <c r="G1066" s="37" t="s">
        <v>1547</v>
      </c>
      <c r="H1066" s="36" t="s">
        <v>1548</v>
      </c>
      <c r="I1066" s="36" t="s">
        <v>1521</v>
      </c>
      <c r="J1066" s="36">
        <v>3</v>
      </c>
      <c r="K1066" s="36" t="s">
        <v>1227</v>
      </c>
      <c r="L1066" s="36">
        <v>4</v>
      </c>
      <c r="M1066" s="36">
        <v>12</v>
      </c>
      <c r="N1066" s="38">
        <v>8000</v>
      </c>
      <c r="O1066" s="38">
        <v>96000</v>
      </c>
      <c r="P1066" s="36">
        <v>1</v>
      </c>
      <c r="Q1066" s="40">
        <v>46143</v>
      </c>
      <c r="R1066" s="36" t="s">
        <v>761</v>
      </c>
      <c r="S1066" s="36" t="s">
        <v>762</v>
      </c>
      <c r="T1066" s="36" t="s">
        <v>763</v>
      </c>
      <c r="U1066" s="36" t="s">
        <v>764</v>
      </c>
      <c r="V1066" s="40">
        <v>46143</v>
      </c>
      <c r="W1066" s="36"/>
      <c r="X1066" s="36">
        <v>0</v>
      </c>
      <c r="Y1066" s="36"/>
      <c r="Z1066" s="36">
        <v>0</v>
      </c>
      <c r="AA1066" s="36">
        <v>0</v>
      </c>
      <c r="AB1066" s="36"/>
      <c r="AC1066" s="36" t="str">
        <f t="shared" si="5"/>
        <v>PC26</v>
      </c>
      <c r="AD1066" s="36" t="str">
        <f>VLOOKUP(D1066,Oficial!A:C,3,0)</f>
        <v>Bienes y Servicios</v>
      </c>
    </row>
    <row r="1067" spans="1:30" x14ac:dyDescent="0.25">
      <c r="A1067" s="36" t="s">
        <v>27</v>
      </c>
      <c r="B1067" s="36" t="s">
        <v>1546</v>
      </c>
      <c r="C1067" s="36" t="s">
        <v>28</v>
      </c>
      <c r="D1067" s="36" t="s">
        <v>1546</v>
      </c>
      <c r="E1067" s="36" t="s">
        <v>30</v>
      </c>
      <c r="F1067" s="36" t="s">
        <v>569</v>
      </c>
      <c r="G1067" s="37" t="s">
        <v>1547</v>
      </c>
      <c r="H1067" s="36" t="s">
        <v>1548</v>
      </c>
      <c r="I1067" s="36" t="s">
        <v>1521</v>
      </c>
      <c r="J1067" s="36">
        <v>3</v>
      </c>
      <c r="K1067" s="36" t="s">
        <v>1550</v>
      </c>
      <c r="L1067" s="36">
        <v>4</v>
      </c>
      <c r="M1067" s="36">
        <v>56</v>
      </c>
      <c r="N1067" s="38">
        <v>8572</v>
      </c>
      <c r="O1067" s="38">
        <v>480032</v>
      </c>
      <c r="P1067" s="36">
        <v>1</v>
      </c>
      <c r="Q1067" s="40">
        <v>46143</v>
      </c>
      <c r="R1067" s="36" t="s">
        <v>761</v>
      </c>
      <c r="S1067" s="36" t="s">
        <v>762</v>
      </c>
      <c r="T1067" s="36" t="s">
        <v>763</v>
      </c>
      <c r="U1067" s="36" t="s">
        <v>764</v>
      </c>
      <c r="V1067" s="40">
        <v>46143</v>
      </c>
      <c r="W1067" s="36"/>
      <c r="X1067" s="36">
        <v>0</v>
      </c>
      <c r="Y1067" s="36"/>
      <c r="Z1067" s="36">
        <v>0</v>
      </c>
      <c r="AA1067" s="36">
        <v>0</v>
      </c>
      <c r="AB1067" s="36"/>
      <c r="AC1067" s="36" t="str">
        <f t="shared" si="5"/>
        <v>PC26</v>
      </c>
      <c r="AD1067" s="36" t="str">
        <f>VLOOKUP(D1067,Oficial!A:C,3,0)</f>
        <v>Bienes y Servicios</v>
      </c>
    </row>
    <row r="1068" spans="1:30" x14ac:dyDescent="0.25">
      <c r="A1068" s="36" t="s">
        <v>27</v>
      </c>
      <c r="B1068" s="36" t="s">
        <v>1551</v>
      </c>
      <c r="C1068" s="36" t="s">
        <v>28</v>
      </c>
      <c r="D1068" s="36" t="s">
        <v>1551</v>
      </c>
      <c r="E1068" s="36" t="s">
        <v>30</v>
      </c>
      <c r="F1068" s="36" t="s">
        <v>569</v>
      </c>
      <c r="G1068" s="37" t="s">
        <v>1552</v>
      </c>
      <c r="H1068" s="36" t="s">
        <v>1553</v>
      </c>
      <c r="I1068" s="36" t="s">
        <v>1521</v>
      </c>
      <c r="J1068" s="36">
        <v>1</v>
      </c>
      <c r="K1068" s="36" t="s">
        <v>1554</v>
      </c>
      <c r="L1068" s="36">
        <v>4</v>
      </c>
      <c r="M1068" s="36">
        <v>91</v>
      </c>
      <c r="N1068" s="38">
        <v>3671</v>
      </c>
      <c r="O1068" s="38">
        <v>334061</v>
      </c>
      <c r="P1068" s="36">
        <v>1</v>
      </c>
      <c r="Q1068" s="40">
        <v>46143</v>
      </c>
      <c r="R1068" s="36" t="s">
        <v>761</v>
      </c>
      <c r="S1068" s="36" t="s">
        <v>762</v>
      </c>
      <c r="T1068" s="36" t="s">
        <v>763</v>
      </c>
      <c r="U1068" s="36" t="s">
        <v>764</v>
      </c>
      <c r="V1068" s="40">
        <v>46143</v>
      </c>
      <c r="W1068" s="36"/>
      <c r="X1068" s="36">
        <v>0</v>
      </c>
      <c r="Y1068" s="36"/>
      <c r="Z1068" s="36">
        <v>0</v>
      </c>
      <c r="AA1068" s="36">
        <v>0</v>
      </c>
      <c r="AB1068" s="36"/>
      <c r="AC1068" s="36" t="str">
        <f t="shared" si="5"/>
        <v>PC26</v>
      </c>
      <c r="AD1068" s="36" t="str">
        <f>VLOOKUP(D1068,Oficial!A:C,3,0)</f>
        <v>Bienes y Servicios</v>
      </c>
    </row>
    <row r="1069" spans="1:30" x14ac:dyDescent="0.25">
      <c r="A1069" s="36" t="s">
        <v>27</v>
      </c>
      <c r="B1069" s="36" t="s">
        <v>1555</v>
      </c>
      <c r="C1069" s="36" t="s">
        <v>28</v>
      </c>
      <c r="D1069" s="36" t="s">
        <v>1555</v>
      </c>
      <c r="E1069" s="36" t="s">
        <v>30</v>
      </c>
      <c r="F1069" s="36" t="s">
        <v>569</v>
      </c>
      <c r="G1069" s="37" t="s">
        <v>223</v>
      </c>
      <c r="H1069" s="36" t="s">
        <v>1556</v>
      </c>
      <c r="I1069" s="36" t="s">
        <v>1557</v>
      </c>
      <c r="J1069" s="36">
        <v>1</v>
      </c>
      <c r="K1069" s="36" t="s">
        <v>1558</v>
      </c>
      <c r="L1069" s="36">
        <v>4</v>
      </c>
      <c r="M1069" s="36">
        <v>1</v>
      </c>
      <c r="N1069" s="38">
        <v>14500000</v>
      </c>
      <c r="O1069" s="38">
        <v>14500000</v>
      </c>
      <c r="P1069" s="36">
        <v>1</v>
      </c>
      <c r="Q1069" s="40">
        <v>46113</v>
      </c>
      <c r="R1069" s="36" t="s">
        <v>1559</v>
      </c>
      <c r="S1069" s="36" t="s">
        <v>1560</v>
      </c>
      <c r="T1069" s="36" t="s">
        <v>1561</v>
      </c>
      <c r="U1069" s="36" t="s">
        <v>1562</v>
      </c>
      <c r="V1069" s="40">
        <v>46082</v>
      </c>
      <c r="W1069" s="36"/>
      <c r="X1069" s="36">
        <v>0</v>
      </c>
      <c r="Y1069" s="36"/>
      <c r="Z1069" s="36">
        <v>0</v>
      </c>
      <c r="AA1069" s="36">
        <v>0</v>
      </c>
      <c r="AB1069" s="36"/>
      <c r="AC1069" s="36" t="str">
        <f t="shared" si="5"/>
        <v>PC26</v>
      </c>
      <c r="AD1069" s="36" t="str">
        <f>VLOOKUP(D1069,Oficial!A:C,3,0)</f>
        <v>Bienes y Servicios</v>
      </c>
    </row>
    <row r="1070" spans="1:30" x14ac:dyDescent="0.25">
      <c r="A1070" s="36" t="s">
        <v>27</v>
      </c>
      <c r="B1070" s="36" t="s">
        <v>1563</v>
      </c>
      <c r="C1070" s="36" t="s">
        <v>28</v>
      </c>
      <c r="D1070" s="36" t="s">
        <v>1563</v>
      </c>
      <c r="E1070" s="36" t="s">
        <v>30</v>
      </c>
      <c r="F1070" s="36" t="s">
        <v>569</v>
      </c>
      <c r="G1070" s="37" t="s">
        <v>812</v>
      </c>
      <c r="H1070" s="36" t="s">
        <v>1404</v>
      </c>
      <c r="I1070" s="36" t="s">
        <v>1564</v>
      </c>
      <c r="J1070" s="36">
        <v>2</v>
      </c>
      <c r="K1070" s="36" t="s">
        <v>1565</v>
      </c>
      <c r="L1070" s="36">
        <v>4</v>
      </c>
      <c r="M1070" s="36">
        <v>1</v>
      </c>
      <c r="N1070" s="38">
        <v>60000</v>
      </c>
      <c r="O1070" s="38">
        <v>60000</v>
      </c>
      <c r="P1070" s="36">
        <v>1</v>
      </c>
      <c r="Q1070" s="40">
        <v>46327</v>
      </c>
      <c r="R1070" s="36" t="s">
        <v>1035</v>
      </c>
      <c r="S1070" s="36" t="s">
        <v>1036</v>
      </c>
      <c r="T1070" s="36" t="s">
        <v>1037</v>
      </c>
      <c r="U1070" s="36" t="s">
        <v>1038</v>
      </c>
      <c r="V1070" s="40">
        <v>46327</v>
      </c>
      <c r="W1070" s="36"/>
      <c r="X1070" s="36">
        <v>0</v>
      </c>
      <c r="Y1070" s="36"/>
      <c r="Z1070" s="36">
        <v>0</v>
      </c>
      <c r="AA1070" s="36">
        <v>0</v>
      </c>
      <c r="AB1070" s="36"/>
      <c r="AC1070" s="36" t="str">
        <f t="shared" si="5"/>
        <v>PC26</v>
      </c>
      <c r="AD1070" s="36" t="str">
        <f>VLOOKUP(D1070,Oficial!A:C,3,0)</f>
        <v>Bienes y Servicios</v>
      </c>
    </row>
    <row r="1071" spans="1:30" x14ac:dyDescent="0.25">
      <c r="A1071" s="36" t="s">
        <v>27</v>
      </c>
      <c r="B1071" s="36" t="s">
        <v>1563</v>
      </c>
      <c r="C1071" s="36" t="s">
        <v>28</v>
      </c>
      <c r="D1071" s="36" t="s">
        <v>1563</v>
      </c>
      <c r="E1071" s="36" t="s">
        <v>30</v>
      </c>
      <c r="F1071" s="36" t="s">
        <v>569</v>
      </c>
      <c r="G1071" s="37" t="s">
        <v>812</v>
      </c>
      <c r="H1071" s="36" t="s">
        <v>1404</v>
      </c>
      <c r="I1071" s="36" t="s">
        <v>1564</v>
      </c>
      <c r="J1071" s="36">
        <v>2</v>
      </c>
      <c r="K1071" s="36" t="s">
        <v>957</v>
      </c>
      <c r="L1071" s="36">
        <v>4</v>
      </c>
      <c r="M1071" s="36">
        <v>1</v>
      </c>
      <c r="N1071" s="38">
        <v>400000</v>
      </c>
      <c r="O1071" s="38">
        <v>400000</v>
      </c>
      <c r="P1071" s="36">
        <v>1</v>
      </c>
      <c r="Q1071" s="40">
        <v>46327</v>
      </c>
      <c r="R1071" s="36" t="s">
        <v>1035</v>
      </c>
      <c r="S1071" s="36" t="s">
        <v>1036</v>
      </c>
      <c r="T1071" s="36" t="s">
        <v>1037</v>
      </c>
      <c r="U1071" s="36" t="s">
        <v>1038</v>
      </c>
      <c r="V1071" s="40">
        <v>46327</v>
      </c>
      <c r="W1071" s="36"/>
      <c r="X1071" s="36">
        <v>0</v>
      </c>
      <c r="Y1071" s="36"/>
      <c r="Z1071" s="36">
        <v>0</v>
      </c>
      <c r="AA1071" s="36">
        <v>0</v>
      </c>
      <c r="AB1071" s="36"/>
      <c r="AC1071" s="36" t="str">
        <f t="shared" si="5"/>
        <v>PC26</v>
      </c>
      <c r="AD1071" s="36" t="str">
        <f>VLOOKUP(D1071,Oficial!A:C,3,0)</f>
        <v>Bienes y Servicios</v>
      </c>
    </row>
    <row r="1072" spans="1:30" x14ac:dyDescent="0.25">
      <c r="A1072" s="36" t="s">
        <v>27</v>
      </c>
      <c r="B1072" s="36" t="s">
        <v>1566</v>
      </c>
      <c r="C1072" s="36" t="s">
        <v>28</v>
      </c>
      <c r="D1072" s="36" t="s">
        <v>1566</v>
      </c>
      <c r="E1072" s="36" t="s">
        <v>30</v>
      </c>
      <c r="F1072" s="36" t="s">
        <v>569</v>
      </c>
      <c r="G1072" s="37" t="s">
        <v>104</v>
      </c>
      <c r="H1072" s="36" t="s">
        <v>1567</v>
      </c>
      <c r="I1072" s="36" t="s">
        <v>1568</v>
      </c>
      <c r="J1072" s="36">
        <v>1</v>
      </c>
      <c r="K1072" s="36" t="s">
        <v>1121</v>
      </c>
      <c r="L1072" s="36">
        <v>4</v>
      </c>
      <c r="M1072" s="36">
        <v>1</v>
      </c>
      <c r="N1072" s="38">
        <v>120000</v>
      </c>
      <c r="O1072" s="38">
        <v>120000</v>
      </c>
      <c r="P1072" s="36">
        <v>1</v>
      </c>
      <c r="Q1072" s="40">
        <v>46054</v>
      </c>
      <c r="R1072" s="36" t="s">
        <v>1211</v>
      </c>
      <c r="S1072" s="36" t="s">
        <v>320</v>
      </c>
      <c r="T1072" s="36" t="s">
        <v>1212</v>
      </c>
      <c r="U1072" s="36" t="s">
        <v>322</v>
      </c>
      <c r="V1072" s="40">
        <v>46054</v>
      </c>
      <c r="W1072" s="36"/>
      <c r="X1072" s="36">
        <v>0</v>
      </c>
      <c r="Y1072" s="36"/>
      <c r="Z1072" s="36">
        <v>0</v>
      </c>
      <c r="AA1072" s="36">
        <v>0</v>
      </c>
      <c r="AB1072" s="36"/>
      <c r="AC1072" s="36" t="str">
        <f t="shared" si="5"/>
        <v>PC26</v>
      </c>
      <c r="AD1072" s="36" t="str">
        <f>VLOOKUP(D1072,Oficial!A:C,3,0)</f>
        <v>Bienes y Servicios</v>
      </c>
    </row>
    <row r="1073" spans="1:30" x14ac:dyDescent="0.25">
      <c r="A1073" s="36" t="s">
        <v>27</v>
      </c>
      <c r="B1073" s="36" t="s">
        <v>1569</v>
      </c>
      <c r="C1073" s="36" t="s">
        <v>28</v>
      </c>
      <c r="D1073" s="36" t="s">
        <v>1569</v>
      </c>
      <c r="E1073" s="36" t="s">
        <v>30</v>
      </c>
      <c r="F1073" s="36" t="s">
        <v>569</v>
      </c>
      <c r="G1073" s="37" t="s">
        <v>314</v>
      </c>
      <c r="H1073" s="36" t="s">
        <v>1570</v>
      </c>
      <c r="I1073" s="36" t="s">
        <v>1571</v>
      </c>
      <c r="J1073" s="36">
        <v>1</v>
      </c>
      <c r="K1073" s="36" t="s">
        <v>599</v>
      </c>
      <c r="L1073" s="36">
        <v>4</v>
      </c>
      <c r="M1073" s="36">
        <v>1</v>
      </c>
      <c r="N1073" s="38">
        <v>7000000</v>
      </c>
      <c r="O1073" s="38">
        <v>7000000</v>
      </c>
      <c r="P1073" s="36">
        <v>1</v>
      </c>
      <c r="Q1073" s="40">
        <v>46082</v>
      </c>
      <c r="R1073" s="36" t="s">
        <v>1572</v>
      </c>
      <c r="S1073" s="36" t="s">
        <v>1573</v>
      </c>
      <c r="T1073" s="36" t="s">
        <v>1154</v>
      </c>
      <c r="U1073" s="36" t="s">
        <v>1574</v>
      </c>
      <c r="V1073" s="40">
        <v>46082</v>
      </c>
      <c r="W1073" s="36"/>
      <c r="X1073" s="36">
        <v>0</v>
      </c>
      <c r="Y1073" s="36"/>
      <c r="Z1073" s="36">
        <v>0</v>
      </c>
      <c r="AA1073" s="36">
        <v>0</v>
      </c>
      <c r="AB1073" s="36"/>
      <c r="AC1073" s="36" t="str">
        <f t="shared" si="5"/>
        <v>PC26</v>
      </c>
      <c r="AD1073" s="36" t="str">
        <f>VLOOKUP(D1073,Oficial!A:C,3,0)</f>
        <v>Bienes y Servicios</v>
      </c>
    </row>
    <row r="1074" spans="1:30" x14ac:dyDescent="0.25">
      <c r="A1074" s="36" t="s">
        <v>27</v>
      </c>
      <c r="B1074" s="36" t="s">
        <v>1575</v>
      </c>
      <c r="C1074" s="36" t="s">
        <v>374</v>
      </c>
      <c r="D1074" s="36" t="s">
        <v>1575</v>
      </c>
      <c r="E1074" s="36" t="s">
        <v>30</v>
      </c>
      <c r="F1074" s="36" t="s">
        <v>569</v>
      </c>
      <c r="G1074" s="37" t="s">
        <v>1547</v>
      </c>
      <c r="H1074" s="36" t="s">
        <v>1576</v>
      </c>
      <c r="I1074" s="36" t="s">
        <v>1577</v>
      </c>
      <c r="J1074" s="36">
        <v>7</v>
      </c>
      <c r="K1074" s="36" t="s">
        <v>1578</v>
      </c>
      <c r="L1074" s="36">
        <v>4</v>
      </c>
      <c r="M1074" s="36">
        <v>2</v>
      </c>
      <c r="N1074" s="38">
        <v>60000</v>
      </c>
      <c r="O1074" s="38">
        <v>120000</v>
      </c>
      <c r="P1074" s="36">
        <v>1</v>
      </c>
      <c r="Q1074" s="40">
        <v>46143</v>
      </c>
      <c r="R1074" s="36" t="s">
        <v>761</v>
      </c>
      <c r="S1074" s="36" t="s">
        <v>762</v>
      </c>
      <c r="T1074" s="36" t="s">
        <v>763</v>
      </c>
      <c r="U1074" s="36" t="s">
        <v>764</v>
      </c>
      <c r="V1074" s="40">
        <v>46054</v>
      </c>
      <c r="W1074" s="36"/>
      <c r="X1074" s="36">
        <v>0</v>
      </c>
      <c r="Y1074" s="36"/>
      <c r="Z1074" s="36">
        <v>0</v>
      </c>
      <c r="AA1074" s="36">
        <v>0</v>
      </c>
      <c r="AB1074" s="36"/>
      <c r="AC1074" s="36" t="str">
        <f t="shared" si="5"/>
        <v>PC26</v>
      </c>
      <c r="AD1074" s="36" t="str">
        <f>VLOOKUP(D1074,Oficial!A:C,3,0)</f>
        <v>Administración de Fondos</v>
      </c>
    </row>
    <row r="1075" spans="1:30" x14ac:dyDescent="0.25">
      <c r="A1075" s="36" t="s">
        <v>27</v>
      </c>
      <c r="B1075" s="36" t="s">
        <v>1575</v>
      </c>
      <c r="C1075" s="36" t="s">
        <v>374</v>
      </c>
      <c r="D1075" s="36" t="s">
        <v>1575</v>
      </c>
      <c r="E1075" s="36" t="s">
        <v>30</v>
      </c>
      <c r="F1075" s="36" t="s">
        <v>569</v>
      </c>
      <c r="G1075" s="37" t="s">
        <v>1547</v>
      </c>
      <c r="H1075" s="36" t="s">
        <v>1576</v>
      </c>
      <c r="I1075" s="36" t="s">
        <v>1577</v>
      </c>
      <c r="J1075" s="36">
        <v>7</v>
      </c>
      <c r="K1075" s="36" t="s">
        <v>1579</v>
      </c>
      <c r="L1075" s="36">
        <v>4</v>
      </c>
      <c r="M1075" s="36">
        <v>4</v>
      </c>
      <c r="N1075" s="38">
        <v>112500</v>
      </c>
      <c r="O1075" s="38">
        <v>450000</v>
      </c>
      <c r="P1075" s="36">
        <v>1</v>
      </c>
      <c r="Q1075" s="40">
        <v>46054</v>
      </c>
      <c r="R1075" s="36" t="s">
        <v>761</v>
      </c>
      <c r="S1075" s="36" t="s">
        <v>762</v>
      </c>
      <c r="T1075" s="36" t="s">
        <v>763</v>
      </c>
      <c r="U1075" s="36" t="s">
        <v>764</v>
      </c>
      <c r="V1075" s="40">
        <v>46054</v>
      </c>
      <c r="W1075" s="36"/>
      <c r="X1075" s="36">
        <v>0</v>
      </c>
      <c r="Y1075" s="36"/>
      <c r="Z1075" s="36">
        <v>0</v>
      </c>
      <c r="AA1075" s="36">
        <v>0</v>
      </c>
      <c r="AB1075" s="36"/>
      <c r="AC1075" s="36" t="str">
        <f t="shared" si="5"/>
        <v>PC26</v>
      </c>
      <c r="AD1075" s="36" t="str">
        <f>VLOOKUP(D1075,Oficial!A:C,3,0)</f>
        <v>Administración de Fondos</v>
      </c>
    </row>
    <row r="1076" spans="1:30" x14ac:dyDescent="0.25">
      <c r="A1076" s="36" t="s">
        <v>27</v>
      </c>
      <c r="B1076" s="36" t="s">
        <v>1575</v>
      </c>
      <c r="C1076" s="36" t="s">
        <v>374</v>
      </c>
      <c r="D1076" s="36" t="s">
        <v>1575</v>
      </c>
      <c r="E1076" s="36" t="s">
        <v>30</v>
      </c>
      <c r="F1076" s="36" t="s">
        <v>569</v>
      </c>
      <c r="G1076" s="37" t="s">
        <v>1547</v>
      </c>
      <c r="H1076" s="36" t="s">
        <v>1576</v>
      </c>
      <c r="I1076" s="36" t="s">
        <v>1577</v>
      </c>
      <c r="J1076" s="36">
        <v>7</v>
      </c>
      <c r="K1076" s="36" t="s">
        <v>1580</v>
      </c>
      <c r="L1076" s="36">
        <v>4</v>
      </c>
      <c r="M1076" s="36">
        <v>8</v>
      </c>
      <c r="N1076" s="38">
        <v>345000</v>
      </c>
      <c r="O1076" s="38">
        <v>2760000</v>
      </c>
      <c r="P1076" s="36">
        <v>1</v>
      </c>
      <c r="Q1076" s="40">
        <v>46054</v>
      </c>
      <c r="R1076" s="36" t="s">
        <v>761</v>
      </c>
      <c r="S1076" s="36" t="s">
        <v>762</v>
      </c>
      <c r="T1076" s="36" t="s">
        <v>763</v>
      </c>
      <c r="U1076" s="36" t="s">
        <v>764</v>
      </c>
      <c r="V1076" s="40">
        <v>46054</v>
      </c>
      <c r="W1076" s="36"/>
      <c r="X1076" s="36">
        <v>0</v>
      </c>
      <c r="Y1076" s="36"/>
      <c r="Z1076" s="36">
        <v>0</v>
      </c>
      <c r="AA1076" s="36">
        <v>0</v>
      </c>
      <c r="AB1076" s="36"/>
      <c r="AC1076" s="36" t="str">
        <f t="shared" si="5"/>
        <v>PC26</v>
      </c>
      <c r="AD1076" s="36" t="str">
        <f>VLOOKUP(D1076,Oficial!A:C,3,0)</f>
        <v>Administración de Fondos</v>
      </c>
    </row>
    <row r="1077" spans="1:30" x14ac:dyDescent="0.25">
      <c r="A1077" s="36" t="s">
        <v>27</v>
      </c>
      <c r="B1077" s="36" t="s">
        <v>1575</v>
      </c>
      <c r="C1077" s="36" t="s">
        <v>374</v>
      </c>
      <c r="D1077" s="36" t="s">
        <v>1575</v>
      </c>
      <c r="E1077" s="36" t="s">
        <v>30</v>
      </c>
      <c r="F1077" s="36" t="s">
        <v>569</v>
      </c>
      <c r="G1077" s="37" t="s">
        <v>1547</v>
      </c>
      <c r="H1077" s="36" t="s">
        <v>1576</v>
      </c>
      <c r="I1077" s="36" t="s">
        <v>1577</v>
      </c>
      <c r="J1077" s="36">
        <v>7</v>
      </c>
      <c r="K1077" s="36" t="s">
        <v>1581</v>
      </c>
      <c r="L1077" s="36">
        <v>4</v>
      </c>
      <c r="M1077" s="36">
        <v>7</v>
      </c>
      <c r="N1077" s="38">
        <v>330000</v>
      </c>
      <c r="O1077" s="38">
        <v>2310000</v>
      </c>
      <c r="P1077" s="36">
        <v>1</v>
      </c>
      <c r="Q1077" s="40">
        <v>46054</v>
      </c>
      <c r="R1077" s="36" t="s">
        <v>761</v>
      </c>
      <c r="S1077" s="36" t="s">
        <v>762</v>
      </c>
      <c r="T1077" s="36" t="s">
        <v>763</v>
      </c>
      <c r="U1077" s="36" t="s">
        <v>764</v>
      </c>
      <c r="V1077" s="40">
        <v>46054</v>
      </c>
      <c r="W1077" s="36"/>
      <c r="X1077" s="36">
        <v>0</v>
      </c>
      <c r="Y1077" s="36"/>
      <c r="Z1077" s="36">
        <v>0</v>
      </c>
      <c r="AA1077" s="36">
        <v>0</v>
      </c>
      <c r="AB1077" s="36"/>
      <c r="AC1077" s="36" t="str">
        <f t="shared" si="5"/>
        <v>PC26</v>
      </c>
      <c r="AD1077" s="36" t="str">
        <f>VLOOKUP(D1077,Oficial!A:C,3,0)</f>
        <v>Administración de Fondos</v>
      </c>
    </row>
    <row r="1078" spans="1:30" x14ac:dyDescent="0.25">
      <c r="A1078" s="36" t="s">
        <v>27</v>
      </c>
      <c r="B1078" s="36" t="s">
        <v>1575</v>
      </c>
      <c r="C1078" s="36" t="s">
        <v>374</v>
      </c>
      <c r="D1078" s="36" t="s">
        <v>1575</v>
      </c>
      <c r="E1078" s="36" t="s">
        <v>30</v>
      </c>
      <c r="F1078" s="36" t="s">
        <v>569</v>
      </c>
      <c r="G1078" s="37" t="s">
        <v>1547</v>
      </c>
      <c r="H1078" s="36" t="s">
        <v>1576</v>
      </c>
      <c r="I1078" s="36" t="s">
        <v>1577</v>
      </c>
      <c r="J1078" s="36">
        <v>7</v>
      </c>
      <c r="K1078" s="36" t="s">
        <v>1582</v>
      </c>
      <c r="L1078" s="36">
        <v>4</v>
      </c>
      <c r="M1078" s="36">
        <v>2</v>
      </c>
      <c r="N1078" s="38">
        <v>400000</v>
      </c>
      <c r="O1078" s="38">
        <v>800000</v>
      </c>
      <c r="P1078" s="36">
        <v>1</v>
      </c>
      <c r="Q1078" s="40">
        <v>46054</v>
      </c>
      <c r="R1078" s="36" t="s">
        <v>761</v>
      </c>
      <c r="S1078" s="36" t="s">
        <v>762</v>
      </c>
      <c r="T1078" s="36" t="s">
        <v>763</v>
      </c>
      <c r="U1078" s="36" t="s">
        <v>764</v>
      </c>
      <c r="V1078" s="40">
        <v>46054</v>
      </c>
      <c r="W1078" s="36"/>
      <c r="X1078" s="36">
        <v>0</v>
      </c>
      <c r="Y1078" s="36"/>
      <c r="Z1078" s="36">
        <v>0</v>
      </c>
      <c r="AA1078" s="36">
        <v>0</v>
      </c>
      <c r="AB1078" s="36"/>
      <c r="AC1078" s="36" t="str">
        <f t="shared" si="5"/>
        <v>PC26</v>
      </c>
      <c r="AD1078" s="36" t="str">
        <f>VLOOKUP(D1078,Oficial!A:C,3,0)</f>
        <v>Administración de Fondos</v>
      </c>
    </row>
    <row r="1079" spans="1:30" x14ac:dyDescent="0.25">
      <c r="A1079" s="36" t="s">
        <v>27</v>
      </c>
      <c r="B1079" s="36" t="s">
        <v>1575</v>
      </c>
      <c r="C1079" s="36" t="s">
        <v>374</v>
      </c>
      <c r="D1079" s="36" t="s">
        <v>1575</v>
      </c>
      <c r="E1079" s="36" t="s">
        <v>30</v>
      </c>
      <c r="F1079" s="36" t="s">
        <v>569</v>
      </c>
      <c r="G1079" s="37" t="s">
        <v>1547</v>
      </c>
      <c r="H1079" s="36" t="s">
        <v>1576</v>
      </c>
      <c r="I1079" s="36" t="s">
        <v>1577</v>
      </c>
      <c r="J1079" s="36">
        <v>7</v>
      </c>
      <c r="K1079" s="36" t="s">
        <v>1583</v>
      </c>
      <c r="L1079" s="36">
        <v>4</v>
      </c>
      <c r="M1079" s="36">
        <v>6</v>
      </c>
      <c r="N1079" s="38">
        <v>40000</v>
      </c>
      <c r="O1079" s="38">
        <v>240000</v>
      </c>
      <c r="P1079" s="36">
        <v>1</v>
      </c>
      <c r="Q1079" s="40">
        <v>46054</v>
      </c>
      <c r="R1079" s="36" t="s">
        <v>761</v>
      </c>
      <c r="S1079" s="36" t="s">
        <v>762</v>
      </c>
      <c r="T1079" s="36" t="s">
        <v>763</v>
      </c>
      <c r="U1079" s="36" t="s">
        <v>764</v>
      </c>
      <c r="V1079" s="40">
        <v>46054</v>
      </c>
      <c r="W1079" s="36"/>
      <c r="X1079" s="36">
        <v>0</v>
      </c>
      <c r="Y1079" s="36"/>
      <c r="Z1079" s="36">
        <v>0</v>
      </c>
      <c r="AA1079" s="36">
        <v>0</v>
      </c>
      <c r="AB1079" s="36"/>
      <c r="AC1079" s="36" t="str">
        <f t="shared" si="5"/>
        <v>PC26</v>
      </c>
      <c r="AD1079" s="36" t="str">
        <f>VLOOKUP(D1079,Oficial!A:C,3,0)</f>
        <v>Administración de Fondos</v>
      </c>
    </row>
    <row r="1080" spans="1:30" x14ac:dyDescent="0.25">
      <c r="A1080" s="36" t="s">
        <v>27</v>
      </c>
      <c r="B1080" s="36" t="s">
        <v>1575</v>
      </c>
      <c r="C1080" s="36" t="s">
        <v>374</v>
      </c>
      <c r="D1080" s="36" t="s">
        <v>1575</v>
      </c>
      <c r="E1080" s="36" t="s">
        <v>30</v>
      </c>
      <c r="F1080" s="36" t="s">
        <v>569</v>
      </c>
      <c r="G1080" s="37" t="s">
        <v>1547</v>
      </c>
      <c r="H1080" s="36" t="s">
        <v>1576</v>
      </c>
      <c r="I1080" s="36" t="s">
        <v>1577</v>
      </c>
      <c r="J1080" s="36">
        <v>7</v>
      </c>
      <c r="K1080" s="36" t="s">
        <v>1584</v>
      </c>
      <c r="L1080" s="36">
        <v>4</v>
      </c>
      <c r="M1080" s="36">
        <v>1</v>
      </c>
      <c r="N1080" s="38">
        <v>30000</v>
      </c>
      <c r="O1080" s="38">
        <v>30000</v>
      </c>
      <c r="P1080" s="36">
        <v>1</v>
      </c>
      <c r="Q1080" s="40">
        <v>46054</v>
      </c>
      <c r="R1080" s="36" t="s">
        <v>761</v>
      </c>
      <c r="S1080" s="36" t="s">
        <v>762</v>
      </c>
      <c r="T1080" s="36" t="s">
        <v>763</v>
      </c>
      <c r="U1080" s="36" t="s">
        <v>764</v>
      </c>
      <c r="V1080" s="40">
        <v>46054</v>
      </c>
      <c r="W1080" s="36"/>
      <c r="X1080" s="36">
        <v>0</v>
      </c>
      <c r="Y1080" s="36"/>
      <c r="Z1080" s="36">
        <v>0</v>
      </c>
      <c r="AA1080" s="36">
        <v>0</v>
      </c>
      <c r="AB1080" s="36"/>
      <c r="AC1080" s="36" t="str">
        <f t="shared" si="5"/>
        <v>PC26</v>
      </c>
      <c r="AD1080" s="36" t="str">
        <f>VLOOKUP(D1080,Oficial!A:C,3,0)</f>
        <v>Administración de Fondos</v>
      </c>
    </row>
    <row r="1081" spans="1:30" x14ac:dyDescent="0.25">
      <c r="A1081" s="36" t="s">
        <v>27</v>
      </c>
      <c r="B1081" s="36" t="s">
        <v>1585</v>
      </c>
      <c r="C1081" s="36" t="s">
        <v>28</v>
      </c>
      <c r="D1081" s="36" t="s">
        <v>1585</v>
      </c>
      <c r="E1081" s="36" t="s">
        <v>30</v>
      </c>
      <c r="F1081" s="36" t="s">
        <v>569</v>
      </c>
      <c r="G1081" s="37" t="s">
        <v>1586</v>
      </c>
      <c r="H1081" s="36" t="s">
        <v>1587</v>
      </c>
      <c r="I1081" s="36" t="s">
        <v>1588</v>
      </c>
      <c r="J1081" s="36">
        <v>1</v>
      </c>
      <c r="K1081" s="36" t="s">
        <v>1589</v>
      </c>
      <c r="L1081" s="36">
        <v>4</v>
      </c>
      <c r="M1081" s="36">
        <v>4</v>
      </c>
      <c r="N1081" s="38">
        <v>357000</v>
      </c>
      <c r="O1081" s="38">
        <v>1428000</v>
      </c>
      <c r="P1081" s="36">
        <v>1</v>
      </c>
      <c r="Q1081" s="40">
        <v>46082</v>
      </c>
      <c r="R1081" s="36" t="s">
        <v>1572</v>
      </c>
      <c r="S1081" s="36" t="s">
        <v>1573</v>
      </c>
      <c r="T1081" s="36" t="s">
        <v>1154</v>
      </c>
      <c r="U1081" s="36" t="s">
        <v>1574</v>
      </c>
      <c r="V1081" s="40">
        <v>46082</v>
      </c>
      <c r="W1081" s="36"/>
      <c r="X1081" s="36">
        <v>0</v>
      </c>
      <c r="Y1081" s="36"/>
      <c r="Z1081" s="36">
        <v>0</v>
      </c>
      <c r="AA1081" s="36">
        <v>0</v>
      </c>
      <c r="AB1081" s="36"/>
      <c r="AC1081" s="36" t="str">
        <f t="shared" si="5"/>
        <v>PC26</v>
      </c>
      <c r="AD1081" s="36" t="str">
        <f>VLOOKUP(D1081,Oficial!A:C,3,0)</f>
        <v>Bienes y Servicios</v>
      </c>
    </row>
    <row r="1082" spans="1:30" x14ac:dyDescent="0.25">
      <c r="A1082" s="36" t="s">
        <v>27</v>
      </c>
      <c r="B1082" s="36" t="s">
        <v>1590</v>
      </c>
      <c r="C1082" s="36" t="s">
        <v>374</v>
      </c>
      <c r="D1082" s="36" t="s">
        <v>1590</v>
      </c>
      <c r="E1082" s="36" t="s">
        <v>30</v>
      </c>
      <c r="F1082" s="36" t="s">
        <v>569</v>
      </c>
      <c r="G1082" s="37" t="s">
        <v>104</v>
      </c>
      <c r="H1082" s="36" t="s">
        <v>1591</v>
      </c>
      <c r="I1082" s="36" t="s">
        <v>1577</v>
      </c>
      <c r="J1082" s="36">
        <v>3</v>
      </c>
      <c r="K1082" s="36" t="s">
        <v>1592</v>
      </c>
      <c r="L1082" s="36">
        <v>4</v>
      </c>
      <c r="M1082" s="36">
        <v>1</v>
      </c>
      <c r="N1082" s="38">
        <v>150000</v>
      </c>
      <c r="O1082" s="38">
        <v>150000</v>
      </c>
      <c r="P1082" s="36">
        <v>1</v>
      </c>
      <c r="Q1082" s="40">
        <v>46143</v>
      </c>
      <c r="R1082" s="36" t="s">
        <v>761</v>
      </c>
      <c r="S1082" s="36" t="s">
        <v>762</v>
      </c>
      <c r="T1082" s="36" t="s">
        <v>763</v>
      </c>
      <c r="U1082" s="36" t="s">
        <v>764</v>
      </c>
      <c r="V1082" s="40">
        <v>46143</v>
      </c>
      <c r="W1082" s="36"/>
      <c r="X1082" s="36">
        <v>0</v>
      </c>
      <c r="Y1082" s="36"/>
      <c r="Z1082" s="36">
        <v>0</v>
      </c>
      <c r="AA1082" s="36">
        <v>0</v>
      </c>
      <c r="AB1082" s="36"/>
      <c r="AC1082" s="36" t="str">
        <f t="shared" si="5"/>
        <v>PC26</v>
      </c>
      <c r="AD1082" s="36" t="str">
        <f>VLOOKUP(D1082,Oficial!A:C,3,0)</f>
        <v>Administración de Fondos</v>
      </c>
    </row>
    <row r="1083" spans="1:30" x14ac:dyDescent="0.25">
      <c r="A1083" s="36" t="s">
        <v>27</v>
      </c>
      <c r="B1083" s="36" t="s">
        <v>1590</v>
      </c>
      <c r="C1083" s="36" t="s">
        <v>374</v>
      </c>
      <c r="D1083" s="36" t="s">
        <v>1590</v>
      </c>
      <c r="E1083" s="36" t="s">
        <v>30</v>
      </c>
      <c r="F1083" s="36" t="s">
        <v>569</v>
      </c>
      <c r="G1083" s="37" t="s">
        <v>104</v>
      </c>
      <c r="H1083" s="36" t="s">
        <v>1591</v>
      </c>
      <c r="I1083" s="36" t="s">
        <v>1577</v>
      </c>
      <c r="J1083" s="36">
        <v>3</v>
      </c>
      <c r="K1083" s="36" t="s">
        <v>1593</v>
      </c>
      <c r="L1083" s="36">
        <v>4</v>
      </c>
      <c r="M1083" s="36">
        <v>1</v>
      </c>
      <c r="N1083" s="38">
        <v>70000</v>
      </c>
      <c r="O1083" s="38">
        <v>70000</v>
      </c>
      <c r="P1083" s="36">
        <v>1</v>
      </c>
      <c r="Q1083" s="40">
        <v>46143</v>
      </c>
      <c r="R1083" s="36" t="s">
        <v>761</v>
      </c>
      <c r="S1083" s="36" t="s">
        <v>762</v>
      </c>
      <c r="T1083" s="36" t="s">
        <v>763</v>
      </c>
      <c r="U1083" s="36" t="s">
        <v>764</v>
      </c>
      <c r="V1083" s="40">
        <v>46143</v>
      </c>
      <c r="W1083" s="36"/>
      <c r="X1083" s="36">
        <v>0</v>
      </c>
      <c r="Y1083" s="36"/>
      <c r="Z1083" s="36">
        <v>0</v>
      </c>
      <c r="AA1083" s="36">
        <v>0</v>
      </c>
      <c r="AB1083" s="36"/>
      <c r="AC1083" s="36" t="str">
        <f t="shared" si="5"/>
        <v>PC26</v>
      </c>
      <c r="AD1083" s="36" t="str">
        <f>VLOOKUP(D1083,Oficial!A:C,3,0)</f>
        <v>Administración de Fondos</v>
      </c>
    </row>
    <row r="1084" spans="1:30" x14ac:dyDescent="0.25">
      <c r="A1084" s="36" t="s">
        <v>27</v>
      </c>
      <c r="B1084" s="36" t="s">
        <v>1590</v>
      </c>
      <c r="C1084" s="36" t="s">
        <v>374</v>
      </c>
      <c r="D1084" s="36" t="s">
        <v>1590</v>
      </c>
      <c r="E1084" s="36" t="s">
        <v>30</v>
      </c>
      <c r="F1084" s="36" t="s">
        <v>569</v>
      </c>
      <c r="G1084" s="37" t="s">
        <v>104</v>
      </c>
      <c r="H1084" s="36" t="s">
        <v>1591</v>
      </c>
      <c r="I1084" s="36" t="s">
        <v>1577</v>
      </c>
      <c r="J1084" s="36">
        <v>3</v>
      </c>
      <c r="K1084" s="36" t="s">
        <v>1594</v>
      </c>
      <c r="L1084" s="36">
        <v>4</v>
      </c>
      <c r="M1084" s="36">
        <v>5</v>
      </c>
      <c r="N1084" s="38">
        <v>15000</v>
      </c>
      <c r="O1084" s="38">
        <v>75000</v>
      </c>
      <c r="P1084" s="36">
        <v>1</v>
      </c>
      <c r="Q1084" s="40">
        <v>46143</v>
      </c>
      <c r="R1084" s="36" t="s">
        <v>761</v>
      </c>
      <c r="S1084" s="36" t="s">
        <v>762</v>
      </c>
      <c r="T1084" s="36" t="s">
        <v>763</v>
      </c>
      <c r="U1084" s="36" t="s">
        <v>764</v>
      </c>
      <c r="V1084" s="40">
        <v>46143</v>
      </c>
      <c r="W1084" s="36"/>
      <c r="X1084" s="36">
        <v>0</v>
      </c>
      <c r="Y1084" s="36"/>
      <c r="Z1084" s="36">
        <v>0</v>
      </c>
      <c r="AA1084" s="36">
        <v>0</v>
      </c>
      <c r="AB1084" s="36"/>
      <c r="AC1084" s="36" t="str">
        <f t="shared" si="5"/>
        <v>PC26</v>
      </c>
      <c r="AD1084" s="36" t="str">
        <f>VLOOKUP(D1084,Oficial!A:C,3,0)</f>
        <v>Administración de Fondos</v>
      </c>
    </row>
    <row r="1085" spans="1:30" x14ac:dyDescent="0.25">
      <c r="A1085" s="36" t="s">
        <v>27</v>
      </c>
      <c r="B1085" s="36" t="s">
        <v>1595</v>
      </c>
      <c r="C1085" s="36" t="s">
        <v>374</v>
      </c>
      <c r="D1085" s="36" t="s">
        <v>1595</v>
      </c>
      <c r="E1085" s="36" t="s">
        <v>30</v>
      </c>
      <c r="F1085" s="36" t="s">
        <v>569</v>
      </c>
      <c r="G1085" s="37" t="s">
        <v>1596</v>
      </c>
      <c r="H1085" s="36" t="s">
        <v>1597</v>
      </c>
      <c r="I1085" s="36" t="s">
        <v>1598</v>
      </c>
      <c r="J1085" s="36">
        <v>1</v>
      </c>
      <c r="K1085" s="36" t="s">
        <v>1599</v>
      </c>
      <c r="L1085" s="36">
        <v>4</v>
      </c>
      <c r="M1085" s="36">
        <v>1</v>
      </c>
      <c r="N1085" s="38">
        <v>360000</v>
      </c>
      <c r="O1085" s="38">
        <v>360000</v>
      </c>
      <c r="P1085" s="36">
        <v>1</v>
      </c>
      <c r="Q1085" s="40">
        <v>46054</v>
      </c>
      <c r="R1085" s="36" t="s">
        <v>761</v>
      </c>
      <c r="S1085" s="36" t="s">
        <v>762</v>
      </c>
      <c r="T1085" s="36" t="s">
        <v>763</v>
      </c>
      <c r="U1085" s="36" t="s">
        <v>764</v>
      </c>
      <c r="V1085" s="40">
        <v>46054</v>
      </c>
      <c r="W1085" s="36"/>
      <c r="X1085" s="36">
        <v>0</v>
      </c>
      <c r="Y1085" s="36"/>
      <c r="Z1085" s="36">
        <v>0</v>
      </c>
      <c r="AA1085" s="36">
        <v>0</v>
      </c>
      <c r="AB1085" s="36"/>
      <c r="AC1085" s="36" t="str">
        <f t="shared" si="5"/>
        <v>PC26</v>
      </c>
      <c r="AD1085" s="36" t="str">
        <f>VLOOKUP(D1085,Oficial!A:C,3,0)</f>
        <v>Administración de Fondos</v>
      </c>
    </row>
    <row r="1086" spans="1:30" x14ac:dyDescent="0.25">
      <c r="A1086" s="36" t="s">
        <v>27</v>
      </c>
      <c r="B1086" s="36" t="s">
        <v>1600</v>
      </c>
      <c r="C1086" s="36" t="s">
        <v>28</v>
      </c>
      <c r="D1086" s="36" t="s">
        <v>1600</v>
      </c>
      <c r="E1086" s="36" t="s">
        <v>30</v>
      </c>
      <c r="F1086" s="36" t="s">
        <v>569</v>
      </c>
      <c r="G1086" s="37" t="s">
        <v>1586</v>
      </c>
      <c r="H1086" s="36" t="s">
        <v>1601</v>
      </c>
      <c r="I1086" s="36" t="s">
        <v>1602</v>
      </c>
      <c r="J1086" s="36">
        <v>1</v>
      </c>
      <c r="K1086" s="36" t="s">
        <v>1603</v>
      </c>
      <c r="L1086" s="36">
        <v>4</v>
      </c>
      <c r="M1086" s="36">
        <v>4</v>
      </c>
      <c r="N1086" s="38">
        <v>357000</v>
      </c>
      <c r="O1086" s="38">
        <v>1428000</v>
      </c>
      <c r="P1086" s="36">
        <v>1</v>
      </c>
      <c r="Q1086" s="40">
        <v>46235</v>
      </c>
      <c r="R1086" s="36" t="s">
        <v>1572</v>
      </c>
      <c r="S1086" s="36" t="s">
        <v>1573</v>
      </c>
      <c r="T1086" s="36" t="s">
        <v>1154</v>
      </c>
      <c r="U1086" s="36" t="s">
        <v>1574</v>
      </c>
      <c r="V1086" s="40">
        <v>46235</v>
      </c>
      <c r="W1086" s="36"/>
      <c r="X1086" s="36">
        <v>0</v>
      </c>
      <c r="Y1086" s="36"/>
      <c r="Z1086" s="36">
        <v>0</v>
      </c>
      <c r="AA1086" s="36">
        <v>0</v>
      </c>
      <c r="AB1086" s="36"/>
      <c r="AC1086" s="36" t="str">
        <f t="shared" si="5"/>
        <v>PC26</v>
      </c>
      <c r="AD1086" s="36" t="str">
        <f>VLOOKUP(D1086,Oficial!A:C,3,0)</f>
        <v>Bienes y Servicios</v>
      </c>
    </row>
    <row r="1087" spans="1:30" x14ac:dyDescent="0.25">
      <c r="A1087" s="36" t="s">
        <v>27</v>
      </c>
      <c r="B1087" s="36" t="s">
        <v>1604</v>
      </c>
      <c r="C1087" s="36" t="s">
        <v>28</v>
      </c>
      <c r="D1087" s="36" t="s">
        <v>1604</v>
      </c>
      <c r="E1087" s="36" t="s">
        <v>30</v>
      </c>
      <c r="F1087" s="36" t="s">
        <v>569</v>
      </c>
      <c r="G1087" s="37" t="s">
        <v>483</v>
      </c>
      <c r="H1087" s="36" t="s">
        <v>1605</v>
      </c>
      <c r="I1087" s="36" t="s">
        <v>1606</v>
      </c>
      <c r="J1087" s="36">
        <v>2</v>
      </c>
      <c r="K1087" s="36" t="s">
        <v>1607</v>
      </c>
      <c r="L1087" s="36">
        <v>4</v>
      </c>
      <c r="M1087" s="36">
        <v>60</v>
      </c>
      <c r="N1087" s="38">
        <v>6000</v>
      </c>
      <c r="O1087" s="38">
        <v>360000</v>
      </c>
      <c r="P1087" s="36">
        <v>1</v>
      </c>
      <c r="Q1087" s="40">
        <v>46023</v>
      </c>
      <c r="R1087" s="36" t="s">
        <v>1608</v>
      </c>
      <c r="S1087" s="36" t="s">
        <v>379</v>
      </c>
      <c r="T1087" s="36" t="s">
        <v>659</v>
      </c>
      <c r="U1087" s="36" t="s">
        <v>381</v>
      </c>
      <c r="V1087" s="40">
        <v>46023</v>
      </c>
      <c r="W1087" s="36"/>
      <c r="X1087" s="36">
        <v>0</v>
      </c>
      <c r="Y1087" s="36"/>
      <c r="Z1087" s="36">
        <v>0</v>
      </c>
      <c r="AA1087" s="36">
        <v>0</v>
      </c>
      <c r="AB1087" s="36"/>
      <c r="AC1087" s="36" t="str">
        <f t="shared" si="5"/>
        <v>PC26</v>
      </c>
      <c r="AD1087" s="36" t="str">
        <f>VLOOKUP(D1087,Oficial!A:C,3,0)</f>
        <v>Bienes y Servicios</v>
      </c>
    </row>
    <row r="1088" spans="1:30" x14ac:dyDescent="0.25">
      <c r="A1088" s="36" t="s">
        <v>27</v>
      </c>
      <c r="B1088" s="36" t="s">
        <v>1604</v>
      </c>
      <c r="C1088" s="36" t="s">
        <v>28</v>
      </c>
      <c r="D1088" s="36" t="s">
        <v>1604</v>
      </c>
      <c r="E1088" s="36" t="s">
        <v>30</v>
      </c>
      <c r="F1088" s="36" t="s">
        <v>569</v>
      </c>
      <c r="G1088" s="37" t="s">
        <v>483</v>
      </c>
      <c r="H1088" s="36" t="s">
        <v>1605</v>
      </c>
      <c r="I1088" s="36" t="s">
        <v>1606</v>
      </c>
      <c r="J1088" s="36">
        <v>2</v>
      </c>
      <c r="K1088" s="36" t="s">
        <v>1609</v>
      </c>
      <c r="L1088" s="36">
        <v>4</v>
      </c>
      <c r="M1088" s="36">
        <v>200</v>
      </c>
      <c r="N1088" s="38">
        <v>4000</v>
      </c>
      <c r="O1088" s="38">
        <v>800000</v>
      </c>
      <c r="P1088" s="36">
        <v>1</v>
      </c>
      <c r="Q1088" s="40">
        <v>46023</v>
      </c>
      <c r="R1088" s="36" t="s">
        <v>1608</v>
      </c>
      <c r="S1088" s="36" t="s">
        <v>379</v>
      </c>
      <c r="T1088" s="36" t="s">
        <v>659</v>
      </c>
      <c r="U1088" s="36" t="s">
        <v>381</v>
      </c>
      <c r="V1088" s="40">
        <v>46023</v>
      </c>
      <c r="W1088" s="36"/>
      <c r="X1088" s="36">
        <v>0</v>
      </c>
      <c r="Y1088" s="36"/>
      <c r="Z1088" s="36">
        <v>0</v>
      </c>
      <c r="AA1088" s="36">
        <v>0</v>
      </c>
      <c r="AB1088" s="36"/>
      <c r="AC1088" s="36" t="str">
        <f t="shared" si="5"/>
        <v>PC26</v>
      </c>
      <c r="AD1088" s="36" t="str">
        <f>VLOOKUP(D1088,Oficial!A:C,3,0)</f>
        <v>Bienes y Servicios</v>
      </c>
    </row>
    <row r="1089" spans="1:30" x14ac:dyDescent="0.25">
      <c r="A1089" s="36" t="s">
        <v>27</v>
      </c>
      <c r="B1089" s="36" t="s">
        <v>1610</v>
      </c>
      <c r="C1089" s="36" t="s">
        <v>28</v>
      </c>
      <c r="D1089" s="36" t="s">
        <v>1610</v>
      </c>
      <c r="E1089" s="36" t="s">
        <v>30</v>
      </c>
      <c r="F1089" s="36" t="s">
        <v>569</v>
      </c>
      <c r="G1089" s="37" t="s">
        <v>654</v>
      </c>
      <c r="H1089" s="36" t="s">
        <v>1611</v>
      </c>
      <c r="I1089" s="36" t="s">
        <v>1612</v>
      </c>
      <c r="J1089" s="36">
        <v>4</v>
      </c>
      <c r="K1089" s="36" t="s">
        <v>602</v>
      </c>
      <c r="L1089" s="36">
        <v>4</v>
      </c>
      <c r="M1089" s="36">
        <v>4</v>
      </c>
      <c r="N1089" s="38">
        <v>375000</v>
      </c>
      <c r="O1089" s="38">
        <v>1500000</v>
      </c>
      <c r="P1089" s="36">
        <v>1</v>
      </c>
      <c r="Q1089" s="40">
        <v>46054</v>
      </c>
      <c r="R1089" s="36" t="s">
        <v>1613</v>
      </c>
      <c r="S1089" s="36" t="s">
        <v>1614</v>
      </c>
      <c r="T1089" s="36" t="s">
        <v>1615</v>
      </c>
      <c r="U1089" s="36" t="s">
        <v>1616</v>
      </c>
      <c r="V1089" s="40">
        <v>46054</v>
      </c>
      <c r="W1089" s="36"/>
      <c r="X1089" s="36">
        <v>0</v>
      </c>
      <c r="Y1089" s="36"/>
      <c r="Z1089" s="36">
        <v>0</v>
      </c>
      <c r="AA1089" s="36">
        <v>0</v>
      </c>
      <c r="AB1089" s="36"/>
      <c r="AC1089" s="36" t="str">
        <f t="shared" si="5"/>
        <v>PC26</v>
      </c>
      <c r="AD1089" s="36" t="str">
        <f>VLOOKUP(D1089,Oficial!A:C,3,0)</f>
        <v>Bienes y Servicios</v>
      </c>
    </row>
    <row r="1090" spans="1:30" x14ac:dyDescent="0.25">
      <c r="A1090" s="36" t="s">
        <v>27</v>
      </c>
      <c r="B1090" s="36" t="s">
        <v>1610</v>
      </c>
      <c r="C1090" s="36" t="s">
        <v>28</v>
      </c>
      <c r="D1090" s="36" t="s">
        <v>1610</v>
      </c>
      <c r="E1090" s="36" t="s">
        <v>30</v>
      </c>
      <c r="F1090" s="36" t="s">
        <v>569</v>
      </c>
      <c r="G1090" s="37" t="s">
        <v>654</v>
      </c>
      <c r="H1090" s="36" t="s">
        <v>1611</v>
      </c>
      <c r="I1090" s="36" t="s">
        <v>1612</v>
      </c>
      <c r="J1090" s="36">
        <v>4</v>
      </c>
      <c r="K1090" s="36" t="s">
        <v>1617</v>
      </c>
      <c r="L1090" s="36">
        <v>4</v>
      </c>
      <c r="M1090" s="36">
        <v>3</v>
      </c>
      <c r="N1090" s="38">
        <v>1666667</v>
      </c>
      <c r="O1090" s="38">
        <v>5000001</v>
      </c>
      <c r="P1090" s="36">
        <v>1</v>
      </c>
      <c r="Q1090" s="40">
        <v>46082</v>
      </c>
      <c r="R1090" s="36" t="s">
        <v>1613</v>
      </c>
      <c r="S1090" s="36" t="s">
        <v>1614</v>
      </c>
      <c r="T1090" s="36" t="s">
        <v>1615</v>
      </c>
      <c r="U1090" s="36" t="s">
        <v>1616</v>
      </c>
      <c r="V1090" s="40">
        <v>46082</v>
      </c>
      <c r="W1090" s="36"/>
      <c r="X1090" s="36">
        <v>0</v>
      </c>
      <c r="Y1090" s="36"/>
      <c r="Z1090" s="36">
        <v>0</v>
      </c>
      <c r="AA1090" s="36">
        <v>0</v>
      </c>
      <c r="AB1090" s="36"/>
      <c r="AC1090" s="36" t="str">
        <f t="shared" si="5"/>
        <v>PC26</v>
      </c>
      <c r="AD1090" s="36" t="str">
        <f>VLOOKUP(D1090,Oficial!A:C,3,0)</f>
        <v>Bienes y Servicios</v>
      </c>
    </row>
    <row r="1091" spans="1:30" x14ac:dyDescent="0.25">
      <c r="A1091" s="36" t="s">
        <v>27</v>
      </c>
      <c r="B1091" s="36" t="s">
        <v>1610</v>
      </c>
      <c r="C1091" s="36" t="s">
        <v>28</v>
      </c>
      <c r="D1091" s="36" t="s">
        <v>1610</v>
      </c>
      <c r="E1091" s="36" t="s">
        <v>30</v>
      </c>
      <c r="F1091" s="36" t="s">
        <v>569</v>
      </c>
      <c r="G1091" s="37" t="s">
        <v>654</v>
      </c>
      <c r="H1091" s="36" t="s">
        <v>1611</v>
      </c>
      <c r="I1091" s="36" t="s">
        <v>1612</v>
      </c>
      <c r="J1091" s="36">
        <v>4</v>
      </c>
      <c r="K1091" s="36" t="s">
        <v>1618</v>
      </c>
      <c r="L1091" s="36">
        <v>4</v>
      </c>
      <c r="M1091" s="36">
        <v>3</v>
      </c>
      <c r="N1091" s="38">
        <v>1666667</v>
      </c>
      <c r="O1091" s="38">
        <v>5000001</v>
      </c>
      <c r="P1091" s="36">
        <v>1</v>
      </c>
      <c r="Q1091" s="40">
        <v>46054</v>
      </c>
      <c r="R1091" s="36" t="s">
        <v>1613</v>
      </c>
      <c r="S1091" s="36" t="s">
        <v>1614</v>
      </c>
      <c r="T1091" s="36" t="s">
        <v>1615</v>
      </c>
      <c r="U1091" s="36" t="s">
        <v>1616</v>
      </c>
      <c r="V1091" s="40">
        <v>46054</v>
      </c>
      <c r="W1091" s="36"/>
      <c r="X1091" s="36">
        <v>0</v>
      </c>
      <c r="Y1091" s="36"/>
      <c r="Z1091" s="36">
        <v>0</v>
      </c>
      <c r="AA1091" s="36">
        <v>0</v>
      </c>
      <c r="AB1091" s="36"/>
      <c r="AC1091" s="36" t="str">
        <f t="shared" si="5"/>
        <v>PC26</v>
      </c>
      <c r="AD1091" s="36" t="str">
        <f>VLOOKUP(D1091,Oficial!A:C,3,0)</f>
        <v>Bienes y Servicios</v>
      </c>
    </row>
    <row r="1092" spans="1:30" x14ac:dyDescent="0.25">
      <c r="A1092" s="36" t="s">
        <v>27</v>
      </c>
      <c r="B1092" s="36" t="s">
        <v>1610</v>
      </c>
      <c r="C1092" s="36" t="s">
        <v>28</v>
      </c>
      <c r="D1092" s="36" t="s">
        <v>1610</v>
      </c>
      <c r="E1092" s="36" t="s">
        <v>30</v>
      </c>
      <c r="F1092" s="36" t="s">
        <v>569</v>
      </c>
      <c r="G1092" s="37" t="s">
        <v>654</v>
      </c>
      <c r="H1092" s="36" t="s">
        <v>1611</v>
      </c>
      <c r="I1092" s="36" t="s">
        <v>1612</v>
      </c>
      <c r="J1092" s="36">
        <v>4</v>
      </c>
      <c r="K1092" s="36" t="s">
        <v>1619</v>
      </c>
      <c r="L1092" s="36">
        <v>4</v>
      </c>
      <c r="M1092" s="36">
        <v>4000</v>
      </c>
      <c r="N1092" s="38">
        <v>12733</v>
      </c>
      <c r="O1092" s="38">
        <v>50932000</v>
      </c>
      <c r="P1092" s="36">
        <v>1</v>
      </c>
      <c r="Q1092" s="40">
        <v>46023</v>
      </c>
      <c r="R1092" s="36" t="s">
        <v>1613</v>
      </c>
      <c r="S1092" s="36" t="s">
        <v>1614</v>
      </c>
      <c r="T1092" s="36" t="s">
        <v>1615</v>
      </c>
      <c r="U1092" s="36" t="s">
        <v>1616</v>
      </c>
      <c r="V1092" s="40">
        <v>46023</v>
      </c>
      <c r="W1092" s="36"/>
      <c r="X1092" s="36">
        <v>0</v>
      </c>
      <c r="Y1092" s="36"/>
      <c r="Z1092" s="36">
        <v>0</v>
      </c>
      <c r="AA1092" s="36">
        <v>0</v>
      </c>
      <c r="AB1092" s="36"/>
      <c r="AC1092" s="36" t="str">
        <f t="shared" si="5"/>
        <v>PC26</v>
      </c>
      <c r="AD1092" s="36" t="str">
        <f>VLOOKUP(D1092,Oficial!A:C,3,0)</f>
        <v>Bienes y Servicios</v>
      </c>
    </row>
    <row r="1093" spans="1:30" x14ac:dyDescent="0.25">
      <c r="A1093" s="36" t="s">
        <v>27</v>
      </c>
      <c r="B1093" s="36" t="s">
        <v>1620</v>
      </c>
      <c r="C1093" s="36" t="s">
        <v>28</v>
      </c>
      <c r="D1093" s="36" t="s">
        <v>1620</v>
      </c>
      <c r="E1093" s="36" t="s">
        <v>30</v>
      </c>
      <c r="F1093" s="36" t="s">
        <v>569</v>
      </c>
      <c r="G1093" s="37" t="s">
        <v>645</v>
      </c>
      <c r="H1093" s="36" t="s">
        <v>1621</v>
      </c>
      <c r="I1093" s="36" t="s">
        <v>1622</v>
      </c>
      <c r="J1093" s="36">
        <v>1</v>
      </c>
      <c r="K1093" s="36" t="s">
        <v>1623</v>
      </c>
      <c r="L1093" s="36">
        <v>4</v>
      </c>
      <c r="M1093" s="36">
        <v>4</v>
      </c>
      <c r="N1093" s="38">
        <v>150000</v>
      </c>
      <c r="O1093" s="38">
        <v>600000</v>
      </c>
      <c r="P1093" s="36">
        <v>1</v>
      </c>
      <c r="Q1093" s="40">
        <v>46023</v>
      </c>
      <c r="R1093" s="36" t="s">
        <v>1608</v>
      </c>
      <c r="S1093" s="36" t="s">
        <v>379</v>
      </c>
      <c r="T1093" s="36" t="s">
        <v>659</v>
      </c>
      <c r="U1093" s="36" t="s">
        <v>381</v>
      </c>
      <c r="V1093" s="40">
        <v>46023</v>
      </c>
      <c r="W1093" s="36"/>
      <c r="X1093" s="36">
        <v>0</v>
      </c>
      <c r="Y1093" s="36"/>
      <c r="Z1093" s="36">
        <v>0</v>
      </c>
      <c r="AA1093" s="36">
        <v>0</v>
      </c>
      <c r="AB1093" s="36"/>
      <c r="AC1093" s="36" t="str">
        <f t="shared" si="5"/>
        <v>PC26</v>
      </c>
      <c r="AD1093" s="36" t="str">
        <f>VLOOKUP(D1093,Oficial!A:C,3,0)</f>
        <v>Bienes y Servicios</v>
      </c>
    </row>
    <row r="1094" spans="1:30" x14ac:dyDescent="0.25">
      <c r="A1094" s="36" t="s">
        <v>27</v>
      </c>
      <c r="B1094" s="36" t="s">
        <v>1624</v>
      </c>
      <c r="C1094" s="36" t="s">
        <v>1238</v>
      </c>
      <c r="D1094" s="36" t="s">
        <v>1624</v>
      </c>
      <c r="E1094" s="36" t="s">
        <v>30</v>
      </c>
      <c r="F1094" s="36" t="s">
        <v>569</v>
      </c>
      <c r="G1094" s="37" t="s">
        <v>1290</v>
      </c>
      <c r="H1094" s="36" t="s">
        <v>1621</v>
      </c>
      <c r="I1094" s="36" t="s">
        <v>1622</v>
      </c>
      <c r="J1094" s="36">
        <v>1</v>
      </c>
      <c r="K1094" s="36" t="s">
        <v>1625</v>
      </c>
      <c r="L1094" s="36">
        <v>4</v>
      </c>
      <c r="M1094" s="36">
        <v>6</v>
      </c>
      <c r="N1094" s="38">
        <v>130000</v>
      </c>
      <c r="O1094" s="38">
        <v>780000</v>
      </c>
      <c r="P1094" s="36">
        <v>1</v>
      </c>
      <c r="Q1094" s="40">
        <v>46023</v>
      </c>
      <c r="R1094" s="36" t="s">
        <v>1608</v>
      </c>
      <c r="S1094" s="36" t="s">
        <v>379</v>
      </c>
      <c r="T1094" s="36" t="s">
        <v>659</v>
      </c>
      <c r="U1094" s="36" t="s">
        <v>381</v>
      </c>
      <c r="V1094" s="40">
        <v>46023</v>
      </c>
      <c r="W1094" s="36"/>
      <c r="X1094" s="36">
        <v>0</v>
      </c>
      <c r="Y1094" s="36"/>
      <c r="Z1094" s="36">
        <v>0</v>
      </c>
      <c r="AA1094" s="36">
        <v>0</v>
      </c>
      <c r="AB1094" s="36"/>
      <c r="AC1094" s="36" t="str">
        <f t="shared" si="5"/>
        <v>PC26</v>
      </c>
      <c r="AD1094" s="36" t="str">
        <f>VLOOKUP(D1094,Oficial!A:C,3,0)</f>
        <v>Activos Fijos</v>
      </c>
    </row>
    <row r="1095" spans="1:30" x14ac:dyDescent="0.25">
      <c r="A1095" s="36" t="s">
        <v>27</v>
      </c>
      <c r="B1095" s="36" t="s">
        <v>1626</v>
      </c>
      <c r="C1095" s="36" t="s">
        <v>28</v>
      </c>
      <c r="D1095" s="36" t="s">
        <v>1626</v>
      </c>
      <c r="E1095" s="36" t="s">
        <v>30</v>
      </c>
      <c r="F1095" s="36" t="s">
        <v>569</v>
      </c>
      <c r="G1095" s="37" t="s">
        <v>615</v>
      </c>
      <c r="H1095" s="36" t="s">
        <v>1627</v>
      </c>
      <c r="I1095" s="36" t="s">
        <v>1628</v>
      </c>
      <c r="J1095" s="36">
        <v>3</v>
      </c>
      <c r="K1095" s="36" t="s">
        <v>1629</v>
      </c>
      <c r="L1095" s="36">
        <v>4</v>
      </c>
      <c r="M1095" s="36">
        <v>60</v>
      </c>
      <c r="N1095" s="38">
        <v>1050</v>
      </c>
      <c r="O1095" s="38">
        <v>63000</v>
      </c>
      <c r="P1095" s="36">
        <v>1</v>
      </c>
      <c r="Q1095" s="40">
        <v>46113</v>
      </c>
      <c r="R1095" s="36" t="s">
        <v>1572</v>
      </c>
      <c r="S1095" s="36" t="s">
        <v>1573</v>
      </c>
      <c r="T1095" s="36" t="s">
        <v>1154</v>
      </c>
      <c r="U1095" s="36" t="s">
        <v>1574</v>
      </c>
      <c r="V1095" s="40">
        <v>46113</v>
      </c>
      <c r="W1095" s="36"/>
      <c r="X1095" s="36">
        <v>0</v>
      </c>
      <c r="Y1095" s="36"/>
      <c r="Z1095" s="36">
        <v>0</v>
      </c>
      <c r="AA1095" s="36">
        <v>0</v>
      </c>
      <c r="AB1095" s="36"/>
      <c r="AC1095" s="36" t="str">
        <f t="shared" si="5"/>
        <v>PC26</v>
      </c>
      <c r="AD1095" s="36" t="str">
        <f>VLOOKUP(D1095,Oficial!A:C,3,0)</f>
        <v>Bienes y Servicios</v>
      </c>
    </row>
    <row r="1096" spans="1:30" x14ac:dyDescent="0.25">
      <c r="A1096" s="36" t="s">
        <v>27</v>
      </c>
      <c r="B1096" s="36" t="s">
        <v>1626</v>
      </c>
      <c r="C1096" s="36" t="s">
        <v>28</v>
      </c>
      <c r="D1096" s="36" t="s">
        <v>1626</v>
      </c>
      <c r="E1096" s="36" t="s">
        <v>30</v>
      </c>
      <c r="F1096" s="36" t="s">
        <v>569</v>
      </c>
      <c r="G1096" s="37" t="s">
        <v>615</v>
      </c>
      <c r="H1096" s="36" t="s">
        <v>1627</v>
      </c>
      <c r="I1096" s="36" t="s">
        <v>1628</v>
      </c>
      <c r="J1096" s="36">
        <v>3</v>
      </c>
      <c r="K1096" s="36" t="s">
        <v>1630</v>
      </c>
      <c r="L1096" s="36">
        <v>4</v>
      </c>
      <c r="M1096" s="36">
        <v>60</v>
      </c>
      <c r="N1096" s="38">
        <v>52734</v>
      </c>
      <c r="O1096" s="38">
        <v>3164040</v>
      </c>
      <c r="P1096" s="36">
        <v>1</v>
      </c>
      <c r="Q1096" s="40">
        <v>46113</v>
      </c>
      <c r="R1096" s="36" t="s">
        <v>1572</v>
      </c>
      <c r="S1096" s="36" t="s">
        <v>1573</v>
      </c>
      <c r="T1096" s="36" t="s">
        <v>1154</v>
      </c>
      <c r="U1096" s="36" t="s">
        <v>1574</v>
      </c>
      <c r="V1096" s="40">
        <v>46113</v>
      </c>
      <c r="W1096" s="36"/>
      <c r="X1096" s="36">
        <v>0</v>
      </c>
      <c r="Y1096" s="36"/>
      <c r="Z1096" s="36">
        <v>0</v>
      </c>
      <c r="AA1096" s="36">
        <v>0</v>
      </c>
      <c r="AB1096" s="36"/>
      <c r="AC1096" s="36" t="str">
        <f t="shared" si="5"/>
        <v>PC26</v>
      </c>
      <c r="AD1096" s="36" t="str">
        <f>VLOOKUP(D1096,Oficial!A:C,3,0)</f>
        <v>Bienes y Servicios</v>
      </c>
    </row>
    <row r="1097" spans="1:30" x14ac:dyDescent="0.25">
      <c r="A1097" s="36" t="s">
        <v>27</v>
      </c>
      <c r="B1097" s="36" t="s">
        <v>1626</v>
      </c>
      <c r="C1097" s="36" t="s">
        <v>28</v>
      </c>
      <c r="D1097" s="36" t="s">
        <v>1626</v>
      </c>
      <c r="E1097" s="36" t="s">
        <v>30</v>
      </c>
      <c r="F1097" s="36" t="s">
        <v>569</v>
      </c>
      <c r="G1097" s="37" t="s">
        <v>615</v>
      </c>
      <c r="H1097" s="36" t="s">
        <v>1627</v>
      </c>
      <c r="I1097" s="36" t="s">
        <v>1628</v>
      </c>
      <c r="J1097" s="36">
        <v>3</v>
      </c>
      <c r="K1097" s="36" t="s">
        <v>1631</v>
      </c>
      <c r="L1097" s="36">
        <v>4</v>
      </c>
      <c r="M1097" s="36">
        <v>44</v>
      </c>
      <c r="N1097" s="38">
        <v>53495</v>
      </c>
      <c r="O1097" s="38">
        <v>2353780</v>
      </c>
      <c r="P1097" s="36">
        <v>1</v>
      </c>
      <c r="Q1097" s="40">
        <v>46113</v>
      </c>
      <c r="R1097" s="36" t="s">
        <v>1572</v>
      </c>
      <c r="S1097" s="36" t="s">
        <v>1573</v>
      </c>
      <c r="T1097" s="36" t="s">
        <v>1154</v>
      </c>
      <c r="U1097" s="36" t="s">
        <v>1574</v>
      </c>
      <c r="V1097" s="40">
        <v>46113</v>
      </c>
      <c r="W1097" s="36"/>
      <c r="X1097" s="36">
        <v>0</v>
      </c>
      <c r="Y1097" s="36"/>
      <c r="Z1097" s="36">
        <v>0</v>
      </c>
      <c r="AA1097" s="36">
        <v>0</v>
      </c>
      <c r="AB1097" s="36"/>
      <c r="AC1097" s="36" t="str">
        <f t="shared" si="5"/>
        <v>PC26</v>
      </c>
      <c r="AD1097" s="36" t="str">
        <f>VLOOKUP(D1097,Oficial!A:C,3,0)</f>
        <v>Bienes y Servicios</v>
      </c>
    </row>
    <row r="1098" spans="1:30" x14ac:dyDescent="0.25">
      <c r="A1098" s="36" t="s">
        <v>27</v>
      </c>
      <c r="B1098" s="36" t="s">
        <v>1632</v>
      </c>
      <c r="C1098" s="36" t="s">
        <v>28</v>
      </c>
      <c r="D1098" s="36" t="s">
        <v>1632</v>
      </c>
      <c r="E1098" s="36" t="s">
        <v>30</v>
      </c>
      <c r="F1098" s="36" t="s">
        <v>569</v>
      </c>
      <c r="G1098" s="37" t="s">
        <v>654</v>
      </c>
      <c r="H1098" s="36" t="s">
        <v>1633</v>
      </c>
      <c r="I1098" s="36" t="s">
        <v>1634</v>
      </c>
      <c r="J1098" s="36">
        <v>2</v>
      </c>
      <c r="K1098" s="36" t="s">
        <v>1635</v>
      </c>
      <c r="L1098" s="36">
        <v>4</v>
      </c>
      <c r="M1098" s="36">
        <v>2</v>
      </c>
      <c r="N1098" s="38">
        <v>180000</v>
      </c>
      <c r="O1098" s="38">
        <v>360000</v>
      </c>
      <c r="P1098" s="36">
        <v>1</v>
      </c>
      <c r="Q1098" s="40">
        <v>46204</v>
      </c>
      <c r="R1098" s="36" t="s">
        <v>934</v>
      </c>
      <c r="S1098" s="36" t="s">
        <v>935</v>
      </c>
      <c r="T1098" s="36" t="s">
        <v>936</v>
      </c>
      <c r="U1098" s="36" t="s">
        <v>937</v>
      </c>
      <c r="V1098" s="40">
        <v>46204</v>
      </c>
      <c r="W1098" s="36"/>
      <c r="X1098" s="36">
        <v>0</v>
      </c>
      <c r="Y1098" s="36"/>
      <c r="Z1098" s="36">
        <v>0</v>
      </c>
      <c r="AA1098" s="36">
        <v>0</v>
      </c>
      <c r="AB1098" s="36"/>
      <c r="AC1098" s="36" t="str">
        <f t="shared" si="5"/>
        <v>PC26</v>
      </c>
      <c r="AD1098" s="36" t="str">
        <f>VLOOKUP(D1098,Oficial!A:C,3,0)</f>
        <v>Bienes y Servicios</v>
      </c>
    </row>
    <row r="1099" spans="1:30" x14ac:dyDescent="0.25">
      <c r="A1099" s="36" t="s">
        <v>27</v>
      </c>
      <c r="B1099" s="36" t="s">
        <v>1632</v>
      </c>
      <c r="C1099" s="36" t="s">
        <v>28</v>
      </c>
      <c r="D1099" s="36" t="s">
        <v>1632</v>
      </c>
      <c r="E1099" s="36" t="s">
        <v>30</v>
      </c>
      <c r="F1099" s="36" t="s">
        <v>569</v>
      </c>
      <c r="G1099" s="37" t="s">
        <v>654</v>
      </c>
      <c r="H1099" s="36" t="s">
        <v>1633</v>
      </c>
      <c r="I1099" s="36" t="s">
        <v>1634</v>
      </c>
      <c r="J1099" s="36">
        <v>2</v>
      </c>
      <c r="K1099" s="36" t="s">
        <v>1636</v>
      </c>
      <c r="L1099" s="36">
        <v>4</v>
      </c>
      <c r="M1099" s="36">
        <v>80</v>
      </c>
      <c r="N1099" s="38">
        <v>1000</v>
      </c>
      <c r="O1099" s="38">
        <v>80000</v>
      </c>
      <c r="P1099" s="36">
        <v>1</v>
      </c>
      <c r="Q1099" s="40">
        <v>46204</v>
      </c>
      <c r="R1099" s="36" t="s">
        <v>934</v>
      </c>
      <c r="S1099" s="36" t="s">
        <v>935</v>
      </c>
      <c r="T1099" s="36" t="s">
        <v>936</v>
      </c>
      <c r="U1099" s="36" t="s">
        <v>937</v>
      </c>
      <c r="V1099" s="40">
        <v>46204</v>
      </c>
      <c r="W1099" s="36"/>
      <c r="X1099" s="36">
        <v>0</v>
      </c>
      <c r="Y1099" s="36"/>
      <c r="Z1099" s="36">
        <v>0</v>
      </c>
      <c r="AA1099" s="36">
        <v>0</v>
      </c>
      <c r="AB1099" s="36"/>
      <c r="AC1099" s="36" t="str">
        <f t="shared" si="5"/>
        <v>PC26</v>
      </c>
      <c r="AD1099" s="36" t="str">
        <f>VLOOKUP(D1099,Oficial!A:C,3,0)</f>
        <v>Bienes y Servicios</v>
      </c>
    </row>
    <row r="1100" spans="1:30" x14ac:dyDescent="0.25">
      <c r="A1100" s="36" t="s">
        <v>27</v>
      </c>
      <c r="B1100" s="36" t="s">
        <v>1637</v>
      </c>
      <c r="C1100" s="36" t="s">
        <v>28</v>
      </c>
      <c r="D1100" s="36" t="s">
        <v>1637</v>
      </c>
      <c r="E1100" s="36" t="s">
        <v>30</v>
      </c>
      <c r="F1100" s="36" t="s">
        <v>569</v>
      </c>
      <c r="G1100" s="37" t="s">
        <v>645</v>
      </c>
      <c r="H1100" s="36" t="s">
        <v>1177</v>
      </c>
      <c r="I1100" s="36" t="s">
        <v>1178</v>
      </c>
      <c r="J1100" s="36">
        <v>1</v>
      </c>
      <c r="K1100" s="36" t="s">
        <v>1179</v>
      </c>
      <c r="L1100" s="36">
        <v>4</v>
      </c>
      <c r="M1100" s="36">
        <v>7</v>
      </c>
      <c r="N1100" s="38">
        <v>16429</v>
      </c>
      <c r="O1100" s="38">
        <v>115003</v>
      </c>
      <c r="P1100" s="36">
        <v>1</v>
      </c>
      <c r="Q1100" s="40">
        <v>46082</v>
      </c>
      <c r="R1100" s="36" t="s">
        <v>1180</v>
      </c>
      <c r="S1100" s="36" t="s">
        <v>1181</v>
      </c>
      <c r="T1100" s="36" t="s">
        <v>936</v>
      </c>
      <c r="U1100" s="36" t="s">
        <v>1182</v>
      </c>
      <c r="V1100" s="40">
        <v>46082</v>
      </c>
      <c r="W1100" s="36"/>
      <c r="X1100" s="36">
        <v>0</v>
      </c>
      <c r="Y1100" s="36"/>
      <c r="Z1100" s="36">
        <v>0</v>
      </c>
      <c r="AA1100" s="36">
        <v>0</v>
      </c>
      <c r="AB1100" s="36"/>
      <c r="AC1100" s="36" t="str">
        <f t="shared" si="5"/>
        <v>PC26</v>
      </c>
      <c r="AD1100" s="36" t="str">
        <f>VLOOKUP(D1100,Oficial!A:C,3,0)</f>
        <v>Bienes y Servicios</v>
      </c>
    </row>
    <row r="1101" spans="1:30" x14ac:dyDescent="0.25">
      <c r="A1101" s="36" t="s">
        <v>27</v>
      </c>
      <c r="B1101" s="36" t="s">
        <v>1638</v>
      </c>
      <c r="C1101" s="36" t="s">
        <v>28</v>
      </c>
      <c r="D1101" s="36" t="s">
        <v>1638</v>
      </c>
      <c r="E1101" s="36" t="s">
        <v>30</v>
      </c>
      <c r="F1101" s="36" t="s">
        <v>569</v>
      </c>
      <c r="G1101" s="37" t="s">
        <v>483</v>
      </c>
      <c r="H1101" s="36" t="s">
        <v>1639</v>
      </c>
      <c r="I1101" s="36" t="s">
        <v>1640</v>
      </c>
      <c r="J1101" s="36">
        <v>1</v>
      </c>
      <c r="K1101" s="36" t="s">
        <v>1641</v>
      </c>
      <c r="L1101" s="36">
        <v>4</v>
      </c>
      <c r="M1101" s="36">
        <v>45</v>
      </c>
      <c r="N1101" s="38">
        <v>9000</v>
      </c>
      <c r="O1101" s="38">
        <v>405000</v>
      </c>
      <c r="P1101" s="36">
        <v>1</v>
      </c>
      <c r="Q1101" s="40">
        <v>46082</v>
      </c>
      <c r="R1101" s="36" t="s">
        <v>1642</v>
      </c>
      <c r="S1101" s="36" t="s">
        <v>1643</v>
      </c>
      <c r="T1101" s="36" t="s">
        <v>1644</v>
      </c>
      <c r="U1101" s="36" t="s">
        <v>404</v>
      </c>
      <c r="V1101" s="40">
        <v>46082</v>
      </c>
      <c r="W1101" s="36"/>
      <c r="X1101" s="36">
        <v>0</v>
      </c>
      <c r="Y1101" s="36"/>
      <c r="Z1101" s="36">
        <v>0</v>
      </c>
      <c r="AA1101" s="36">
        <v>0</v>
      </c>
      <c r="AB1101" s="36"/>
      <c r="AC1101" s="36" t="str">
        <f t="shared" si="5"/>
        <v>PC26</v>
      </c>
      <c r="AD1101" s="36" t="str">
        <f>VLOOKUP(D1101,Oficial!A:C,3,0)</f>
        <v>Bienes y Servicios</v>
      </c>
    </row>
    <row r="1102" spans="1:30" x14ac:dyDescent="0.25">
      <c r="A1102" s="36" t="s">
        <v>27</v>
      </c>
      <c r="B1102" s="36" t="s">
        <v>1645</v>
      </c>
      <c r="C1102" s="36" t="s">
        <v>374</v>
      </c>
      <c r="D1102" s="36" t="s">
        <v>1645</v>
      </c>
      <c r="E1102" s="36" t="s">
        <v>30</v>
      </c>
      <c r="F1102" s="36" t="s">
        <v>569</v>
      </c>
      <c r="G1102" s="37" t="s">
        <v>1596</v>
      </c>
      <c r="H1102" s="36" t="s">
        <v>1646</v>
      </c>
      <c r="I1102" s="36" t="s">
        <v>1647</v>
      </c>
      <c r="J1102" s="36">
        <v>1</v>
      </c>
      <c r="K1102" s="36" t="s">
        <v>1648</v>
      </c>
      <c r="L1102" s="36">
        <v>4</v>
      </c>
      <c r="M1102" s="36">
        <v>6</v>
      </c>
      <c r="N1102" s="38">
        <v>693334</v>
      </c>
      <c r="O1102" s="38">
        <v>4160004</v>
      </c>
      <c r="P1102" s="36">
        <v>1</v>
      </c>
      <c r="Q1102" s="40">
        <v>46235</v>
      </c>
      <c r="R1102" s="36" t="s">
        <v>1649</v>
      </c>
      <c r="S1102" s="36" t="s">
        <v>762</v>
      </c>
      <c r="T1102" s="36" t="s">
        <v>763</v>
      </c>
      <c r="U1102" s="36" t="s">
        <v>764</v>
      </c>
      <c r="V1102" s="40">
        <v>46235</v>
      </c>
      <c r="W1102" s="36"/>
      <c r="X1102" s="36">
        <v>0</v>
      </c>
      <c r="Y1102" s="36"/>
      <c r="Z1102" s="36">
        <v>0</v>
      </c>
      <c r="AA1102" s="36">
        <v>0</v>
      </c>
      <c r="AB1102" s="36"/>
      <c r="AC1102" s="36" t="str">
        <f t="shared" si="5"/>
        <v>PC26</v>
      </c>
      <c r="AD1102" s="36" t="str">
        <f>VLOOKUP(D1102,Oficial!A:C,3,0)</f>
        <v>Administración de Fondos</v>
      </c>
    </row>
    <row r="1103" spans="1:30" x14ac:dyDescent="0.25">
      <c r="A1103" s="36" t="s">
        <v>27</v>
      </c>
      <c r="B1103" s="36" t="s">
        <v>1650</v>
      </c>
      <c r="C1103" s="36" t="s">
        <v>374</v>
      </c>
      <c r="D1103" s="36" t="s">
        <v>1650</v>
      </c>
      <c r="E1103" s="36" t="s">
        <v>30</v>
      </c>
      <c r="F1103" s="36" t="s">
        <v>569</v>
      </c>
      <c r="G1103" s="37" t="s">
        <v>1547</v>
      </c>
      <c r="H1103" s="36" t="s">
        <v>1651</v>
      </c>
      <c r="I1103" s="36" t="s">
        <v>1652</v>
      </c>
      <c r="J1103" s="36">
        <v>1</v>
      </c>
      <c r="K1103" s="36" t="s">
        <v>1653</v>
      </c>
      <c r="L1103" s="36">
        <v>4</v>
      </c>
      <c r="M1103" s="36">
        <v>7</v>
      </c>
      <c r="N1103" s="38">
        <v>28572</v>
      </c>
      <c r="O1103" s="38">
        <v>200004</v>
      </c>
      <c r="P1103" s="36">
        <v>1</v>
      </c>
      <c r="Q1103" s="40">
        <v>46143</v>
      </c>
      <c r="R1103" s="36" t="s">
        <v>761</v>
      </c>
      <c r="S1103" s="36" t="s">
        <v>762</v>
      </c>
      <c r="T1103" s="36" t="s">
        <v>763</v>
      </c>
      <c r="U1103" s="36" t="s">
        <v>764</v>
      </c>
      <c r="V1103" s="40">
        <v>46143</v>
      </c>
      <c r="W1103" s="36"/>
      <c r="X1103" s="36">
        <v>0</v>
      </c>
      <c r="Y1103" s="36"/>
      <c r="Z1103" s="36">
        <v>0</v>
      </c>
      <c r="AA1103" s="36">
        <v>0</v>
      </c>
      <c r="AB1103" s="36"/>
      <c r="AC1103" s="36" t="str">
        <f t="shared" si="5"/>
        <v>PC26</v>
      </c>
      <c r="AD1103" s="36" t="str">
        <f>VLOOKUP(D1103,Oficial!A:C,3,0)</f>
        <v>Administración de Fondos</v>
      </c>
    </row>
    <row r="1104" spans="1:30" x14ac:dyDescent="0.25">
      <c r="A1104" s="36" t="s">
        <v>27</v>
      </c>
      <c r="B1104" s="36" t="s">
        <v>1654</v>
      </c>
      <c r="C1104" s="36" t="s">
        <v>374</v>
      </c>
      <c r="D1104" s="36" t="s">
        <v>1654</v>
      </c>
      <c r="E1104" s="36" t="s">
        <v>30</v>
      </c>
      <c r="F1104" s="36" t="s">
        <v>569</v>
      </c>
      <c r="G1104" s="37" t="s">
        <v>104</v>
      </c>
      <c r="H1104" s="36" t="s">
        <v>1655</v>
      </c>
      <c r="I1104" s="36" t="s">
        <v>1652</v>
      </c>
      <c r="J1104" s="36">
        <v>3</v>
      </c>
      <c r="K1104" s="36" t="s">
        <v>1592</v>
      </c>
      <c r="L1104" s="36">
        <v>4</v>
      </c>
      <c r="M1104" s="36">
        <v>1</v>
      </c>
      <c r="N1104" s="38">
        <v>150000</v>
      </c>
      <c r="O1104" s="38">
        <v>150000</v>
      </c>
      <c r="P1104" s="36">
        <v>1</v>
      </c>
      <c r="Q1104" s="40">
        <v>46143</v>
      </c>
      <c r="R1104" s="36" t="s">
        <v>761</v>
      </c>
      <c r="S1104" s="36" t="s">
        <v>762</v>
      </c>
      <c r="T1104" s="36" t="s">
        <v>763</v>
      </c>
      <c r="U1104" s="36" t="s">
        <v>764</v>
      </c>
      <c r="V1104" s="40">
        <v>46143</v>
      </c>
      <c r="W1104" s="36"/>
      <c r="X1104" s="36">
        <v>0</v>
      </c>
      <c r="Y1104" s="36"/>
      <c r="Z1104" s="36">
        <v>0</v>
      </c>
      <c r="AA1104" s="36">
        <v>0</v>
      </c>
      <c r="AB1104" s="36"/>
      <c r="AC1104" s="36" t="str">
        <f t="shared" si="5"/>
        <v>PC26</v>
      </c>
      <c r="AD1104" s="36" t="str">
        <f>VLOOKUP(D1104,Oficial!A:C,3,0)</f>
        <v>Administración de Fondos</v>
      </c>
    </row>
    <row r="1105" spans="1:30" x14ac:dyDescent="0.25">
      <c r="A1105" s="36" t="s">
        <v>27</v>
      </c>
      <c r="B1105" s="36" t="s">
        <v>1654</v>
      </c>
      <c r="C1105" s="36" t="s">
        <v>374</v>
      </c>
      <c r="D1105" s="36" t="s">
        <v>1654</v>
      </c>
      <c r="E1105" s="36" t="s">
        <v>30</v>
      </c>
      <c r="F1105" s="36" t="s">
        <v>569</v>
      </c>
      <c r="G1105" s="37" t="s">
        <v>104</v>
      </c>
      <c r="H1105" s="36" t="s">
        <v>1655</v>
      </c>
      <c r="I1105" s="36" t="s">
        <v>1652</v>
      </c>
      <c r="J1105" s="36">
        <v>3</v>
      </c>
      <c r="K1105" s="36" t="s">
        <v>1593</v>
      </c>
      <c r="L1105" s="36">
        <v>4</v>
      </c>
      <c r="M1105" s="36">
        <v>1</v>
      </c>
      <c r="N1105" s="38">
        <v>70000</v>
      </c>
      <c r="O1105" s="38">
        <v>70000</v>
      </c>
      <c r="P1105" s="36">
        <v>1</v>
      </c>
      <c r="Q1105" s="40">
        <v>46143</v>
      </c>
      <c r="R1105" s="36" t="s">
        <v>761</v>
      </c>
      <c r="S1105" s="36" t="s">
        <v>762</v>
      </c>
      <c r="T1105" s="36" t="s">
        <v>763</v>
      </c>
      <c r="U1105" s="36" t="s">
        <v>764</v>
      </c>
      <c r="V1105" s="40">
        <v>46143</v>
      </c>
      <c r="W1105" s="36"/>
      <c r="X1105" s="36">
        <v>0</v>
      </c>
      <c r="Y1105" s="36"/>
      <c r="Z1105" s="36">
        <v>0</v>
      </c>
      <c r="AA1105" s="36">
        <v>0</v>
      </c>
      <c r="AB1105" s="36"/>
      <c r="AC1105" s="36" t="str">
        <f t="shared" si="5"/>
        <v>PC26</v>
      </c>
      <c r="AD1105" s="36" t="str">
        <f>VLOOKUP(D1105,Oficial!A:C,3,0)</f>
        <v>Administración de Fondos</v>
      </c>
    </row>
    <row r="1106" spans="1:30" x14ac:dyDescent="0.25">
      <c r="A1106" s="36" t="s">
        <v>27</v>
      </c>
      <c r="B1106" s="36" t="s">
        <v>1654</v>
      </c>
      <c r="C1106" s="36" t="s">
        <v>374</v>
      </c>
      <c r="D1106" s="36" t="s">
        <v>1654</v>
      </c>
      <c r="E1106" s="36" t="s">
        <v>30</v>
      </c>
      <c r="F1106" s="36" t="s">
        <v>569</v>
      </c>
      <c r="G1106" s="37" t="s">
        <v>104</v>
      </c>
      <c r="H1106" s="36" t="s">
        <v>1655</v>
      </c>
      <c r="I1106" s="36" t="s">
        <v>1652</v>
      </c>
      <c r="J1106" s="36">
        <v>3</v>
      </c>
      <c r="K1106" s="36" t="s">
        <v>1656</v>
      </c>
      <c r="L1106" s="36">
        <v>4</v>
      </c>
      <c r="M1106" s="36">
        <v>4</v>
      </c>
      <c r="N1106" s="38">
        <v>15000</v>
      </c>
      <c r="O1106" s="38">
        <v>60000</v>
      </c>
      <c r="P1106" s="36">
        <v>1</v>
      </c>
      <c r="Q1106" s="40">
        <v>46143</v>
      </c>
      <c r="R1106" s="36" t="s">
        <v>761</v>
      </c>
      <c r="S1106" s="36" t="s">
        <v>762</v>
      </c>
      <c r="T1106" s="36" t="s">
        <v>763</v>
      </c>
      <c r="U1106" s="36" t="s">
        <v>764</v>
      </c>
      <c r="V1106" s="40">
        <v>46143</v>
      </c>
      <c r="W1106" s="36"/>
      <c r="X1106" s="36">
        <v>0</v>
      </c>
      <c r="Y1106" s="36"/>
      <c r="Z1106" s="36">
        <v>0</v>
      </c>
      <c r="AA1106" s="36">
        <v>0</v>
      </c>
      <c r="AB1106" s="36"/>
      <c r="AC1106" s="36" t="str">
        <f t="shared" si="5"/>
        <v>PC26</v>
      </c>
      <c r="AD1106" s="36" t="str">
        <f>VLOOKUP(D1106,Oficial!A:C,3,0)</f>
        <v>Administración de Fondos</v>
      </c>
    </row>
    <row r="1107" spans="1:30" x14ac:dyDescent="0.25">
      <c r="A1107" s="36" t="s">
        <v>27</v>
      </c>
      <c r="B1107" s="36" t="s">
        <v>1657</v>
      </c>
      <c r="C1107" s="36" t="s">
        <v>374</v>
      </c>
      <c r="D1107" s="36" t="s">
        <v>1657</v>
      </c>
      <c r="E1107" s="36" t="s">
        <v>30</v>
      </c>
      <c r="F1107" s="36" t="s">
        <v>569</v>
      </c>
      <c r="G1107" s="37" t="s">
        <v>654</v>
      </c>
      <c r="H1107" s="36" t="s">
        <v>1658</v>
      </c>
      <c r="I1107" s="36" t="s">
        <v>1659</v>
      </c>
      <c r="J1107" s="36">
        <v>6</v>
      </c>
      <c r="K1107" s="36" t="s">
        <v>602</v>
      </c>
      <c r="L1107" s="36">
        <v>4</v>
      </c>
      <c r="M1107" s="36">
        <v>1</v>
      </c>
      <c r="N1107" s="38">
        <v>4600000</v>
      </c>
      <c r="O1107" s="38">
        <v>4600000</v>
      </c>
      <c r="P1107" s="36">
        <v>1</v>
      </c>
      <c r="Q1107" s="40">
        <v>46235</v>
      </c>
      <c r="R1107" s="36" t="s">
        <v>1660</v>
      </c>
      <c r="S1107" s="36" t="s">
        <v>1661</v>
      </c>
      <c r="T1107" s="36" t="s">
        <v>1662</v>
      </c>
      <c r="U1107" s="36" t="s">
        <v>1663</v>
      </c>
      <c r="V1107" s="40">
        <v>46235</v>
      </c>
      <c r="W1107" s="36"/>
      <c r="X1107" s="36">
        <v>0</v>
      </c>
      <c r="Y1107" s="36"/>
      <c r="Z1107" s="36">
        <v>0</v>
      </c>
      <c r="AA1107" s="36">
        <v>0</v>
      </c>
      <c r="AB1107" s="36"/>
      <c r="AC1107" s="36" t="str">
        <f t="shared" si="5"/>
        <v>PC26</v>
      </c>
      <c r="AD1107" s="36" t="str">
        <f>VLOOKUP(D1107,Oficial!A:C,3,0)</f>
        <v>Administración de Fondos</v>
      </c>
    </row>
    <row r="1108" spans="1:30" x14ac:dyDescent="0.25">
      <c r="A1108" s="36" t="s">
        <v>27</v>
      </c>
      <c r="B1108" s="36" t="s">
        <v>1657</v>
      </c>
      <c r="C1108" s="36" t="s">
        <v>374</v>
      </c>
      <c r="D1108" s="36" t="s">
        <v>1657</v>
      </c>
      <c r="E1108" s="36" t="s">
        <v>30</v>
      </c>
      <c r="F1108" s="36" t="s">
        <v>569</v>
      </c>
      <c r="G1108" s="37" t="s">
        <v>654</v>
      </c>
      <c r="H1108" s="36" t="s">
        <v>1658</v>
      </c>
      <c r="I1108" s="36" t="s">
        <v>1659</v>
      </c>
      <c r="J1108" s="36">
        <v>6</v>
      </c>
      <c r="K1108" s="36" t="s">
        <v>359</v>
      </c>
      <c r="L1108" s="36">
        <v>4</v>
      </c>
      <c r="M1108" s="36">
        <v>76</v>
      </c>
      <c r="N1108" s="38">
        <v>83816</v>
      </c>
      <c r="O1108" s="38">
        <v>6370016</v>
      </c>
      <c r="P1108" s="36">
        <v>1</v>
      </c>
      <c r="Q1108" s="40">
        <v>46266</v>
      </c>
      <c r="R1108" s="36" t="s">
        <v>1660</v>
      </c>
      <c r="S1108" s="36" t="s">
        <v>1661</v>
      </c>
      <c r="T1108" s="36" t="s">
        <v>1662</v>
      </c>
      <c r="U1108" s="36" t="s">
        <v>1663</v>
      </c>
      <c r="V1108" s="40">
        <v>46235</v>
      </c>
      <c r="W1108" s="36"/>
      <c r="X1108" s="36">
        <v>0</v>
      </c>
      <c r="Y1108" s="36"/>
      <c r="Z1108" s="36">
        <v>0</v>
      </c>
      <c r="AA1108" s="36">
        <v>0</v>
      </c>
      <c r="AB1108" s="36"/>
      <c r="AC1108" s="36" t="str">
        <f t="shared" si="5"/>
        <v>PC26</v>
      </c>
      <c r="AD1108" s="36" t="str">
        <f>VLOOKUP(D1108,Oficial!A:C,3,0)</f>
        <v>Administración de Fondos</v>
      </c>
    </row>
    <row r="1109" spans="1:30" x14ac:dyDescent="0.25">
      <c r="A1109" s="36" t="s">
        <v>27</v>
      </c>
      <c r="B1109" s="36" t="s">
        <v>1657</v>
      </c>
      <c r="C1109" s="36" t="s">
        <v>374</v>
      </c>
      <c r="D1109" s="36" t="s">
        <v>1657</v>
      </c>
      <c r="E1109" s="36" t="s">
        <v>30</v>
      </c>
      <c r="F1109" s="36" t="s">
        <v>569</v>
      </c>
      <c r="G1109" s="37" t="s">
        <v>654</v>
      </c>
      <c r="H1109" s="36" t="s">
        <v>1658</v>
      </c>
      <c r="I1109" s="36" t="s">
        <v>1659</v>
      </c>
      <c r="J1109" s="36">
        <v>6</v>
      </c>
      <c r="K1109" s="36" t="s">
        <v>855</v>
      </c>
      <c r="L1109" s="36">
        <v>4</v>
      </c>
      <c r="M1109" s="36">
        <v>3</v>
      </c>
      <c r="N1109" s="38">
        <v>13334</v>
      </c>
      <c r="O1109" s="38">
        <v>40002</v>
      </c>
      <c r="P1109" s="36">
        <v>1</v>
      </c>
      <c r="Q1109" s="40">
        <v>46266</v>
      </c>
      <c r="R1109" s="36" t="s">
        <v>1660</v>
      </c>
      <c r="S1109" s="36" t="s">
        <v>1661</v>
      </c>
      <c r="T1109" s="36" t="s">
        <v>1662</v>
      </c>
      <c r="U1109" s="36" t="s">
        <v>1663</v>
      </c>
      <c r="V1109" s="40">
        <v>46235</v>
      </c>
      <c r="W1109" s="36"/>
      <c r="X1109" s="36">
        <v>0</v>
      </c>
      <c r="Y1109" s="36"/>
      <c r="Z1109" s="36">
        <v>0</v>
      </c>
      <c r="AA1109" s="36">
        <v>0</v>
      </c>
      <c r="AB1109" s="36"/>
      <c r="AC1109" s="36" t="str">
        <f t="shared" si="5"/>
        <v>PC26</v>
      </c>
      <c r="AD1109" s="36" t="str">
        <f>VLOOKUP(D1109,Oficial!A:C,3,0)</f>
        <v>Administración de Fondos</v>
      </c>
    </row>
    <row r="1110" spans="1:30" x14ac:dyDescent="0.25">
      <c r="A1110" s="36" t="s">
        <v>27</v>
      </c>
      <c r="B1110" s="36" t="s">
        <v>1657</v>
      </c>
      <c r="C1110" s="36" t="s">
        <v>374</v>
      </c>
      <c r="D1110" s="36" t="s">
        <v>1657</v>
      </c>
      <c r="E1110" s="36" t="s">
        <v>30</v>
      </c>
      <c r="F1110" s="36" t="s">
        <v>569</v>
      </c>
      <c r="G1110" s="37" t="s">
        <v>654</v>
      </c>
      <c r="H1110" s="36" t="s">
        <v>1658</v>
      </c>
      <c r="I1110" s="36" t="s">
        <v>1659</v>
      </c>
      <c r="J1110" s="36">
        <v>6</v>
      </c>
      <c r="K1110" s="36" t="s">
        <v>1664</v>
      </c>
      <c r="L1110" s="36">
        <v>4</v>
      </c>
      <c r="M1110" s="36">
        <v>60</v>
      </c>
      <c r="N1110" s="38">
        <v>20000</v>
      </c>
      <c r="O1110" s="38">
        <v>1200000</v>
      </c>
      <c r="P1110" s="36">
        <v>1</v>
      </c>
      <c r="Q1110" s="40">
        <v>46266</v>
      </c>
      <c r="R1110" s="36" t="s">
        <v>1660</v>
      </c>
      <c r="S1110" s="36" t="s">
        <v>1661</v>
      </c>
      <c r="T1110" s="36" t="s">
        <v>1662</v>
      </c>
      <c r="U1110" s="36" t="s">
        <v>1663</v>
      </c>
      <c r="V1110" s="40">
        <v>46235</v>
      </c>
      <c r="W1110" s="36"/>
      <c r="X1110" s="36">
        <v>0</v>
      </c>
      <c r="Y1110" s="36"/>
      <c r="Z1110" s="36">
        <v>0</v>
      </c>
      <c r="AA1110" s="36">
        <v>0</v>
      </c>
      <c r="AB1110" s="36"/>
      <c r="AC1110" s="36" t="str">
        <f t="shared" si="5"/>
        <v>PC26</v>
      </c>
      <c r="AD1110" s="36" t="str">
        <f>VLOOKUP(D1110,Oficial!A:C,3,0)</f>
        <v>Administración de Fondos</v>
      </c>
    </row>
    <row r="1111" spans="1:30" x14ac:dyDescent="0.25">
      <c r="A1111" s="36" t="s">
        <v>27</v>
      </c>
      <c r="B1111" s="36" t="s">
        <v>1657</v>
      </c>
      <c r="C1111" s="36" t="s">
        <v>374</v>
      </c>
      <c r="D1111" s="36" t="s">
        <v>1657</v>
      </c>
      <c r="E1111" s="36" t="s">
        <v>30</v>
      </c>
      <c r="F1111" s="36" t="s">
        <v>569</v>
      </c>
      <c r="G1111" s="37" t="s">
        <v>654</v>
      </c>
      <c r="H1111" s="36" t="s">
        <v>1658</v>
      </c>
      <c r="I1111" s="36" t="s">
        <v>1659</v>
      </c>
      <c r="J1111" s="36">
        <v>6</v>
      </c>
      <c r="K1111" s="36" t="s">
        <v>1665</v>
      </c>
      <c r="L1111" s="36">
        <v>4</v>
      </c>
      <c r="M1111" s="36">
        <v>1</v>
      </c>
      <c r="N1111" s="38">
        <v>4000000</v>
      </c>
      <c r="O1111" s="38">
        <v>4000000</v>
      </c>
      <c r="P1111" s="36">
        <v>1</v>
      </c>
      <c r="Q1111" s="40">
        <v>46266</v>
      </c>
      <c r="R1111" s="36" t="s">
        <v>1660</v>
      </c>
      <c r="S1111" s="36" t="s">
        <v>1661</v>
      </c>
      <c r="T1111" s="36" t="s">
        <v>1662</v>
      </c>
      <c r="U1111" s="36" t="s">
        <v>1663</v>
      </c>
      <c r="V1111" s="40">
        <v>46235</v>
      </c>
      <c r="W1111" s="36"/>
      <c r="X1111" s="36">
        <v>0</v>
      </c>
      <c r="Y1111" s="36"/>
      <c r="Z1111" s="36">
        <v>0</v>
      </c>
      <c r="AA1111" s="36">
        <v>0</v>
      </c>
      <c r="AB1111" s="36"/>
      <c r="AC1111" s="36" t="str">
        <f t="shared" ref="AC1111:AC1174" si="6">RIGHT(D1111,4)</f>
        <v>PC26</v>
      </c>
      <c r="AD1111" s="36" t="str">
        <f>VLOOKUP(D1111,Oficial!A:C,3,0)</f>
        <v>Administración de Fondos</v>
      </c>
    </row>
    <row r="1112" spans="1:30" x14ac:dyDescent="0.25">
      <c r="A1112" s="36" t="s">
        <v>27</v>
      </c>
      <c r="B1112" s="36" t="s">
        <v>1657</v>
      </c>
      <c r="C1112" s="36" t="s">
        <v>374</v>
      </c>
      <c r="D1112" s="36" t="s">
        <v>1657</v>
      </c>
      <c r="E1112" s="36" t="s">
        <v>30</v>
      </c>
      <c r="F1112" s="36" t="s">
        <v>569</v>
      </c>
      <c r="G1112" s="37" t="s">
        <v>654</v>
      </c>
      <c r="H1112" s="36" t="s">
        <v>1658</v>
      </c>
      <c r="I1112" s="36" t="s">
        <v>1659</v>
      </c>
      <c r="J1112" s="36">
        <v>6</v>
      </c>
      <c r="K1112" s="36" t="s">
        <v>1666</v>
      </c>
      <c r="L1112" s="36">
        <v>4</v>
      </c>
      <c r="M1112" s="36">
        <v>1</v>
      </c>
      <c r="N1112" s="38">
        <v>2500000</v>
      </c>
      <c r="O1112" s="38">
        <v>2500000</v>
      </c>
      <c r="P1112" s="36">
        <v>1</v>
      </c>
      <c r="Q1112" s="40">
        <v>46266</v>
      </c>
      <c r="R1112" s="36" t="s">
        <v>1660</v>
      </c>
      <c r="S1112" s="36" t="s">
        <v>1661</v>
      </c>
      <c r="T1112" s="36" t="s">
        <v>1662</v>
      </c>
      <c r="U1112" s="36" t="s">
        <v>1663</v>
      </c>
      <c r="V1112" s="40">
        <v>46235</v>
      </c>
      <c r="W1112" s="36"/>
      <c r="X1112" s="36">
        <v>0</v>
      </c>
      <c r="Y1112" s="36"/>
      <c r="Z1112" s="36">
        <v>0</v>
      </c>
      <c r="AA1112" s="36">
        <v>0</v>
      </c>
      <c r="AB1112" s="36"/>
      <c r="AC1112" s="36" t="str">
        <f t="shared" si="6"/>
        <v>PC26</v>
      </c>
      <c r="AD1112" s="36" t="str">
        <f>VLOOKUP(D1112,Oficial!A:C,3,0)</f>
        <v>Administración de Fondos</v>
      </c>
    </row>
    <row r="1113" spans="1:30" x14ac:dyDescent="0.25">
      <c r="A1113" s="36" t="s">
        <v>27</v>
      </c>
      <c r="B1113" s="36" t="s">
        <v>1667</v>
      </c>
      <c r="C1113" s="36" t="s">
        <v>28</v>
      </c>
      <c r="D1113" s="36" t="s">
        <v>1667</v>
      </c>
      <c r="E1113" s="36" t="s">
        <v>30</v>
      </c>
      <c r="F1113" s="36" t="s">
        <v>569</v>
      </c>
      <c r="G1113" s="37" t="s">
        <v>654</v>
      </c>
      <c r="H1113" s="36" t="s">
        <v>1668</v>
      </c>
      <c r="I1113" s="36" t="s">
        <v>1669</v>
      </c>
      <c r="J1113" s="36">
        <v>3</v>
      </c>
      <c r="K1113" s="36" t="s">
        <v>1670</v>
      </c>
      <c r="L1113" s="36">
        <v>4</v>
      </c>
      <c r="M1113" s="36">
        <v>30</v>
      </c>
      <c r="N1113" s="38">
        <v>5000</v>
      </c>
      <c r="O1113" s="38">
        <v>150000</v>
      </c>
      <c r="P1113" s="36">
        <v>1</v>
      </c>
      <c r="Q1113" s="40">
        <v>46054</v>
      </c>
      <c r="R1113" s="36" t="s">
        <v>1231</v>
      </c>
      <c r="S1113" s="36" t="s">
        <v>1232</v>
      </c>
      <c r="T1113" s="36" t="s">
        <v>566</v>
      </c>
      <c r="U1113" s="36" t="s">
        <v>67</v>
      </c>
      <c r="V1113" s="40">
        <v>46054</v>
      </c>
      <c r="W1113" s="36"/>
      <c r="X1113" s="36">
        <v>0</v>
      </c>
      <c r="Y1113" s="36"/>
      <c r="Z1113" s="36">
        <v>0</v>
      </c>
      <c r="AA1113" s="36">
        <v>0</v>
      </c>
      <c r="AB1113" s="36"/>
      <c r="AC1113" s="36" t="str">
        <f t="shared" si="6"/>
        <v>PC26</v>
      </c>
      <c r="AD1113" s="36" t="str">
        <f>VLOOKUP(D1113,Oficial!A:C,3,0)</f>
        <v>Bienes y Servicios</v>
      </c>
    </row>
    <row r="1114" spans="1:30" x14ac:dyDescent="0.25">
      <c r="A1114" s="36" t="s">
        <v>27</v>
      </c>
      <c r="B1114" s="36" t="s">
        <v>1667</v>
      </c>
      <c r="C1114" s="36" t="s">
        <v>28</v>
      </c>
      <c r="D1114" s="36" t="s">
        <v>1667</v>
      </c>
      <c r="E1114" s="36" t="s">
        <v>30</v>
      </c>
      <c r="F1114" s="36" t="s">
        <v>569</v>
      </c>
      <c r="G1114" s="37" t="s">
        <v>654</v>
      </c>
      <c r="H1114" s="36" t="s">
        <v>1668</v>
      </c>
      <c r="I1114" s="36" t="s">
        <v>1669</v>
      </c>
      <c r="J1114" s="36">
        <v>3</v>
      </c>
      <c r="K1114" s="36" t="s">
        <v>1671</v>
      </c>
      <c r="L1114" s="36">
        <v>4</v>
      </c>
      <c r="M1114" s="36">
        <v>31</v>
      </c>
      <c r="N1114" s="38">
        <v>807</v>
      </c>
      <c r="O1114" s="38">
        <v>25017</v>
      </c>
      <c r="P1114" s="36">
        <v>1</v>
      </c>
      <c r="Q1114" s="40">
        <v>46054</v>
      </c>
      <c r="R1114" s="36" t="s">
        <v>1231</v>
      </c>
      <c r="S1114" s="36" t="s">
        <v>1232</v>
      </c>
      <c r="T1114" s="36" t="s">
        <v>566</v>
      </c>
      <c r="U1114" s="36" t="s">
        <v>67</v>
      </c>
      <c r="V1114" s="40">
        <v>46054</v>
      </c>
      <c r="W1114" s="36"/>
      <c r="X1114" s="36">
        <v>0</v>
      </c>
      <c r="Y1114" s="36"/>
      <c r="Z1114" s="36">
        <v>0</v>
      </c>
      <c r="AA1114" s="36">
        <v>0</v>
      </c>
      <c r="AB1114" s="36"/>
      <c r="AC1114" s="36" t="str">
        <f t="shared" si="6"/>
        <v>PC26</v>
      </c>
      <c r="AD1114" s="36" t="str">
        <f>VLOOKUP(D1114,Oficial!A:C,3,0)</f>
        <v>Bienes y Servicios</v>
      </c>
    </row>
    <row r="1115" spans="1:30" x14ac:dyDescent="0.25">
      <c r="A1115" s="36" t="s">
        <v>27</v>
      </c>
      <c r="B1115" s="36" t="s">
        <v>1667</v>
      </c>
      <c r="C1115" s="36" t="s">
        <v>28</v>
      </c>
      <c r="D1115" s="36" t="s">
        <v>1667</v>
      </c>
      <c r="E1115" s="36" t="s">
        <v>30</v>
      </c>
      <c r="F1115" s="36" t="s">
        <v>569</v>
      </c>
      <c r="G1115" s="37" t="s">
        <v>654</v>
      </c>
      <c r="H1115" s="36" t="s">
        <v>1668</v>
      </c>
      <c r="I1115" s="36" t="s">
        <v>1669</v>
      </c>
      <c r="J1115" s="36">
        <v>3</v>
      </c>
      <c r="K1115" s="36" t="s">
        <v>359</v>
      </c>
      <c r="L1115" s="36">
        <v>4</v>
      </c>
      <c r="M1115" s="36">
        <v>308</v>
      </c>
      <c r="N1115" s="38">
        <v>1192</v>
      </c>
      <c r="O1115" s="38">
        <v>367136</v>
      </c>
      <c r="P1115" s="36">
        <v>4</v>
      </c>
      <c r="Q1115" s="36" t="s">
        <v>1672</v>
      </c>
      <c r="R1115" s="36" t="s">
        <v>1231</v>
      </c>
      <c r="S1115" s="36" t="s">
        <v>1232</v>
      </c>
      <c r="T1115" s="36" t="s">
        <v>566</v>
      </c>
      <c r="U1115" s="36" t="s">
        <v>67</v>
      </c>
      <c r="V1115" s="40">
        <v>46082</v>
      </c>
      <c r="W1115" s="36"/>
      <c r="X1115" s="36">
        <v>0</v>
      </c>
      <c r="Y1115" s="36"/>
      <c r="Z1115" s="36">
        <v>0</v>
      </c>
      <c r="AA1115" s="36">
        <v>0</v>
      </c>
      <c r="AB1115" s="36"/>
      <c r="AC1115" s="36" t="str">
        <f t="shared" si="6"/>
        <v>PC26</v>
      </c>
      <c r="AD1115" s="36" t="str">
        <f>VLOOKUP(D1115,Oficial!A:C,3,0)</f>
        <v>Bienes y Servicios</v>
      </c>
    </row>
    <row r="1116" spans="1:30" x14ac:dyDescent="0.25">
      <c r="A1116" s="36" t="s">
        <v>27</v>
      </c>
      <c r="B1116" s="36" t="s">
        <v>1673</v>
      </c>
      <c r="C1116" s="36" t="s">
        <v>1238</v>
      </c>
      <c r="D1116" s="36" t="s">
        <v>1673</v>
      </c>
      <c r="E1116" s="36" t="s">
        <v>30</v>
      </c>
      <c r="F1116" s="36" t="s">
        <v>569</v>
      </c>
      <c r="G1116" s="37" t="s">
        <v>1296</v>
      </c>
      <c r="H1116" s="36" t="s">
        <v>1674</v>
      </c>
      <c r="I1116" s="36" t="s">
        <v>1351</v>
      </c>
      <c r="J1116" s="36">
        <v>2</v>
      </c>
      <c r="K1116" s="36" t="s">
        <v>1175</v>
      </c>
      <c r="L1116" s="36">
        <v>4</v>
      </c>
      <c r="M1116" s="36">
        <v>1</v>
      </c>
      <c r="N1116" s="38">
        <v>5731000</v>
      </c>
      <c r="O1116" s="38">
        <v>5731000</v>
      </c>
      <c r="P1116" s="36">
        <v>1</v>
      </c>
      <c r="Q1116" s="40">
        <v>46113</v>
      </c>
      <c r="R1116" s="36" t="s">
        <v>1299</v>
      </c>
      <c r="S1116" s="36" t="s">
        <v>1300</v>
      </c>
      <c r="T1116" s="36" t="s">
        <v>1301</v>
      </c>
      <c r="U1116" s="36" t="s">
        <v>1302</v>
      </c>
      <c r="V1116" s="40">
        <v>46113</v>
      </c>
      <c r="W1116" s="36"/>
      <c r="X1116" s="36">
        <v>0</v>
      </c>
      <c r="Y1116" s="36"/>
      <c r="Z1116" s="36">
        <v>0</v>
      </c>
      <c r="AA1116" s="36">
        <v>0</v>
      </c>
      <c r="AB1116" s="36"/>
      <c r="AC1116" s="36" t="str">
        <f t="shared" si="6"/>
        <v>PC26</v>
      </c>
      <c r="AD1116" s="36" t="str">
        <f>VLOOKUP(D1116,Oficial!A:C,3,0)</f>
        <v>Activos Fijos</v>
      </c>
    </row>
    <row r="1117" spans="1:30" x14ac:dyDescent="0.25">
      <c r="A1117" s="36" t="s">
        <v>27</v>
      </c>
      <c r="B1117" s="36" t="s">
        <v>1673</v>
      </c>
      <c r="C1117" s="36" t="s">
        <v>1238</v>
      </c>
      <c r="D1117" s="36" t="s">
        <v>1673</v>
      </c>
      <c r="E1117" s="36" t="s">
        <v>30</v>
      </c>
      <c r="F1117" s="36" t="s">
        <v>569</v>
      </c>
      <c r="G1117" s="37" t="s">
        <v>1296</v>
      </c>
      <c r="H1117" s="36" t="s">
        <v>1674</v>
      </c>
      <c r="I1117" s="36" t="s">
        <v>1351</v>
      </c>
      <c r="J1117" s="36">
        <v>2</v>
      </c>
      <c r="K1117" s="36" t="s">
        <v>1303</v>
      </c>
      <c r="L1117" s="36">
        <v>4</v>
      </c>
      <c r="M1117" s="36">
        <v>1</v>
      </c>
      <c r="N1117" s="38">
        <v>1042000</v>
      </c>
      <c r="O1117" s="38">
        <v>1042000</v>
      </c>
      <c r="P1117" s="36">
        <v>1</v>
      </c>
      <c r="Q1117" s="40">
        <v>46113</v>
      </c>
      <c r="R1117" s="36" t="s">
        <v>1299</v>
      </c>
      <c r="S1117" s="36" t="s">
        <v>1300</v>
      </c>
      <c r="T1117" s="36" t="s">
        <v>1301</v>
      </c>
      <c r="U1117" s="36" t="s">
        <v>1302</v>
      </c>
      <c r="V1117" s="40">
        <v>46113</v>
      </c>
      <c r="W1117" s="36"/>
      <c r="X1117" s="36">
        <v>0</v>
      </c>
      <c r="Y1117" s="36"/>
      <c r="Z1117" s="36">
        <v>0</v>
      </c>
      <c r="AA1117" s="36">
        <v>0</v>
      </c>
      <c r="AB1117" s="36"/>
      <c r="AC1117" s="36" t="str">
        <f t="shared" si="6"/>
        <v>PC26</v>
      </c>
      <c r="AD1117" s="36" t="str">
        <f>VLOOKUP(D1117,Oficial!A:C,3,0)</f>
        <v>Activos Fijos</v>
      </c>
    </row>
    <row r="1118" spans="1:30" x14ac:dyDescent="0.25">
      <c r="A1118" s="36" t="s">
        <v>27</v>
      </c>
      <c r="B1118" s="36" t="s">
        <v>1675</v>
      </c>
      <c r="C1118" s="36" t="s">
        <v>28</v>
      </c>
      <c r="D1118" s="36" t="s">
        <v>1675</v>
      </c>
      <c r="E1118" s="36" t="s">
        <v>30</v>
      </c>
      <c r="F1118" s="36" t="s">
        <v>569</v>
      </c>
      <c r="G1118" s="37" t="s">
        <v>1676</v>
      </c>
      <c r="H1118" s="36" t="s">
        <v>1658</v>
      </c>
      <c r="I1118" s="36" t="s">
        <v>1677</v>
      </c>
      <c r="J1118" s="36">
        <v>2</v>
      </c>
      <c r="K1118" s="36" t="s">
        <v>1678</v>
      </c>
      <c r="L1118" s="36">
        <v>4</v>
      </c>
      <c r="M1118" s="36">
        <v>20</v>
      </c>
      <c r="N1118" s="38">
        <v>60000</v>
      </c>
      <c r="O1118" s="38">
        <v>1200000</v>
      </c>
      <c r="P1118" s="36">
        <v>1</v>
      </c>
      <c r="Q1118" s="40">
        <v>46174</v>
      </c>
      <c r="R1118" s="36" t="s">
        <v>1660</v>
      </c>
      <c r="S1118" s="36" t="s">
        <v>1661</v>
      </c>
      <c r="T1118" s="36" t="s">
        <v>1662</v>
      </c>
      <c r="U1118" s="36" t="s">
        <v>1663</v>
      </c>
      <c r="V1118" s="40">
        <v>46174</v>
      </c>
      <c r="W1118" s="36"/>
      <c r="X1118" s="36">
        <v>0</v>
      </c>
      <c r="Y1118" s="36"/>
      <c r="Z1118" s="36">
        <v>0</v>
      </c>
      <c r="AA1118" s="36">
        <v>0</v>
      </c>
      <c r="AB1118" s="36"/>
      <c r="AC1118" s="36" t="str">
        <f t="shared" si="6"/>
        <v>PC26</v>
      </c>
      <c r="AD1118" s="36" t="str">
        <f>VLOOKUP(D1118,Oficial!A:C,3,0)</f>
        <v>Bienes y Servicios</v>
      </c>
    </row>
    <row r="1119" spans="1:30" x14ac:dyDescent="0.25">
      <c r="A1119" s="36" t="s">
        <v>27</v>
      </c>
      <c r="B1119" s="36" t="s">
        <v>1675</v>
      </c>
      <c r="C1119" s="36" t="s">
        <v>28</v>
      </c>
      <c r="D1119" s="36" t="s">
        <v>1675</v>
      </c>
      <c r="E1119" s="36" t="s">
        <v>30</v>
      </c>
      <c r="F1119" s="36" t="s">
        <v>569</v>
      </c>
      <c r="G1119" s="37" t="s">
        <v>1676</v>
      </c>
      <c r="H1119" s="36" t="s">
        <v>1658</v>
      </c>
      <c r="I1119" s="36" t="s">
        <v>1677</v>
      </c>
      <c r="J1119" s="36">
        <v>2</v>
      </c>
      <c r="K1119" s="36" t="s">
        <v>1617</v>
      </c>
      <c r="L1119" s="36">
        <v>4</v>
      </c>
      <c r="M1119" s="36">
        <v>10020</v>
      </c>
      <c r="N1119" s="38">
        <v>130</v>
      </c>
      <c r="O1119" s="38">
        <v>1302600</v>
      </c>
      <c r="P1119" s="36">
        <v>1</v>
      </c>
      <c r="Q1119" s="40">
        <v>46174</v>
      </c>
      <c r="R1119" s="36" t="s">
        <v>1660</v>
      </c>
      <c r="S1119" s="36" t="s">
        <v>1661</v>
      </c>
      <c r="T1119" s="36" t="s">
        <v>1662</v>
      </c>
      <c r="U1119" s="36" t="s">
        <v>1663</v>
      </c>
      <c r="V1119" s="40">
        <v>46174</v>
      </c>
      <c r="W1119" s="36"/>
      <c r="X1119" s="36">
        <v>0</v>
      </c>
      <c r="Y1119" s="36"/>
      <c r="Z1119" s="36">
        <v>0</v>
      </c>
      <c r="AA1119" s="36">
        <v>0</v>
      </c>
      <c r="AB1119" s="36"/>
      <c r="AC1119" s="36" t="str">
        <f t="shared" si="6"/>
        <v>PC26</v>
      </c>
      <c r="AD1119" s="36" t="str">
        <f>VLOOKUP(D1119,Oficial!A:C,3,0)</f>
        <v>Bienes y Servicios</v>
      </c>
    </row>
    <row r="1120" spans="1:30" x14ac:dyDescent="0.25">
      <c r="A1120" s="36" t="s">
        <v>27</v>
      </c>
      <c r="B1120" s="36" t="s">
        <v>1679</v>
      </c>
      <c r="C1120" s="36" t="s">
        <v>28</v>
      </c>
      <c r="D1120" s="36" t="s">
        <v>1679</v>
      </c>
      <c r="E1120" s="36" t="s">
        <v>30</v>
      </c>
      <c r="F1120" s="36" t="s">
        <v>569</v>
      </c>
      <c r="G1120" s="37">
        <v>2496</v>
      </c>
      <c r="H1120" s="36" t="s">
        <v>1680</v>
      </c>
      <c r="I1120" s="36" t="s">
        <v>1681</v>
      </c>
      <c r="J1120" s="36">
        <v>3</v>
      </c>
      <c r="K1120" s="36" t="s">
        <v>486</v>
      </c>
      <c r="L1120" s="36">
        <v>4</v>
      </c>
      <c r="M1120" s="36">
        <v>18</v>
      </c>
      <c r="N1120" s="38">
        <v>10223</v>
      </c>
      <c r="O1120" s="38">
        <v>184014</v>
      </c>
      <c r="P1120" s="36">
        <v>1</v>
      </c>
      <c r="Q1120" s="40">
        <v>46023</v>
      </c>
      <c r="R1120" s="36" t="s">
        <v>457</v>
      </c>
      <c r="S1120" s="36" t="s">
        <v>1682</v>
      </c>
      <c r="T1120" s="36" t="s">
        <v>1097</v>
      </c>
      <c r="U1120" s="36" t="s">
        <v>460</v>
      </c>
      <c r="V1120" s="40">
        <v>46023</v>
      </c>
      <c r="W1120" s="36"/>
      <c r="X1120" s="36">
        <v>0</v>
      </c>
      <c r="Y1120" s="36"/>
      <c r="Z1120" s="36">
        <v>0</v>
      </c>
      <c r="AA1120" s="36">
        <v>0</v>
      </c>
      <c r="AB1120" s="36"/>
      <c r="AC1120" s="36" t="str">
        <f t="shared" si="6"/>
        <v>PC26</v>
      </c>
      <c r="AD1120" s="36" t="str">
        <f>VLOOKUP(D1120,Oficial!A:C,3,0)</f>
        <v>Bienes y Servicios</v>
      </c>
    </row>
    <row r="1121" spans="1:30" x14ac:dyDescent="0.25">
      <c r="A1121" s="36" t="s">
        <v>27</v>
      </c>
      <c r="B1121" s="36" t="s">
        <v>1679</v>
      </c>
      <c r="C1121" s="36" t="s">
        <v>28</v>
      </c>
      <c r="D1121" s="36" t="s">
        <v>1679</v>
      </c>
      <c r="E1121" s="36" t="s">
        <v>30</v>
      </c>
      <c r="F1121" s="36" t="s">
        <v>569</v>
      </c>
      <c r="G1121" s="37">
        <v>2496</v>
      </c>
      <c r="H1121" s="36" t="s">
        <v>1680</v>
      </c>
      <c r="I1121" s="36" t="s">
        <v>1681</v>
      </c>
      <c r="J1121" s="36">
        <v>3</v>
      </c>
      <c r="K1121" s="36" t="s">
        <v>1683</v>
      </c>
      <c r="L1121" s="36">
        <v>4</v>
      </c>
      <c r="M1121" s="36">
        <v>2</v>
      </c>
      <c r="N1121" s="38">
        <v>10000</v>
      </c>
      <c r="O1121" s="38">
        <v>20000</v>
      </c>
      <c r="P1121" s="36">
        <v>1</v>
      </c>
      <c r="Q1121" s="40">
        <v>46023</v>
      </c>
      <c r="R1121" s="36" t="s">
        <v>457</v>
      </c>
      <c r="S1121" s="36" t="s">
        <v>1682</v>
      </c>
      <c r="T1121" s="36" t="s">
        <v>1097</v>
      </c>
      <c r="U1121" s="36" t="s">
        <v>460</v>
      </c>
      <c r="V1121" s="40">
        <v>46023</v>
      </c>
      <c r="W1121" s="36"/>
      <c r="X1121" s="36">
        <v>0</v>
      </c>
      <c r="Y1121" s="36"/>
      <c r="Z1121" s="36">
        <v>0</v>
      </c>
      <c r="AA1121" s="36">
        <v>0</v>
      </c>
      <c r="AB1121" s="36"/>
      <c r="AC1121" s="36" t="str">
        <f t="shared" si="6"/>
        <v>PC26</v>
      </c>
      <c r="AD1121" s="36" t="str">
        <f>VLOOKUP(D1121,Oficial!A:C,3,0)</f>
        <v>Bienes y Servicios</v>
      </c>
    </row>
    <row r="1122" spans="1:30" x14ac:dyDescent="0.25">
      <c r="A1122" s="36" t="s">
        <v>27</v>
      </c>
      <c r="B1122" s="36" t="s">
        <v>1679</v>
      </c>
      <c r="C1122" s="36" t="s">
        <v>28</v>
      </c>
      <c r="D1122" s="36" t="s">
        <v>1679</v>
      </c>
      <c r="E1122" s="36" t="s">
        <v>30</v>
      </c>
      <c r="F1122" s="36" t="s">
        <v>569</v>
      </c>
      <c r="G1122" s="37">
        <v>2496</v>
      </c>
      <c r="H1122" s="36" t="s">
        <v>1680</v>
      </c>
      <c r="I1122" s="36" t="s">
        <v>1681</v>
      </c>
      <c r="J1122" s="36">
        <v>3</v>
      </c>
      <c r="K1122" s="36" t="s">
        <v>1550</v>
      </c>
      <c r="L1122" s="36">
        <v>4</v>
      </c>
      <c r="M1122" s="36">
        <v>2</v>
      </c>
      <c r="N1122" s="38">
        <v>9000</v>
      </c>
      <c r="O1122" s="38">
        <v>18000</v>
      </c>
      <c r="P1122" s="36">
        <v>1</v>
      </c>
      <c r="Q1122" s="40">
        <v>46023</v>
      </c>
      <c r="R1122" s="36" t="s">
        <v>457</v>
      </c>
      <c r="S1122" s="36" t="s">
        <v>1682</v>
      </c>
      <c r="T1122" s="36" t="s">
        <v>1097</v>
      </c>
      <c r="U1122" s="36" t="s">
        <v>460</v>
      </c>
      <c r="V1122" s="40">
        <v>46023</v>
      </c>
      <c r="W1122" s="36"/>
      <c r="X1122" s="36">
        <v>0</v>
      </c>
      <c r="Y1122" s="36"/>
      <c r="Z1122" s="36">
        <v>0</v>
      </c>
      <c r="AA1122" s="36">
        <v>0</v>
      </c>
      <c r="AB1122" s="36"/>
      <c r="AC1122" s="36" t="str">
        <f t="shared" si="6"/>
        <v>PC26</v>
      </c>
      <c r="AD1122" s="36" t="str">
        <f>VLOOKUP(D1122,Oficial!A:C,3,0)</f>
        <v>Bienes y Servicios</v>
      </c>
    </row>
    <row r="1123" spans="1:30" x14ac:dyDescent="0.25">
      <c r="A1123" s="36" t="s">
        <v>27</v>
      </c>
      <c r="B1123" s="36" t="s">
        <v>1684</v>
      </c>
      <c r="C1123" s="36" t="s">
        <v>28</v>
      </c>
      <c r="D1123" s="36" t="s">
        <v>1684</v>
      </c>
      <c r="E1123" s="36" t="s">
        <v>30</v>
      </c>
      <c r="F1123" s="36" t="s">
        <v>569</v>
      </c>
      <c r="G1123" s="37">
        <v>2497</v>
      </c>
      <c r="H1123" s="36" t="s">
        <v>1685</v>
      </c>
      <c r="I1123" s="36" t="s">
        <v>1686</v>
      </c>
      <c r="J1123" s="36">
        <v>1</v>
      </c>
      <c r="K1123" s="36" t="s">
        <v>639</v>
      </c>
      <c r="L1123" s="36">
        <v>4</v>
      </c>
      <c r="M1123" s="36">
        <v>100</v>
      </c>
      <c r="N1123" s="38">
        <v>2000</v>
      </c>
      <c r="O1123" s="38">
        <v>200000</v>
      </c>
      <c r="P1123" s="36">
        <v>1</v>
      </c>
      <c r="Q1123" s="40">
        <v>46054</v>
      </c>
      <c r="R1123" s="36" t="s">
        <v>1642</v>
      </c>
      <c r="S1123" s="36" t="s">
        <v>1643</v>
      </c>
      <c r="T1123" s="36" t="s">
        <v>1644</v>
      </c>
      <c r="U1123" s="36" t="s">
        <v>404</v>
      </c>
      <c r="V1123" s="40">
        <v>46054</v>
      </c>
      <c r="W1123" s="36"/>
      <c r="X1123" s="36">
        <v>0</v>
      </c>
      <c r="Y1123" s="36"/>
      <c r="Z1123" s="36">
        <v>0</v>
      </c>
      <c r="AA1123" s="36">
        <v>0</v>
      </c>
      <c r="AB1123" s="36"/>
      <c r="AC1123" s="36" t="str">
        <f t="shared" si="6"/>
        <v>PC26</v>
      </c>
      <c r="AD1123" s="36" t="str">
        <f>VLOOKUP(D1123,Oficial!A:C,3,0)</f>
        <v>Bienes y Servicios</v>
      </c>
    </row>
    <row r="1124" spans="1:30" x14ac:dyDescent="0.25">
      <c r="A1124" s="36" t="s">
        <v>27</v>
      </c>
      <c r="B1124" s="36" t="s">
        <v>1687</v>
      </c>
      <c r="C1124" s="36" t="s">
        <v>28</v>
      </c>
      <c r="D1124" s="36" t="s">
        <v>1687</v>
      </c>
      <c r="E1124" s="36" t="s">
        <v>30</v>
      </c>
      <c r="F1124" s="36" t="s">
        <v>569</v>
      </c>
      <c r="G1124" s="37">
        <v>2498</v>
      </c>
      <c r="H1124" s="36" t="s">
        <v>1688</v>
      </c>
      <c r="I1124" s="36" t="s">
        <v>1689</v>
      </c>
      <c r="J1124" s="36">
        <v>2</v>
      </c>
      <c r="K1124" s="36" t="s">
        <v>486</v>
      </c>
      <c r="L1124" s="36">
        <v>4</v>
      </c>
      <c r="M1124" s="36">
        <v>13</v>
      </c>
      <c r="N1124" s="38">
        <v>17693</v>
      </c>
      <c r="O1124" s="38">
        <v>230009</v>
      </c>
      <c r="P1124" s="36">
        <v>1</v>
      </c>
      <c r="Q1124" s="40">
        <v>46082</v>
      </c>
      <c r="R1124" s="36" t="s">
        <v>1690</v>
      </c>
      <c r="S1124" s="36" t="s">
        <v>865</v>
      </c>
      <c r="T1124" s="36" t="s">
        <v>1691</v>
      </c>
      <c r="U1124" s="36" t="s">
        <v>1692</v>
      </c>
      <c r="V1124" s="40">
        <v>46082</v>
      </c>
      <c r="W1124" s="36"/>
      <c r="X1124" s="36">
        <v>0</v>
      </c>
      <c r="Y1124" s="36"/>
      <c r="Z1124" s="36">
        <v>0</v>
      </c>
      <c r="AA1124" s="36">
        <v>0</v>
      </c>
      <c r="AB1124" s="36"/>
      <c r="AC1124" s="36" t="str">
        <f t="shared" si="6"/>
        <v>PC26</v>
      </c>
      <c r="AD1124" s="36" t="str">
        <f>VLOOKUP(D1124,Oficial!A:C,3,0)</f>
        <v>Bienes y Servicios</v>
      </c>
    </row>
    <row r="1125" spans="1:30" x14ac:dyDescent="0.25">
      <c r="A1125" s="36" t="s">
        <v>27</v>
      </c>
      <c r="B1125" s="36" t="s">
        <v>1687</v>
      </c>
      <c r="C1125" s="36" t="s">
        <v>28</v>
      </c>
      <c r="D1125" s="36" t="s">
        <v>1687</v>
      </c>
      <c r="E1125" s="36" t="s">
        <v>30</v>
      </c>
      <c r="F1125" s="36" t="s">
        <v>569</v>
      </c>
      <c r="G1125" s="37">
        <v>2498</v>
      </c>
      <c r="H1125" s="36" t="s">
        <v>1688</v>
      </c>
      <c r="I1125" s="36" t="s">
        <v>1689</v>
      </c>
      <c r="J1125" s="36">
        <v>2</v>
      </c>
      <c r="K1125" s="36" t="s">
        <v>1693</v>
      </c>
      <c r="L1125" s="36">
        <v>4</v>
      </c>
      <c r="M1125" s="36">
        <v>16</v>
      </c>
      <c r="N1125" s="38">
        <v>112250</v>
      </c>
      <c r="O1125" s="38">
        <v>1796000</v>
      </c>
      <c r="P1125" s="36">
        <v>1</v>
      </c>
      <c r="Q1125" s="40">
        <v>46082</v>
      </c>
      <c r="R1125" s="36" t="s">
        <v>1690</v>
      </c>
      <c r="S1125" s="36" t="s">
        <v>865</v>
      </c>
      <c r="T1125" s="36" t="s">
        <v>1691</v>
      </c>
      <c r="U1125" s="36" t="s">
        <v>1692</v>
      </c>
      <c r="V1125" s="40">
        <v>46082</v>
      </c>
      <c r="W1125" s="36"/>
      <c r="X1125" s="36">
        <v>0</v>
      </c>
      <c r="Y1125" s="36"/>
      <c r="Z1125" s="36">
        <v>0</v>
      </c>
      <c r="AA1125" s="36">
        <v>0</v>
      </c>
      <c r="AB1125" s="36"/>
      <c r="AC1125" s="36" t="str">
        <f t="shared" si="6"/>
        <v>PC26</v>
      </c>
      <c r="AD1125" s="36" t="str">
        <f>VLOOKUP(D1125,Oficial!A:C,3,0)</f>
        <v>Bienes y Servicios</v>
      </c>
    </row>
    <row r="1126" spans="1:30" x14ac:dyDescent="0.25">
      <c r="A1126" s="36" t="s">
        <v>27</v>
      </c>
      <c r="B1126" s="36" t="s">
        <v>1694</v>
      </c>
      <c r="C1126" s="36" t="s">
        <v>28</v>
      </c>
      <c r="D1126" s="36" t="s">
        <v>1694</v>
      </c>
      <c r="E1126" s="36" t="s">
        <v>30</v>
      </c>
      <c r="F1126" s="36" t="s">
        <v>569</v>
      </c>
      <c r="G1126" s="37" t="s">
        <v>812</v>
      </c>
      <c r="H1126" s="36" t="s">
        <v>1695</v>
      </c>
      <c r="I1126" s="36" t="s">
        <v>1696</v>
      </c>
      <c r="J1126" s="36">
        <v>1</v>
      </c>
      <c r="K1126" s="36" t="s">
        <v>1565</v>
      </c>
      <c r="L1126" s="36">
        <v>4</v>
      </c>
      <c r="M1126" s="36">
        <v>23</v>
      </c>
      <c r="N1126" s="38">
        <v>108696</v>
      </c>
      <c r="O1126" s="38">
        <v>2500008</v>
      </c>
      <c r="P1126" s="36">
        <v>1</v>
      </c>
      <c r="Q1126" s="40">
        <v>46143</v>
      </c>
      <c r="R1126" s="36" t="s">
        <v>414</v>
      </c>
      <c r="S1126" s="36" t="s">
        <v>1697</v>
      </c>
      <c r="T1126" s="36" t="s">
        <v>1698</v>
      </c>
      <c r="U1126" s="36" t="s">
        <v>417</v>
      </c>
      <c r="V1126" s="40">
        <v>46143</v>
      </c>
      <c r="W1126" s="36"/>
      <c r="X1126" s="36">
        <v>0</v>
      </c>
      <c r="Y1126" s="36"/>
      <c r="Z1126" s="36">
        <v>0</v>
      </c>
      <c r="AA1126" s="36">
        <v>0</v>
      </c>
      <c r="AB1126" s="36"/>
      <c r="AC1126" s="36" t="str">
        <f t="shared" si="6"/>
        <v>PC26</v>
      </c>
      <c r="AD1126" s="36" t="str">
        <f>VLOOKUP(D1126,Oficial!A:C,3,0)</f>
        <v>Bienes y Servicios</v>
      </c>
    </row>
    <row r="1127" spans="1:30" x14ac:dyDescent="0.25">
      <c r="A1127" s="36" t="s">
        <v>27</v>
      </c>
      <c r="B1127" s="36" t="s">
        <v>1699</v>
      </c>
      <c r="C1127" s="36" t="s">
        <v>28</v>
      </c>
      <c r="D1127" s="36" t="s">
        <v>1699</v>
      </c>
      <c r="E1127" s="36" t="s">
        <v>30</v>
      </c>
      <c r="F1127" s="36" t="s">
        <v>569</v>
      </c>
      <c r="G1127" s="37" t="s">
        <v>483</v>
      </c>
      <c r="H1127" s="36" t="s">
        <v>1658</v>
      </c>
      <c r="I1127" s="36" t="s">
        <v>1677</v>
      </c>
      <c r="J1127" s="36">
        <v>1</v>
      </c>
      <c r="K1127" s="36" t="s">
        <v>486</v>
      </c>
      <c r="L1127" s="36">
        <v>4</v>
      </c>
      <c r="M1127" s="36">
        <v>165</v>
      </c>
      <c r="N1127" s="38">
        <v>3031</v>
      </c>
      <c r="O1127" s="38">
        <v>500115</v>
      </c>
      <c r="P1127" s="36">
        <v>1</v>
      </c>
      <c r="Q1127" s="40">
        <v>46174</v>
      </c>
      <c r="R1127" s="36" t="s">
        <v>1660</v>
      </c>
      <c r="S1127" s="36" t="s">
        <v>1661</v>
      </c>
      <c r="T1127" s="36" t="s">
        <v>1662</v>
      </c>
      <c r="U1127" s="36" t="s">
        <v>1663</v>
      </c>
      <c r="V1127" s="40">
        <v>46174</v>
      </c>
      <c r="W1127" s="36"/>
      <c r="X1127" s="36">
        <v>0</v>
      </c>
      <c r="Y1127" s="36"/>
      <c r="Z1127" s="36">
        <v>0</v>
      </c>
      <c r="AA1127" s="36">
        <v>0</v>
      </c>
      <c r="AB1127" s="36"/>
      <c r="AC1127" s="36" t="str">
        <f t="shared" si="6"/>
        <v>PC26</v>
      </c>
      <c r="AD1127" s="36" t="str">
        <f>VLOOKUP(D1127,Oficial!A:C,3,0)</f>
        <v>Bienes y Servicios</v>
      </c>
    </row>
    <row r="1128" spans="1:30" x14ac:dyDescent="0.25">
      <c r="A1128" s="36" t="s">
        <v>27</v>
      </c>
      <c r="B1128" s="36" t="s">
        <v>1700</v>
      </c>
      <c r="C1128" s="36" t="s">
        <v>28</v>
      </c>
      <c r="D1128" s="36" t="s">
        <v>1700</v>
      </c>
      <c r="E1128" s="36" t="s">
        <v>30</v>
      </c>
      <c r="F1128" s="36" t="s">
        <v>569</v>
      </c>
      <c r="G1128" s="37">
        <v>2403</v>
      </c>
      <c r="H1128" s="36" t="s">
        <v>1701</v>
      </c>
      <c r="I1128" s="36" t="s">
        <v>1702</v>
      </c>
      <c r="J1128" s="36">
        <v>1</v>
      </c>
      <c r="K1128" s="36" t="s">
        <v>1703</v>
      </c>
      <c r="L1128" s="36">
        <v>4</v>
      </c>
      <c r="M1128" s="36">
        <v>555</v>
      </c>
      <c r="N1128" s="38">
        <v>7315</v>
      </c>
      <c r="O1128" s="38">
        <v>4059825</v>
      </c>
      <c r="P1128" s="36">
        <v>1</v>
      </c>
      <c r="Q1128" s="40">
        <v>46143</v>
      </c>
      <c r="R1128" s="36" t="s">
        <v>1704</v>
      </c>
      <c r="S1128" s="36" t="s">
        <v>1705</v>
      </c>
      <c r="T1128" s="36" t="s">
        <v>1706</v>
      </c>
      <c r="U1128" s="36" t="s">
        <v>1707</v>
      </c>
      <c r="V1128" s="40">
        <v>46143</v>
      </c>
      <c r="W1128" s="36"/>
      <c r="X1128" s="36">
        <v>0</v>
      </c>
      <c r="Y1128" s="36"/>
      <c r="Z1128" s="36">
        <v>0</v>
      </c>
      <c r="AA1128" s="36">
        <v>0</v>
      </c>
      <c r="AB1128" s="36"/>
      <c r="AC1128" s="36" t="str">
        <f t="shared" si="6"/>
        <v>PC26</v>
      </c>
      <c r="AD1128" s="36" t="str">
        <f>VLOOKUP(D1128,Oficial!A:C,3,0)</f>
        <v>Bienes y Servicios</v>
      </c>
    </row>
    <row r="1129" spans="1:30" x14ac:dyDescent="0.25">
      <c r="A1129" s="36" t="s">
        <v>27</v>
      </c>
      <c r="B1129" s="36" t="s">
        <v>1708</v>
      </c>
      <c r="C1129" s="36" t="s">
        <v>28</v>
      </c>
      <c r="D1129" s="36" t="s">
        <v>1708</v>
      </c>
      <c r="E1129" s="36" t="s">
        <v>30</v>
      </c>
      <c r="F1129" s="36" t="s">
        <v>569</v>
      </c>
      <c r="G1129" s="37">
        <v>2502</v>
      </c>
      <c r="H1129" s="36" t="s">
        <v>1709</v>
      </c>
      <c r="I1129" s="36" t="s">
        <v>1710</v>
      </c>
      <c r="J1129" s="36">
        <v>1</v>
      </c>
      <c r="K1129" s="36" t="s">
        <v>1711</v>
      </c>
      <c r="L1129" s="36">
        <v>4</v>
      </c>
      <c r="M1129" s="36">
        <v>10</v>
      </c>
      <c r="N1129" s="38">
        <v>55000</v>
      </c>
      <c r="O1129" s="38">
        <v>550000</v>
      </c>
      <c r="P1129" s="36">
        <v>1</v>
      </c>
      <c r="Q1129" s="40">
        <v>46023</v>
      </c>
      <c r="R1129" s="36" t="s">
        <v>958</v>
      </c>
      <c r="S1129" s="36" t="s">
        <v>959</v>
      </c>
      <c r="T1129" s="36" t="s">
        <v>960</v>
      </c>
      <c r="U1129" s="36" t="s">
        <v>961</v>
      </c>
      <c r="V1129" s="40">
        <v>46023</v>
      </c>
      <c r="W1129" s="36"/>
      <c r="X1129" s="36">
        <v>0</v>
      </c>
      <c r="Y1129" s="36"/>
      <c r="Z1129" s="36">
        <v>0</v>
      </c>
      <c r="AA1129" s="36">
        <v>0</v>
      </c>
      <c r="AB1129" s="36"/>
      <c r="AC1129" s="36" t="str">
        <f t="shared" si="6"/>
        <v>PC26</v>
      </c>
      <c r="AD1129" s="36" t="str">
        <f>VLOOKUP(D1129,Oficial!A:C,3,0)</f>
        <v>Bienes y Servicios</v>
      </c>
    </row>
    <row r="1130" spans="1:30" x14ac:dyDescent="0.25">
      <c r="A1130" s="36" t="s">
        <v>27</v>
      </c>
      <c r="B1130" s="36" t="s">
        <v>1712</v>
      </c>
      <c r="C1130" s="36" t="s">
        <v>28</v>
      </c>
      <c r="D1130" s="36" t="s">
        <v>1712</v>
      </c>
      <c r="E1130" s="36" t="s">
        <v>30</v>
      </c>
      <c r="F1130" s="36" t="s">
        <v>569</v>
      </c>
      <c r="G1130" s="37" t="s">
        <v>654</v>
      </c>
      <c r="H1130" s="36" t="s">
        <v>1713</v>
      </c>
      <c r="I1130" s="36" t="s">
        <v>1714</v>
      </c>
      <c r="J1130" s="36">
        <v>1</v>
      </c>
      <c r="K1130" s="36" t="s">
        <v>602</v>
      </c>
      <c r="L1130" s="36">
        <v>4</v>
      </c>
      <c r="M1130" s="36">
        <v>110</v>
      </c>
      <c r="N1130" s="38">
        <v>7119</v>
      </c>
      <c r="O1130" s="38">
        <v>783090</v>
      </c>
      <c r="P1130" s="36">
        <v>1</v>
      </c>
      <c r="Q1130" s="40">
        <v>46082</v>
      </c>
      <c r="R1130" s="36" t="s">
        <v>1572</v>
      </c>
      <c r="S1130" s="36" t="s">
        <v>1573</v>
      </c>
      <c r="T1130" s="36" t="s">
        <v>1154</v>
      </c>
      <c r="U1130" s="36" t="s">
        <v>1574</v>
      </c>
      <c r="V1130" s="40">
        <v>46082</v>
      </c>
      <c r="W1130" s="36"/>
      <c r="X1130" s="36">
        <v>0</v>
      </c>
      <c r="Y1130" s="36"/>
      <c r="Z1130" s="36">
        <v>0</v>
      </c>
      <c r="AA1130" s="36">
        <v>0</v>
      </c>
      <c r="AB1130" s="36"/>
      <c r="AC1130" s="36" t="str">
        <f t="shared" si="6"/>
        <v>PC26</v>
      </c>
      <c r="AD1130" s="36" t="str">
        <f>VLOOKUP(D1130,Oficial!A:C,3,0)</f>
        <v>Bienes y Servicios</v>
      </c>
    </row>
    <row r="1131" spans="1:30" x14ac:dyDescent="0.25">
      <c r="A1131" s="36" t="s">
        <v>27</v>
      </c>
      <c r="B1131" s="36" t="s">
        <v>1715</v>
      </c>
      <c r="C1131" s="36" t="s">
        <v>28</v>
      </c>
      <c r="D1131" s="36" t="s">
        <v>1715</v>
      </c>
      <c r="E1131" s="36" t="s">
        <v>30</v>
      </c>
      <c r="F1131" s="36" t="s">
        <v>569</v>
      </c>
      <c r="G1131" s="37">
        <v>2504</v>
      </c>
      <c r="H1131" s="36" t="s">
        <v>1716</v>
      </c>
      <c r="I1131" s="36" t="s">
        <v>1717</v>
      </c>
      <c r="J1131" s="36">
        <v>1</v>
      </c>
      <c r="K1131" s="36" t="s">
        <v>1592</v>
      </c>
      <c r="L1131" s="36">
        <v>4</v>
      </c>
      <c r="M1131" s="36">
        <v>1</v>
      </c>
      <c r="N1131" s="38">
        <v>60000</v>
      </c>
      <c r="O1131" s="38">
        <v>60000</v>
      </c>
      <c r="P1131" s="36">
        <v>1</v>
      </c>
      <c r="Q1131" s="40">
        <v>46023</v>
      </c>
      <c r="R1131" s="36" t="s">
        <v>958</v>
      </c>
      <c r="S1131" s="36" t="s">
        <v>959</v>
      </c>
      <c r="T1131" s="36" t="s">
        <v>960</v>
      </c>
      <c r="U1131" s="36" t="s">
        <v>961</v>
      </c>
      <c r="V1131" s="40">
        <v>46023</v>
      </c>
      <c r="W1131" s="36"/>
      <c r="X1131" s="36">
        <v>0</v>
      </c>
      <c r="Y1131" s="36"/>
      <c r="Z1131" s="36">
        <v>0</v>
      </c>
      <c r="AA1131" s="36">
        <v>0</v>
      </c>
      <c r="AB1131" s="36"/>
      <c r="AC1131" s="36" t="str">
        <f t="shared" si="6"/>
        <v>PC26</v>
      </c>
      <c r="AD1131" s="36" t="str">
        <f>VLOOKUP(D1131,Oficial!A:C,3,0)</f>
        <v>Bienes y Servicios</v>
      </c>
    </row>
    <row r="1132" spans="1:30" x14ac:dyDescent="0.25">
      <c r="A1132" s="36" t="s">
        <v>27</v>
      </c>
      <c r="B1132" s="36" t="s">
        <v>1718</v>
      </c>
      <c r="C1132" s="36" t="s">
        <v>28</v>
      </c>
      <c r="D1132" s="36" t="s">
        <v>1718</v>
      </c>
      <c r="E1132" s="36" t="s">
        <v>30</v>
      </c>
      <c r="F1132" s="36" t="s">
        <v>569</v>
      </c>
      <c r="G1132" s="37">
        <v>2510</v>
      </c>
      <c r="H1132" s="36" t="s">
        <v>1719</v>
      </c>
      <c r="I1132" s="36" t="s">
        <v>1720</v>
      </c>
      <c r="J1132" s="36">
        <v>1</v>
      </c>
      <c r="K1132" s="36" t="s">
        <v>1721</v>
      </c>
      <c r="L1132" s="36">
        <v>4</v>
      </c>
      <c r="M1132" s="36">
        <v>1</v>
      </c>
      <c r="N1132" s="38">
        <v>296000000</v>
      </c>
      <c r="O1132" s="38">
        <v>0</v>
      </c>
      <c r="P1132" s="36">
        <v>24</v>
      </c>
      <c r="Q1132" s="36" t="s">
        <v>1722</v>
      </c>
      <c r="R1132" s="36" t="s">
        <v>1723</v>
      </c>
      <c r="S1132" s="36" t="s">
        <v>154</v>
      </c>
      <c r="T1132" s="36" t="s">
        <v>1724</v>
      </c>
      <c r="U1132" s="36" t="s">
        <v>156</v>
      </c>
      <c r="V1132" s="40">
        <v>46174</v>
      </c>
      <c r="W1132" s="36"/>
      <c r="X1132" s="36">
        <v>0</v>
      </c>
      <c r="Y1132" s="36"/>
      <c r="Z1132" s="36">
        <v>0</v>
      </c>
      <c r="AA1132" s="36">
        <v>0</v>
      </c>
      <c r="AB1132" s="36"/>
      <c r="AC1132" s="36" t="str">
        <f t="shared" si="6"/>
        <v>PC26</v>
      </c>
      <c r="AD1132" s="36" t="str">
        <f>VLOOKUP(D1132,Oficial!A:C,3,0)</f>
        <v>Bienes y Servicios</v>
      </c>
    </row>
    <row r="1133" spans="1:30" x14ac:dyDescent="0.25">
      <c r="A1133" s="36" t="s">
        <v>27</v>
      </c>
      <c r="B1133" s="36" t="s">
        <v>1725</v>
      </c>
      <c r="C1133" s="36" t="s">
        <v>28</v>
      </c>
      <c r="D1133" s="36" t="s">
        <v>1725</v>
      </c>
      <c r="E1133" s="36" t="s">
        <v>30</v>
      </c>
      <c r="F1133" s="36" t="s">
        <v>569</v>
      </c>
      <c r="G1133" s="37">
        <v>2511</v>
      </c>
      <c r="H1133" s="36" t="s">
        <v>1726</v>
      </c>
      <c r="I1133" s="36" t="s">
        <v>1727</v>
      </c>
      <c r="J1133" s="36">
        <v>1</v>
      </c>
      <c r="K1133" s="36" t="s">
        <v>623</v>
      </c>
      <c r="L1133" s="36">
        <v>4</v>
      </c>
      <c r="M1133" s="36">
        <v>1</v>
      </c>
      <c r="N1133" s="38">
        <v>900000</v>
      </c>
      <c r="O1133" s="38">
        <v>900000</v>
      </c>
      <c r="P1133" s="36">
        <v>1</v>
      </c>
      <c r="Q1133" s="40">
        <v>46143</v>
      </c>
      <c r="R1133" s="36" t="s">
        <v>1211</v>
      </c>
      <c r="S1133" s="36" t="s">
        <v>320</v>
      </c>
      <c r="T1133" s="36" t="s">
        <v>1212</v>
      </c>
      <c r="U1133" s="36" t="s">
        <v>322</v>
      </c>
      <c r="V1133" s="40">
        <v>46143</v>
      </c>
      <c r="W1133" s="36"/>
      <c r="X1133" s="36">
        <v>0</v>
      </c>
      <c r="Y1133" s="36"/>
      <c r="Z1133" s="36">
        <v>0</v>
      </c>
      <c r="AA1133" s="36">
        <v>0</v>
      </c>
      <c r="AB1133" s="36"/>
      <c r="AC1133" s="36" t="str">
        <f t="shared" si="6"/>
        <v>PC26</v>
      </c>
      <c r="AD1133" s="36" t="str">
        <f>VLOOKUP(D1133,Oficial!A:C,3,0)</f>
        <v>Bienes y Servicios</v>
      </c>
    </row>
    <row r="1134" spans="1:30" x14ac:dyDescent="0.25">
      <c r="A1134" s="36" t="s">
        <v>27</v>
      </c>
      <c r="B1134" s="36" t="s">
        <v>1728</v>
      </c>
      <c r="C1134" s="36" t="s">
        <v>28</v>
      </c>
      <c r="D1134" s="36" t="s">
        <v>1728</v>
      </c>
      <c r="E1134" s="36" t="s">
        <v>30</v>
      </c>
      <c r="F1134" s="36" t="s">
        <v>569</v>
      </c>
      <c r="G1134" s="37">
        <v>2512</v>
      </c>
      <c r="H1134" s="36" t="s">
        <v>1729</v>
      </c>
      <c r="I1134" s="36" t="s">
        <v>1730</v>
      </c>
      <c r="J1134" s="36">
        <v>1</v>
      </c>
      <c r="K1134" s="36" t="s">
        <v>882</v>
      </c>
      <c r="L1134" s="36">
        <v>4</v>
      </c>
      <c r="M1134" s="36">
        <v>1</v>
      </c>
      <c r="N1134" s="38">
        <v>1500000</v>
      </c>
      <c r="O1134" s="38">
        <v>1500000</v>
      </c>
      <c r="P1134" s="36">
        <v>1</v>
      </c>
      <c r="Q1134" s="40">
        <v>46357</v>
      </c>
      <c r="R1134" s="36" t="s">
        <v>1211</v>
      </c>
      <c r="S1134" s="36" t="s">
        <v>320</v>
      </c>
      <c r="T1134" s="36" t="s">
        <v>1212</v>
      </c>
      <c r="U1134" s="36" t="s">
        <v>322</v>
      </c>
      <c r="V1134" s="40">
        <v>46357</v>
      </c>
      <c r="W1134" s="36"/>
      <c r="X1134" s="36">
        <v>0</v>
      </c>
      <c r="Y1134" s="36"/>
      <c r="Z1134" s="36">
        <v>0</v>
      </c>
      <c r="AA1134" s="36">
        <v>0</v>
      </c>
      <c r="AB1134" s="36"/>
      <c r="AC1134" s="36" t="str">
        <f t="shared" si="6"/>
        <v>PC26</v>
      </c>
      <c r="AD1134" s="36" t="str">
        <f>VLOOKUP(D1134,Oficial!A:C,3,0)</f>
        <v>Bienes y Servicios</v>
      </c>
    </row>
    <row r="1135" spans="1:30" x14ac:dyDescent="0.25">
      <c r="A1135" s="36" t="s">
        <v>27</v>
      </c>
      <c r="B1135" s="36" t="s">
        <v>1731</v>
      </c>
      <c r="C1135" s="36" t="s">
        <v>28</v>
      </c>
      <c r="D1135" s="36" t="s">
        <v>1731</v>
      </c>
      <c r="E1135" s="36" t="s">
        <v>30</v>
      </c>
      <c r="F1135" s="36" t="s">
        <v>569</v>
      </c>
      <c r="G1135" s="37" t="s">
        <v>483</v>
      </c>
      <c r="H1135" s="36" t="s">
        <v>1732</v>
      </c>
      <c r="I1135" s="36" t="s">
        <v>1733</v>
      </c>
      <c r="J1135" s="36">
        <v>1</v>
      </c>
      <c r="K1135" s="36" t="s">
        <v>1641</v>
      </c>
      <c r="L1135" s="36">
        <v>4</v>
      </c>
      <c r="M1135" s="36">
        <v>1450</v>
      </c>
      <c r="N1135" s="38">
        <v>501</v>
      </c>
      <c r="O1135" s="38">
        <v>726450</v>
      </c>
      <c r="P1135" s="36">
        <v>1</v>
      </c>
      <c r="Q1135" s="40">
        <v>46082</v>
      </c>
      <c r="R1135" s="36" t="s">
        <v>1572</v>
      </c>
      <c r="S1135" s="36" t="s">
        <v>1573</v>
      </c>
      <c r="T1135" s="36" t="s">
        <v>1154</v>
      </c>
      <c r="U1135" s="36" t="s">
        <v>1574</v>
      </c>
      <c r="V1135" s="40">
        <v>46082</v>
      </c>
      <c r="W1135" s="36"/>
      <c r="X1135" s="36">
        <v>0</v>
      </c>
      <c r="Y1135" s="36"/>
      <c r="Z1135" s="36">
        <v>0</v>
      </c>
      <c r="AA1135" s="36">
        <v>0</v>
      </c>
      <c r="AB1135" s="36"/>
      <c r="AC1135" s="36" t="str">
        <f t="shared" si="6"/>
        <v>PC26</v>
      </c>
      <c r="AD1135" s="36" t="str">
        <f>VLOOKUP(D1135,Oficial!A:C,3,0)</f>
        <v>Bienes y Servicios</v>
      </c>
    </row>
    <row r="1136" spans="1:30" x14ac:dyDescent="0.25">
      <c r="A1136" s="36" t="s">
        <v>27</v>
      </c>
      <c r="B1136" s="36" t="s">
        <v>1734</v>
      </c>
      <c r="C1136" s="36" t="s">
        <v>28</v>
      </c>
      <c r="D1136" s="36" t="s">
        <v>1734</v>
      </c>
      <c r="E1136" s="36" t="s">
        <v>30</v>
      </c>
      <c r="F1136" s="36" t="s">
        <v>569</v>
      </c>
      <c r="G1136" s="37" t="s">
        <v>1735</v>
      </c>
      <c r="H1136" s="36" t="s">
        <v>1736</v>
      </c>
      <c r="I1136" s="36" t="s">
        <v>1737</v>
      </c>
      <c r="J1136" s="36">
        <v>1</v>
      </c>
      <c r="K1136" s="36" t="s">
        <v>807</v>
      </c>
      <c r="L1136" s="36">
        <v>4</v>
      </c>
      <c r="M1136" s="36">
        <v>1</v>
      </c>
      <c r="N1136" s="38">
        <v>5000000</v>
      </c>
      <c r="O1136" s="38">
        <v>5000000</v>
      </c>
      <c r="P1136" s="36">
        <v>1</v>
      </c>
      <c r="Q1136" s="40">
        <v>46143</v>
      </c>
      <c r="R1136" s="36" t="s">
        <v>624</v>
      </c>
      <c r="S1136" s="36" t="s">
        <v>625</v>
      </c>
      <c r="T1136" s="36" t="s">
        <v>626</v>
      </c>
      <c r="U1136" s="36" t="s">
        <v>627</v>
      </c>
      <c r="V1136" s="40">
        <v>46143</v>
      </c>
      <c r="W1136" s="36"/>
      <c r="X1136" s="36">
        <v>0</v>
      </c>
      <c r="Y1136" s="36"/>
      <c r="Z1136" s="36">
        <v>0</v>
      </c>
      <c r="AA1136" s="36">
        <v>0</v>
      </c>
      <c r="AB1136" s="36"/>
      <c r="AC1136" s="36" t="str">
        <f t="shared" si="6"/>
        <v>PC26</v>
      </c>
      <c r="AD1136" s="36" t="str">
        <f>VLOOKUP(D1136,Oficial!A:C,3,0)</f>
        <v>Bienes y Servicios</v>
      </c>
    </row>
    <row r="1137" spans="1:30" x14ac:dyDescent="0.25">
      <c r="A1137" s="36" t="s">
        <v>27</v>
      </c>
      <c r="B1137" s="36" t="s">
        <v>1738</v>
      </c>
      <c r="C1137" s="36" t="s">
        <v>28</v>
      </c>
      <c r="D1137" s="36" t="s">
        <v>1738</v>
      </c>
      <c r="E1137" s="36" t="s">
        <v>30</v>
      </c>
      <c r="F1137" s="36" t="s">
        <v>569</v>
      </c>
      <c r="G1137" s="37" t="s">
        <v>654</v>
      </c>
      <c r="H1137" s="36" t="s">
        <v>1739</v>
      </c>
      <c r="I1137" s="36" t="s">
        <v>1740</v>
      </c>
      <c r="J1137" s="36">
        <v>1</v>
      </c>
      <c r="K1137" s="36" t="s">
        <v>602</v>
      </c>
      <c r="L1137" s="36">
        <v>4</v>
      </c>
      <c r="M1137" s="36">
        <v>100</v>
      </c>
      <c r="N1137" s="38">
        <v>5000</v>
      </c>
      <c r="O1137" s="38">
        <v>500000</v>
      </c>
      <c r="P1137" s="36">
        <v>1</v>
      </c>
      <c r="Q1137" s="40">
        <v>46113</v>
      </c>
      <c r="R1137" s="36" t="s">
        <v>1723</v>
      </c>
      <c r="S1137" s="36" t="s">
        <v>154</v>
      </c>
      <c r="T1137" s="36" t="s">
        <v>1724</v>
      </c>
      <c r="U1137" s="36" t="s">
        <v>156</v>
      </c>
      <c r="V1137" s="40">
        <v>46113</v>
      </c>
      <c r="W1137" s="36"/>
      <c r="X1137" s="36">
        <v>0</v>
      </c>
      <c r="Y1137" s="36"/>
      <c r="Z1137" s="36">
        <v>0</v>
      </c>
      <c r="AA1137" s="36">
        <v>0</v>
      </c>
      <c r="AB1137" s="36"/>
      <c r="AC1137" s="36" t="str">
        <f t="shared" si="6"/>
        <v>PC26</v>
      </c>
      <c r="AD1137" s="36" t="str">
        <f>VLOOKUP(D1137,Oficial!A:C,3,0)</f>
        <v>Bienes y Servicios</v>
      </c>
    </row>
    <row r="1138" spans="1:30" x14ac:dyDescent="0.25">
      <c r="A1138" s="36" t="s">
        <v>27</v>
      </c>
      <c r="B1138" s="36" t="s">
        <v>1741</v>
      </c>
      <c r="C1138" s="36" t="s">
        <v>28</v>
      </c>
      <c r="D1138" s="36" t="s">
        <v>1741</v>
      </c>
      <c r="E1138" s="36" t="s">
        <v>30</v>
      </c>
      <c r="F1138" s="36" t="s">
        <v>569</v>
      </c>
      <c r="G1138" s="37">
        <v>2519</v>
      </c>
      <c r="H1138" s="36" t="s">
        <v>1742</v>
      </c>
      <c r="I1138" s="36" t="s">
        <v>1743</v>
      </c>
      <c r="J1138" s="36">
        <v>1</v>
      </c>
      <c r="K1138" s="36" t="s">
        <v>486</v>
      </c>
      <c r="L1138" s="36">
        <v>4</v>
      </c>
      <c r="M1138" s="36">
        <v>493</v>
      </c>
      <c r="N1138" s="38">
        <v>641</v>
      </c>
      <c r="O1138" s="38">
        <v>316013</v>
      </c>
      <c r="P1138" s="36">
        <v>1</v>
      </c>
      <c r="Q1138" s="40">
        <v>46082</v>
      </c>
      <c r="R1138" s="36" t="s">
        <v>1744</v>
      </c>
      <c r="S1138" s="36" t="s">
        <v>1745</v>
      </c>
      <c r="T1138" s="36" t="s">
        <v>1746</v>
      </c>
      <c r="U1138" s="36" t="s">
        <v>1747</v>
      </c>
      <c r="V1138" s="40">
        <v>46082</v>
      </c>
      <c r="W1138" s="36"/>
      <c r="X1138" s="36">
        <v>0</v>
      </c>
      <c r="Y1138" s="36"/>
      <c r="Z1138" s="36">
        <v>0</v>
      </c>
      <c r="AA1138" s="36">
        <v>0</v>
      </c>
      <c r="AB1138" s="36"/>
      <c r="AC1138" s="36" t="str">
        <f t="shared" si="6"/>
        <v>PC26</v>
      </c>
      <c r="AD1138" s="36" t="str">
        <f>VLOOKUP(D1138,Oficial!A:C,3,0)</f>
        <v>Bienes y Servicios</v>
      </c>
    </row>
    <row r="1139" spans="1:30" x14ac:dyDescent="0.25">
      <c r="A1139" s="36" t="s">
        <v>27</v>
      </c>
      <c r="B1139" s="36" t="s">
        <v>1748</v>
      </c>
      <c r="C1139" s="36" t="s">
        <v>28</v>
      </c>
      <c r="D1139" s="36" t="s">
        <v>1748</v>
      </c>
      <c r="E1139" s="36" t="s">
        <v>30</v>
      </c>
      <c r="F1139" s="36" t="s">
        <v>569</v>
      </c>
      <c r="G1139" s="37">
        <v>2521</v>
      </c>
      <c r="H1139" s="36" t="s">
        <v>1749</v>
      </c>
      <c r="I1139" s="36" t="s">
        <v>1750</v>
      </c>
      <c r="J1139" s="36">
        <v>1</v>
      </c>
      <c r="K1139" s="36" t="s">
        <v>1751</v>
      </c>
      <c r="L1139" s="36">
        <v>4</v>
      </c>
      <c r="M1139" s="36">
        <v>1</v>
      </c>
      <c r="N1139" s="38">
        <v>10000000</v>
      </c>
      <c r="O1139" s="38">
        <v>10000000</v>
      </c>
      <c r="P1139" s="36">
        <v>1</v>
      </c>
      <c r="Q1139" s="40">
        <v>46023</v>
      </c>
      <c r="R1139" s="36" t="s">
        <v>1752</v>
      </c>
      <c r="S1139" s="36" t="s">
        <v>1753</v>
      </c>
      <c r="T1139" s="36" t="s">
        <v>1754</v>
      </c>
      <c r="U1139" s="36" t="s">
        <v>1755</v>
      </c>
      <c r="V1139" s="40">
        <v>46023</v>
      </c>
      <c r="W1139" s="36"/>
      <c r="X1139" s="36">
        <v>0</v>
      </c>
      <c r="Y1139" s="36"/>
      <c r="Z1139" s="36">
        <v>0</v>
      </c>
      <c r="AA1139" s="36">
        <v>0</v>
      </c>
      <c r="AB1139" s="36"/>
      <c r="AC1139" s="36" t="str">
        <f t="shared" si="6"/>
        <v>PC26</v>
      </c>
      <c r="AD1139" s="36" t="str">
        <f>VLOOKUP(D1139,Oficial!A:C,3,0)</f>
        <v>Bienes y Servicios</v>
      </c>
    </row>
    <row r="1140" spans="1:30" x14ac:dyDescent="0.25">
      <c r="A1140" s="36" t="s">
        <v>27</v>
      </c>
      <c r="B1140" s="36" t="s">
        <v>1756</v>
      </c>
      <c r="C1140" s="36" t="s">
        <v>28</v>
      </c>
      <c r="D1140" s="36" t="s">
        <v>1756</v>
      </c>
      <c r="E1140" s="36" t="s">
        <v>30</v>
      </c>
      <c r="F1140" s="36" t="s">
        <v>569</v>
      </c>
      <c r="G1140" s="37">
        <v>2524</v>
      </c>
      <c r="H1140" s="36" t="s">
        <v>1757</v>
      </c>
      <c r="I1140" s="36" t="s">
        <v>1758</v>
      </c>
      <c r="J1140" s="36">
        <v>1</v>
      </c>
      <c r="K1140" s="36" t="s">
        <v>1237</v>
      </c>
      <c r="L1140" s="36">
        <v>4</v>
      </c>
      <c r="M1140" s="36">
        <v>29</v>
      </c>
      <c r="N1140" s="38">
        <v>517242</v>
      </c>
      <c r="O1140" s="38">
        <v>15000018</v>
      </c>
      <c r="P1140" s="36">
        <v>1</v>
      </c>
      <c r="Q1140" s="40">
        <v>46266</v>
      </c>
      <c r="R1140" s="36" t="s">
        <v>1759</v>
      </c>
      <c r="S1140" s="36" t="s">
        <v>1760</v>
      </c>
      <c r="T1140" s="36" t="s">
        <v>1761</v>
      </c>
      <c r="U1140" s="36" t="s">
        <v>1762</v>
      </c>
      <c r="V1140" s="40">
        <v>46174</v>
      </c>
      <c r="W1140" s="36"/>
      <c r="X1140" s="36">
        <v>0</v>
      </c>
      <c r="Y1140" s="36"/>
      <c r="Z1140" s="36">
        <v>0</v>
      </c>
      <c r="AA1140" s="36">
        <v>0</v>
      </c>
      <c r="AB1140" s="36"/>
      <c r="AC1140" s="36" t="str">
        <f t="shared" si="6"/>
        <v>PC26</v>
      </c>
      <c r="AD1140" s="36" t="str">
        <f>VLOOKUP(D1140,Oficial!A:C,3,0)</f>
        <v>Bienes y Servicios</v>
      </c>
    </row>
    <row r="1141" spans="1:30" x14ac:dyDescent="0.25">
      <c r="A1141" s="36" t="s">
        <v>27</v>
      </c>
      <c r="B1141" s="36" t="s">
        <v>1763</v>
      </c>
      <c r="C1141" s="36" t="s">
        <v>28</v>
      </c>
      <c r="D1141" s="36" t="s">
        <v>1763</v>
      </c>
      <c r="E1141" s="36" t="s">
        <v>30</v>
      </c>
      <c r="F1141" s="36" t="s">
        <v>569</v>
      </c>
      <c r="G1141" s="37">
        <v>2525</v>
      </c>
      <c r="H1141" s="36" t="s">
        <v>1764</v>
      </c>
      <c r="I1141" s="36" t="s">
        <v>1765</v>
      </c>
      <c r="J1141" s="36">
        <v>1</v>
      </c>
      <c r="K1141" s="36" t="s">
        <v>1766</v>
      </c>
      <c r="L1141" s="36">
        <v>4</v>
      </c>
      <c r="M1141" s="36">
        <v>5</v>
      </c>
      <c r="N1141" s="38">
        <v>6000000</v>
      </c>
      <c r="O1141" s="38">
        <v>30000000</v>
      </c>
      <c r="P1141" s="36">
        <v>1</v>
      </c>
      <c r="Q1141" s="40">
        <v>46204</v>
      </c>
      <c r="R1141" s="36" t="s">
        <v>1759</v>
      </c>
      <c r="S1141" s="36" t="s">
        <v>1760</v>
      </c>
      <c r="T1141" s="36" t="s">
        <v>1761</v>
      </c>
      <c r="U1141" s="36" t="s">
        <v>1762</v>
      </c>
      <c r="V1141" s="40">
        <v>46174</v>
      </c>
      <c r="W1141" s="36"/>
      <c r="X1141" s="36">
        <v>0</v>
      </c>
      <c r="Y1141" s="36"/>
      <c r="Z1141" s="36">
        <v>0</v>
      </c>
      <c r="AA1141" s="36">
        <v>0</v>
      </c>
      <c r="AB1141" s="36"/>
      <c r="AC1141" s="36" t="str">
        <f t="shared" si="6"/>
        <v>PC26</v>
      </c>
      <c r="AD1141" s="36" t="str">
        <f>VLOOKUP(D1141,Oficial!A:C,3,0)</f>
        <v>Bienes y Servicios</v>
      </c>
    </row>
    <row r="1142" spans="1:30" x14ac:dyDescent="0.25">
      <c r="A1142" s="36" t="s">
        <v>27</v>
      </c>
      <c r="B1142" s="36" t="s">
        <v>1767</v>
      </c>
      <c r="C1142" s="36" t="s">
        <v>28</v>
      </c>
      <c r="D1142" s="36" t="s">
        <v>1767</v>
      </c>
      <c r="E1142" s="36" t="s">
        <v>30</v>
      </c>
      <c r="F1142" s="36" t="s">
        <v>569</v>
      </c>
      <c r="G1142" s="37">
        <v>2526</v>
      </c>
      <c r="H1142" s="36" t="s">
        <v>1768</v>
      </c>
      <c r="I1142" s="36" t="s">
        <v>1769</v>
      </c>
      <c r="J1142" s="36">
        <v>2</v>
      </c>
      <c r="K1142" s="36" t="s">
        <v>1599</v>
      </c>
      <c r="L1142" s="36">
        <v>4</v>
      </c>
      <c r="M1142" s="36">
        <v>2</v>
      </c>
      <c r="N1142" s="38">
        <v>65000</v>
      </c>
      <c r="O1142" s="38">
        <v>130000</v>
      </c>
      <c r="P1142" s="36">
        <v>1</v>
      </c>
      <c r="Q1142" s="40">
        <v>46082</v>
      </c>
      <c r="R1142" s="36" t="s">
        <v>1642</v>
      </c>
      <c r="S1142" s="36" t="s">
        <v>1643</v>
      </c>
      <c r="T1142" s="36" t="s">
        <v>1644</v>
      </c>
      <c r="U1142" s="36" t="s">
        <v>404</v>
      </c>
      <c r="V1142" s="40">
        <v>46082</v>
      </c>
      <c r="W1142" s="36"/>
      <c r="X1142" s="36">
        <v>0</v>
      </c>
      <c r="Y1142" s="36"/>
      <c r="Z1142" s="36">
        <v>0</v>
      </c>
      <c r="AA1142" s="36">
        <v>0</v>
      </c>
      <c r="AB1142" s="36"/>
      <c r="AC1142" s="36" t="str">
        <f t="shared" si="6"/>
        <v>PC26</v>
      </c>
      <c r="AD1142" s="36" t="str">
        <f>VLOOKUP(D1142,Oficial!A:C,3,0)</f>
        <v>Bienes y Servicios</v>
      </c>
    </row>
    <row r="1143" spans="1:30" x14ac:dyDescent="0.25">
      <c r="A1143" s="36" t="s">
        <v>27</v>
      </c>
      <c r="B1143" s="36" t="s">
        <v>1767</v>
      </c>
      <c r="C1143" s="36" t="s">
        <v>28</v>
      </c>
      <c r="D1143" s="36" t="s">
        <v>1767</v>
      </c>
      <c r="E1143" s="36" t="s">
        <v>30</v>
      </c>
      <c r="F1143" s="36" t="s">
        <v>569</v>
      </c>
      <c r="G1143" s="37">
        <v>2526</v>
      </c>
      <c r="H1143" s="36" t="s">
        <v>1768</v>
      </c>
      <c r="I1143" s="36" t="s">
        <v>1769</v>
      </c>
      <c r="J1143" s="36">
        <v>2</v>
      </c>
      <c r="K1143" s="36" t="s">
        <v>631</v>
      </c>
      <c r="L1143" s="36">
        <v>4</v>
      </c>
      <c r="M1143" s="36">
        <v>100</v>
      </c>
      <c r="N1143" s="38">
        <v>1500</v>
      </c>
      <c r="O1143" s="38">
        <v>150000</v>
      </c>
      <c r="P1143" s="36">
        <v>1</v>
      </c>
      <c r="Q1143" s="40">
        <v>46082</v>
      </c>
      <c r="R1143" s="36" t="s">
        <v>1642</v>
      </c>
      <c r="S1143" s="36" t="s">
        <v>1643</v>
      </c>
      <c r="T1143" s="36" t="s">
        <v>1644</v>
      </c>
      <c r="U1143" s="36" t="s">
        <v>404</v>
      </c>
      <c r="V1143" s="40">
        <v>46082</v>
      </c>
      <c r="W1143" s="36"/>
      <c r="X1143" s="36">
        <v>0</v>
      </c>
      <c r="Y1143" s="36"/>
      <c r="Z1143" s="36">
        <v>0</v>
      </c>
      <c r="AA1143" s="36">
        <v>0</v>
      </c>
      <c r="AB1143" s="36"/>
      <c r="AC1143" s="36" t="str">
        <f t="shared" si="6"/>
        <v>PC26</v>
      </c>
      <c r="AD1143" s="36" t="str">
        <f>VLOOKUP(D1143,Oficial!A:C,3,0)</f>
        <v>Bienes y Servicios</v>
      </c>
    </row>
    <row r="1144" spans="1:30" x14ac:dyDescent="0.25">
      <c r="A1144" s="36" t="s">
        <v>27</v>
      </c>
      <c r="B1144" s="36" t="s">
        <v>1770</v>
      </c>
      <c r="C1144" s="36" t="s">
        <v>28</v>
      </c>
      <c r="D1144" s="36" t="s">
        <v>1770</v>
      </c>
      <c r="E1144" s="36" t="s">
        <v>30</v>
      </c>
      <c r="F1144" s="36" t="s">
        <v>745</v>
      </c>
      <c r="G1144" s="37">
        <v>2527</v>
      </c>
      <c r="H1144" s="36" t="s">
        <v>1771</v>
      </c>
      <c r="I1144" s="36" t="s">
        <v>1772</v>
      </c>
      <c r="J1144" s="36">
        <v>1</v>
      </c>
      <c r="K1144" s="36" t="s">
        <v>1237</v>
      </c>
      <c r="L1144" s="36">
        <v>4</v>
      </c>
      <c r="M1144" s="36">
        <v>1</v>
      </c>
      <c r="N1144" s="38">
        <v>7000000</v>
      </c>
      <c r="O1144" s="38">
        <v>7000000</v>
      </c>
      <c r="P1144" s="36">
        <v>1</v>
      </c>
      <c r="Q1144" s="40">
        <v>46113</v>
      </c>
      <c r="R1144" s="36" t="s">
        <v>1773</v>
      </c>
      <c r="S1144" s="36" t="s">
        <v>1774</v>
      </c>
      <c r="T1144" s="36" t="s">
        <v>1775</v>
      </c>
      <c r="U1144" s="36" t="s">
        <v>1776</v>
      </c>
      <c r="V1144" s="40">
        <v>46113</v>
      </c>
      <c r="W1144" s="36"/>
      <c r="X1144" s="36">
        <v>0</v>
      </c>
      <c r="Y1144" s="36"/>
      <c r="Z1144" s="36">
        <v>0</v>
      </c>
      <c r="AA1144" s="36">
        <v>0</v>
      </c>
      <c r="AB1144" s="36"/>
      <c r="AC1144" s="36" t="str">
        <f t="shared" si="6"/>
        <v>PC26</v>
      </c>
      <c r="AD1144" s="36" t="str">
        <f>VLOOKUP(D1144,Oficial!A:C,3,0)</f>
        <v>Bienes y Servicios</v>
      </c>
    </row>
    <row r="1145" spans="1:30" x14ac:dyDescent="0.25">
      <c r="A1145" s="36" t="s">
        <v>27</v>
      </c>
      <c r="B1145" s="36" t="s">
        <v>1777</v>
      </c>
      <c r="C1145" s="36" t="s">
        <v>28</v>
      </c>
      <c r="D1145" s="36" t="s">
        <v>1777</v>
      </c>
      <c r="E1145" s="36" t="s">
        <v>30</v>
      </c>
      <c r="F1145" s="36" t="s">
        <v>569</v>
      </c>
      <c r="G1145" s="37">
        <v>2528</v>
      </c>
      <c r="H1145" s="36" t="s">
        <v>1778</v>
      </c>
      <c r="I1145" s="36" t="s">
        <v>1779</v>
      </c>
      <c r="J1145" s="36">
        <v>1</v>
      </c>
      <c r="K1145" s="36" t="s">
        <v>602</v>
      </c>
      <c r="L1145" s="36">
        <v>4</v>
      </c>
      <c r="M1145" s="36">
        <v>2</v>
      </c>
      <c r="N1145" s="38">
        <v>600000</v>
      </c>
      <c r="O1145" s="38">
        <v>1200000</v>
      </c>
      <c r="P1145" s="36">
        <v>1</v>
      </c>
      <c r="Q1145" s="40">
        <v>46143</v>
      </c>
      <c r="R1145" s="36" t="s">
        <v>1744</v>
      </c>
      <c r="S1145" s="36" t="s">
        <v>1745</v>
      </c>
      <c r="T1145" s="36" t="s">
        <v>1746</v>
      </c>
      <c r="U1145" s="36" t="s">
        <v>1747</v>
      </c>
      <c r="V1145" s="40">
        <v>46143</v>
      </c>
      <c r="W1145" s="36"/>
      <c r="X1145" s="36">
        <v>0</v>
      </c>
      <c r="Y1145" s="36"/>
      <c r="Z1145" s="36">
        <v>0</v>
      </c>
      <c r="AA1145" s="36">
        <v>0</v>
      </c>
      <c r="AB1145" s="36"/>
      <c r="AC1145" s="36" t="str">
        <f t="shared" si="6"/>
        <v>PC26</v>
      </c>
      <c r="AD1145" s="36" t="str">
        <f>VLOOKUP(D1145,Oficial!A:C,3,0)</f>
        <v>Bienes y Servicios</v>
      </c>
    </row>
    <row r="1146" spans="1:30" x14ac:dyDescent="0.25">
      <c r="A1146" s="36" t="s">
        <v>27</v>
      </c>
      <c r="B1146" s="36" t="s">
        <v>1780</v>
      </c>
      <c r="C1146" s="36" t="s">
        <v>28</v>
      </c>
      <c r="D1146" s="36" t="s">
        <v>1780</v>
      </c>
      <c r="E1146" s="36" t="s">
        <v>30</v>
      </c>
      <c r="F1146" s="36" t="s">
        <v>569</v>
      </c>
      <c r="G1146" s="37">
        <v>2529</v>
      </c>
      <c r="H1146" s="36" t="s">
        <v>1781</v>
      </c>
      <c r="I1146" s="36" t="s">
        <v>1782</v>
      </c>
      <c r="J1146" s="36">
        <v>1</v>
      </c>
      <c r="K1146" s="36" t="s">
        <v>359</v>
      </c>
      <c r="L1146" s="36">
        <v>4</v>
      </c>
      <c r="M1146" s="36">
        <v>1</v>
      </c>
      <c r="N1146" s="38">
        <v>150100</v>
      </c>
      <c r="O1146" s="38">
        <v>150100</v>
      </c>
      <c r="P1146" s="36">
        <v>1</v>
      </c>
      <c r="Q1146" s="40">
        <v>46082</v>
      </c>
      <c r="R1146" s="36" t="s">
        <v>1744</v>
      </c>
      <c r="S1146" s="36" t="s">
        <v>1745</v>
      </c>
      <c r="T1146" s="36" t="s">
        <v>1746</v>
      </c>
      <c r="U1146" s="36" t="s">
        <v>1747</v>
      </c>
      <c r="V1146" s="40">
        <v>46082</v>
      </c>
      <c r="W1146" s="36"/>
      <c r="X1146" s="36">
        <v>0</v>
      </c>
      <c r="Y1146" s="36"/>
      <c r="Z1146" s="36">
        <v>0</v>
      </c>
      <c r="AA1146" s="36">
        <v>0</v>
      </c>
      <c r="AB1146" s="36"/>
      <c r="AC1146" s="36" t="str">
        <f t="shared" si="6"/>
        <v>PC26</v>
      </c>
      <c r="AD1146" s="36" t="str">
        <f>VLOOKUP(D1146,Oficial!A:C,3,0)</f>
        <v>Bienes y Servicios</v>
      </c>
    </row>
    <row r="1147" spans="1:30" x14ac:dyDescent="0.25">
      <c r="A1147" s="36" t="s">
        <v>27</v>
      </c>
      <c r="B1147" s="36" t="s">
        <v>1783</v>
      </c>
      <c r="C1147" s="36" t="s">
        <v>28</v>
      </c>
      <c r="D1147" s="36" t="s">
        <v>1783</v>
      </c>
      <c r="E1147" s="36" t="s">
        <v>30</v>
      </c>
      <c r="F1147" s="36" t="s">
        <v>569</v>
      </c>
      <c r="G1147" s="37" t="s">
        <v>215</v>
      </c>
      <c r="H1147" s="36" t="s">
        <v>1784</v>
      </c>
      <c r="I1147" s="36" t="s">
        <v>1785</v>
      </c>
      <c r="J1147" s="36">
        <v>1</v>
      </c>
      <c r="K1147" s="36" t="s">
        <v>1786</v>
      </c>
      <c r="L1147" s="36">
        <v>4</v>
      </c>
      <c r="M1147" s="36">
        <v>5</v>
      </c>
      <c r="N1147" s="38">
        <v>300000</v>
      </c>
      <c r="O1147" s="38">
        <v>1500000</v>
      </c>
      <c r="P1147" s="36">
        <v>1</v>
      </c>
      <c r="Q1147" s="40">
        <v>46082</v>
      </c>
      <c r="R1147" s="36" t="s">
        <v>1773</v>
      </c>
      <c r="S1147" s="36" t="s">
        <v>1774</v>
      </c>
      <c r="T1147" s="36" t="s">
        <v>1775</v>
      </c>
      <c r="U1147" s="36" t="s">
        <v>1776</v>
      </c>
      <c r="V1147" s="40">
        <v>46082</v>
      </c>
      <c r="W1147" s="36"/>
      <c r="X1147" s="36">
        <v>0</v>
      </c>
      <c r="Y1147" s="36"/>
      <c r="Z1147" s="36">
        <v>0</v>
      </c>
      <c r="AA1147" s="36">
        <v>0</v>
      </c>
      <c r="AB1147" s="36"/>
      <c r="AC1147" s="36" t="str">
        <f t="shared" si="6"/>
        <v>PC26</v>
      </c>
      <c r="AD1147" s="36" t="str">
        <f>VLOOKUP(D1147,Oficial!A:C,3,0)</f>
        <v>Bienes y Servicios</v>
      </c>
    </row>
    <row r="1148" spans="1:30" x14ac:dyDescent="0.25">
      <c r="A1148" s="36" t="s">
        <v>27</v>
      </c>
      <c r="B1148" s="36" t="s">
        <v>1787</v>
      </c>
      <c r="C1148" s="36" t="s">
        <v>28</v>
      </c>
      <c r="D1148" s="36" t="s">
        <v>1787</v>
      </c>
      <c r="E1148" s="36" t="s">
        <v>30</v>
      </c>
      <c r="F1148" s="36" t="s">
        <v>569</v>
      </c>
      <c r="G1148" s="37">
        <v>2531</v>
      </c>
      <c r="H1148" s="36" t="s">
        <v>1788</v>
      </c>
      <c r="I1148" s="36" t="s">
        <v>1789</v>
      </c>
      <c r="J1148" s="36">
        <v>3</v>
      </c>
      <c r="K1148" s="36" t="s">
        <v>486</v>
      </c>
      <c r="L1148" s="36">
        <v>4</v>
      </c>
      <c r="M1148" s="36">
        <v>102</v>
      </c>
      <c r="N1148" s="38">
        <v>824</v>
      </c>
      <c r="O1148" s="38">
        <v>84048</v>
      </c>
      <c r="P1148" s="36">
        <v>1</v>
      </c>
      <c r="Q1148" s="40">
        <v>46266</v>
      </c>
      <c r="R1148" s="36" t="s">
        <v>1642</v>
      </c>
      <c r="S1148" s="36" t="s">
        <v>1643</v>
      </c>
      <c r="T1148" s="36" t="s">
        <v>1644</v>
      </c>
      <c r="U1148" s="36" t="s">
        <v>404</v>
      </c>
      <c r="V1148" s="40">
        <v>46266</v>
      </c>
      <c r="W1148" s="36"/>
      <c r="X1148" s="36">
        <v>0</v>
      </c>
      <c r="Y1148" s="36"/>
      <c r="Z1148" s="36">
        <v>0</v>
      </c>
      <c r="AA1148" s="36">
        <v>0</v>
      </c>
      <c r="AB1148" s="36"/>
      <c r="AC1148" s="36" t="str">
        <f t="shared" si="6"/>
        <v>PC26</v>
      </c>
      <c r="AD1148" s="36" t="str">
        <f>VLOOKUP(D1148,Oficial!A:C,3,0)</f>
        <v>Bienes y Servicios</v>
      </c>
    </row>
    <row r="1149" spans="1:30" x14ac:dyDescent="0.25">
      <c r="A1149" s="36" t="s">
        <v>27</v>
      </c>
      <c r="B1149" s="36" t="s">
        <v>1787</v>
      </c>
      <c r="C1149" s="36" t="s">
        <v>28</v>
      </c>
      <c r="D1149" s="36" t="s">
        <v>1787</v>
      </c>
      <c r="E1149" s="36" t="s">
        <v>30</v>
      </c>
      <c r="F1149" s="36" t="s">
        <v>569</v>
      </c>
      <c r="G1149" s="37">
        <v>2531</v>
      </c>
      <c r="H1149" s="36" t="s">
        <v>1788</v>
      </c>
      <c r="I1149" s="36" t="s">
        <v>1789</v>
      </c>
      <c r="J1149" s="36">
        <v>3</v>
      </c>
      <c r="K1149" s="36" t="s">
        <v>855</v>
      </c>
      <c r="L1149" s="36">
        <v>4</v>
      </c>
      <c r="M1149" s="36">
        <v>200</v>
      </c>
      <c r="N1149" s="38">
        <v>70</v>
      </c>
      <c r="O1149" s="38">
        <v>14000</v>
      </c>
      <c r="P1149" s="36">
        <v>1</v>
      </c>
      <c r="Q1149" s="40">
        <v>46266</v>
      </c>
      <c r="R1149" s="36" t="s">
        <v>1642</v>
      </c>
      <c r="S1149" s="36" t="s">
        <v>1643</v>
      </c>
      <c r="T1149" s="36" t="s">
        <v>1644</v>
      </c>
      <c r="U1149" s="36" t="s">
        <v>404</v>
      </c>
      <c r="V1149" s="40">
        <v>46266</v>
      </c>
      <c r="W1149" s="36"/>
      <c r="X1149" s="36">
        <v>0</v>
      </c>
      <c r="Y1149" s="36"/>
      <c r="Z1149" s="36">
        <v>0</v>
      </c>
      <c r="AA1149" s="36">
        <v>0</v>
      </c>
      <c r="AB1149" s="36"/>
      <c r="AC1149" s="36" t="str">
        <f t="shared" si="6"/>
        <v>PC26</v>
      </c>
      <c r="AD1149" s="36" t="str">
        <f>VLOOKUP(D1149,Oficial!A:C,3,0)</f>
        <v>Bienes y Servicios</v>
      </c>
    </row>
    <row r="1150" spans="1:30" x14ac:dyDescent="0.25">
      <c r="A1150" s="36" t="s">
        <v>27</v>
      </c>
      <c r="B1150" s="36" t="s">
        <v>1787</v>
      </c>
      <c r="C1150" s="36" t="s">
        <v>28</v>
      </c>
      <c r="D1150" s="36" t="s">
        <v>1787</v>
      </c>
      <c r="E1150" s="36" t="s">
        <v>30</v>
      </c>
      <c r="F1150" s="36" t="s">
        <v>569</v>
      </c>
      <c r="G1150" s="37">
        <v>2531</v>
      </c>
      <c r="H1150" s="36" t="s">
        <v>1788</v>
      </c>
      <c r="I1150" s="36" t="s">
        <v>1789</v>
      </c>
      <c r="J1150" s="36">
        <v>3</v>
      </c>
      <c r="K1150" s="36" t="s">
        <v>359</v>
      </c>
      <c r="L1150" s="36">
        <v>4</v>
      </c>
      <c r="M1150" s="36">
        <v>4</v>
      </c>
      <c r="N1150" s="38">
        <v>5125</v>
      </c>
      <c r="O1150" s="38">
        <v>20500</v>
      </c>
      <c r="P1150" s="36">
        <v>1</v>
      </c>
      <c r="Q1150" s="40">
        <v>46266</v>
      </c>
      <c r="R1150" s="36" t="s">
        <v>1642</v>
      </c>
      <c r="S1150" s="36" t="s">
        <v>1643</v>
      </c>
      <c r="T1150" s="36" t="s">
        <v>1644</v>
      </c>
      <c r="U1150" s="36" t="s">
        <v>404</v>
      </c>
      <c r="V1150" s="40">
        <v>46266</v>
      </c>
      <c r="W1150" s="36"/>
      <c r="X1150" s="36">
        <v>0</v>
      </c>
      <c r="Y1150" s="36"/>
      <c r="Z1150" s="36">
        <v>0</v>
      </c>
      <c r="AA1150" s="36">
        <v>0</v>
      </c>
      <c r="AB1150" s="36"/>
      <c r="AC1150" s="36" t="str">
        <f t="shared" si="6"/>
        <v>PC26</v>
      </c>
      <c r="AD1150" s="36" t="str">
        <f>VLOOKUP(D1150,Oficial!A:C,3,0)</f>
        <v>Bienes y Servicios</v>
      </c>
    </row>
    <row r="1151" spans="1:30" x14ac:dyDescent="0.25">
      <c r="A1151" s="36" t="s">
        <v>27</v>
      </c>
      <c r="B1151" s="36" t="s">
        <v>1790</v>
      </c>
      <c r="C1151" s="36" t="s">
        <v>28</v>
      </c>
      <c r="D1151" s="36" t="s">
        <v>1790</v>
      </c>
      <c r="E1151" s="36" t="s">
        <v>30</v>
      </c>
      <c r="F1151" s="36" t="s">
        <v>569</v>
      </c>
      <c r="G1151" s="37">
        <v>2532</v>
      </c>
      <c r="H1151" s="36" t="s">
        <v>1791</v>
      </c>
      <c r="I1151" s="36" t="s">
        <v>1792</v>
      </c>
      <c r="J1151" s="36">
        <v>1</v>
      </c>
      <c r="K1151" s="36" t="s">
        <v>910</v>
      </c>
      <c r="L1151" s="36">
        <v>4</v>
      </c>
      <c r="M1151" s="36">
        <v>1</v>
      </c>
      <c r="N1151" s="38">
        <v>1000000</v>
      </c>
      <c r="O1151" s="38">
        <v>1000000</v>
      </c>
      <c r="P1151" s="36">
        <v>1</v>
      </c>
      <c r="Q1151" s="40">
        <v>46054</v>
      </c>
      <c r="R1151" s="36" t="s">
        <v>1773</v>
      </c>
      <c r="S1151" s="36" t="s">
        <v>1774</v>
      </c>
      <c r="T1151" s="36" t="s">
        <v>1775</v>
      </c>
      <c r="U1151" s="36" t="s">
        <v>1776</v>
      </c>
      <c r="V1151" s="40">
        <v>46054</v>
      </c>
      <c r="W1151" s="36"/>
      <c r="X1151" s="36">
        <v>0</v>
      </c>
      <c r="Y1151" s="36"/>
      <c r="Z1151" s="36">
        <v>0</v>
      </c>
      <c r="AA1151" s="36">
        <v>0</v>
      </c>
      <c r="AB1151" s="36"/>
      <c r="AC1151" s="36" t="str">
        <f t="shared" si="6"/>
        <v>PC26</v>
      </c>
      <c r="AD1151" s="36" t="str">
        <f>VLOOKUP(D1151,Oficial!A:C,3,0)</f>
        <v>Bienes y Servicios</v>
      </c>
    </row>
    <row r="1152" spans="1:30" x14ac:dyDescent="0.25">
      <c r="A1152" s="36" t="s">
        <v>27</v>
      </c>
      <c r="B1152" s="36" t="s">
        <v>1793</v>
      </c>
      <c r="C1152" s="36" t="s">
        <v>28</v>
      </c>
      <c r="D1152" s="36" t="s">
        <v>1793</v>
      </c>
      <c r="E1152" s="36" t="s">
        <v>30</v>
      </c>
      <c r="F1152" s="36" t="s">
        <v>569</v>
      </c>
      <c r="G1152" s="37">
        <v>2534</v>
      </c>
      <c r="H1152" s="36" t="s">
        <v>1794</v>
      </c>
      <c r="I1152" s="36" t="s">
        <v>1795</v>
      </c>
      <c r="J1152" s="36">
        <v>2</v>
      </c>
      <c r="K1152" s="36" t="s">
        <v>1796</v>
      </c>
      <c r="L1152" s="36">
        <v>4</v>
      </c>
      <c r="M1152" s="36">
        <v>4</v>
      </c>
      <c r="N1152" s="38">
        <v>16250</v>
      </c>
      <c r="O1152" s="38">
        <v>65000</v>
      </c>
      <c r="P1152" s="36">
        <v>1</v>
      </c>
      <c r="Q1152" s="40">
        <v>46023</v>
      </c>
      <c r="R1152" s="36" t="s">
        <v>1797</v>
      </c>
      <c r="S1152" s="36" t="s">
        <v>1798</v>
      </c>
      <c r="T1152" s="36" t="s">
        <v>1799</v>
      </c>
      <c r="U1152" s="36" t="s">
        <v>1800</v>
      </c>
      <c r="V1152" s="40">
        <v>46023</v>
      </c>
      <c r="W1152" s="36"/>
      <c r="X1152" s="36">
        <v>0</v>
      </c>
      <c r="Y1152" s="36"/>
      <c r="Z1152" s="36">
        <v>0</v>
      </c>
      <c r="AA1152" s="36">
        <v>0</v>
      </c>
      <c r="AB1152" s="36"/>
      <c r="AC1152" s="36" t="str">
        <f t="shared" si="6"/>
        <v>PC26</v>
      </c>
      <c r="AD1152" s="36" t="str">
        <f>VLOOKUP(D1152,Oficial!A:C,3,0)</f>
        <v>Bienes y Servicios</v>
      </c>
    </row>
    <row r="1153" spans="1:30" x14ac:dyDescent="0.25">
      <c r="A1153" s="36" t="s">
        <v>27</v>
      </c>
      <c r="B1153" s="36" t="s">
        <v>1793</v>
      </c>
      <c r="C1153" s="36" t="s">
        <v>28</v>
      </c>
      <c r="D1153" s="36" t="s">
        <v>1793</v>
      </c>
      <c r="E1153" s="36" t="s">
        <v>30</v>
      </c>
      <c r="F1153" s="36" t="s">
        <v>569</v>
      </c>
      <c r="G1153" s="37">
        <v>2534</v>
      </c>
      <c r="H1153" s="36" t="s">
        <v>1794</v>
      </c>
      <c r="I1153" s="36" t="s">
        <v>1795</v>
      </c>
      <c r="J1153" s="36">
        <v>2</v>
      </c>
      <c r="K1153" s="36" t="s">
        <v>1801</v>
      </c>
      <c r="L1153" s="36">
        <v>4</v>
      </c>
      <c r="M1153" s="36">
        <v>1</v>
      </c>
      <c r="N1153" s="38">
        <v>45000</v>
      </c>
      <c r="O1153" s="38">
        <v>45000</v>
      </c>
      <c r="P1153" s="36">
        <v>1</v>
      </c>
      <c r="Q1153" s="40">
        <v>46023</v>
      </c>
      <c r="R1153" s="36" t="s">
        <v>1797</v>
      </c>
      <c r="S1153" s="36" t="s">
        <v>1798</v>
      </c>
      <c r="T1153" s="36" t="s">
        <v>1799</v>
      </c>
      <c r="U1153" s="36" t="s">
        <v>1800</v>
      </c>
      <c r="V1153" s="40">
        <v>46023</v>
      </c>
      <c r="W1153" s="36"/>
      <c r="X1153" s="36">
        <v>0</v>
      </c>
      <c r="Y1153" s="36"/>
      <c r="Z1153" s="36">
        <v>0</v>
      </c>
      <c r="AA1153" s="36">
        <v>0</v>
      </c>
      <c r="AB1153" s="36"/>
      <c r="AC1153" s="36" t="str">
        <f t="shared" si="6"/>
        <v>PC26</v>
      </c>
      <c r="AD1153" s="36" t="str">
        <f>VLOOKUP(D1153,Oficial!A:C,3,0)</f>
        <v>Bienes y Servicios</v>
      </c>
    </row>
    <row r="1154" spans="1:30" x14ac:dyDescent="0.25">
      <c r="A1154" s="36" t="s">
        <v>27</v>
      </c>
      <c r="B1154" s="36" t="s">
        <v>1802</v>
      </c>
      <c r="C1154" s="36" t="s">
        <v>28</v>
      </c>
      <c r="D1154" s="36" t="s">
        <v>1802</v>
      </c>
      <c r="E1154" s="36" t="s">
        <v>30</v>
      </c>
      <c r="F1154" s="36" t="s">
        <v>569</v>
      </c>
      <c r="G1154" s="37" t="s">
        <v>483</v>
      </c>
      <c r="H1154" s="36" t="s">
        <v>1803</v>
      </c>
      <c r="I1154" s="36" t="s">
        <v>1804</v>
      </c>
      <c r="J1154" s="36">
        <v>1</v>
      </c>
      <c r="K1154" s="36" t="s">
        <v>486</v>
      </c>
      <c r="L1154" s="36">
        <v>4</v>
      </c>
      <c r="M1154" s="36">
        <v>200</v>
      </c>
      <c r="N1154" s="38">
        <v>3000</v>
      </c>
      <c r="O1154" s="38">
        <v>600000</v>
      </c>
      <c r="P1154" s="36">
        <v>1</v>
      </c>
      <c r="Q1154" s="40">
        <v>46054</v>
      </c>
      <c r="R1154" s="36" t="s">
        <v>1805</v>
      </c>
      <c r="S1154" s="36" t="s">
        <v>1806</v>
      </c>
      <c r="T1154" s="36" t="s">
        <v>1724</v>
      </c>
      <c r="U1154" s="36" t="s">
        <v>525</v>
      </c>
      <c r="V1154" s="40">
        <v>46054</v>
      </c>
      <c r="W1154" s="36"/>
      <c r="X1154" s="36">
        <v>0</v>
      </c>
      <c r="Y1154" s="36"/>
      <c r="Z1154" s="36">
        <v>0</v>
      </c>
      <c r="AA1154" s="36">
        <v>0</v>
      </c>
      <c r="AB1154" s="36"/>
      <c r="AC1154" s="36" t="str">
        <f t="shared" si="6"/>
        <v>PC26</v>
      </c>
      <c r="AD1154" s="36" t="str">
        <f>VLOOKUP(D1154,Oficial!A:C,3,0)</f>
        <v>Bienes y Servicios</v>
      </c>
    </row>
    <row r="1155" spans="1:30" x14ac:dyDescent="0.25">
      <c r="A1155" s="36" t="s">
        <v>27</v>
      </c>
      <c r="B1155" s="36" t="s">
        <v>1807</v>
      </c>
      <c r="C1155" s="36" t="s">
        <v>28</v>
      </c>
      <c r="D1155" s="36" t="s">
        <v>1807</v>
      </c>
      <c r="E1155" s="36" t="s">
        <v>30</v>
      </c>
      <c r="F1155" s="36" t="s">
        <v>569</v>
      </c>
      <c r="G1155" s="37">
        <v>2537</v>
      </c>
      <c r="H1155" s="36" t="s">
        <v>1808</v>
      </c>
      <c r="I1155" s="36" t="s">
        <v>1809</v>
      </c>
      <c r="J1155" s="36">
        <v>1</v>
      </c>
      <c r="K1155" s="36" t="s">
        <v>1810</v>
      </c>
      <c r="L1155" s="36">
        <v>4</v>
      </c>
      <c r="M1155" s="36">
        <v>1</v>
      </c>
      <c r="N1155" s="38">
        <v>10000000</v>
      </c>
      <c r="O1155" s="38">
        <v>10000000</v>
      </c>
      <c r="P1155" s="36">
        <v>1</v>
      </c>
      <c r="Q1155" s="40">
        <v>46023</v>
      </c>
      <c r="R1155" s="36" t="s">
        <v>1752</v>
      </c>
      <c r="S1155" s="36" t="s">
        <v>1753</v>
      </c>
      <c r="T1155" s="36" t="s">
        <v>1754</v>
      </c>
      <c r="U1155" s="36" t="s">
        <v>1755</v>
      </c>
      <c r="V1155" s="40">
        <v>46023</v>
      </c>
      <c r="W1155" s="36"/>
      <c r="X1155" s="36">
        <v>0</v>
      </c>
      <c r="Y1155" s="36"/>
      <c r="Z1155" s="36">
        <v>0</v>
      </c>
      <c r="AA1155" s="36">
        <v>0</v>
      </c>
      <c r="AB1155" s="36"/>
      <c r="AC1155" s="36" t="str">
        <f t="shared" si="6"/>
        <v>PC26</v>
      </c>
      <c r="AD1155" s="36" t="str">
        <f>VLOOKUP(D1155,Oficial!A:C,3,0)</f>
        <v>Bienes y Servicios</v>
      </c>
    </row>
    <row r="1156" spans="1:30" x14ac:dyDescent="0.25">
      <c r="A1156" s="36" t="s">
        <v>27</v>
      </c>
      <c r="B1156" s="36" t="s">
        <v>1811</v>
      </c>
      <c r="C1156" s="36" t="s">
        <v>28</v>
      </c>
      <c r="D1156" s="36" t="s">
        <v>1811</v>
      </c>
      <c r="E1156" s="36" t="s">
        <v>30</v>
      </c>
      <c r="F1156" s="36" t="s">
        <v>569</v>
      </c>
      <c r="G1156" s="37" t="s">
        <v>800</v>
      </c>
      <c r="H1156" s="36" t="s">
        <v>1812</v>
      </c>
      <c r="I1156" s="36" t="s">
        <v>1813</v>
      </c>
      <c r="J1156" s="36">
        <v>1</v>
      </c>
      <c r="K1156" s="36" t="s">
        <v>1814</v>
      </c>
      <c r="L1156" s="36">
        <v>4</v>
      </c>
      <c r="M1156" s="36">
        <v>20</v>
      </c>
      <c r="N1156" s="38">
        <v>25000</v>
      </c>
      <c r="O1156" s="38">
        <v>500000</v>
      </c>
      <c r="P1156" s="36">
        <v>1</v>
      </c>
      <c r="Q1156" s="40">
        <v>46023</v>
      </c>
      <c r="R1156" s="36" t="s">
        <v>1797</v>
      </c>
      <c r="S1156" s="36" t="s">
        <v>1798</v>
      </c>
      <c r="T1156" s="36" t="s">
        <v>1799</v>
      </c>
      <c r="U1156" s="36" t="s">
        <v>1800</v>
      </c>
      <c r="V1156" s="40">
        <v>46023</v>
      </c>
      <c r="W1156" s="36"/>
      <c r="X1156" s="36">
        <v>0</v>
      </c>
      <c r="Y1156" s="36"/>
      <c r="Z1156" s="36">
        <v>0</v>
      </c>
      <c r="AA1156" s="36">
        <v>0</v>
      </c>
      <c r="AB1156" s="36"/>
      <c r="AC1156" s="36" t="str">
        <f t="shared" si="6"/>
        <v>PC26</v>
      </c>
      <c r="AD1156" s="36" t="str">
        <f>VLOOKUP(D1156,Oficial!A:C,3,0)</f>
        <v>Bienes y Servicios</v>
      </c>
    </row>
    <row r="1157" spans="1:30" x14ac:dyDescent="0.25">
      <c r="A1157" s="36" t="s">
        <v>27</v>
      </c>
      <c r="B1157" s="36" t="s">
        <v>1815</v>
      </c>
      <c r="C1157" s="36" t="s">
        <v>28</v>
      </c>
      <c r="D1157" s="36" t="s">
        <v>1815</v>
      </c>
      <c r="E1157" s="36" t="s">
        <v>30</v>
      </c>
      <c r="F1157" s="36" t="s">
        <v>569</v>
      </c>
      <c r="G1157" s="37">
        <v>2542</v>
      </c>
      <c r="H1157" s="36" t="s">
        <v>1816</v>
      </c>
      <c r="I1157" s="36" t="s">
        <v>1817</v>
      </c>
      <c r="J1157" s="36">
        <v>1</v>
      </c>
      <c r="K1157" s="36" t="s">
        <v>1179</v>
      </c>
      <c r="L1157" s="36">
        <v>4</v>
      </c>
      <c r="M1157" s="36">
        <v>13</v>
      </c>
      <c r="N1157" s="38">
        <v>34616</v>
      </c>
      <c r="O1157" s="38">
        <v>450008</v>
      </c>
      <c r="P1157" s="36">
        <v>1</v>
      </c>
      <c r="Q1157" s="40">
        <v>46113</v>
      </c>
      <c r="R1157" s="36" t="s">
        <v>1642</v>
      </c>
      <c r="S1157" s="36" t="s">
        <v>1643</v>
      </c>
      <c r="T1157" s="36" t="s">
        <v>1644</v>
      </c>
      <c r="U1157" s="36" t="s">
        <v>404</v>
      </c>
      <c r="V1157" s="40">
        <v>46113</v>
      </c>
      <c r="W1157" s="36"/>
      <c r="X1157" s="36">
        <v>0</v>
      </c>
      <c r="Y1157" s="36"/>
      <c r="Z1157" s="36">
        <v>0</v>
      </c>
      <c r="AA1157" s="36">
        <v>0</v>
      </c>
      <c r="AB1157" s="36"/>
      <c r="AC1157" s="36" t="str">
        <f t="shared" si="6"/>
        <v>PC26</v>
      </c>
      <c r="AD1157" s="36" t="str">
        <f>VLOOKUP(D1157,Oficial!A:C,3,0)</f>
        <v>Bienes y Servicios</v>
      </c>
    </row>
    <row r="1158" spans="1:30" x14ac:dyDescent="0.25">
      <c r="A1158" s="36" t="s">
        <v>27</v>
      </c>
      <c r="B1158" s="36" t="s">
        <v>1818</v>
      </c>
      <c r="C1158" s="36" t="s">
        <v>28</v>
      </c>
      <c r="D1158" s="36" t="s">
        <v>1818</v>
      </c>
      <c r="E1158" s="36" t="s">
        <v>30</v>
      </c>
      <c r="F1158" s="36" t="s">
        <v>569</v>
      </c>
      <c r="G1158" s="37">
        <v>2545</v>
      </c>
      <c r="H1158" s="36" t="s">
        <v>1819</v>
      </c>
      <c r="I1158" s="36" t="s">
        <v>1820</v>
      </c>
      <c r="J1158" s="36">
        <v>1</v>
      </c>
      <c r="K1158" s="36" t="s">
        <v>1174</v>
      </c>
      <c r="L1158" s="36">
        <v>4</v>
      </c>
      <c r="M1158" s="36">
        <v>1000</v>
      </c>
      <c r="N1158" s="38">
        <v>700</v>
      </c>
      <c r="O1158" s="38">
        <v>700000</v>
      </c>
      <c r="P1158" s="36">
        <v>1</v>
      </c>
      <c r="Q1158" s="40">
        <v>46174</v>
      </c>
      <c r="R1158" s="36" t="s">
        <v>1723</v>
      </c>
      <c r="S1158" s="36" t="s">
        <v>154</v>
      </c>
      <c r="T1158" s="36" t="s">
        <v>1724</v>
      </c>
      <c r="U1158" s="36" t="s">
        <v>156</v>
      </c>
      <c r="V1158" s="40">
        <v>46174</v>
      </c>
      <c r="W1158" s="36"/>
      <c r="X1158" s="36">
        <v>0</v>
      </c>
      <c r="Y1158" s="36"/>
      <c r="Z1158" s="36">
        <v>0</v>
      </c>
      <c r="AA1158" s="36">
        <v>0</v>
      </c>
      <c r="AB1158" s="36"/>
      <c r="AC1158" s="36" t="str">
        <f t="shared" si="6"/>
        <v>PC26</v>
      </c>
      <c r="AD1158" s="36" t="str">
        <f>VLOOKUP(D1158,Oficial!A:C,3,0)</f>
        <v>Bienes y Servicios</v>
      </c>
    </row>
    <row r="1159" spans="1:30" x14ac:dyDescent="0.25">
      <c r="A1159" s="36" t="s">
        <v>27</v>
      </c>
      <c r="B1159" s="36" t="s">
        <v>1821</v>
      </c>
      <c r="C1159" s="36" t="s">
        <v>28</v>
      </c>
      <c r="D1159" s="36" t="s">
        <v>1821</v>
      </c>
      <c r="E1159" s="36" t="s">
        <v>30</v>
      </c>
      <c r="F1159" s="36" t="s">
        <v>569</v>
      </c>
      <c r="G1159" s="37">
        <v>2547</v>
      </c>
      <c r="H1159" s="36" t="s">
        <v>1822</v>
      </c>
      <c r="I1159" s="36" t="s">
        <v>1823</v>
      </c>
      <c r="J1159" s="36">
        <v>1</v>
      </c>
      <c r="K1159" s="36" t="s">
        <v>1262</v>
      </c>
      <c r="L1159" s="36">
        <v>4</v>
      </c>
      <c r="M1159" s="36">
        <v>720</v>
      </c>
      <c r="N1159" s="38">
        <v>2778</v>
      </c>
      <c r="O1159" s="38">
        <v>2000160</v>
      </c>
      <c r="P1159" s="36">
        <v>1</v>
      </c>
      <c r="Q1159" s="40">
        <v>46113</v>
      </c>
      <c r="R1159" s="36" t="s">
        <v>1723</v>
      </c>
      <c r="S1159" s="36" t="s">
        <v>154</v>
      </c>
      <c r="T1159" s="36" t="s">
        <v>1724</v>
      </c>
      <c r="U1159" s="36" t="s">
        <v>156</v>
      </c>
      <c r="V1159" s="40">
        <v>46113</v>
      </c>
      <c r="W1159" s="36"/>
      <c r="X1159" s="36">
        <v>0</v>
      </c>
      <c r="Y1159" s="36"/>
      <c r="Z1159" s="36">
        <v>0</v>
      </c>
      <c r="AA1159" s="36">
        <v>0</v>
      </c>
      <c r="AB1159" s="36"/>
      <c r="AC1159" s="36" t="str">
        <f t="shared" si="6"/>
        <v>PC26</v>
      </c>
      <c r="AD1159" s="36" t="str">
        <f>VLOOKUP(D1159,Oficial!A:C,3,0)</f>
        <v>Bienes y Servicios</v>
      </c>
    </row>
    <row r="1160" spans="1:30" x14ac:dyDescent="0.25">
      <c r="A1160" s="36" t="s">
        <v>27</v>
      </c>
      <c r="B1160" s="36" t="s">
        <v>1824</v>
      </c>
      <c r="C1160" s="36" t="s">
        <v>28</v>
      </c>
      <c r="D1160" s="36" t="s">
        <v>1824</v>
      </c>
      <c r="E1160" s="36" t="s">
        <v>30</v>
      </c>
      <c r="F1160" s="36" t="s">
        <v>569</v>
      </c>
      <c r="G1160" s="37">
        <v>2548</v>
      </c>
      <c r="H1160" s="36" t="s">
        <v>1825</v>
      </c>
      <c r="I1160" s="36" t="s">
        <v>1826</v>
      </c>
      <c r="J1160" s="36">
        <v>1</v>
      </c>
      <c r="K1160" s="36" t="s">
        <v>602</v>
      </c>
      <c r="L1160" s="36">
        <v>4</v>
      </c>
      <c r="M1160" s="36">
        <v>1</v>
      </c>
      <c r="N1160" s="38">
        <v>420000</v>
      </c>
      <c r="O1160" s="38">
        <v>420000</v>
      </c>
      <c r="P1160" s="36">
        <v>1</v>
      </c>
      <c r="Q1160" s="40">
        <v>46113</v>
      </c>
      <c r="R1160" s="36" t="s">
        <v>1805</v>
      </c>
      <c r="S1160" s="36" t="s">
        <v>1806</v>
      </c>
      <c r="T1160" s="36" t="s">
        <v>1724</v>
      </c>
      <c r="U1160" s="36" t="s">
        <v>525</v>
      </c>
      <c r="V1160" s="40">
        <v>46113</v>
      </c>
      <c r="W1160" s="36"/>
      <c r="X1160" s="36">
        <v>0</v>
      </c>
      <c r="Y1160" s="36"/>
      <c r="Z1160" s="36">
        <v>0</v>
      </c>
      <c r="AA1160" s="36">
        <v>0</v>
      </c>
      <c r="AB1160" s="36"/>
      <c r="AC1160" s="36" t="str">
        <f t="shared" si="6"/>
        <v>PC26</v>
      </c>
      <c r="AD1160" s="36" t="str">
        <f>VLOOKUP(D1160,Oficial!A:C,3,0)</f>
        <v>Bienes y Servicios</v>
      </c>
    </row>
    <row r="1161" spans="1:30" x14ac:dyDescent="0.25">
      <c r="A1161" s="36" t="s">
        <v>27</v>
      </c>
      <c r="B1161" s="36" t="s">
        <v>1827</v>
      </c>
      <c r="C1161" s="36" t="s">
        <v>594</v>
      </c>
      <c r="D1161" s="36" t="s">
        <v>1827</v>
      </c>
      <c r="E1161" s="36" t="s">
        <v>45</v>
      </c>
      <c r="F1161" s="36" t="s">
        <v>569</v>
      </c>
      <c r="G1161" s="37">
        <v>2549</v>
      </c>
      <c r="H1161" s="36" t="s">
        <v>1828</v>
      </c>
      <c r="I1161" s="36" t="s">
        <v>1829</v>
      </c>
      <c r="J1161" s="36">
        <v>1</v>
      </c>
      <c r="K1161" s="36" t="s">
        <v>1830</v>
      </c>
      <c r="L1161" s="36">
        <v>4</v>
      </c>
      <c r="M1161" s="36">
        <v>12</v>
      </c>
      <c r="N1161" s="38">
        <v>600000</v>
      </c>
      <c r="O1161" s="38">
        <v>7200000</v>
      </c>
      <c r="P1161" s="36">
        <v>1</v>
      </c>
      <c r="Q1161" s="40">
        <v>46023</v>
      </c>
      <c r="R1161" s="36" t="s">
        <v>1723</v>
      </c>
      <c r="S1161" s="36" t="s">
        <v>1831</v>
      </c>
      <c r="T1161" s="36" t="s">
        <v>1724</v>
      </c>
      <c r="U1161" s="36" t="s">
        <v>156</v>
      </c>
      <c r="V1161" s="40">
        <v>46023</v>
      </c>
      <c r="W1161" s="36"/>
      <c r="X1161" s="36">
        <v>0</v>
      </c>
      <c r="Y1161" s="36"/>
      <c r="Z1161" s="36">
        <v>0</v>
      </c>
      <c r="AA1161" s="36">
        <v>0</v>
      </c>
      <c r="AB1161" s="36"/>
      <c r="AC1161" s="36" t="str">
        <f t="shared" si="6"/>
        <v>PC26</v>
      </c>
      <c r="AD1161" s="36" t="str">
        <f>VLOOKUP(D1161,Oficial!A:C,3,0)</f>
        <v>Compras Convenio GORE Region de Los Lagos</v>
      </c>
    </row>
    <row r="1162" spans="1:30" x14ac:dyDescent="0.25">
      <c r="A1162" s="36" t="s">
        <v>27</v>
      </c>
      <c r="B1162" s="36" t="s">
        <v>1832</v>
      </c>
      <c r="C1162" s="36" t="s">
        <v>28</v>
      </c>
      <c r="D1162" s="36" t="s">
        <v>1832</v>
      </c>
      <c r="E1162" s="36" t="s">
        <v>30</v>
      </c>
      <c r="F1162" s="36" t="s">
        <v>569</v>
      </c>
      <c r="G1162" s="37">
        <v>2552</v>
      </c>
      <c r="H1162" s="36" t="s">
        <v>1833</v>
      </c>
      <c r="I1162" s="36" t="s">
        <v>1834</v>
      </c>
      <c r="J1162" s="36">
        <v>2</v>
      </c>
      <c r="K1162" s="36" t="s">
        <v>486</v>
      </c>
      <c r="L1162" s="36">
        <v>4</v>
      </c>
      <c r="M1162" s="36">
        <v>1000</v>
      </c>
      <c r="N1162" s="38">
        <v>400</v>
      </c>
      <c r="O1162" s="38">
        <v>400000</v>
      </c>
      <c r="P1162" s="36">
        <v>1</v>
      </c>
      <c r="Q1162" s="40">
        <v>46174</v>
      </c>
      <c r="R1162" s="36" t="s">
        <v>1642</v>
      </c>
      <c r="S1162" s="36" t="s">
        <v>1643</v>
      </c>
      <c r="T1162" s="36" t="s">
        <v>1644</v>
      </c>
      <c r="U1162" s="36" t="s">
        <v>404</v>
      </c>
      <c r="V1162" s="40">
        <v>46174</v>
      </c>
      <c r="W1162" s="36"/>
      <c r="X1162" s="36">
        <v>0</v>
      </c>
      <c r="Y1162" s="36"/>
      <c r="Z1162" s="36">
        <v>0</v>
      </c>
      <c r="AA1162" s="36">
        <v>0</v>
      </c>
      <c r="AB1162" s="36"/>
      <c r="AC1162" s="36" t="str">
        <f t="shared" si="6"/>
        <v>PC26</v>
      </c>
      <c r="AD1162" s="36" t="str">
        <f>VLOOKUP(D1162,Oficial!A:C,3,0)</f>
        <v>Bienes y Servicios</v>
      </c>
    </row>
    <row r="1163" spans="1:30" x14ac:dyDescent="0.25">
      <c r="A1163" s="36" t="s">
        <v>27</v>
      </c>
      <c r="B1163" s="36" t="s">
        <v>1832</v>
      </c>
      <c r="C1163" s="36" t="s">
        <v>28</v>
      </c>
      <c r="D1163" s="36" t="s">
        <v>1832</v>
      </c>
      <c r="E1163" s="36" t="s">
        <v>30</v>
      </c>
      <c r="F1163" s="36" t="s">
        <v>569</v>
      </c>
      <c r="G1163" s="37">
        <v>2552</v>
      </c>
      <c r="H1163" s="36" t="s">
        <v>1833</v>
      </c>
      <c r="I1163" s="36" t="s">
        <v>1834</v>
      </c>
      <c r="J1163" s="36">
        <v>2</v>
      </c>
      <c r="K1163" s="36" t="s">
        <v>1565</v>
      </c>
      <c r="L1163" s="36">
        <v>4</v>
      </c>
      <c r="M1163" s="36">
        <v>3000</v>
      </c>
      <c r="N1163" s="38">
        <v>200</v>
      </c>
      <c r="O1163" s="38">
        <v>600000</v>
      </c>
      <c r="P1163" s="36">
        <v>1</v>
      </c>
      <c r="Q1163" s="40">
        <v>46174</v>
      </c>
      <c r="R1163" s="36" t="s">
        <v>1642</v>
      </c>
      <c r="S1163" s="36" t="s">
        <v>1643</v>
      </c>
      <c r="T1163" s="36" t="s">
        <v>1644</v>
      </c>
      <c r="U1163" s="36" t="s">
        <v>404</v>
      </c>
      <c r="V1163" s="40">
        <v>46174</v>
      </c>
      <c r="W1163" s="36"/>
      <c r="X1163" s="36">
        <v>0</v>
      </c>
      <c r="Y1163" s="36"/>
      <c r="Z1163" s="36">
        <v>0</v>
      </c>
      <c r="AA1163" s="36">
        <v>0</v>
      </c>
      <c r="AB1163" s="36"/>
      <c r="AC1163" s="36" t="str">
        <f t="shared" si="6"/>
        <v>PC26</v>
      </c>
      <c r="AD1163" s="36" t="str">
        <f>VLOOKUP(D1163,Oficial!A:C,3,0)</f>
        <v>Bienes y Servicios</v>
      </c>
    </row>
    <row r="1164" spans="1:30" x14ac:dyDescent="0.25">
      <c r="A1164" s="36" t="s">
        <v>27</v>
      </c>
      <c r="B1164" s="36" t="s">
        <v>1835</v>
      </c>
      <c r="C1164" s="36" t="s">
        <v>28</v>
      </c>
      <c r="D1164" s="36" t="s">
        <v>1835</v>
      </c>
      <c r="E1164" s="36" t="s">
        <v>30</v>
      </c>
      <c r="F1164" s="36" t="s">
        <v>569</v>
      </c>
      <c r="G1164" s="37">
        <v>2554</v>
      </c>
      <c r="H1164" s="36" t="s">
        <v>1836</v>
      </c>
      <c r="I1164" s="36" t="s">
        <v>1837</v>
      </c>
      <c r="J1164" s="36">
        <v>1</v>
      </c>
      <c r="K1164" s="36" t="s">
        <v>1838</v>
      </c>
      <c r="L1164" s="36">
        <v>4</v>
      </c>
      <c r="M1164" s="36">
        <v>380</v>
      </c>
      <c r="N1164" s="38">
        <v>1158</v>
      </c>
      <c r="O1164" s="38">
        <v>440040</v>
      </c>
      <c r="P1164" s="36">
        <v>1</v>
      </c>
      <c r="Q1164" s="40">
        <v>46235</v>
      </c>
      <c r="R1164" s="36" t="s">
        <v>1642</v>
      </c>
      <c r="S1164" s="36" t="s">
        <v>1643</v>
      </c>
      <c r="T1164" s="36" t="s">
        <v>1644</v>
      </c>
      <c r="U1164" s="36" t="s">
        <v>404</v>
      </c>
      <c r="V1164" s="40">
        <v>46235</v>
      </c>
      <c r="W1164" s="36"/>
      <c r="X1164" s="36">
        <v>0</v>
      </c>
      <c r="Y1164" s="36"/>
      <c r="Z1164" s="36">
        <v>0</v>
      </c>
      <c r="AA1164" s="36">
        <v>0</v>
      </c>
      <c r="AB1164" s="36"/>
      <c r="AC1164" s="36" t="str">
        <f t="shared" si="6"/>
        <v>PC26</v>
      </c>
      <c r="AD1164" s="36" t="str">
        <f>VLOOKUP(D1164,Oficial!A:C,3,0)</f>
        <v>Bienes y Servicios</v>
      </c>
    </row>
    <row r="1165" spans="1:30" x14ac:dyDescent="0.25">
      <c r="A1165" s="36" t="s">
        <v>27</v>
      </c>
      <c r="B1165" s="36" t="s">
        <v>1839</v>
      </c>
      <c r="C1165" s="36" t="s">
        <v>28</v>
      </c>
      <c r="D1165" s="36" t="s">
        <v>1839</v>
      </c>
      <c r="E1165" s="36" t="s">
        <v>30</v>
      </c>
      <c r="F1165" s="36" t="s">
        <v>569</v>
      </c>
      <c r="G1165" s="37" t="s">
        <v>606</v>
      </c>
      <c r="H1165" s="36" t="s">
        <v>1840</v>
      </c>
      <c r="I1165" s="36" t="s">
        <v>1841</v>
      </c>
      <c r="J1165" s="36">
        <v>1</v>
      </c>
      <c r="K1165" s="36" t="s">
        <v>1262</v>
      </c>
      <c r="L1165" s="36">
        <v>4</v>
      </c>
      <c r="M1165" s="36">
        <v>1000</v>
      </c>
      <c r="N1165" s="38">
        <v>2578</v>
      </c>
      <c r="O1165" s="38">
        <v>2578000</v>
      </c>
      <c r="P1165" s="36">
        <v>1</v>
      </c>
      <c r="Q1165" s="40">
        <v>46113</v>
      </c>
      <c r="R1165" s="36" t="s">
        <v>1572</v>
      </c>
      <c r="S1165" s="36" t="s">
        <v>1573</v>
      </c>
      <c r="T1165" s="36" t="s">
        <v>1154</v>
      </c>
      <c r="U1165" s="36" t="s">
        <v>1574</v>
      </c>
      <c r="V1165" s="40">
        <v>46113</v>
      </c>
      <c r="W1165" s="36"/>
      <c r="X1165" s="36">
        <v>0</v>
      </c>
      <c r="Y1165" s="36"/>
      <c r="Z1165" s="36">
        <v>0</v>
      </c>
      <c r="AA1165" s="36">
        <v>0</v>
      </c>
      <c r="AB1165" s="36"/>
      <c r="AC1165" s="36" t="str">
        <f t="shared" si="6"/>
        <v>PC26</v>
      </c>
      <c r="AD1165" s="36" t="str">
        <f>VLOOKUP(D1165,Oficial!A:C,3,0)</f>
        <v>Bienes y Servicios</v>
      </c>
    </row>
    <row r="1166" spans="1:30" x14ac:dyDescent="0.25">
      <c r="A1166" s="36" t="s">
        <v>27</v>
      </c>
      <c r="B1166" s="36" t="s">
        <v>1842</v>
      </c>
      <c r="C1166" s="36" t="s">
        <v>28</v>
      </c>
      <c r="D1166" s="36" t="s">
        <v>1842</v>
      </c>
      <c r="E1166" s="36" t="s">
        <v>30</v>
      </c>
      <c r="F1166" s="36" t="s">
        <v>569</v>
      </c>
      <c r="G1166" s="37">
        <v>2556</v>
      </c>
      <c r="H1166" s="36" t="s">
        <v>1843</v>
      </c>
      <c r="I1166" s="36" t="s">
        <v>1843</v>
      </c>
      <c r="J1166" s="36">
        <v>1</v>
      </c>
      <c r="K1166" s="36" t="s">
        <v>1844</v>
      </c>
      <c r="L1166" s="36">
        <v>4</v>
      </c>
      <c r="M1166" s="36">
        <v>12</v>
      </c>
      <c r="N1166" s="38">
        <v>250000</v>
      </c>
      <c r="O1166" s="38">
        <v>3000000</v>
      </c>
      <c r="P1166" s="36">
        <v>1</v>
      </c>
      <c r="Q1166" s="40">
        <v>46143</v>
      </c>
      <c r="R1166" s="36" t="s">
        <v>122</v>
      </c>
      <c r="S1166" s="36" t="s">
        <v>544</v>
      </c>
      <c r="T1166" s="36" t="s">
        <v>1244</v>
      </c>
      <c r="U1166" s="36" t="s">
        <v>58</v>
      </c>
      <c r="V1166" s="40">
        <v>46143</v>
      </c>
      <c r="W1166" s="36"/>
      <c r="X1166" s="36">
        <v>0</v>
      </c>
      <c r="Y1166" s="36"/>
      <c r="Z1166" s="36">
        <v>0</v>
      </c>
      <c r="AA1166" s="36">
        <v>0</v>
      </c>
      <c r="AB1166" s="36"/>
      <c r="AC1166" s="36" t="str">
        <f t="shared" si="6"/>
        <v>PC26</v>
      </c>
      <c r="AD1166" s="36" t="str">
        <f>VLOOKUP(D1166,Oficial!A:C,3,0)</f>
        <v>Bienes y Servicios</v>
      </c>
    </row>
    <row r="1167" spans="1:30" x14ac:dyDescent="0.25">
      <c r="A1167" s="36" t="s">
        <v>27</v>
      </c>
      <c r="B1167" s="36" t="s">
        <v>1845</v>
      </c>
      <c r="C1167" s="36" t="s">
        <v>28</v>
      </c>
      <c r="D1167" s="36" t="s">
        <v>1845</v>
      </c>
      <c r="E1167" s="36" t="s">
        <v>30</v>
      </c>
      <c r="F1167" s="36" t="s">
        <v>569</v>
      </c>
      <c r="G1167" s="37" t="s">
        <v>654</v>
      </c>
      <c r="H1167" s="36" t="s">
        <v>1846</v>
      </c>
      <c r="I1167" s="36" t="s">
        <v>1847</v>
      </c>
      <c r="J1167" s="36">
        <v>1</v>
      </c>
      <c r="K1167" s="36" t="s">
        <v>602</v>
      </c>
      <c r="L1167" s="36">
        <v>4</v>
      </c>
      <c r="M1167" s="36">
        <v>1</v>
      </c>
      <c r="N1167" s="38">
        <v>1428000</v>
      </c>
      <c r="O1167" s="38">
        <v>1428000</v>
      </c>
      <c r="P1167" s="36">
        <v>1</v>
      </c>
      <c r="Q1167" s="40">
        <v>46266</v>
      </c>
      <c r="R1167" s="36" t="s">
        <v>1572</v>
      </c>
      <c r="S1167" s="36" t="s">
        <v>1573</v>
      </c>
      <c r="T1167" s="36" t="s">
        <v>1154</v>
      </c>
      <c r="U1167" s="36" t="s">
        <v>1574</v>
      </c>
      <c r="V1167" s="40">
        <v>46266</v>
      </c>
      <c r="W1167" s="36"/>
      <c r="X1167" s="36">
        <v>0</v>
      </c>
      <c r="Y1167" s="36"/>
      <c r="Z1167" s="36">
        <v>0</v>
      </c>
      <c r="AA1167" s="36">
        <v>0</v>
      </c>
      <c r="AB1167" s="36"/>
      <c r="AC1167" s="36" t="str">
        <f t="shared" si="6"/>
        <v>PC26</v>
      </c>
      <c r="AD1167" s="36" t="str">
        <f>VLOOKUP(D1167,Oficial!A:C,3,0)</f>
        <v>Bienes y Servicios</v>
      </c>
    </row>
    <row r="1168" spans="1:30" x14ac:dyDescent="0.25">
      <c r="A1168" s="36" t="s">
        <v>27</v>
      </c>
      <c r="B1168" s="36" t="s">
        <v>1848</v>
      </c>
      <c r="C1168" s="36" t="s">
        <v>28</v>
      </c>
      <c r="D1168" s="36" t="s">
        <v>1848</v>
      </c>
      <c r="E1168" s="36" t="s">
        <v>30</v>
      </c>
      <c r="F1168" s="36" t="s">
        <v>569</v>
      </c>
      <c r="G1168" s="37">
        <v>2558</v>
      </c>
      <c r="H1168" s="36" t="s">
        <v>1849</v>
      </c>
      <c r="I1168" s="36" t="s">
        <v>1850</v>
      </c>
      <c r="J1168" s="36">
        <v>1</v>
      </c>
      <c r="K1168" s="36" t="s">
        <v>1851</v>
      </c>
      <c r="L1168" s="36">
        <v>4</v>
      </c>
      <c r="M1168" s="36">
        <v>6000</v>
      </c>
      <c r="N1168" s="38">
        <v>1500</v>
      </c>
      <c r="O1168" s="38">
        <v>9000000</v>
      </c>
      <c r="P1168" s="36">
        <v>1</v>
      </c>
      <c r="Q1168" s="40">
        <v>46082</v>
      </c>
      <c r="R1168" s="36" t="s">
        <v>414</v>
      </c>
      <c r="S1168" s="36" t="s">
        <v>1852</v>
      </c>
      <c r="T1168" s="36" t="s">
        <v>1706</v>
      </c>
      <c r="U1168" s="36" t="s">
        <v>417</v>
      </c>
      <c r="V1168" s="40">
        <v>46082</v>
      </c>
      <c r="W1168" s="36"/>
      <c r="X1168" s="36">
        <v>0</v>
      </c>
      <c r="Y1168" s="36"/>
      <c r="Z1168" s="36">
        <v>0</v>
      </c>
      <c r="AA1168" s="36">
        <v>0</v>
      </c>
      <c r="AB1168" s="36"/>
      <c r="AC1168" s="36" t="str">
        <f t="shared" si="6"/>
        <v>PC26</v>
      </c>
      <c r="AD1168" s="36" t="str">
        <f>VLOOKUP(D1168,Oficial!A:C,3,0)</f>
        <v>Bienes y Servicios</v>
      </c>
    </row>
    <row r="1169" spans="1:30" x14ac:dyDescent="0.25">
      <c r="A1169" s="36" t="s">
        <v>27</v>
      </c>
      <c r="B1169" s="36" t="s">
        <v>1853</v>
      </c>
      <c r="C1169" s="36" t="s">
        <v>28</v>
      </c>
      <c r="D1169" s="36" t="s">
        <v>1853</v>
      </c>
      <c r="E1169" s="36" t="s">
        <v>30</v>
      </c>
      <c r="F1169" s="36" t="s">
        <v>569</v>
      </c>
      <c r="G1169" s="37">
        <v>2558</v>
      </c>
      <c r="H1169" s="36" t="s">
        <v>1854</v>
      </c>
      <c r="I1169" s="36" t="s">
        <v>1855</v>
      </c>
      <c r="J1169" s="36">
        <v>1</v>
      </c>
      <c r="K1169" s="36" t="s">
        <v>1175</v>
      </c>
      <c r="L1169" s="36">
        <v>4</v>
      </c>
      <c r="M1169" s="36">
        <v>240</v>
      </c>
      <c r="N1169" s="38">
        <v>12500</v>
      </c>
      <c r="O1169" s="38">
        <v>3000000</v>
      </c>
      <c r="P1169" s="36">
        <v>1</v>
      </c>
      <c r="Q1169" s="40">
        <v>46054</v>
      </c>
      <c r="R1169" s="36" t="s">
        <v>1445</v>
      </c>
      <c r="S1169" s="36" t="s">
        <v>1446</v>
      </c>
      <c r="T1169" s="36" t="s">
        <v>1447</v>
      </c>
      <c r="U1169" s="36" t="s">
        <v>1448</v>
      </c>
      <c r="V1169" s="40">
        <v>46054</v>
      </c>
      <c r="W1169" s="36"/>
      <c r="X1169" s="36">
        <v>0</v>
      </c>
      <c r="Y1169" s="36"/>
      <c r="Z1169" s="36">
        <v>0</v>
      </c>
      <c r="AA1169" s="36">
        <v>0</v>
      </c>
      <c r="AB1169" s="36"/>
      <c r="AC1169" s="36" t="str">
        <f t="shared" si="6"/>
        <v>PC26</v>
      </c>
      <c r="AD1169" s="36" t="str">
        <f>VLOOKUP(D1169,Oficial!A:C,3,0)</f>
        <v>Bienes y Servicios</v>
      </c>
    </row>
    <row r="1170" spans="1:30" x14ac:dyDescent="0.25">
      <c r="A1170" s="36" t="s">
        <v>27</v>
      </c>
      <c r="B1170" s="36" t="s">
        <v>1856</v>
      </c>
      <c r="C1170" s="36" t="s">
        <v>28</v>
      </c>
      <c r="D1170" s="36" t="s">
        <v>1856</v>
      </c>
      <c r="E1170" s="36" t="s">
        <v>30</v>
      </c>
      <c r="F1170" s="36" t="s">
        <v>569</v>
      </c>
      <c r="G1170" s="37">
        <v>2562</v>
      </c>
      <c r="H1170" s="36" t="s">
        <v>1857</v>
      </c>
      <c r="I1170" s="36" t="s">
        <v>1858</v>
      </c>
      <c r="J1170" s="36">
        <v>1</v>
      </c>
      <c r="K1170" s="36" t="s">
        <v>1859</v>
      </c>
      <c r="L1170" s="36">
        <v>4</v>
      </c>
      <c r="M1170" s="36">
        <v>2</v>
      </c>
      <c r="N1170" s="38">
        <v>625000</v>
      </c>
      <c r="O1170" s="38">
        <v>1250000</v>
      </c>
      <c r="P1170" s="36">
        <v>1</v>
      </c>
      <c r="Q1170" s="40">
        <v>46174</v>
      </c>
      <c r="R1170" s="36" t="s">
        <v>761</v>
      </c>
      <c r="S1170" s="36" t="s">
        <v>762</v>
      </c>
      <c r="T1170" s="36" t="s">
        <v>763</v>
      </c>
      <c r="U1170" s="36" t="s">
        <v>764</v>
      </c>
      <c r="V1170" s="40">
        <v>46174</v>
      </c>
      <c r="W1170" s="36"/>
      <c r="X1170" s="36">
        <v>0</v>
      </c>
      <c r="Y1170" s="36"/>
      <c r="Z1170" s="36">
        <v>0</v>
      </c>
      <c r="AA1170" s="36">
        <v>0</v>
      </c>
      <c r="AB1170" s="36"/>
      <c r="AC1170" s="36" t="str">
        <f t="shared" si="6"/>
        <v>PC26</v>
      </c>
      <c r="AD1170" s="36" t="str">
        <f>VLOOKUP(D1170,Oficial!A:C,3,0)</f>
        <v>Bienes y Servicios</v>
      </c>
    </row>
    <row r="1171" spans="1:30" x14ac:dyDescent="0.25">
      <c r="A1171" s="36" t="s">
        <v>27</v>
      </c>
      <c r="B1171" s="36" t="s">
        <v>1860</v>
      </c>
      <c r="C1171" s="36" t="s">
        <v>28</v>
      </c>
      <c r="D1171" s="36" t="s">
        <v>1860</v>
      </c>
      <c r="E1171" s="36" t="s">
        <v>30</v>
      </c>
      <c r="F1171" s="36" t="s">
        <v>569</v>
      </c>
      <c r="G1171" s="37">
        <v>2563</v>
      </c>
      <c r="H1171" s="36" t="s">
        <v>1861</v>
      </c>
      <c r="I1171" s="36" t="s">
        <v>1862</v>
      </c>
      <c r="J1171" s="36">
        <v>3</v>
      </c>
      <c r="K1171" s="36" t="s">
        <v>486</v>
      </c>
      <c r="L1171" s="36">
        <v>4</v>
      </c>
      <c r="M1171" s="36">
        <v>172</v>
      </c>
      <c r="N1171" s="38">
        <v>1576</v>
      </c>
      <c r="O1171" s="38">
        <v>271072</v>
      </c>
      <c r="P1171" s="36">
        <v>1</v>
      </c>
      <c r="Q1171" s="40">
        <v>46054</v>
      </c>
      <c r="R1171" s="36" t="s">
        <v>1797</v>
      </c>
      <c r="S1171" s="36" t="s">
        <v>1798</v>
      </c>
      <c r="T1171" s="36" t="s">
        <v>1799</v>
      </c>
      <c r="U1171" s="36" t="s">
        <v>1800</v>
      </c>
      <c r="V1171" s="40">
        <v>46023</v>
      </c>
      <c r="W1171" s="36"/>
      <c r="X1171" s="36">
        <v>0</v>
      </c>
      <c r="Y1171" s="36"/>
      <c r="Z1171" s="36">
        <v>0</v>
      </c>
      <c r="AA1171" s="36">
        <v>0</v>
      </c>
      <c r="AB1171" s="36"/>
      <c r="AC1171" s="36" t="str">
        <f t="shared" si="6"/>
        <v>PC26</v>
      </c>
      <c r="AD1171" s="36" t="str">
        <f>VLOOKUP(D1171,Oficial!A:C,3,0)</f>
        <v>Bienes y Servicios</v>
      </c>
    </row>
    <row r="1172" spans="1:30" x14ac:dyDescent="0.25">
      <c r="A1172" s="36" t="s">
        <v>27</v>
      </c>
      <c r="B1172" s="36" t="s">
        <v>1860</v>
      </c>
      <c r="C1172" s="36" t="s">
        <v>28</v>
      </c>
      <c r="D1172" s="36" t="s">
        <v>1860</v>
      </c>
      <c r="E1172" s="36" t="s">
        <v>30</v>
      </c>
      <c r="F1172" s="36" t="s">
        <v>569</v>
      </c>
      <c r="G1172" s="37">
        <v>2563</v>
      </c>
      <c r="H1172" s="36" t="s">
        <v>1861</v>
      </c>
      <c r="I1172" s="36" t="s">
        <v>1862</v>
      </c>
      <c r="J1172" s="36">
        <v>3</v>
      </c>
      <c r="K1172" s="36" t="s">
        <v>1863</v>
      </c>
      <c r="L1172" s="36">
        <v>4</v>
      </c>
      <c r="M1172" s="36">
        <v>6</v>
      </c>
      <c r="N1172" s="38">
        <v>20000</v>
      </c>
      <c r="O1172" s="38">
        <v>120000</v>
      </c>
      <c r="P1172" s="36">
        <v>1</v>
      </c>
      <c r="Q1172" s="40">
        <v>46054</v>
      </c>
      <c r="R1172" s="36" t="s">
        <v>1797</v>
      </c>
      <c r="S1172" s="36" t="s">
        <v>1798</v>
      </c>
      <c r="T1172" s="36" t="s">
        <v>1799</v>
      </c>
      <c r="U1172" s="36" t="s">
        <v>1800</v>
      </c>
      <c r="V1172" s="40">
        <v>46023</v>
      </c>
      <c r="W1172" s="36"/>
      <c r="X1172" s="36">
        <v>0</v>
      </c>
      <c r="Y1172" s="36"/>
      <c r="Z1172" s="36">
        <v>0</v>
      </c>
      <c r="AA1172" s="36">
        <v>0</v>
      </c>
      <c r="AB1172" s="36"/>
      <c r="AC1172" s="36" t="str">
        <f t="shared" si="6"/>
        <v>PC26</v>
      </c>
      <c r="AD1172" s="36" t="str">
        <f>VLOOKUP(D1172,Oficial!A:C,3,0)</f>
        <v>Bienes y Servicios</v>
      </c>
    </row>
    <row r="1173" spans="1:30" x14ac:dyDescent="0.25">
      <c r="A1173" s="36" t="s">
        <v>27</v>
      </c>
      <c r="B1173" s="36" t="s">
        <v>1860</v>
      </c>
      <c r="C1173" s="36" t="s">
        <v>28</v>
      </c>
      <c r="D1173" s="36" t="s">
        <v>1860</v>
      </c>
      <c r="E1173" s="36" t="s">
        <v>30</v>
      </c>
      <c r="F1173" s="36" t="s">
        <v>569</v>
      </c>
      <c r="G1173" s="37">
        <v>2563</v>
      </c>
      <c r="H1173" s="36" t="s">
        <v>1861</v>
      </c>
      <c r="I1173" s="36" t="s">
        <v>1862</v>
      </c>
      <c r="J1173" s="36">
        <v>3</v>
      </c>
      <c r="K1173" s="36" t="s">
        <v>1864</v>
      </c>
      <c r="L1173" s="36">
        <v>4</v>
      </c>
      <c r="M1173" s="36">
        <v>18</v>
      </c>
      <c r="N1173" s="38">
        <v>3223</v>
      </c>
      <c r="O1173" s="38">
        <v>58014</v>
      </c>
      <c r="P1173" s="36">
        <v>1</v>
      </c>
      <c r="Q1173" s="40">
        <v>46054</v>
      </c>
      <c r="R1173" s="36" t="s">
        <v>1797</v>
      </c>
      <c r="S1173" s="36" t="s">
        <v>1798</v>
      </c>
      <c r="T1173" s="36" t="s">
        <v>1799</v>
      </c>
      <c r="U1173" s="36" t="s">
        <v>1800</v>
      </c>
      <c r="V1173" s="40">
        <v>46023</v>
      </c>
      <c r="W1173" s="36"/>
      <c r="X1173" s="36">
        <v>0</v>
      </c>
      <c r="Y1173" s="36"/>
      <c r="Z1173" s="36">
        <v>0</v>
      </c>
      <c r="AA1173" s="36">
        <v>0</v>
      </c>
      <c r="AB1173" s="36"/>
      <c r="AC1173" s="36" t="str">
        <f t="shared" si="6"/>
        <v>PC26</v>
      </c>
      <c r="AD1173" s="36" t="str">
        <f>VLOOKUP(D1173,Oficial!A:C,3,0)</f>
        <v>Bienes y Servicios</v>
      </c>
    </row>
    <row r="1174" spans="1:30" x14ac:dyDescent="0.25">
      <c r="A1174" s="36" t="s">
        <v>27</v>
      </c>
      <c r="B1174" s="36" t="s">
        <v>1865</v>
      </c>
      <c r="C1174" s="36" t="s">
        <v>28</v>
      </c>
      <c r="D1174" s="36" t="s">
        <v>1865</v>
      </c>
      <c r="E1174" s="36" t="s">
        <v>30</v>
      </c>
      <c r="F1174" s="36" t="s">
        <v>569</v>
      </c>
      <c r="G1174" s="37" t="s">
        <v>654</v>
      </c>
      <c r="H1174" s="36" t="s">
        <v>1866</v>
      </c>
      <c r="I1174" s="36" t="s">
        <v>1867</v>
      </c>
      <c r="J1174" s="36">
        <v>2</v>
      </c>
      <c r="K1174" s="36" t="s">
        <v>359</v>
      </c>
      <c r="L1174" s="36">
        <v>4</v>
      </c>
      <c r="M1174" s="36">
        <v>85</v>
      </c>
      <c r="N1174" s="38">
        <v>4530</v>
      </c>
      <c r="O1174" s="38">
        <v>385050</v>
      </c>
      <c r="P1174" s="36">
        <v>1</v>
      </c>
      <c r="Q1174" s="40">
        <v>46023</v>
      </c>
      <c r="R1174" s="36" t="s">
        <v>1868</v>
      </c>
      <c r="S1174" s="36" t="s">
        <v>1869</v>
      </c>
      <c r="T1174" s="36" t="s">
        <v>1870</v>
      </c>
      <c r="U1174" s="36" t="s">
        <v>1871</v>
      </c>
      <c r="V1174" s="40">
        <v>46023</v>
      </c>
      <c r="W1174" s="36"/>
      <c r="X1174" s="36">
        <v>0</v>
      </c>
      <c r="Y1174" s="36"/>
      <c r="Z1174" s="36">
        <v>0</v>
      </c>
      <c r="AA1174" s="36">
        <v>0</v>
      </c>
      <c r="AB1174" s="36"/>
      <c r="AC1174" s="36" t="str">
        <f t="shared" si="6"/>
        <v>PC26</v>
      </c>
      <c r="AD1174" s="36" t="str">
        <f>VLOOKUP(D1174,Oficial!A:C,3,0)</f>
        <v>Bienes y Servicios</v>
      </c>
    </row>
    <row r="1175" spans="1:30" x14ac:dyDescent="0.25">
      <c r="A1175" s="36" t="s">
        <v>27</v>
      </c>
      <c r="B1175" s="36" t="s">
        <v>1865</v>
      </c>
      <c r="C1175" s="36" t="s">
        <v>28</v>
      </c>
      <c r="D1175" s="36" t="s">
        <v>1865</v>
      </c>
      <c r="E1175" s="36" t="s">
        <v>30</v>
      </c>
      <c r="F1175" s="36" t="s">
        <v>569</v>
      </c>
      <c r="G1175" s="37" t="s">
        <v>654</v>
      </c>
      <c r="H1175" s="36" t="s">
        <v>1866</v>
      </c>
      <c r="I1175" s="36" t="s">
        <v>1867</v>
      </c>
      <c r="J1175" s="36">
        <v>2</v>
      </c>
      <c r="K1175" s="36" t="s">
        <v>855</v>
      </c>
      <c r="L1175" s="36">
        <v>4</v>
      </c>
      <c r="M1175" s="36">
        <v>2030</v>
      </c>
      <c r="N1175" s="38">
        <v>60</v>
      </c>
      <c r="O1175" s="38">
        <v>121800</v>
      </c>
      <c r="P1175" s="36">
        <v>1</v>
      </c>
      <c r="Q1175" s="40">
        <v>46023</v>
      </c>
      <c r="R1175" s="36" t="s">
        <v>1868</v>
      </c>
      <c r="S1175" s="36" t="s">
        <v>1869</v>
      </c>
      <c r="T1175" s="36" t="s">
        <v>1870</v>
      </c>
      <c r="U1175" s="36" t="s">
        <v>1871</v>
      </c>
      <c r="V1175" s="40">
        <v>46023</v>
      </c>
      <c r="W1175" s="36"/>
      <c r="X1175" s="36">
        <v>0</v>
      </c>
      <c r="Y1175" s="36"/>
      <c r="Z1175" s="36">
        <v>0</v>
      </c>
      <c r="AA1175" s="36">
        <v>0</v>
      </c>
      <c r="AB1175" s="36"/>
      <c r="AC1175" s="36" t="str">
        <f t="shared" ref="AC1175:AC1238" si="7">RIGHT(D1175,4)</f>
        <v>PC26</v>
      </c>
      <c r="AD1175" s="36" t="str">
        <f>VLOOKUP(D1175,Oficial!A:C,3,0)</f>
        <v>Bienes y Servicios</v>
      </c>
    </row>
    <row r="1176" spans="1:30" x14ac:dyDescent="0.25">
      <c r="A1176" s="36" t="s">
        <v>27</v>
      </c>
      <c r="B1176" s="36" t="s">
        <v>1872</v>
      </c>
      <c r="C1176" s="36" t="s">
        <v>28</v>
      </c>
      <c r="D1176" s="36" t="s">
        <v>1872</v>
      </c>
      <c r="E1176" s="36" t="s">
        <v>30</v>
      </c>
      <c r="F1176" s="36" t="s">
        <v>569</v>
      </c>
      <c r="G1176" s="37">
        <v>2565</v>
      </c>
      <c r="H1176" s="36" t="s">
        <v>1873</v>
      </c>
      <c r="I1176" s="36" t="s">
        <v>1874</v>
      </c>
      <c r="J1176" s="36">
        <v>3</v>
      </c>
      <c r="K1176" s="36" t="s">
        <v>486</v>
      </c>
      <c r="L1176" s="36">
        <v>4</v>
      </c>
      <c r="M1176" s="36">
        <v>137</v>
      </c>
      <c r="N1176" s="38">
        <v>964</v>
      </c>
      <c r="O1176" s="38">
        <v>132068</v>
      </c>
      <c r="P1176" s="36">
        <v>1</v>
      </c>
      <c r="Q1176" s="40">
        <v>46082</v>
      </c>
      <c r="R1176" s="36" t="s">
        <v>1875</v>
      </c>
      <c r="S1176" s="36" t="s">
        <v>1876</v>
      </c>
      <c r="T1176" s="36" t="s">
        <v>1799</v>
      </c>
      <c r="U1176" s="36" t="s">
        <v>1877</v>
      </c>
      <c r="V1176" s="40">
        <v>46082</v>
      </c>
      <c r="W1176" s="36"/>
      <c r="X1176" s="36">
        <v>0</v>
      </c>
      <c r="Y1176" s="36"/>
      <c r="Z1176" s="36">
        <v>0</v>
      </c>
      <c r="AA1176" s="36">
        <v>0</v>
      </c>
      <c r="AB1176" s="36"/>
      <c r="AC1176" s="36" t="str">
        <f t="shared" si="7"/>
        <v>PC26</v>
      </c>
      <c r="AD1176" s="36" t="str">
        <f>VLOOKUP(D1176,Oficial!A:C,3,0)</f>
        <v>Bienes y Servicios</v>
      </c>
    </row>
    <row r="1177" spans="1:30" x14ac:dyDescent="0.25">
      <c r="A1177" s="36" t="s">
        <v>27</v>
      </c>
      <c r="B1177" s="36" t="s">
        <v>1872</v>
      </c>
      <c r="C1177" s="36" t="s">
        <v>28</v>
      </c>
      <c r="D1177" s="36" t="s">
        <v>1872</v>
      </c>
      <c r="E1177" s="36" t="s">
        <v>30</v>
      </c>
      <c r="F1177" s="36" t="s">
        <v>569</v>
      </c>
      <c r="G1177" s="37">
        <v>2565</v>
      </c>
      <c r="H1177" s="36" t="s">
        <v>1873</v>
      </c>
      <c r="I1177" s="36" t="s">
        <v>1874</v>
      </c>
      <c r="J1177" s="36">
        <v>3</v>
      </c>
      <c r="K1177" s="36" t="s">
        <v>1878</v>
      </c>
      <c r="L1177" s="36">
        <v>4</v>
      </c>
      <c r="M1177" s="36">
        <v>40</v>
      </c>
      <c r="N1177" s="38">
        <v>7625</v>
      </c>
      <c r="O1177" s="38">
        <v>305000</v>
      </c>
      <c r="P1177" s="36">
        <v>1</v>
      </c>
      <c r="Q1177" s="40">
        <v>46082</v>
      </c>
      <c r="R1177" s="36" t="s">
        <v>1875</v>
      </c>
      <c r="S1177" s="36" t="s">
        <v>1876</v>
      </c>
      <c r="T1177" s="36" t="s">
        <v>1799</v>
      </c>
      <c r="U1177" s="36" t="s">
        <v>1877</v>
      </c>
      <c r="V1177" s="40">
        <v>46082</v>
      </c>
      <c r="W1177" s="36"/>
      <c r="X1177" s="36">
        <v>0</v>
      </c>
      <c r="Y1177" s="36"/>
      <c r="Z1177" s="36">
        <v>0</v>
      </c>
      <c r="AA1177" s="36">
        <v>0</v>
      </c>
      <c r="AB1177" s="36"/>
      <c r="AC1177" s="36" t="str">
        <f t="shared" si="7"/>
        <v>PC26</v>
      </c>
      <c r="AD1177" s="36" t="str">
        <f>VLOOKUP(D1177,Oficial!A:C,3,0)</f>
        <v>Bienes y Servicios</v>
      </c>
    </row>
    <row r="1178" spans="1:30" x14ac:dyDescent="0.25">
      <c r="A1178" s="36" t="s">
        <v>27</v>
      </c>
      <c r="B1178" s="36" t="s">
        <v>1872</v>
      </c>
      <c r="C1178" s="36" t="s">
        <v>28</v>
      </c>
      <c r="D1178" s="36" t="s">
        <v>1872</v>
      </c>
      <c r="E1178" s="36" t="s">
        <v>30</v>
      </c>
      <c r="F1178" s="36" t="s">
        <v>569</v>
      </c>
      <c r="G1178" s="37">
        <v>2565</v>
      </c>
      <c r="H1178" s="36" t="s">
        <v>1873</v>
      </c>
      <c r="I1178" s="36" t="s">
        <v>1874</v>
      </c>
      <c r="J1178" s="36">
        <v>3</v>
      </c>
      <c r="K1178" s="36" t="s">
        <v>359</v>
      </c>
      <c r="L1178" s="36">
        <v>4</v>
      </c>
      <c r="M1178" s="36">
        <v>4</v>
      </c>
      <c r="N1178" s="38">
        <v>17000</v>
      </c>
      <c r="O1178" s="38">
        <v>68000</v>
      </c>
      <c r="P1178" s="36">
        <v>1</v>
      </c>
      <c r="Q1178" s="40">
        <v>46082</v>
      </c>
      <c r="R1178" s="36" t="s">
        <v>1875</v>
      </c>
      <c r="S1178" s="36" t="s">
        <v>1876</v>
      </c>
      <c r="T1178" s="36" t="s">
        <v>1799</v>
      </c>
      <c r="U1178" s="36" t="s">
        <v>1877</v>
      </c>
      <c r="V1178" s="40">
        <v>46082</v>
      </c>
      <c r="W1178" s="36"/>
      <c r="X1178" s="36">
        <v>0</v>
      </c>
      <c r="Y1178" s="36"/>
      <c r="Z1178" s="36">
        <v>0</v>
      </c>
      <c r="AA1178" s="36">
        <v>0</v>
      </c>
      <c r="AB1178" s="36"/>
      <c r="AC1178" s="36" t="str">
        <f t="shared" si="7"/>
        <v>PC26</v>
      </c>
      <c r="AD1178" s="36" t="str">
        <f>VLOOKUP(D1178,Oficial!A:C,3,0)</f>
        <v>Bienes y Servicios</v>
      </c>
    </row>
    <row r="1179" spans="1:30" x14ac:dyDescent="0.25">
      <c r="A1179" s="36" t="s">
        <v>27</v>
      </c>
      <c r="B1179" s="36" t="s">
        <v>1879</v>
      </c>
      <c r="C1179" s="36" t="s">
        <v>28</v>
      </c>
      <c r="D1179" s="36" t="s">
        <v>1879</v>
      </c>
      <c r="E1179" s="36" t="s">
        <v>30</v>
      </c>
      <c r="F1179" s="36" t="s">
        <v>569</v>
      </c>
      <c r="G1179" s="37" t="s">
        <v>215</v>
      </c>
      <c r="H1179" s="36" t="s">
        <v>1880</v>
      </c>
      <c r="I1179" s="36" t="s">
        <v>1881</v>
      </c>
      <c r="J1179" s="36">
        <v>1</v>
      </c>
      <c r="K1179" s="36" t="s">
        <v>1375</v>
      </c>
      <c r="L1179" s="36">
        <v>4</v>
      </c>
      <c r="M1179" s="36">
        <v>1</v>
      </c>
      <c r="N1179" s="38">
        <v>12000000</v>
      </c>
      <c r="O1179" s="38">
        <v>12000000</v>
      </c>
      <c r="P1179" s="36">
        <v>1</v>
      </c>
      <c r="Q1179" s="40">
        <v>46235</v>
      </c>
      <c r="R1179" s="36" t="s">
        <v>768</v>
      </c>
      <c r="S1179" s="36" t="s">
        <v>966</v>
      </c>
      <c r="T1179" s="36" t="s">
        <v>967</v>
      </c>
      <c r="U1179" s="36" t="s">
        <v>1882</v>
      </c>
      <c r="V1179" s="40">
        <v>46235</v>
      </c>
      <c r="W1179" s="36"/>
      <c r="X1179" s="36">
        <v>0</v>
      </c>
      <c r="Y1179" s="36"/>
      <c r="Z1179" s="36">
        <v>0</v>
      </c>
      <c r="AA1179" s="36">
        <v>0</v>
      </c>
      <c r="AB1179" s="36"/>
      <c r="AC1179" s="36" t="str">
        <f t="shared" si="7"/>
        <v>PC26</v>
      </c>
      <c r="AD1179" s="36" t="str">
        <f>VLOOKUP(D1179,Oficial!A:C,3,0)</f>
        <v>Bienes y Servicios</v>
      </c>
    </row>
    <row r="1180" spans="1:30" x14ac:dyDescent="0.25">
      <c r="A1180" s="36" t="s">
        <v>27</v>
      </c>
      <c r="B1180" s="36" t="s">
        <v>1883</v>
      </c>
      <c r="C1180" s="36" t="s">
        <v>28</v>
      </c>
      <c r="D1180" s="36" t="s">
        <v>1883</v>
      </c>
      <c r="E1180" s="36" t="s">
        <v>30</v>
      </c>
      <c r="F1180" s="36" t="s">
        <v>569</v>
      </c>
      <c r="G1180" s="37" t="s">
        <v>633</v>
      </c>
      <c r="H1180" s="36" t="s">
        <v>1884</v>
      </c>
      <c r="I1180" s="36" t="s">
        <v>1885</v>
      </c>
      <c r="J1180" s="36">
        <v>1</v>
      </c>
      <c r="K1180" s="36" t="s">
        <v>1886</v>
      </c>
      <c r="L1180" s="36">
        <v>4</v>
      </c>
      <c r="M1180" s="36">
        <v>40</v>
      </c>
      <c r="N1180" s="38">
        <v>88750</v>
      </c>
      <c r="O1180" s="38">
        <v>3550000</v>
      </c>
      <c r="P1180" s="36">
        <v>1</v>
      </c>
      <c r="Q1180" s="40">
        <v>46082</v>
      </c>
      <c r="R1180" s="36" t="s">
        <v>1759</v>
      </c>
      <c r="S1180" s="36" t="s">
        <v>1760</v>
      </c>
      <c r="T1180" s="36" t="s">
        <v>1761</v>
      </c>
      <c r="U1180" s="36" t="s">
        <v>1762</v>
      </c>
      <c r="V1180" s="40">
        <v>46082</v>
      </c>
      <c r="W1180" s="36"/>
      <c r="X1180" s="36">
        <v>0</v>
      </c>
      <c r="Y1180" s="36"/>
      <c r="Z1180" s="36">
        <v>0</v>
      </c>
      <c r="AA1180" s="36">
        <v>0</v>
      </c>
      <c r="AB1180" s="36"/>
      <c r="AC1180" s="36" t="str">
        <f t="shared" si="7"/>
        <v>PC26</v>
      </c>
      <c r="AD1180" s="36" t="str">
        <f>VLOOKUP(D1180,Oficial!A:C,3,0)</f>
        <v>Bienes y Servicios</v>
      </c>
    </row>
    <row r="1181" spans="1:30" x14ac:dyDescent="0.25">
      <c r="A1181" s="36" t="s">
        <v>27</v>
      </c>
      <c r="B1181" s="36" t="s">
        <v>1887</v>
      </c>
      <c r="C1181" s="36" t="s">
        <v>1304</v>
      </c>
      <c r="D1181" s="36" t="s">
        <v>1887</v>
      </c>
      <c r="E1181" s="36" t="s">
        <v>30</v>
      </c>
      <c r="F1181" s="36" t="s">
        <v>569</v>
      </c>
      <c r="G1181" s="37">
        <v>2220</v>
      </c>
      <c r="H1181" s="36" t="s">
        <v>1888</v>
      </c>
      <c r="I1181" s="36" t="s">
        <v>1889</v>
      </c>
      <c r="J1181" s="36">
        <v>4</v>
      </c>
      <c r="K1181" s="36" t="s">
        <v>1199</v>
      </c>
      <c r="L1181" s="36">
        <v>4</v>
      </c>
      <c r="M1181" s="36">
        <v>1</v>
      </c>
      <c r="N1181" s="38">
        <v>876984814</v>
      </c>
      <c r="O1181" s="38">
        <v>876984814</v>
      </c>
      <c r="P1181" s="36">
        <v>1</v>
      </c>
      <c r="Q1181" s="40">
        <v>46357</v>
      </c>
      <c r="R1181" s="36" t="s">
        <v>1200</v>
      </c>
      <c r="S1181" s="36" t="s">
        <v>1201</v>
      </c>
      <c r="T1181" s="36" t="s">
        <v>1202</v>
      </c>
      <c r="U1181" s="36" t="s">
        <v>1203</v>
      </c>
      <c r="V1181" s="40">
        <v>46357</v>
      </c>
      <c r="W1181" s="36"/>
      <c r="X1181" s="36">
        <v>0</v>
      </c>
      <c r="Y1181" s="36"/>
      <c r="Z1181" s="36">
        <v>0</v>
      </c>
      <c r="AA1181" s="36">
        <v>0</v>
      </c>
      <c r="AB1181" s="36"/>
      <c r="AC1181" s="36" t="str">
        <f t="shared" si="7"/>
        <v>PC26</v>
      </c>
      <c r="AD1181" s="36" t="str">
        <f>VLOOKUP(D1181,Oficial!A:C,3,0)</f>
        <v>Obras Civiles</v>
      </c>
    </row>
    <row r="1182" spans="1:30" x14ac:dyDescent="0.25">
      <c r="A1182" s="36" t="s">
        <v>27</v>
      </c>
      <c r="B1182" s="36" t="s">
        <v>1887</v>
      </c>
      <c r="C1182" s="36" t="s">
        <v>1304</v>
      </c>
      <c r="D1182" s="36" t="s">
        <v>1887</v>
      </c>
      <c r="E1182" s="36" t="s">
        <v>30</v>
      </c>
      <c r="F1182" s="36" t="s">
        <v>569</v>
      </c>
      <c r="G1182" s="37">
        <v>2220</v>
      </c>
      <c r="H1182" s="36" t="s">
        <v>1888</v>
      </c>
      <c r="I1182" s="36" t="s">
        <v>1889</v>
      </c>
      <c r="J1182" s="36">
        <v>4</v>
      </c>
      <c r="K1182" s="36" t="s">
        <v>1199</v>
      </c>
      <c r="L1182" s="36">
        <v>4</v>
      </c>
      <c r="M1182" s="36">
        <v>1</v>
      </c>
      <c r="N1182" s="38">
        <v>280246728</v>
      </c>
      <c r="O1182" s="38">
        <v>280246728</v>
      </c>
      <c r="P1182" s="36">
        <v>1</v>
      </c>
      <c r="Q1182" s="40">
        <v>46357</v>
      </c>
      <c r="R1182" s="36" t="s">
        <v>1200</v>
      </c>
      <c r="S1182" s="36" t="s">
        <v>1201</v>
      </c>
      <c r="T1182" s="36" t="s">
        <v>1202</v>
      </c>
      <c r="U1182" s="36" t="s">
        <v>1203</v>
      </c>
      <c r="V1182" s="40">
        <v>46357</v>
      </c>
      <c r="W1182" s="36"/>
      <c r="X1182" s="36">
        <v>0</v>
      </c>
      <c r="Y1182" s="36"/>
      <c r="Z1182" s="36">
        <v>0</v>
      </c>
      <c r="AA1182" s="36">
        <v>0</v>
      </c>
      <c r="AB1182" s="36"/>
      <c r="AC1182" s="36" t="str">
        <f t="shared" si="7"/>
        <v>PC26</v>
      </c>
      <c r="AD1182" s="36" t="str">
        <f>VLOOKUP(D1182,Oficial!A:C,3,0)</f>
        <v>Obras Civiles</v>
      </c>
    </row>
    <row r="1183" spans="1:30" x14ac:dyDescent="0.25">
      <c r="A1183" s="36" t="s">
        <v>27</v>
      </c>
      <c r="B1183" s="36" t="s">
        <v>1887</v>
      </c>
      <c r="C1183" s="36" t="s">
        <v>1304</v>
      </c>
      <c r="D1183" s="36" t="s">
        <v>1887</v>
      </c>
      <c r="E1183" s="36" t="s">
        <v>30</v>
      </c>
      <c r="F1183" s="36" t="s">
        <v>569</v>
      </c>
      <c r="G1183" s="37">
        <v>2220</v>
      </c>
      <c r="H1183" s="36" t="s">
        <v>1888</v>
      </c>
      <c r="I1183" s="36" t="s">
        <v>1889</v>
      </c>
      <c r="J1183" s="36">
        <v>4</v>
      </c>
      <c r="K1183" s="36" t="s">
        <v>1199</v>
      </c>
      <c r="L1183" s="36">
        <v>4</v>
      </c>
      <c r="M1183" s="36">
        <v>1</v>
      </c>
      <c r="N1183" s="38">
        <v>493463899</v>
      </c>
      <c r="O1183" s="38">
        <v>493463899</v>
      </c>
      <c r="P1183" s="36">
        <v>1</v>
      </c>
      <c r="Q1183" s="40">
        <v>46082</v>
      </c>
      <c r="R1183" s="36" t="s">
        <v>1200</v>
      </c>
      <c r="S1183" s="36" t="s">
        <v>1201</v>
      </c>
      <c r="T1183" s="36" t="s">
        <v>1202</v>
      </c>
      <c r="U1183" s="36" t="s">
        <v>1203</v>
      </c>
      <c r="V1183" s="40">
        <v>46082</v>
      </c>
      <c r="W1183" s="36"/>
      <c r="X1183" s="36">
        <v>0</v>
      </c>
      <c r="Y1183" s="36"/>
      <c r="Z1183" s="36">
        <v>0</v>
      </c>
      <c r="AA1183" s="36">
        <v>0</v>
      </c>
      <c r="AB1183" s="36"/>
      <c r="AC1183" s="36" t="str">
        <f t="shared" si="7"/>
        <v>PC26</v>
      </c>
      <c r="AD1183" s="36" t="str">
        <f>VLOOKUP(D1183,Oficial!A:C,3,0)</f>
        <v>Obras Civiles</v>
      </c>
    </row>
    <row r="1184" spans="1:30" x14ac:dyDescent="0.25">
      <c r="A1184" s="36" t="s">
        <v>27</v>
      </c>
      <c r="B1184" s="36" t="s">
        <v>1887</v>
      </c>
      <c r="C1184" s="36" t="s">
        <v>1304</v>
      </c>
      <c r="D1184" s="36" t="s">
        <v>1887</v>
      </c>
      <c r="E1184" s="36" t="s">
        <v>30</v>
      </c>
      <c r="F1184" s="36" t="s">
        <v>569</v>
      </c>
      <c r="G1184" s="37">
        <v>2220</v>
      </c>
      <c r="H1184" s="36" t="s">
        <v>1888</v>
      </c>
      <c r="I1184" s="36" t="s">
        <v>1889</v>
      </c>
      <c r="J1184" s="36">
        <v>4</v>
      </c>
      <c r="K1184" s="36" t="s">
        <v>1199</v>
      </c>
      <c r="L1184" s="36">
        <v>4</v>
      </c>
      <c r="M1184" s="36">
        <v>1</v>
      </c>
      <c r="N1184" s="38">
        <v>424384098</v>
      </c>
      <c r="O1184" s="38">
        <v>424384098</v>
      </c>
      <c r="P1184" s="36">
        <v>1</v>
      </c>
      <c r="Q1184" s="40">
        <v>46113</v>
      </c>
      <c r="R1184" s="36" t="s">
        <v>1200</v>
      </c>
      <c r="S1184" s="36" t="s">
        <v>1201</v>
      </c>
      <c r="T1184" s="36" t="s">
        <v>1202</v>
      </c>
      <c r="U1184" s="36" t="s">
        <v>1203</v>
      </c>
      <c r="V1184" s="40">
        <v>46113</v>
      </c>
      <c r="W1184" s="36"/>
      <c r="X1184" s="36">
        <v>0</v>
      </c>
      <c r="Y1184" s="36"/>
      <c r="Z1184" s="36">
        <v>0</v>
      </c>
      <c r="AA1184" s="36">
        <v>0</v>
      </c>
      <c r="AB1184" s="36"/>
      <c r="AC1184" s="36" t="str">
        <f t="shared" si="7"/>
        <v>PC26</v>
      </c>
      <c r="AD1184" s="36" t="str">
        <f>VLOOKUP(D1184,Oficial!A:C,3,0)</f>
        <v>Obras Civiles</v>
      </c>
    </row>
    <row r="1185" spans="1:30" x14ac:dyDescent="0.25">
      <c r="A1185" s="36" t="s">
        <v>27</v>
      </c>
      <c r="B1185" s="36" t="s">
        <v>1890</v>
      </c>
      <c r="C1185" s="36" t="s">
        <v>28</v>
      </c>
      <c r="D1185" s="36" t="s">
        <v>1890</v>
      </c>
      <c r="E1185" s="36" t="s">
        <v>30</v>
      </c>
      <c r="F1185" s="36" t="s">
        <v>569</v>
      </c>
      <c r="G1185" s="37">
        <v>2771</v>
      </c>
      <c r="H1185" s="36" t="s">
        <v>1891</v>
      </c>
      <c r="I1185" s="36" t="s">
        <v>1892</v>
      </c>
      <c r="J1185" s="36">
        <v>1</v>
      </c>
      <c r="K1185" s="36" t="s">
        <v>1527</v>
      </c>
      <c r="L1185" s="36">
        <v>4</v>
      </c>
      <c r="M1185" s="36">
        <v>4</v>
      </c>
      <c r="N1185" s="38">
        <v>17500</v>
      </c>
      <c r="O1185" s="38">
        <v>70000</v>
      </c>
      <c r="P1185" s="36">
        <v>1</v>
      </c>
      <c r="Q1185" s="40">
        <v>46023</v>
      </c>
      <c r="R1185" s="36" t="s">
        <v>1893</v>
      </c>
      <c r="S1185" s="36" t="s">
        <v>1894</v>
      </c>
      <c r="T1185" s="36" t="s">
        <v>1895</v>
      </c>
      <c r="U1185" s="36" t="s">
        <v>1896</v>
      </c>
      <c r="V1185" s="40">
        <v>46023</v>
      </c>
      <c r="W1185" s="36"/>
      <c r="X1185" s="36">
        <v>0</v>
      </c>
      <c r="Y1185" s="36"/>
      <c r="Z1185" s="36">
        <v>0</v>
      </c>
      <c r="AA1185" s="36">
        <v>0</v>
      </c>
      <c r="AB1185" s="36"/>
      <c r="AC1185" s="36" t="str">
        <f t="shared" si="7"/>
        <v>PC26</v>
      </c>
      <c r="AD1185" s="36" t="str">
        <f>VLOOKUP(D1185,Oficial!A:C,3,0)</f>
        <v>Bienes y Servicios</v>
      </c>
    </row>
    <row r="1186" spans="1:30" x14ac:dyDescent="0.25">
      <c r="A1186" s="36" t="s">
        <v>27</v>
      </c>
      <c r="B1186" s="36" t="s">
        <v>1897</v>
      </c>
      <c r="C1186" s="36" t="s">
        <v>28</v>
      </c>
      <c r="D1186" s="36" t="s">
        <v>1897</v>
      </c>
      <c r="E1186" s="36" t="s">
        <v>45</v>
      </c>
      <c r="F1186" s="36" t="s">
        <v>569</v>
      </c>
      <c r="G1186" s="37" t="s">
        <v>1797</v>
      </c>
      <c r="H1186" s="36" t="s">
        <v>1898</v>
      </c>
      <c r="I1186" s="36" t="s">
        <v>1899</v>
      </c>
      <c r="J1186" s="36">
        <v>3</v>
      </c>
      <c r="K1186" s="36" t="s">
        <v>1550</v>
      </c>
      <c r="L1186" s="36">
        <v>4</v>
      </c>
      <c r="M1186" s="36">
        <v>2</v>
      </c>
      <c r="N1186" s="38">
        <v>17500</v>
      </c>
      <c r="O1186" s="38">
        <v>35000</v>
      </c>
      <c r="P1186" s="36">
        <v>1</v>
      </c>
      <c r="Q1186" s="40">
        <v>46023</v>
      </c>
      <c r="R1186" s="36" t="s">
        <v>1797</v>
      </c>
      <c r="S1186" s="36" t="s">
        <v>1798</v>
      </c>
      <c r="T1186" s="36" t="s">
        <v>1799</v>
      </c>
      <c r="U1186" s="36" t="s">
        <v>1900</v>
      </c>
      <c r="V1186" s="40">
        <v>46023</v>
      </c>
      <c r="W1186" s="36"/>
      <c r="X1186" s="36">
        <v>0</v>
      </c>
      <c r="Y1186" s="36"/>
      <c r="Z1186" s="36">
        <v>0</v>
      </c>
      <c r="AA1186" s="36">
        <v>0</v>
      </c>
      <c r="AB1186" s="36"/>
      <c r="AC1186" s="36" t="str">
        <f t="shared" si="7"/>
        <v>PC26</v>
      </c>
      <c r="AD1186" s="36" t="str">
        <f>VLOOKUP(D1186,Oficial!A:C,3,0)</f>
        <v>Bienes y Servicios</v>
      </c>
    </row>
    <row r="1187" spans="1:30" x14ac:dyDescent="0.25">
      <c r="A1187" s="36" t="s">
        <v>27</v>
      </c>
      <c r="B1187" s="36" t="s">
        <v>1897</v>
      </c>
      <c r="C1187" s="36" t="s">
        <v>28</v>
      </c>
      <c r="D1187" s="36" t="s">
        <v>1897</v>
      </c>
      <c r="E1187" s="36" t="s">
        <v>45</v>
      </c>
      <c r="F1187" s="36" t="s">
        <v>569</v>
      </c>
      <c r="G1187" s="37" t="s">
        <v>1797</v>
      </c>
      <c r="H1187" s="36" t="s">
        <v>1898</v>
      </c>
      <c r="I1187" s="36" t="s">
        <v>1899</v>
      </c>
      <c r="J1187" s="36">
        <v>3</v>
      </c>
      <c r="K1187" s="36" t="s">
        <v>486</v>
      </c>
      <c r="L1187" s="36">
        <v>4</v>
      </c>
      <c r="M1187" s="36">
        <v>3</v>
      </c>
      <c r="N1187" s="38">
        <v>40000</v>
      </c>
      <c r="O1187" s="38">
        <v>120000</v>
      </c>
      <c r="P1187" s="36">
        <v>1</v>
      </c>
      <c r="Q1187" s="40">
        <v>46023</v>
      </c>
      <c r="R1187" s="36" t="s">
        <v>1797</v>
      </c>
      <c r="S1187" s="36" t="s">
        <v>1798</v>
      </c>
      <c r="T1187" s="36" t="s">
        <v>1799</v>
      </c>
      <c r="U1187" s="36" t="s">
        <v>1900</v>
      </c>
      <c r="V1187" s="40">
        <v>46023</v>
      </c>
      <c r="W1187" s="36"/>
      <c r="X1187" s="36">
        <v>0</v>
      </c>
      <c r="Y1187" s="36"/>
      <c r="Z1187" s="36">
        <v>0</v>
      </c>
      <c r="AA1187" s="36">
        <v>0</v>
      </c>
      <c r="AB1187" s="36"/>
      <c r="AC1187" s="36" t="str">
        <f t="shared" si="7"/>
        <v>PC26</v>
      </c>
      <c r="AD1187" s="36" t="str">
        <f>VLOOKUP(D1187,Oficial!A:C,3,0)</f>
        <v>Bienes y Servicios</v>
      </c>
    </row>
    <row r="1188" spans="1:30" x14ac:dyDescent="0.25">
      <c r="A1188" s="36" t="s">
        <v>27</v>
      </c>
      <c r="B1188" s="36" t="s">
        <v>1897</v>
      </c>
      <c r="C1188" s="36" t="s">
        <v>28</v>
      </c>
      <c r="D1188" s="36" t="s">
        <v>1897</v>
      </c>
      <c r="E1188" s="36" t="s">
        <v>45</v>
      </c>
      <c r="F1188" s="36" t="s">
        <v>569</v>
      </c>
      <c r="G1188" s="37" t="s">
        <v>1797</v>
      </c>
      <c r="H1188" s="36" t="s">
        <v>1898</v>
      </c>
      <c r="I1188" s="36" t="s">
        <v>1899</v>
      </c>
      <c r="J1188" s="36">
        <v>3</v>
      </c>
      <c r="K1188" s="36" t="s">
        <v>1058</v>
      </c>
      <c r="L1188" s="36">
        <v>4</v>
      </c>
      <c r="M1188" s="36">
        <v>1</v>
      </c>
      <c r="N1188" s="38">
        <v>180000</v>
      </c>
      <c r="O1188" s="38">
        <v>180000</v>
      </c>
      <c r="P1188" s="36">
        <v>1</v>
      </c>
      <c r="Q1188" s="40">
        <v>46023</v>
      </c>
      <c r="R1188" s="36" t="s">
        <v>1797</v>
      </c>
      <c r="S1188" s="36" t="s">
        <v>1798</v>
      </c>
      <c r="T1188" s="36" t="s">
        <v>1799</v>
      </c>
      <c r="U1188" s="36" t="s">
        <v>1900</v>
      </c>
      <c r="V1188" s="40">
        <v>46023</v>
      </c>
      <c r="W1188" s="36"/>
      <c r="X1188" s="36">
        <v>0</v>
      </c>
      <c r="Y1188" s="36"/>
      <c r="Z1188" s="36">
        <v>0</v>
      </c>
      <c r="AA1188" s="36">
        <v>0</v>
      </c>
      <c r="AB1188" s="36"/>
      <c r="AC1188" s="36" t="str">
        <f t="shared" si="7"/>
        <v>PC26</v>
      </c>
      <c r="AD1188" s="36" t="str">
        <f>VLOOKUP(D1188,Oficial!A:C,3,0)</f>
        <v>Bienes y Servicios</v>
      </c>
    </row>
    <row r="1189" spans="1:30" x14ac:dyDescent="0.25">
      <c r="A1189" s="36" t="s">
        <v>27</v>
      </c>
      <c r="B1189" s="36" t="s">
        <v>1901</v>
      </c>
      <c r="C1189" s="36" t="s">
        <v>28</v>
      </c>
      <c r="D1189" s="36" t="s">
        <v>1901</v>
      </c>
      <c r="E1189" s="36" t="s">
        <v>30</v>
      </c>
      <c r="F1189" s="36" t="s">
        <v>569</v>
      </c>
      <c r="G1189" s="37" t="s">
        <v>1902</v>
      </c>
      <c r="H1189" s="36" t="s">
        <v>1903</v>
      </c>
      <c r="I1189" s="36" t="s">
        <v>1904</v>
      </c>
      <c r="J1189" s="36">
        <v>3</v>
      </c>
      <c r="K1189" s="36" t="s">
        <v>359</v>
      </c>
      <c r="L1189" s="36">
        <v>4</v>
      </c>
      <c r="M1189" s="36">
        <v>4626</v>
      </c>
      <c r="N1189" s="38">
        <v>1136</v>
      </c>
      <c r="O1189" s="38">
        <v>5255136</v>
      </c>
      <c r="P1189" s="36">
        <v>1</v>
      </c>
      <c r="Q1189" s="40">
        <v>46054</v>
      </c>
      <c r="R1189" s="36" t="s">
        <v>761</v>
      </c>
      <c r="S1189" s="36" t="s">
        <v>1905</v>
      </c>
      <c r="T1189" s="36" t="s">
        <v>362</v>
      </c>
      <c r="U1189" s="36" t="s">
        <v>1906</v>
      </c>
      <c r="V1189" s="40">
        <v>46023</v>
      </c>
      <c r="W1189" s="36"/>
      <c r="X1189" s="36">
        <v>0</v>
      </c>
      <c r="Y1189" s="36"/>
      <c r="Z1189" s="36">
        <v>0</v>
      </c>
      <c r="AA1189" s="36">
        <v>0</v>
      </c>
      <c r="AB1189" s="36"/>
      <c r="AC1189" s="36" t="str">
        <f t="shared" si="7"/>
        <v>PC26</v>
      </c>
      <c r="AD1189" s="36" t="str">
        <f>VLOOKUP(D1189,Oficial!A:C,3,0)</f>
        <v>Bienes y Servicios</v>
      </c>
    </row>
    <row r="1190" spans="1:30" x14ac:dyDescent="0.25">
      <c r="A1190" s="36" t="s">
        <v>27</v>
      </c>
      <c r="B1190" s="36" t="s">
        <v>1901</v>
      </c>
      <c r="C1190" s="36" t="s">
        <v>28</v>
      </c>
      <c r="D1190" s="36" t="s">
        <v>1901</v>
      </c>
      <c r="E1190" s="36" t="s">
        <v>30</v>
      </c>
      <c r="F1190" s="36" t="s">
        <v>569</v>
      </c>
      <c r="G1190" s="37" t="s">
        <v>1902</v>
      </c>
      <c r="H1190" s="36" t="s">
        <v>1903</v>
      </c>
      <c r="I1190" s="36" t="s">
        <v>1904</v>
      </c>
      <c r="J1190" s="36">
        <v>3</v>
      </c>
      <c r="K1190" s="36" t="s">
        <v>1907</v>
      </c>
      <c r="L1190" s="36">
        <v>4</v>
      </c>
      <c r="M1190" s="36">
        <v>2406</v>
      </c>
      <c r="N1190" s="38">
        <v>205</v>
      </c>
      <c r="O1190" s="38">
        <v>493230</v>
      </c>
      <c r="P1190" s="36">
        <v>1</v>
      </c>
      <c r="Q1190" s="40">
        <v>46054</v>
      </c>
      <c r="R1190" s="36" t="s">
        <v>761</v>
      </c>
      <c r="S1190" s="36" t="s">
        <v>1905</v>
      </c>
      <c r="T1190" s="36" t="s">
        <v>362</v>
      </c>
      <c r="U1190" s="36" t="s">
        <v>1906</v>
      </c>
      <c r="V1190" s="40">
        <v>46023</v>
      </c>
      <c r="W1190" s="36"/>
      <c r="X1190" s="36">
        <v>0</v>
      </c>
      <c r="Y1190" s="36"/>
      <c r="Z1190" s="36">
        <v>0</v>
      </c>
      <c r="AA1190" s="36">
        <v>0</v>
      </c>
      <c r="AB1190" s="36"/>
      <c r="AC1190" s="36" t="str">
        <f t="shared" si="7"/>
        <v>PC26</v>
      </c>
      <c r="AD1190" s="36" t="str">
        <f>VLOOKUP(D1190,Oficial!A:C,3,0)</f>
        <v>Bienes y Servicios</v>
      </c>
    </row>
    <row r="1191" spans="1:30" x14ac:dyDescent="0.25">
      <c r="A1191" s="36" t="s">
        <v>27</v>
      </c>
      <c r="B1191" s="36" t="s">
        <v>1901</v>
      </c>
      <c r="C1191" s="36" t="s">
        <v>28</v>
      </c>
      <c r="D1191" s="36" t="s">
        <v>1901</v>
      </c>
      <c r="E1191" s="36" t="s">
        <v>30</v>
      </c>
      <c r="F1191" s="36" t="s">
        <v>569</v>
      </c>
      <c r="G1191" s="37" t="s">
        <v>1902</v>
      </c>
      <c r="H1191" s="36" t="s">
        <v>1903</v>
      </c>
      <c r="I1191" s="36" t="s">
        <v>1904</v>
      </c>
      <c r="J1191" s="36">
        <v>3</v>
      </c>
      <c r="K1191" s="36" t="s">
        <v>1907</v>
      </c>
      <c r="L1191" s="36">
        <v>4</v>
      </c>
      <c r="M1191" s="36">
        <v>1224</v>
      </c>
      <c r="N1191" s="38">
        <v>628</v>
      </c>
      <c r="O1191" s="38">
        <v>768672</v>
      </c>
      <c r="P1191" s="36">
        <v>1</v>
      </c>
      <c r="Q1191" s="40">
        <v>46054</v>
      </c>
      <c r="R1191" s="36" t="s">
        <v>761</v>
      </c>
      <c r="S1191" s="36" t="s">
        <v>1905</v>
      </c>
      <c r="T1191" s="36" t="s">
        <v>362</v>
      </c>
      <c r="U1191" s="36" t="s">
        <v>1906</v>
      </c>
      <c r="V1191" s="40">
        <v>46023</v>
      </c>
      <c r="W1191" s="36"/>
      <c r="X1191" s="36">
        <v>0</v>
      </c>
      <c r="Y1191" s="36"/>
      <c r="Z1191" s="36">
        <v>0</v>
      </c>
      <c r="AA1191" s="36">
        <v>0</v>
      </c>
      <c r="AB1191" s="36"/>
      <c r="AC1191" s="36" t="str">
        <f t="shared" si="7"/>
        <v>PC26</v>
      </c>
      <c r="AD1191" s="36" t="str">
        <f>VLOOKUP(D1191,Oficial!A:C,3,0)</f>
        <v>Bienes y Servicios</v>
      </c>
    </row>
    <row r="1192" spans="1:30" x14ac:dyDescent="0.25">
      <c r="A1192" s="36" t="s">
        <v>27</v>
      </c>
      <c r="B1192" s="36" t="s">
        <v>1908</v>
      </c>
      <c r="C1192" s="36" t="s">
        <v>28</v>
      </c>
      <c r="D1192" s="36" t="s">
        <v>1908</v>
      </c>
      <c r="E1192" s="36" t="s">
        <v>30</v>
      </c>
      <c r="F1192" s="36" t="s">
        <v>569</v>
      </c>
      <c r="G1192" s="37" t="s">
        <v>654</v>
      </c>
      <c r="H1192" s="36" t="s">
        <v>1909</v>
      </c>
      <c r="I1192" s="36" t="s">
        <v>1910</v>
      </c>
      <c r="J1192" s="36">
        <v>1</v>
      </c>
      <c r="K1192" s="36" t="s">
        <v>740</v>
      </c>
      <c r="L1192" s="36">
        <v>4</v>
      </c>
      <c r="M1192" s="36">
        <v>40</v>
      </c>
      <c r="N1192" s="38">
        <v>4250</v>
      </c>
      <c r="O1192" s="38">
        <v>170000</v>
      </c>
      <c r="P1192" s="36">
        <v>1</v>
      </c>
      <c r="Q1192" s="40">
        <v>46023</v>
      </c>
      <c r="R1192" s="36" t="s">
        <v>1797</v>
      </c>
      <c r="S1192" s="36" t="s">
        <v>1798</v>
      </c>
      <c r="T1192" s="36" t="s">
        <v>1799</v>
      </c>
      <c r="U1192" s="36" t="s">
        <v>1900</v>
      </c>
      <c r="V1192" s="40">
        <v>46023</v>
      </c>
      <c r="W1192" s="36"/>
      <c r="X1192" s="36">
        <v>0</v>
      </c>
      <c r="Y1192" s="36"/>
      <c r="Z1192" s="36">
        <v>0</v>
      </c>
      <c r="AA1192" s="36">
        <v>0</v>
      </c>
      <c r="AB1192" s="36"/>
      <c r="AC1192" s="36" t="str">
        <f t="shared" si="7"/>
        <v>PC26</v>
      </c>
      <c r="AD1192" s="36" t="str">
        <f>VLOOKUP(D1192,Oficial!A:C,3,0)</f>
        <v>Bienes y Servicios</v>
      </c>
    </row>
    <row r="1193" spans="1:30" x14ac:dyDescent="0.25">
      <c r="A1193" s="36" t="s">
        <v>27</v>
      </c>
      <c r="B1193" s="36" t="s">
        <v>1911</v>
      </c>
      <c r="C1193" s="36" t="s">
        <v>28</v>
      </c>
      <c r="D1193" s="36" t="s">
        <v>1911</v>
      </c>
      <c r="E1193" s="36" t="s">
        <v>30</v>
      </c>
      <c r="F1193" s="36" t="s">
        <v>569</v>
      </c>
      <c r="G1193" s="37">
        <v>2577</v>
      </c>
      <c r="H1193" s="36" t="s">
        <v>1912</v>
      </c>
      <c r="I1193" s="36" t="s">
        <v>1913</v>
      </c>
      <c r="J1193" s="36">
        <v>1</v>
      </c>
      <c r="K1193" s="36" t="s">
        <v>840</v>
      </c>
      <c r="L1193" s="36">
        <v>4</v>
      </c>
      <c r="M1193" s="36">
        <v>1</v>
      </c>
      <c r="N1193" s="38">
        <v>100000</v>
      </c>
      <c r="O1193" s="38">
        <v>100000</v>
      </c>
      <c r="P1193" s="36">
        <v>1</v>
      </c>
      <c r="Q1193" s="40">
        <v>46023</v>
      </c>
      <c r="R1193" s="36" t="s">
        <v>1893</v>
      </c>
      <c r="S1193" s="36" t="s">
        <v>1894</v>
      </c>
      <c r="T1193" s="36" t="s">
        <v>1895</v>
      </c>
      <c r="U1193" s="36" t="s">
        <v>1896</v>
      </c>
      <c r="V1193" s="40">
        <v>46023</v>
      </c>
      <c r="W1193" s="36"/>
      <c r="X1193" s="36">
        <v>0</v>
      </c>
      <c r="Y1193" s="36"/>
      <c r="Z1193" s="36">
        <v>0</v>
      </c>
      <c r="AA1193" s="36">
        <v>0</v>
      </c>
      <c r="AB1193" s="36"/>
      <c r="AC1193" s="36" t="str">
        <f t="shared" si="7"/>
        <v>PC26</v>
      </c>
      <c r="AD1193" s="36" t="str">
        <f>VLOOKUP(D1193,Oficial!A:C,3,0)</f>
        <v>Bienes y Servicios</v>
      </c>
    </row>
    <row r="1194" spans="1:30" x14ac:dyDescent="0.25">
      <c r="A1194" s="36" t="s">
        <v>27</v>
      </c>
      <c r="B1194" s="36" t="s">
        <v>1914</v>
      </c>
      <c r="C1194" s="36" t="s">
        <v>28</v>
      </c>
      <c r="D1194" s="36" t="s">
        <v>1914</v>
      </c>
      <c r="E1194" s="36" t="s">
        <v>30</v>
      </c>
      <c r="F1194" s="36" t="s">
        <v>569</v>
      </c>
      <c r="G1194" s="37" t="s">
        <v>1915</v>
      </c>
      <c r="H1194" s="36" t="s">
        <v>1916</v>
      </c>
      <c r="I1194" s="36" t="s">
        <v>1917</v>
      </c>
      <c r="J1194" s="36">
        <v>2</v>
      </c>
      <c r="K1194" s="36" t="s">
        <v>1918</v>
      </c>
      <c r="L1194" s="36">
        <v>4</v>
      </c>
      <c r="M1194" s="36">
        <v>20</v>
      </c>
      <c r="N1194" s="38">
        <v>3500</v>
      </c>
      <c r="O1194" s="38">
        <v>70000</v>
      </c>
      <c r="P1194" s="36">
        <v>1</v>
      </c>
      <c r="Q1194" s="40">
        <v>46082</v>
      </c>
      <c r="R1194" s="36" t="s">
        <v>1445</v>
      </c>
      <c r="S1194" s="36" t="s">
        <v>1446</v>
      </c>
      <c r="T1194" s="36" t="s">
        <v>1919</v>
      </c>
      <c r="U1194" s="36" t="s">
        <v>1448</v>
      </c>
      <c r="V1194" s="40">
        <v>46054</v>
      </c>
      <c r="W1194" s="36"/>
      <c r="X1194" s="36">
        <v>0</v>
      </c>
      <c r="Y1194" s="36"/>
      <c r="Z1194" s="36">
        <v>0</v>
      </c>
      <c r="AA1194" s="36">
        <v>0</v>
      </c>
      <c r="AB1194" s="36"/>
      <c r="AC1194" s="36" t="str">
        <f t="shared" si="7"/>
        <v>PC26</v>
      </c>
      <c r="AD1194" s="36" t="str">
        <f>VLOOKUP(D1194,Oficial!A:C,3,0)</f>
        <v>Bienes y Servicios</v>
      </c>
    </row>
    <row r="1195" spans="1:30" x14ac:dyDescent="0.25">
      <c r="A1195" s="36" t="s">
        <v>27</v>
      </c>
      <c r="B1195" s="36" t="s">
        <v>1914</v>
      </c>
      <c r="C1195" s="36" t="s">
        <v>28</v>
      </c>
      <c r="D1195" s="36" t="s">
        <v>1914</v>
      </c>
      <c r="E1195" s="36" t="s">
        <v>30</v>
      </c>
      <c r="F1195" s="36" t="s">
        <v>569</v>
      </c>
      <c r="G1195" s="37" t="s">
        <v>1915</v>
      </c>
      <c r="H1195" s="36" t="s">
        <v>1916</v>
      </c>
      <c r="I1195" s="36" t="s">
        <v>1917</v>
      </c>
      <c r="J1195" s="36">
        <v>2</v>
      </c>
      <c r="K1195" s="36" t="s">
        <v>1920</v>
      </c>
      <c r="L1195" s="36">
        <v>4</v>
      </c>
      <c r="M1195" s="36">
        <v>100</v>
      </c>
      <c r="N1195" s="38">
        <v>1500</v>
      </c>
      <c r="O1195" s="38">
        <v>150000</v>
      </c>
      <c r="P1195" s="36">
        <v>1</v>
      </c>
      <c r="Q1195" s="40">
        <v>46082</v>
      </c>
      <c r="R1195" s="36" t="s">
        <v>1445</v>
      </c>
      <c r="S1195" s="36" t="s">
        <v>1446</v>
      </c>
      <c r="T1195" s="36" t="s">
        <v>1919</v>
      </c>
      <c r="U1195" s="36" t="s">
        <v>1448</v>
      </c>
      <c r="V1195" s="40">
        <v>46054</v>
      </c>
      <c r="W1195" s="36"/>
      <c r="X1195" s="36">
        <v>0</v>
      </c>
      <c r="Y1195" s="36"/>
      <c r="Z1195" s="36">
        <v>0</v>
      </c>
      <c r="AA1195" s="36">
        <v>0</v>
      </c>
      <c r="AB1195" s="36"/>
      <c r="AC1195" s="36" t="str">
        <f t="shared" si="7"/>
        <v>PC26</v>
      </c>
      <c r="AD1195" s="36" t="str">
        <f>VLOOKUP(D1195,Oficial!A:C,3,0)</f>
        <v>Bienes y Servicios</v>
      </c>
    </row>
    <row r="1196" spans="1:30" x14ac:dyDescent="0.25">
      <c r="A1196" s="36" t="s">
        <v>27</v>
      </c>
      <c r="B1196" s="36" t="s">
        <v>1921</v>
      </c>
      <c r="C1196" s="36" t="s">
        <v>28</v>
      </c>
      <c r="D1196" s="36" t="s">
        <v>1921</v>
      </c>
      <c r="E1196" s="36" t="s">
        <v>30</v>
      </c>
      <c r="F1196" s="36" t="s">
        <v>569</v>
      </c>
      <c r="G1196" s="37">
        <v>2588</v>
      </c>
      <c r="H1196" s="36" t="s">
        <v>1922</v>
      </c>
      <c r="I1196" s="36" t="s">
        <v>1923</v>
      </c>
      <c r="J1196" s="36">
        <v>2</v>
      </c>
      <c r="K1196" s="36" t="s">
        <v>359</v>
      </c>
      <c r="L1196" s="36">
        <v>4</v>
      </c>
      <c r="M1196" s="36">
        <v>118</v>
      </c>
      <c r="N1196" s="38">
        <v>3221</v>
      </c>
      <c r="O1196" s="38">
        <v>380078</v>
      </c>
      <c r="P1196" s="36">
        <v>1</v>
      </c>
      <c r="Q1196" s="40">
        <v>46023</v>
      </c>
      <c r="R1196" s="36" t="s">
        <v>1924</v>
      </c>
      <c r="S1196" s="36" t="s">
        <v>1869</v>
      </c>
      <c r="T1196" s="36" t="s">
        <v>1925</v>
      </c>
      <c r="U1196" s="36" t="s">
        <v>1926</v>
      </c>
      <c r="V1196" s="40">
        <v>46023</v>
      </c>
      <c r="W1196" s="36"/>
      <c r="X1196" s="36">
        <v>0</v>
      </c>
      <c r="Y1196" s="36"/>
      <c r="Z1196" s="36">
        <v>0</v>
      </c>
      <c r="AA1196" s="36">
        <v>0</v>
      </c>
      <c r="AB1196" s="36"/>
      <c r="AC1196" s="36" t="str">
        <f t="shared" si="7"/>
        <v>PC26</v>
      </c>
      <c r="AD1196" s="36" t="str">
        <f>VLOOKUP(D1196,Oficial!A:C,3,0)</f>
        <v>Bienes y Servicios</v>
      </c>
    </row>
    <row r="1197" spans="1:30" x14ac:dyDescent="0.25">
      <c r="A1197" s="36" t="s">
        <v>27</v>
      </c>
      <c r="B1197" s="36" t="s">
        <v>1921</v>
      </c>
      <c r="C1197" s="36" t="s">
        <v>28</v>
      </c>
      <c r="D1197" s="36" t="s">
        <v>1921</v>
      </c>
      <c r="E1197" s="36" t="s">
        <v>30</v>
      </c>
      <c r="F1197" s="36" t="s">
        <v>569</v>
      </c>
      <c r="G1197" s="37">
        <v>2588</v>
      </c>
      <c r="H1197" s="36" t="s">
        <v>1922</v>
      </c>
      <c r="I1197" s="36" t="s">
        <v>1923</v>
      </c>
      <c r="J1197" s="36">
        <v>2</v>
      </c>
      <c r="K1197" s="36" t="s">
        <v>855</v>
      </c>
      <c r="L1197" s="36">
        <v>4</v>
      </c>
      <c r="M1197" s="36">
        <v>2022</v>
      </c>
      <c r="N1197" s="38">
        <v>65</v>
      </c>
      <c r="O1197" s="38">
        <v>131430</v>
      </c>
      <c r="P1197" s="36">
        <v>1</v>
      </c>
      <c r="Q1197" s="40">
        <v>46023</v>
      </c>
      <c r="R1197" s="36" t="s">
        <v>1924</v>
      </c>
      <c r="S1197" s="36" t="s">
        <v>1869</v>
      </c>
      <c r="T1197" s="36" t="s">
        <v>1925</v>
      </c>
      <c r="U1197" s="36" t="s">
        <v>1926</v>
      </c>
      <c r="V1197" s="40">
        <v>46023</v>
      </c>
      <c r="W1197" s="36"/>
      <c r="X1197" s="36">
        <v>0</v>
      </c>
      <c r="Y1197" s="36"/>
      <c r="Z1197" s="36">
        <v>0</v>
      </c>
      <c r="AA1197" s="36">
        <v>0</v>
      </c>
      <c r="AB1197" s="36"/>
      <c r="AC1197" s="36" t="str">
        <f t="shared" si="7"/>
        <v>PC26</v>
      </c>
      <c r="AD1197" s="36" t="str">
        <f>VLOOKUP(D1197,Oficial!A:C,3,0)</f>
        <v>Bienes y Servicios</v>
      </c>
    </row>
    <row r="1198" spans="1:30" x14ac:dyDescent="0.25">
      <c r="A1198" s="36" t="s">
        <v>27</v>
      </c>
      <c r="B1198" s="36" t="s">
        <v>1927</v>
      </c>
      <c r="C1198" s="36" t="s">
        <v>28</v>
      </c>
      <c r="D1198" s="36" t="s">
        <v>1927</v>
      </c>
      <c r="E1198" s="36" t="s">
        <v>30</v>
      </c>
      <c r="F1198" s="36" t="s">
        <v>569</v>
      </c>
      <c r="G1198" s="37">
        <v>2513</v>
      </c>
      <c r="H1198" s="36" t="s">
        <v>1928</v>
      </c>
      <c r="I1198" s="36" t="s">
        <v>1929</v>
      </c>
      <c r="J1198" s="36">
        <v>9</v>
      </c>
      <c r="K1198" s="36" t="s">
        <v>1930</v>
      </c>
      <c r="L1198" s="36">
        <v>4</v>
      </c>
      <c r="M1198" s="36">
        <v>60</v>
      </c>
      <c r="N1198" s="38">
        <v>3250000</v>
      </c>
      <c r="O1198" s="38">
        <v>195000000</v>
      </c>
      <c r="P1198" s="36">
        <v>1</v>
      </c>
      <c r="Q1198" s="40">
        <v>46204</v>
      </c>
      <c r="R1198" s="36" t="s">
        <v>1931</v>
      </c>
      <c r="S1198" s="36" t="s">
        <v>1932</v>
      </c>
      <c r="T1198" s="36" t="s">
        <v>1933</v>
      </c>
      <c r="U1198" s="36" t="s">
        <v>1934</v>
      </c>
      <c r="V1198" s="40">
        <v>46174</v>
      </c>
      <c r="W1198" s="36"/>
      <c r="X1198" s="36">
        <v>0</v>
      </c>
      <c r="Y1198" s="36"/>
      <c r="Z1198" s="36">
        <v>0</v>
      </c>
      <c r="AA1198" s="36">
        <v>0</v>
      </c>
      <c r="AB1198" s="36"/>
      <c r="AC1198" s="36" t="str">
        <f t="shared" si="7"/>
        <v>PC26</v>
      </c>
      <c r="AD1198" s="36" t="str">
        <f>VLOOKUP(D1198,Oficial!A:C,3,0)</f>
        <v>Bienes y Servicios</v>
      </c>
    </row>
    <row r="1199" spans="1:30" x14ac:dyDescent="0.25">
      <c r="A1199" s="36" t="s">
        <v>27</v>
      </c>
      <c r="B1199" s="36" t="s">
        <v>1927</v>
      </c>
      <c r="C1199" s="36" t="s">
        <v>28</v>
      </c>
      <c r="D1199" s="36" t="s">
        <v>1927</v>
      </c>
      <c r="E1199" s="36" t="s">
        <v>30</v>
      </c>
      <c r="F1199" s="36" t="s">
        <v>569</v>
      </c>
      <c r="G1199" s="37">
        <v>2513</v>
      </c>
      <c r="H1199" s="36" t="s">
        <v>1928</v>
      </c>
      <c r="I1199" s="36" t="s">
        <v>1929</v>
      </c>
      <c r="J1199" s="36">
        <v>9</v>
      </c>
      <c r="K1199" s="36" t="s">
        <v>1935</v>
      </c>
      <c r="L1199" s="36">
        <v>4</v>
      </c>
      <c r="M1199" s="36">
        <v>300</v>
      </c>
      <c r="N1199" s="38">
        <v>6000</v>
      </c>
      <c r="O1199" s="38">
        <v>1800000</v>
      </c>
      <c r="P1199" s="36">
        <v>1</v>
      </c>
      <c r="Q1199" s="40">
        <v>46204</v>
      </c>
      <c r="R1199" s="36" t="s">
        <v>1931</v>
      </c>
      <c r="S1199" s="36" t="s">
        <v>1932</v>
      </c>
      <c r="T1199" s="36" t="s">
        <v>1933</v>
      </c>
      <c r="U1199" s="36" t="s">
        <v>1934</v>
      </c>
      <c r="V1199" s="40">
        <v>46174</v>
      </c>
      <c r="W1199" s="36"/>
      <c r="X1199" s="36">
        <v>0</v>
      </c>
      <c r="Y1199" s="36"/>
      <c r="Z1199" s="36">
        <v>0</v>
      </c>
      <c r="AA1199" s="36">
        <v>0</v>
      </c>
      <c r="AB1199" s="36"/>
      <c r="AC1199" s="36" t="str">
        <f t="shared" si="7"/>
        <v>PC26</v>
      </c>
      <c r="AD1199" s="36" t="str">
        <f>VLOOKUP(D1199,Oficial!A:C,3,0)</f>
        <v>Bienes y Servicios</v>
      </c>
    </row>
    <row r="1200" spans="1:30" x14ac:dyDescent="0.25">
      <c r="A1200" s="36" t="s">
        <v>27</v>
      </c>
      <c r="B1200" s="36" t="s">
        <v>1927</v>
      </c>
      <c r="C1200" s="36" t="s">
        <v>28</v>
      </c>
      <c r="D1200" s="36" t="s">
        <v>1927</v>
      </c>
      <c r="E1200" s="36" t="s">
        <v>30</v>
      </c>
      <c r="F1200" s="36" t="s">
        <v>569</v>
      </c>
      <c r="G1200" s="37">
        <v>2513</v>
      </c>
      <c r="H1200" s="36" t="s">
        <v>1928</v>
      </c>
      <c r="I1200" s="36" t="s">
        <v>1929</v>
      </c>
      <c r="J1200" s="36">
        <v>9</v>
      </c>
      <c r="K1200" s="36" t="s">
        <v>1936</v>
      </c>
      <c r="L1200" s="36">
        <v>4</v>
      </c>
      <c r="M1200" s="36">
        <v>1200</v>
      </c>
      <c r="N1200" s="38">
        <v>4500</v>
      </c>
      <c r="O1200" s="38">
        <v>5400000</v>
      </c>
      <c r="P1200" s="36">
        <v>1</v>
      </c>
      <c r="Q1200" s="40">
        <v>46266</v>
      </c>
      <c r="R1200" s="36" t="s">
        <v>1931</v>
      </c>
      <c r="S1200" s="36" t="s">
        <v>1932</v>
      </c>
      <c r="T1200" s="36" t="s">
        <v>1933</v>
      </c>
      <c r="U1200" s="36" t="s">
        <v>1934</v>
      </c>
      <c r="V1200" s="40">
        <v>46235</v>
      </c>
      <c r="W1200" s="36"/>
      <c r="X1200" s="36">
        <v>0</v>
      </c>
      <c r="Y1200" s="36"/>
      <c r="Z1200" s="36">
        <v>0</v>
      </c>
      <c r="AA1200" s="36">
        <v>0</v>
      </c>
      <c r="AB1200" s="36"/>
      <c r="AC1200" s="36" t="str">
        <f t="shared" si="7"/>
        <v>PC26</v>
      </c>
      <c r="AD1200" s="36" t="str">
        <f>VLOOKUP(D1200,Oficial!A:C,3,0)</f>
        <v>Bienes y Servicios</v>
      </c>
    </row>
    <row r="1201" spans="1:30" x14ac:dyDescent="0.25">
      <c r="A1201" s="36" t="s">
        <v>27</v>
      </c>
      <c r="B1201" s="36" t="s">
        <v>1927</v>
      </c>
      <c r="C1201" s="36" t="s">
        <v>28</v>
      </c>
      <c r="D1201" s="36" t="s">
        <v>1927</v>
      </c>
      <c r="E1201" s="36" t="s">
        <v>30</v>
      </c>
      <c r="F1201" s="36" t="s">
        <v>569</v>
      </c>
      <c r="G1201" s="37">
        <v>2513</v>
      </c>
      <c r="H1201" s="36" t="s">
        <v>1928</v>
      </c>
      <c r="I1201" s="36" t="s">
        <v>1929</v>
      </c>
      <c r="J1201" s="36">
        <v>9</v>
      </c>
      <c r="K1201" s="36" t="s">
        <v>359</v>
      </c>
      <c r="L1201" s="36">
        <v>4</v>
      </c>
      <c r="M1201" s="36">
        <v>880</v>
      </c>
      <c r="N1201" s="38">
        <v>839</v>
      </c>
      <c r="O1201" s="38">
        <v>738320</v>
      </c>
      <c r="P1201" s="36">
        <v>1</v>
      </c>
      <c r="Q1201" s="40">
        <v>46204</v>
      </c>
      <c r="R1201" s="36" t="s">
        <v>1931</v>
      </c>
      <c r="S1201" s="36" t="s">
        <v>1932</v>
      </c>
      <c r="T1201" s="36" t="s">
        <v>1933</v>
      </c>
      <c r="U1201" s="36" t="s">
        <v>1934</v>
      </c>
      <c r="V1201" s="40">
        <v>46174</v>
      </c>
      <c r="W1201" s="36"/>
      <c r="X1201" s="36">
        <v>0</v>
      </c>
      <c r="Y1201" s="36"/>
      <c r="Z1201" s="36">
        <v>0</v>
      </c>
      <c r="AA1201" s="36">
        <v>0</v>
      </c>
      <c r="AB1201" s="36"/>
      <c r="AC1201" s="36" t="str">
        <f t="shared" si="7"/>
        <v>PC26</v>
      </c>
      <c r="AD1201" s="36" t="str">
        <f>VLOOKUP(D1201,Oficial!A:C,3,0)</f>
        <v>Bienes y Servicios</v>
      </c>
    </row>
    <row r="1202" spans="1:30" x14ac:dyDescent="0.25">
      <c r="A1202" s="36" t="s">
        <v>27</v>
      </c>
      <c r="B1202" s="36" t="s">
        <v>1927</v>
      </c>
      <c r="C1202" s="36" t="s">
        <v>28</v>
      </c>
      <c r="D1202" s="36" t="s">
        <v>1927</v>
      </c>
      <c r="E1202" s="36" t="s">
        <v>30</v>
      </c>
      <c r="F1202" s="36" t="s">
        <v>569</v>
      </c>
      <c r="G1202" s="37">
        <v>2513</v>
      </c>
      <c r="H1202" s="36" t="s">
        <v>1928</v>
      </c>
      <c r="I1202" s="36" t="s">
        <v>1929</v>
      </c>
      <c r="J1202" s="36">
        <v>9</v>
      </c>
      <c r="K1202" s="36" t="s">
        <v>1937</v>
      </c>
      <c r="L1202" s="36">
        <v>4</v>
      </c>
      <c r="M1202" s="36">
        <v>80</v>
      </c>
      <c r="N1202" s="38">
        <v>2113</v>
      </c>
      <c r="O1202" s="38">
        <v>169040</v>
      </c>
      <c r="P1202" s="36">
        <v>1</v>
      </c>
      <c r="Q1202" s="40">
        <v>46204</v>
      </c>
      <c r="R1202" s="36" t="s">
        <v>1931</v>
      </c>
      <c r="S1202" s="36" t="s">
        <v>1932</v>
      </c>
      <c r="T1202" s="36" t="s">
        <v>1933</v>
      </c>
      <c r="U1202" s="36" t="s">
        <v>1934</v>
      </c>
      <c r="V1202" s="40">
        <v>46174</v>
      </c>
      <c r="W1202" s="36"/>
      <c r="X1202" s="36">
        <v>0</v>
      </c>
      <c r="Y1202" s="36"/>
      <c r="Z1202" s="36">
        <v>0</v>
      </c>
      <c r="AA1202" s="36">
        <v>0</v>
      </c>
      <c r="AB1202" s="36"/>
      <c r="AC1202" s="36" t="str">
        <f t="shared" si="7"/>
        <v>PC26</v>
      </c>
      <c r="AD1202" s="36" t="str">
        <f>VLOOKUP(D1202,Oficial!A:C,3,0)</f>
        <v>Bienes y Servicios</v>
      </c>
    </row>
    <row r="1203" spans="1:30" x14ac:dyDescent="0.25">
      <c r="A1203" s="36" t="s">
        <v>27</v>
      </c>
      <c r="B1203" s="36" t="s">
        <v>1927</v>
      </c>
      <c r="C1203" s="36" t="s">
        <v>28</v>
      </c>
      <c r="D1203" s="36" t="s">
        <v>1927</v>
      </c>
      <c r="E1203" s="36" t="s">
        <v>30</v>
      </c>
      <c r="F1203" s="36" t="s">
        <v>569</v>
      </c>
      <c r="G1203" s="37">
        <v>2513</v>
      </c>
      <c r="H1203" s="36" t="s">
        <v>1928</v>
      </c>
      <c r="I1203" s="36" t="s">
        <v>1929</v>
      </c>
      <c r="J1203" s="36">
        <v>9</v>
      </c>
      <c r="K1203" s="36" t="s">
        <v>1938</v>
      </c>
      <c r="L1203" s="36">
        <v>4</v>
      </c>
      <c r="M1203" s="36">
        <v>3200</v>
      </c>
      <c r="N1203" s="38">
        <v>969</v>
      </c>
      <c r="O1203" s="38">
        <v>3100800</v>
      </c>
      <c r="P1203" s="36">
        <v>1</v>
      </c>
      <c r="Q1203" s="40">
        <v>46204</v>
      </c>
      <c r="R1203" s="36" t="s">
        <v>1931</v>
      </c>
      <c r="S1203" s="36" t="s">
        <v>1932</v>
      </c>
      <c r="T1203" s="36" t="s">
        <v>1933</v>
      </c>
      <c r="U1203" s="36" t="s">
        <v>1934</v>
      </c>
      <c r="V1203" s="40">
        <v>46174</v>
      </c>
      <c r="W1203" s="36"/>
      <c r="X1203" s="36">
        <v>0</v>
      </c>
      <c r="Y1203" s="36"/>
      <c r="Z1203" s="36">
        <v>0</v>
      </c>
      <c r="AA1203" s="36">
        <v>0</v>
      </c>
      <c r="AB1203" s="36"/>
      <c r="AC1203" s="36" t="str">
        <f t="shared" si="7"/>
        <v>PC26</v>
      </c>
      <c r="AD1203" s="36" t="str">
        <f>VLOOKUP(D1203,Oficial!A:C,3,0)</f>
        <v>Bienes y Servicios</v>
      </c>
    </row>
    <row r="1204" spans="1:30" x14ac:dyDescent="0.25">
      <c r="A1204" s="36" t="s">
        <v>27</v>
      </c>
      <c r="B1204" s="36" t="s">
        <v>1927</v>
      </c>
      <c r="C1204" s="36" t="s">
        <v>28</v>
      </c>
      <c r="D1204" s="36" t="s">
        <v>1927</v>
      </c>
      <c r="E1204" s="36" t="s">
        <v>30</v>
      </c>
      <c r="F1204" s="36" t="s">
        <v>569</v>
      </c>
      <c r="G1204" s="37">
        <v>2513</v>
      </c>
      <c r="H1204" s="36" t="s">
        <v>1928</v>
      </c>
      <c r="I1204" s="36" t="s">
        <v>1929</v>
      </c>
      <c r="J1204" s="36">
        <v>9</v>
      </c>
      <c r="K1204" s="36" t="s">
        <v>1939</v>
      </c>
      <c r="L1204" s="36">
        <v>4</v>
      </c>
      <c r="M1204" s="36">
        <v>40</v>
      </c>
      <c r="N1204" s="38">
        <v>1250</v>
      </c>
      <c r="O1204" s="38">
        <v>50000</v>
      </c>
      <c r="P1204" s="36">
        <v>1</v>
      </c>
      <c r="Q1204" s="40">
        <v>46204</v>
      </c>
      <c r="R1204" s="36" t="s">
        <v>1931</v>
      </c>
      <c r="S1204" s="36" t="s">
        <v>1932</v>
      </c>
      <c r="T1204" s="36" t="s">
        <v>1933</v>
      </c>
      <c r="U1204" s="36" t="s">
        <v>1934</v>
      </c>
      <c r="V1204" s="40">
        <v>46174</v>
      </c>
      <c r="W1204" s="36"/>
      <c r="X1204" s="36">
        <v>0</v>
      </c>
      <c r="Y1204" s="36"/>
      <c r="Z1204" s="36">
        <v>0</v>
      </c>
      <c r="AA1204" s="36">
        <v>0</v>
      </c>
      <c r="AB1204" s="36"/>
      <c r="AC1204" s="36" t="str">
        <f t="shared" si="7"/>
        <v>PC26</v>
      </c>
      <c r="AD1204" s="36" t="str">
        <f>VLOOKUP(D1204,Oficial!A:C,3,0)</f>
        <v>Bienes y Servicios</v>
      </c>
    </row>
    <row r="1205" spans="1:30" x14ac:dyDescent="0.25">
      <c r="A1205" s="36" t="s">
        <v>27</v>
      </c>
      <c r="B1205" s="36" t="s">
        <v>1927</v>
      </c>
      <c r="C1205" s="36" t="s">
        <v>28</v>
      </c>
      <c r="D1205" s="36" t="s">
        <v>1927</v>
      </c>
      <c r="E1205" s="36" t="s">
        <v>30</v>
      </c>
      <c r="F1205" s="36" t="s">
        <v>569</v>
      </c>
      <c r="G1205" s="37">
        <v>2513</v>
      </c>
      <c r="H1205" s="36" t="s">
        <v>1928</v>
      </c>
      <c r="I1205" s="36" t="s">
        <v>1929</v>
      </c>
      <c r="J1205" s="36">
        <v>9</v>
      </c>
      <c r="K1205" s="36" t="s">
        <v>1940</v>
      </c>
      <c r="L1205" s="36">
        <v>4</v>
      </c>
      <c r="M1205" s="36">
        <v>5</v>
      </c>
      <c r="N1205" s="38">
        <v>10000</v>
      </c>
      <c r="O1205" s="38">
        <v>50000</v>
      </c>
      <c r="P1205" s="36">
        <v>1</v>
      </c>
      <c r="Q1205" s="40">
        <v>46204</v>
      </c>
      <c r="R1205" s="36" t="s">
        <v>1931</v>
      </c>
      <c r="S1205" s="36" t="s">
        <v>1932</v>
      </c>
      <c r="T1205" s="36" t="s">
        <v>1933</v>
      </c>
      <c r="U1205" s="36" t="s">
        <v>1934</v>
      </c>
      <c r="V1205" s="40">
        <v>46174</v>
      </c>
      <c r="W1205" s="36"/>
      <c r="X1205" s="36">
        <v>0</v>
      </c>
      <c r="Y1205" s="36"/>
      <c r="Z1205" s="36">
        <v>0</v>
      </c>
      <c r="AA1205" s="36">
        <v>0</v>
      </c>
      <c r="AB1205" s="36"/>
      <c r="AC1205" s="36" t="str">
        <f t="shared" si="7"/>
        <v>PC26</v>
      </c>
      <c r="AD1205" s="36" t="str">
        <f>VLOOKUP(D1205,Oficial!A:C,3,0)</f>
        <v>Bienes y Servicios</v>
      </c>
    </row>
    <row r="1206" spans="1:30" x14ac:dyDescent="0.25">
      <c r="A1206" s="36" t="s">
        <v>27</v>
      </c>
      <c r="B1206" s="36" t="s">
        <v>1927</v>
      </c>
      <c r="C1206" s="36" t="s">
        <v>28</v>
      </c>
      <c r="D1206" s="36" t="s">
        <v>1927</v>
      </c>
      <c r="E1206" s="36" t="s">
        <v>30</v>
      </c>
      <c r="F1206" s="36" t="s">
        <v>569</v>
      </c>
      <c r="G1206" s="37">
        <v>2513</v>
      </c>
      <c r="H1206" s="36" t="s">
        <v>1928</v>
      </c>
      <c r="I1206" s="36" t="s">
        <v>1929</v>
      </c>
      <c r="J1206" s="36">
        <v>9</v>
      </c>
      <c r="K1206" s="36" t="s">
        <v>1941</v>
      </c>
      <c r="L1206" s="36">
        <v>4</v>
      </c>
      <c r="M1206" s="36">
        <v>5</v>
      </c>
      <c r="N1206" s="38">
        <v>300000</v>
      </c>
      <c r="O1206" s="38">
        <v>1500000</v>
      </c>
      <c r="P1206" s="36">
        <v>1</v>
      </c>
      <c r="Q1206" s="40">
        <v>46266</v>
      </c>
      <c r="R1206" s="36" t="s">
        <v>1931</v>
      </c>
      <c r="S1206" s="36" t="s">
        <v>1932</v>
      </c>
      <c r="T1206" s="36" t="s">
        <v>1933</v>
      </c>
      <c r="U1206" s="36" t="s">
        <v>1934</v>
      </c>
      <c r="V1206" s="40">
        <v>46235</v>
      </c>
      <c r="W1206" s="36"/>
      <c r="X1206" s="36">
        <v>0</v>
      </c>
      <c r="Y1206" s="36"/>
      <c r="Z1206" s="36">
        <v>0</v>
      </c>
      <c r="AA1206" s="36">
        <v>0</v>
      </c>
      <c r="AB1206" s="36"/>
      <c r="AC1206" s="36" t="str">
        <f t="shared" si="7"/>
        <v>PC26</v>
      </c>
      <c r="AD1206" s="36" t="str">
        <f>VLOOKUP(D1206,Oficial!A:C,3,0)</f>
        <v>Bienes y Servicios</v>
      </c>
    </row>
    <row r="1207" spans="1:30" x14ac:dyDescent="0.25">
      <c r="A1207" s="36" t="s">
        <v>27</v>
      </c>
      <c r="B1207" s="36" t="s">
        <v>1942</v>
      </c>
      <c r="C1207" s="36" t="s">
        <v>28</v>
      </c>
      <c r="D1207" s="36" t="s">
        <v>1942</v>
      </c>
      <c r="E1207" s="36" t="s">
        <v>30</v>
      </c>
      <c r="F1207" s="36" t="s">
        <v>569</v>
      </c>
      <c r="G1207" s="37" t="s">
        <v>615</v>
      </c>
      <c r="H1207" s="36" t="s">
        <v>1943</v>
      </c>
      <c r="I1207" s="36" t="s">
        <v>1944</v>
      </c>
      <c r="J1207" s="36">
        <v>3</v>
      </c>
      <c r="K1207" s="36" t="s">
        <v>1945</v>
      </c>
      <c r="L1207" s="36">
        <v>4</v>
      </c>
      <c r="M1207" s="36">
        <v>23</v>
      </c>
      <c r="N1207" s="38">
        <v>10392</v>
      </c>
      <c r="O1207" s="38">
        <v>239016</v>
      </c>
      <c r="P1207" s="36">
        <v>1</v>
      </c>
      <c r="Q1207" s="40">
        <v>46204</v>
      </c>
      <c r="R1207" s="36" t="s">
        <v>761</v>
      </c>
      <c r="S1207" s="36" t="s">
        <v>1905</v>
      </c>
      <c r="T1207" s="36" t="s">
        <v>362</v>
      </c>
      <c r="U1207" s="36" t="s">
        <v>1906</v>
      </c>
      <c r="V1207" s="40">
        <v>46174</v>
      </c>
      <c r="W1207" s="36"/>
      <c r="X1207" s="36">
        <v>0</v>
      </c>
      <c r="Y1207" s="36"/>
      <c r="Z1207" s="36">
        <v>0</v>
      </c>
      <c r="AA1207" s="36">
        <v>0</v>
      </c>
      <c r="AB1207" s="36"/>
      <c r="AC1207" s="36" t="str">
        <f t="shared" si="7"/>
        <v>PC26</v>
      </c>
      <c r="AD1207" s="36" t="str">
        <f>VLOOKUP(D1207,Oficial!A:C,3,0)</f>
        <v>Bienes y Servicios</v>
      </c>
    </row>
    <row r="1208" spans="1:30" x14ac:dyDescent="0.25">
      <c r="A1208" s="36" t="s">
        <v>27</v>
      </c>
      <c r="B1208" s="36" t="s">
        <v>1942</v>
      </c>
      <c r="C1208" s="36" t="s">
        <v>28</v>
      </c>
      <c r="D1208" s="36" t="s">
        <v>1942</v>
      </c>
      <c r="E1208" s="36" t="s">
        <v>30</v>
      </c>
      <c r="F1208" s="36" t="s">
        <v>569</v>
      </c>
      <c r="G1208" s="37" t="s">
        <v>615</v>
      </c>
      <c r="H1208" s="36" t="s">
        <v>1943</v>
      </c>
      <c r="I1208" s="36" t="s">
        <v>1944</v>
      </c>
      <c r="J1208" s="36">
        <v>3</v>
      </c>
      <c r="K1208" s="36" t="s">
        <v>1946</v>
      </c>
      <c r="L1208" s="36">
        <v>4</v>
      </c>
      <c r="M1208" s="36">
        <v>431</v>
      </c>
      <c r="N1208" s="38">
        <v>2492</v>
      </c>
      <c r="O1208" s="38">
        <v>1074052</v>
      </c>
      <c r="P1208" s="36">
        <v>1</v>
      </c>
      <c r="Q1208" s="40">
        <v>46204</v>
      </c>
      <c r="R1208" s="36" t="s">
        <v>761</v>
      </c>
      <c r="S1208" s="36" t="s">
        <v>1905</v>
      </c>
      <c r="T1208" s="36" t="s">
        <v>362</v>
      </c>
      <c r="U1208" s="36" t="s">
        <v>1906</v>
      </c>
      <c r="V1208" s="40">
        <v>46174</v>
      </c>
      <c r="W1208" s="36"/>
      <c r="X1208" s="36">
        <v>0</v>
      </c>
      <c r="Y1208" s="36"/>
      <c r="Z1208" s="36">
        <v>0</v>
      </c>
      <c r="AA1208" s="36">
        <v>0</v>
      </c>
      <c r="AB1208" s="36"/>
      <c r="AC1208" s="36" t="str">
        <f t="shared" si="7"/>
        <v>PC26</v>
      </c>
      <c r="AD1208" s="36" t="str">
        <f>VLOOKUP(D1208,Oficial!A:C,3,0)</f>
        <v>Bienes y Servicios</v>
      </c>
    </row>
    <row r="1209" spans="1:30" x14ac:dyDescent="0.25">
      <c r="A1209" s="36" t="s">
        <v>27</v>
      </c>
      <c r="B1209" s="36" t="s">
        <v>1942</v>
      </c>
      <c r="C1209" s="36" t="s">
        <v>28</v>
      </c>
      <c r="D1209" s="36" t="s">
        <v>1942</v>
      </c>
      <c r="E1209" s="36" t="s">
        <v>30</v>
      </c>
      <c r="F1209" s="36" t="s">
        <v>569</v>
      </c>
      <c r="G1209" s="37" t="s">
        <v>615</v>
      </c>
      <c r="H1209" s="36" t="s">
        <v>1943</v>
      </c>
      <c r="I1209" s="36" t="s">
        <v>1944</v>
      </c>
      <c r="J1209" s="36">
        <v>3</v>
      </c>
      <c r="K1209" s="36" t="s">
        <v>1947</v>
      </c>
      <c r="L1209" s="36">
        <v>4</v>
      </c>
      <c r="M1209" s="36">
        <v>3002</v>
      </c>
      <c r="N1209" s="38">
        <v>160</v>
      </c>
      <c r="O1209" s="38">
        <v>480320</v>
      </c>
      <c r="P1209" s="36">
        <v>1</v>
      </c>
      <c r="Q1209" s="40">
        <v>46204</v>
      </c>
      <c r="R1209" s="36" t="s">
        <v>761</v>
      </c>
      <c r="S1209" s="36" t="s">
        <v>1905</v>
      </c>
      <c r="T1209" s="36" t="s">
        <v>362</v>
      </c>
      <c r="U1209" s="36" t="s">
        <v>1906</v>
      </c>
      <c r="V1209" s="40">
        <v>46174</v>
      </c>
      <c r="W1209" s="36"/>
      <c r="X1209" s="36">
        <v>0</v>
      </c>
      <c r="Y1209" s="36"/>
      <c r="Z1209" s="36">
        <v>0</v>
      </c>
      <c r="AA1209" s="36">
        <v>0</v>
      </c>
      <c r="AB1209" s="36"/>
      <c r="AC1209" s="36" t="str">
        <f t="shared" si="7"/>
        <v>PC26</v>
      </c>
      <c r="AD1209" s="36" t="str">
        <f>VLOOKUP(D1209,Oficial!A:C,3,0)</f>
        <v>Bienes y Servicios</v>
      </c>
    </row>
    <row r="1210" spans="1:30" x14ac:dyDescent="0.25">
      <c r="A1210" s="36" t="s">
        <v>27</v>
      </c>
      <c r="B1210" s="36" t="s">
        <v>1948</v>
      </c>
      <c r="C1210" s="36" t="s">
        <v>28</v>
      </c>
      <c r="D1210" s="36" t="s">
        <v>1948</v>
      </c>
      <c r="E1210" s="36" t="s">
        <v>30</v>
      </c>
      <c r="F1210" s="36" t="s">
        <v>569</v>
      </c>
      <c r="G1210" s="37">
        <v>2592</v>
      </c>
      <c r="H1210" s="36" t="s">
        <v>1949</v>
      </c>
      <c r="I1210" s="36" t="s">
        <v>1950</v>
      </c>
      <c r="J1210" s="36">
        <v>1</v>
      </c>
      <c r="K1210" s="36" t="s">
        <v>1262</v>
      </c>
      <c r="L1210" s="36">
        <v>4</v>
      </c>
      <c r="M1210" s="36">
        <v>2900</v>
      </c>
      <c r="N1210" s="38">
        <v>3449</v>
      </c>
      <c r="O1210" s="38">
        <v>10002100</v>
      </c>
      <c r="P1210" s="36">
        <v>1</v>
      </c>
      <c r="Q1210" s="40">
        <v>46082</v>
      </c>
      <c r="R1210" s="36" t="s">
        <v>414</v>
      </c>
      <c r="S1210" s="36" t="s">
        <v>1852</v>
      </c>
      <c r="T1210" s="36" t="s">
        <v>1706</v>
      </c>
      <c r="U1210" s="36" t="s">
        <v>417</v>
      </c>
      <c r="V1210" s="40">
        <v>46082</v>
      </c>
      <c r="W1210" s="36"/>
      <c r="X1210" s="36">
        <v>0</v>
      </c>
      <c r="Y1210" s="36"/>
      <c r="Z1210" s="36">
        <v>0</v>
      </c>
      <c r="AA1210" s="36">
        <v>0</v>
      </c>
      <c r="AB1210" s="36"/>
      <c r="AC1210" s="36" t="str">
        <f t="shared" si="7"/>
        <v>PC26</v>
      </c>
      <c r="AD1210" s="36" t="str">
        <f>VLOOKUP(D1210,Oficial!A:C,3,0)</f>
        <v>Bienes y Servicios</v>
      </c>
    </row>
    <row r="1211" spans="1:30" x14ac:dyDescent="0.25">
      <c r="A1211" s="36" t="s">
        <v>27</v>
      </c>
      <c r="B1211" s="36" t="s">
        <v>1951</v>
      </c>
      <c r="C1211" s="36" t="s">
        <v>28</v>
      </c>
      <c r="D1211" s="36" t="s">
        <v>1951</v>
      </c>
      <c r="E1211" s="36" t="s">
        <v>30</v>
      </c>
      <c r="F1211" s="36" t="s">
        <v>569</v>
      </c>
      <c r="G1211" s="37" t="s">
        <v>615</v>
      </c>
      <c r="H1211" s="36" t="s">
        <v>1952</v>
      </c>
      <c r="I1211" s="36" t="s">
        <v>1953</v>
      </c>
      <c r="J1211" s="36">
        <v>2</v>
      </c>
      <c r="K1211" s="36" t="s">
        <v>1864</v>
      </c>
      <c r="L1211" s="36">
        <v>4</v>
      </c>
      <c r="M1211" s="36">
        <v>731</v>
      </c>
      <c r="N1211" s="38">
        <v>1107</v>
      </c>
      <c r="O1211" s="38">
        <v>809217</v>
      </c>
      <c r="P1211" s="36">
        <v>1</v>
      </c>
      <c r="Q1211" s="40">
        <v>46113</v>
      </c>
      <c r="R1211" s="36" t="s">
        <v>761</v>
      </c>
      <c r="S1211" s="36" t="s">
        <v>1905</v>
      </c>
      <c r="T1211" s="36" t="s">
        <v>362</v>
      </c>
      <c r="U1211" s="36" t="s">
        <v>1906</v>
      </c>
      <c r="V1211" s="40">
        <v>46082</v>
      </c>
      <c r="W1211" s="36"/>
      <c r="X1211" s="36">
        <v>0</v>
      </c>
      <c r="Y1211" s="36"/>
      <c r="Z1211" s="36">
        <v>0</v>
      </c>
      <c r="AA1211" s="36">
        <v>0</v>
      </c>
      <c r="AB1211" s="36"/>
      <c r="AC1211" s="36" t="str">
        <f t="shared" si="7"/>
        <v>PC26</v>
      </c>
      <c r="AD1211" s="36" t="str">
        <f>VLOOKUP(D1211,Oficial!A:C,3,0)</f>
        <v>Bienes y Servicios</v>
      </c>
    </row>
    <row r="1212" spans="1:30" x14ac:dyDescent="0.25">
      <c r="A1212" s="36" t="s">
        <v>27</v>
      </c>
      <c r="B1212" s="36" t="s">
        <v>1951</v>
      </c>
      <c r="C1212" s="36" t="s">
        <v>28</v>
      </c>
      <c r="D1212" s="36" t="s">
        <v>1951</v>
      </c>
      <c r="E1212" s="36" t="s">
        <v>30</v>
      </c>
      <c r="F1212" s="36" t="s">
        <v>569</v>
      </c>
      <c r="G1212" s="37" t="s">
        <v>615</v>
      </c>
      <c r="H1212" s="36" t="s">
        <v>1952</v>
      </c>
      <c r="I1212" s="36" t="s">
        <v>1953</v>
      </c>
      <c r="J1212" s="36">
        <v>2</v>
      </c>
      <c r="K1212" s="36" t="s">
        <v>1954</v>
      </c>
      <c r="L1212" s="36">
        <v>4</v>
      </c>
      <c r="M1212" s="36">
        <v>70</v>
      </c>
      <c r="N1212" s="38">
        <v>4858</v>
      </c>
      <c r="O1212" s="38">
        <v>340060</v>
      </c>
      <c r="P1212" s="36">
        <v>1</v>
      </c>
      <c r="Q1212" s="40">
        <v>46113</v>
      </c>
      <c r="R1212" s="36" t="s">
        <v>761</v>
      </c>
      <c r="S1212" s="36" t="s">
        <v>1905</v>
      </c>
      <c r="T1212" s="36" t="s">
        <v>362</v>
      </c>
      <c r="U1212" s="36" t="s">
        <v>1906</v>
      </c>
      <c r="V1212" s="40">
        <v>46082</v>
      </c>
      <c r="W1212" s="36"/>
      <c r="X1212" s="36">
        <v>0</v>
      </c>
      <c r="Y1212" s="36"/>
      <c r="Z1212" s="36">
        <v>0</v>
      </c>
      <c r="AA1212" s="36">
        <v>0</v>
      </c>
      <c r="AB1212" s="36"/>
      <c r="AC1212" s="36" t="str">
        <f t="shared" si="7"/>
        <v>PC26</v>
      </c>
      <c r="AD1212" s="36" t="str">
        <f>VLOOKUP(D1212,Oficial!A:C,3,0)</f>
        <v>Bienes y Servicios</v>
      </c>
    </row>
    <row r="1213" spans="1:30" x14ac:dyDescent="0.25">
      <c r="A1213" s="36" t="s">
        <v>27</v>
      </c>
      <c r="B1213" s="36" t="s">
        <v>1955</v>
      </c>
      <c r="C1213" s="36" t="s">
        <v>28</v>
      </c>
      <c r="D1213" s="36" t="s">
        <v>1955</v>
      </c>
      <c r="E1213" s="36" t="s">
        <v>30</v>
      </c>
      <c r="F1213" s="36" t="s">
        <v>569</v>
      </c>
      <c r="G1213" s="37" t="s">
        <v>615</v>
      </c>
      <c r="H1213" s="36" t="s">
        <v>1956</v>
      </c>
      <c r="I1213" s="36" t="s">
        <v>1957</v>
      </c>
      <c r="J1213" s="36">
        <v>3</v>
      </c>
      <c r="K1213" s="36" t="s">
        <v>1303</v>
      </c>
      <c r="L1213" s="36">
        <v>4</v>
      </c>
      <c r="M1213" s="36">
        <v>44</v>
      </c>
      <c r="N1213" s="38">
        <v>90000</v>
      </c>
      <c r="O1213" s="38">
        <v>3960000</v>
      </c>
      <c r="P1213" s="36">
        <v>1</v>
      </c>
      <c r="Q1213" s="40">
        <v>46082</v>
      </c>
      <c r="R1213" s="36" t="s">
        <v>414</v>
      </c>
      <c r="S1213" s="36" t="s">
        <v>1852</v>
      </c>
      <c r="T1213" s="36" t="s">
        <v>1706</v>
      </c>
      <c r="U1213" s="36" t="s">
        <v>417</v>
      </c>
      <c r="V1213" s="40">
        <v>46082</v>
      </c>
      <c r="W1213" s="36"/>
      <c r="X1213" s="36">
        <v>0</v>
      </c>
      <c r="Y1213" s="36"/>
      <c r="Z1213" s="36">
        <v>0</v>
      </c>
      <c r="AA1213" s="36">
        <v>0</v>
      </c>
      <c r="AB1213" s="36"/>
      <c r="AC1213" s="36" t="str">
        <f t="shared" si="7"/>
        <v>PC26</v>
      </c>
      <c r="AD1213" s="36" t="str">
        <f>VLOOKUP(D1213,Oficial!A:C,3,0)</f>
        <v>Bienes y Servicios</v>
      </c>
    </row>
    <row r="1214" spans="1:30" x14ac:dyDescent="0.25">
      <c r="A1214" s="36" t="s">
        <v>27</v>
      </c>
      <c r="B1214" s="36" t="s">
        <v>1955</v>
      </c>
      <c r="C1214" s="36" t="s">
        <v>28</v>
      </c>
      <c r="D1214" s="36" t="s">
        <v>1955</v>
      </c>
      <c r="E1214" s="36" t="s">
        <v>30</v>
      </c>
      <c r="F1214" s="36" t="s">
        <v>569</v>
      </c>
      <c r="G1214" s="37" t="s">
        <v>615</v>
      </c>
      <c r="H1214" s="36" t="s">
        <v>1956</v>
      </c>
      <c r="I1214" s="36" t="s">
        <v>1957</v>
      </c>
      <c r="J1214" s="36">
        <v>3</v>
      </c>
      <c r="K1214" s="36" t="s">
        <v>1958</v>
      </c>
      <c r="L1214" s="36">
        <v>4</v>
      </c>
      <c r="M1214" s="36">
        <v>10</v>
      </c>
      <c r="N1214" s="38">
        <v>60000</v>
      </c>
      <c r="O1214" s="38">
        <v>600000</v>
      </c>
      <c r="P1214" s="36">
        <v>1</v>
      </c>
      <c r="Q1214" s="40">
        <v>46082</v>
      </c>
      <c r="R1214" s="36" t="s">
        <v>414</v>
      </c>
      <c r="S1214" s="36" t="s">
        <v>1852</v>
      </c>
      <c r="T1214" s="36" t="s">
        <v>1706</v>
      </c>
      <c r="U1214" s="36" t="s">
        <v>417</v>
      </c>
      <c r="V1214" s="40">
        <v>46082</v>
      </c>
      <c r="W1214" s="36"/>
      <c r="X1214" s="36">
        <v>0</v>
      </c>
      <c r="Y1214" s="36"/>
      <c r="Z1214" s="36">
        <v>0</v>
      </c>
      <c r="AA1214" s="36">
        <v>0</v>
      </c>
      <c r="AB1214" s="36"/>
      <c r="AC1214" s="36" t="str">
        <f t="shared" si="7"/>
        <v>PC26</v>
      </c>
      <c r="AD1214" s="36" t="str">
        <f>VLOOKUP(D1214,Oficial!A:C,3,0)</f>
        <v>Bienes y Servicios</v>
      </c>
    </row>
    <row r="1215" spans="1:30" x14ac:dyDescent="0.25">
      <c r="A1215" s="36" t="s">
        <v>27</v>
      </c>
      <c r="B1215" s="36" t="s">
        <v>1955</v>
      </c>
      <c r="C1215" s="36" t="s">
        <v>28</v>
      </c>
      <c r="D1215" s="36" t="s">
        <v>1955</v>
      </c>
      <c r="E1215" s="36" t="s">
        <v>30</v>
      </c>
      <c r="F1215" s="36" t="s">
        <v>569</v>
      </c>
      <c r="G1215" s="37" t="s">
        <v>615</v>
      </c>
      <c r="H1215" s="36" t="s">
        <v>1956</v>
      </c>
      <c r="I1215" s="36" t="s">
        <v>1957</v>
      </c>
      <c r="J1215" s="36">
        <v>3</v>
      </c>
      <c r="K1215" s="36" t="s">
        <v>1959</v>
      </c>
      <c r="L1215" s="36">
        <v>4</v>
      </c>
      <c r="M1215" s="36">
        <v>100</v>
      </c>
      <c r="N1215" s="38">
        <v>10000</v>
      </c>
      <c r="O1215" s="38">
        <v>1000000</v>
      </c>
      <c r="P1215" s="36">
        <v>1</v>
      </c>
      <c r="Q1215" s="40">
        <v>46082</v>
      </c>
      <c r="R1215" s="36" t="s">
        <v>414</v>
      </c>
      <c r="S1215" s="36" t="s">
        <v>1852</v>
      </c>
      <c r="T1215" s="36" t="s">
        <v>1706</v>
      </c>
      <c r="U1215" s="36" t="s">
        <v>417</v>
      </c>
      <c r="V1215" s="40">
        <v>46082</v>
      </c>
      <c r="W1215" s="36"/>
      <c r="X1215" s="36">
        <v>0</v>
      </c>
      <c r="Y1215" s="36"/>
      <c r="Z1215" s="36">
        <v>0</v>
      </c>
      <c r="AA1215" s="36">
        <v>0</v>
      </c>
      <c r="AB1215" s="36"/>
      <c r="AC1215" s="36" t="str">
        <f t="shared" si="7"/>
        <v>PC26</v>
      </c>
      <c r="AD1215" s="36" t="str">
        <f>VLOOKUP(D1215,Oficial!A:C,3,0)</f>
        <v>Bienes y Servicios</v>
      </c>
    </row>
    <row r="1216" spans="1:30" x14ac:dyDescent="0.25">
      <c r="A1216" s="36" t="s">
        <v>27</v>
      </c>
      <c r="B1216" s="36" t="s">
        <v>1960</v>
      </c>
      <c r="C1216" s="36" t="s">
        <v>28</v>
      </c>
      <c r="D1216" s="36" t="s">
        <v>1960</v>
      </c>
      <c r="E1216" s="36" t="s">
        <v>30</v>
      </c>
      <c r="F1216" s="36" t="s">
        <v>569</v>
      </c>
      <c r="G1216" s="37">
        <v>2590</v>
      </c>
      <c r="H1216" s="36" t="s">
        <v>1961</v>
      </c>
      <c r="I1216" s="36" t="s">
        <v>1962</v>
      </c>
      <c r="J1216" s="36">
        <v>3</v>
      </c>
      <c r="K1216" s="36" t="s">
        <v>602</v>
      </c>
      <c r="L1216" s="36">
        <v>4</v>
      </c>
      <c r="M1216" s="36">
        <v>100</v>
      </c>
      <c r="N1216" s="38">
        <v>7000</v>
      </c>
      <c r="O1216" s="38">
        <v>700000</v>
      </c>
      <c r="P1216" s="36">
        <v>1</v>
      </c>
      <c r="Q1216" s="40">
        <v>46266</v>
      </c>
      <c r="R1216" s="36" t="s">
        <v>1963</v>
      </c>
      <c r="S1216" s="36" t="s">
        <v>1964</v>
      </c>
      <c r="T1216" s="36" t="s">
        <v>1212</v>
      </c>
      <c r="U1216" s="36" t="s">
        <v>1965</v>
      </c>
      <c r="V1216" s="40">
        <v>46266</v>
      </c>
      <c r="W1216" s="36"/>
      <c r="X1216" s="36">
        <v>0</v>
      </c>
      <c r="Y1216" s="36"/>
      <c r="Z1216" s="36">
        <v>0</v>
      </c>
      <c r="AA1216" s="36">
        <v>0</v>
      </c>
      <c r="AB1216" s="36"/>
      <c r="AC1216" s="36" t="str">
        <f t="shared" si="7"/>
        <v>PC26</v>
      </c>
      <c r="AD1216" s="36" t="str">
        <f>VLOOKUP(D1216,Oficial!A:C,3,0)</f>
        <v>Bienes y Servicios</v>
      </c>
    </row>
    <row r="1217" spans="1:30" x14ac:dyDescent="0.25">
      <c r="A1217" s="36" t="s">
        <v>27</v>
      </c>
      <c r="B1217" s="36" t="s">
        <v>1960</v>
      </c>
      <c r="C1217" s="36" t="s">
        <v>28</v>
      </c>
      <c r="D1217" s="36" t="s">
        <v>1960</v>
      </c>
      <c r="E1217" s="36" t="s">
        <v>30</v>
      </c>
      <c r="F1217" s="36" t="s">
        <v>569</v>
      </c>
      <c r="G1217" s="37">
        <v>2590</v>
      </c>
      <c r="H1217" s="36" t="s">
        <v>1961</v>
      </c>
      <c r="I1217" s="36" t="s">
        <v>1962</v>
      </c>
      <c r="J1217" s="36">
        <v>3</v>
      </c>
      <c r="K1217" s="36" t="s">
        <v>1966</v>
      </c>
      <c r="L1217" s="36">
        <v>4</v>
      </c>
      <c r="M1217" s="36">
        <v>200</v>
      </c>
      <c r="N1217" s="38">
        <v>900</v>
      </c>
      <c r="O1217" s="38">
        <v>180000</v>
      </c>
      <c r="P1217" s="36">
        <v>1</v>
      </c>
      <c r="Q1217" s="40">
        <v>46266</v>
      </c>
      <c r="R1217" s="36" t="s">
        <v>1963</v>
      </c>
      <c r="S1217" s="36" t="s">
        <v>1964</v>
      </c>
      <c r="T1217" s="36" t="s">
        <v>1212</v>
      </c>
      <c r="U1217" s="36" t="s">
        <v>1965</v>
      </c>
      <c r="V1217" s="40">
        <v>46266</v>
      </c>
      <c r="W1217" s="36"/>
      <c r="X1217" s="36">
        <v>0</v>
      </c>
      <c r="Y1217" s="36"/>
      <c r="Z1217" s="36">
        <v>0</v>
      </c>
      <c r="AA1217" s="36">
        <v>0</v>
      </c>
      <c r="AB1217" s="36"/>
      <c r="AC1217" s="36" t="str">
        <f t="shared" si="7"/>
        <v>PC26</v>
      </c>
      <c r="AD1217" s="36" t="str">
        <f>VLOOKUP(D1217,Oficial!A:C,3,0)</f>
        <v>Bienes y Servicios</v>
      </c>
    </row>
    <row r="1218" spans="1:30" x14ac:dyDescent="0.25">
      <c r="A1218" s="36" t="s">
        <v>27</v>
      </c>
      <c r="B1218" s="36" t="s">
        <v>1960</v>
      </c>
      <c r="C1218" s="36" t="s">
        <v>28</v>
      </c>
      <c r="D1218" s="36" t="s">
        <v>1960</v>
      </c>
      <c r="E1218" s="36" t="s">
        <v>30</v>
      </c>
      <c r="F1218" s="36" t="s">
        <v>569</v>
      </c>
      <c r="G1218" s="37">
        <v>2590</v>
      </c>
      <c r="H1218" s="36" t="s">
        <v>1961</v>
      </c>
      <c r="I1218" s="36" t="s">
        <v>1962</v>
      </c>
      <c r="J1218" s="36">
        <v>3</v>
      </c>
      <c r="K1218" s="36" t="s">
        <v>962</v>
      </c>
      <c r="L1218" s="36">
        <v>4</v>
      </c>
      <c r="M1218" s="36">
        <v>100</v>
      </c>
      <c r="N1218" s="38">
        <v>400</v>
      </c>
      <c r="O1218" s="38">
        <v>40000</v>
      </c>
      <c r="P1218" s="36">
        <v>1</v>
      </c>
      <c r="Q1218" s="40">
        <v>46266</v>
      </c>
      <c r="R1218" s="36" t="s">
        <v>1963</v>
      </c>
      <c r="S1218" s="36" t="s">
        <v>1964</v>
      </c>
      <c r="T1218" s="36" t="s">
        <v>1212</v>
      </c>
      <c r="U1218" s="36" t="s">
        <v>1965</v>
      </c>
      <c r="V1218" s="40">
        <v>46266</v>
      </c>
      <c r="W1218" s="36"/>
      <c r="X1218" s="36">
        <v>0</v>
      </c>
      <c r="Y1218" s="36"/>
      <c r="Z1218" s="36">
        <v>0</v>
      </c>
      <c r="AA1218" s="36">
        <v>0</v>
      </c>
      <c r="AB1218" s="36"/>
      <c r="AC1218" s="36" t="str">
        <f t="shared" si="7"/>
        <v>PC26</v>
      </c>
      <c r="AD1218" s="36" t="str">
        <f>VLOOKUP(D1218,Oficial!A:C,3,0)</f>
        <v>Bienes y Servicios</v>
      </c>
    </row>
    <row r="1219" spans="1:30" x14ac:dyDescent="0.25">
      <c r="A1219" s="36" t="s">
        <v>27</v>
      </c>
      <c r="B1219" s="36" t="s">
        <v>1967</v>
      </c>
      <c r="C1219" s="36" t="s">
        <v>374</v>
      </c>
      <c r="D1219" s="36" t="s">
        <v>1967</v>
      </c>
      <c r="E1219" s="36" t="s">
        <v>45</v>
      </c>
      <c r="F1219" s="36" t="s">
        <v>569</v>
      </c>
      <c r="G1219" s="37" t="s">
        <v>1968</v>
      </c>
      <c r="H1219" s="36" t="s">
        <v>1969</v>
      </c>
      <c r="I1219" s="36" t="s">
        <v>1970</v>
      </c>
      <c r="J1219" s="36">
        <v>5</v>
      </c>
      <c r="K1219" s="36" t="s">
        <v>1971</v>
      </c>
      <c r="L1219" s="36">
        <v>4</v>
      </c>
      <c r="M1219" s="36">
        <v>17</v>
      </c>
      <c r="N1219" s="38">
        <v>6611</v>
      </c>
      <c r="O1219" s="38">
        <v>112387</v>
      </c>
      <c r="P1219" s="36">
        <v>1</v>
      </c>
      <c r="Q1219" s="40">
        <v>46054</v>
      </c>
      <c r="R1219" s="36" t="s">
        <v>768</v>
      </c>
      <c r="S1219" s="36" t="s">
        <v>1972</v>
      </c>
      <c r="T1219" s="36" t="s">
        <v>387</v>
      </c>
      <c r="U1219" s="36" t="s">
        <v>388</v>
      </c>
      <c r="V1219" s="40">
        <v>46023</v>
      </c>
      <c r="W1219" s="36"/>
      <c r="X1219" s="36">
        <v>0</v>
      </c>
      <c r="Y1219" s="36"/>
      <c r="Z1219" s="36">
        <v>0</v>
      </c>
      <c r="AA1219" s="36">
        <v>0</v>
      </c>
      <c r="AB1219" s="36"/>
      <c r="AC1219" s="36" t="str">
        <f t="shared" si="7"/>
        <v>PC26</v>
      </c>
      <c r="AD1219" s="36" t="str">
        <f>VLOOKUP(D1219,Oficial!A:C,3,0)</f>
        <v>Administración de Fondos</v>
      </c>
    </row>
    <row r="1220" spans="1:30" x14ac:dyDescent="0.25">
      <c r="A1220" s="36" t="s">
        <v>27</v>
      </c>
      <c r="B1220" s="36" t="s">
        <v>1967</v>
      </c>
      <c r="C1220" s="36" t="s">
        <v>374</v>
      </c>
      <c r="D1220" s="36" t="s">
        <v>1967</v>
      </c>
      <c r="E1220" s="36" t="s">
        <v>45</v>
      </c>
      <c r="F1220" s="36" t="s">
        <v>569</v>
      </c>
      <c r="G1220" s="37" t="s">
        <v>1968</v>
      </c>
      <c r="H1220" s="36" t="s">
        <v>1969</v>
      </c>
      <c r="I1220" s="36" t="s">
        <v>1970</v>
      </c>
      <c r="J1220" s="36">
        <v>5</v>
      </c>
      <c r="K1220" s="36" t="s">
        <v>359</v>
      </c>
      <c r="L1220" s="36">
        <v>4</v>
      </c>
      <c r="M1220" s="36">
        <v>24</v>
      </c>
      <c r="N1220" s="38">
        <v>1805</v>
      </c>
      <c r="O1220" s="38">
        <v>43320</v>
      </c>
      <c r="P1220" s="36">
        <v>1</v>
      </c>
      <c r="Q1220" s="40">
        <v>46054</v>
      </c>
      <c r="R1220" s="36" t="s">
        <v>768</v>
      </c>
      <c r="S1220" s="36" t="s">
        <v>1972</v>
      </c>
      <c r="T1220" s="36" t="s">
        <v>387</v>
      </c>
      <c r="U1220" s="36" t="s">
        <v>388</v>
      </c>
      <c r="V1220" s="40">
        <v>46023</v>
      </c>
      <c r="W1220" s="36"/>
      <c r="X1220" s="36">
        <v>0</v>
      </c>
      <c r="Y1220" s="36"/>
      <c r="Z1220" s="36">
        <v>0</v>
      </c>
      <c r="AA1220" s="36">
        <v>0</v>
      </c>
      <c r="AB1220" s="36"/>
      <c r="AC1220" s="36" t="str">
        <f t="shared" si="7"/>
        <v>PC26</v>
      </c>
      <c r="AD1220" s="36" t="str">
        <f>VLOOKUP(D1220,Oficial!A:C,3,0)</f>
        <v>Administración de Fondos</v>
      </c>
    </row>
    <row r="1221" spans="1:30" x14ac:dyDescent="0.25">
      <c r="A1221" s="36" t="s">
        <v>27</v>
      </c>
      <c r="B1221" s="36" t="s">
        <v>1967</v>
      </c>
      <c r="C1221" s="36" t="s">
        <v>374</v>
      </c>
      <c r="D1221" s="36" t="s">
        <v>1967</v>
      </c>
      <c r="E1221" s="36" t="s">
        <v>45</v>
      </c>
      <c r="F1221" s="36" t="s">
        <v>569</v>
      </c>
      <c r="G1221" s="37" t="s">
        <v>1968</v>
      </c>
      <c r="H1221" s="36" t="s">
        <v>1969</v>
      </c>
      <c r="I1221" s="36" t="s">
        <v>1970</v>
      </c>
      <c r="J1221" s="36">
        <v>5</v>
      </c>
      <c r="K1221" s="36" t="s">
        <v>1973</v>
      </c>
      <c r="L1221" s="36">
        <v>4</v>
      </c>
      <c r="M1221" s="36">
        <v>18</v>
      </c>
      <c r="N1221" s="38">
        <v>1389</v>
      </c>
      <c r="O1221" s="38">
        <v>25002</v>
      </c>
      <c r="P1221" s="36">
        <v>1</v>
      </c>
      <c r="Q1221" s="40">
        <v>46054</v>
      </c>
      <c r="R1221" s="36" t="s">
        <v>768</v>
      </c>
      <c r="S1221" s="36" t="s">
        <v>1972</v>
      </c>
      <c r="T1221" s="36" t="s">
        <v>387</v>
      </c>
      <c r="U1221" s="36" t="s">
        <v>388</v>
      </c>
      <c r="V1221" s="40">
        <v>46023</v>
      </c>
      <c r="W1221" s="36"/>
      <c r="X1221" s="36">
        <v>0</v>
      </c>
      <c r="Y1221" s="36"/>
      <c r="Z1221" s="36">
        <v>0</v>
      </c>
      <c r="AA1221" s="36">
        <v>0</v>
      </c>
      <c r="AB1221" s="36"/>
      <c r="AC1221" s="36" t="str">
        <f t="shared" si="7"/>
        <v>PC26</v>
      </c>
      <c r="AD1221" s="36" t="str">
        <f>VLOOKUP(D1221,Oficial!A:C,3,0)</f>
        <v>Administración de Fondos</v>
      </c>
    </row>
    <row r="1222" spans="1:30" x14ac:dyDescent="0.25">
      <c r="A1222" s="36" t="s">
        <v>27</v>
      </c>
      <c r="B1222" s="36" t="s">
        <v>1967</v>
      </c>
      <c r="C1222" s="36" t="s">
        <v>374</v>
      </c>
      <c r="D1222" s="36" t="s">
        <v>1967</v>
      </c>
      <c r="E1222" s="36" t="s">
        <v>45</v>
      </c>
      <c r="F1222" s="36" t="s">
        <v>569</v>
      </c>
      <c r="G1222" s="37" t="s">
        <v>1968</v>
      </c>
      <c r="H1222" s="36" t="s">
        <v>1969</v>
      </c>
      <c r="I1222" s="36" t="s">
        <v>1970</v>
      </c>
      <c r="J1222" s="36">
        <v>5</v>
      </c>
      <c r="K1222" s="36" t="s">
        <v>1974</v>
      </c>
      <c r="L1222" s="36">
        <v>4</v>
      </c>
      <c r="M1222" s="36">
        <v>4</v>
      </c>
      <c r="N1222" s="38">
        <v>6250</v>
      </c>
      <c r="O1222" s="38">
        <v>25000</v>
      </c>
      <c r="P1222" s="36">
        <v>1</v>
      </c>
      <c r="Q1222" s="40">
        <v>46054</v>
      </c>
      <c r="R1222" s="36" t="s">
        <v>768</v>
      </c>
      <c r="S1222" s="36" t="s">
        <v>1972</v>
      </c>
      <c r="T1222" s="36" t="s">
        <v>387</v>
      </c>
      <c r="U1222" s="36" t="s">
        <v>388</v>
      </c>
      <c r="V1222" s="40">
        <v>46023</v>
      </c>
      <c r="W1222" s="36"/>
      <c r="X1222" s="36">
        <v>0</v>
      </c>
      <c r="Y1222" s="36"/>
      <c r="Z1222" s="36">
        <v>0</v>
      </c>
      <c r="AA1222" s="36">
        <v>0</v>
      </c>
      <c r="AB1222" s="36"/>
      <c r="AC1222" s="36" t="str">
        <f t="shared" si="7"/>
        <v>PC26</v>
      </c>
      <c r="AD1222" s="36" t="str">
        <f>VLOOKUP(D1222,Oficial!A:C,3,0)</f>
        <v>Administración de Fondos</v>
      </c>
    </row>
    <row r="1223" spans="1:30" x14ac:dyDescent="0.25">
      <c r="A1223" s="36" t="s">
        <v>27</v>
      </c>
      <c r="B1223" s="36" t="s">
        <v>1967</v>
      </c>
      <c r="C1223" s="36" t="s">
        <v>374</v>
      </c>
      <c r="D1223" s="36" t="s">
        <v>1967</v>
      </c>
      <c r="E1223" s="36" t="s">
        <v>45</v>
      </c>
      <c r="F1223" s="36" t="s">
        <v>569</v>
      </c>
      <c r="G1223" s="37" t="s">
        <v>1968</v>
      </c>
      <c r="H1223" s="36" t="s">
        <v>1969</v>
      </c>
      <c r="I1223" s="36" t="s">
        <v>1970</v>
      </c>
      <c r="J1223" s="36">
        <v>5</v>
      </c>
      <c r="K1223" s="36" t="s">
        <v>1975</v>
      </c>
      <c r="L1223" s="36">
        <v>4</v>
      </c>
      <c r="M1223" s="36">
        <v>1</v>
      </c>
      <c r="N1223" s="38">
        <v>1700</v>
      </c>
      <c r="O1223" s="38">
        <v>1700</v>
      </c>
      <c r="P1223" s="36">
        <v>1</v>
      </c>
      <c r="Q1223" s="40">
        <v>46054</v>
      </c>
      <c r="R1223" s="36" t="s">
        <v>768</v>
      </c>
      <c r="S1223" s="36" t="s">
        <v>1972</v>
      </c>
      <c r="T1223" s="36" t="s">
        <v>387</v>
      </c>
      <c r="U1223" s="36" t="s">
        <v>388</v>
      </c>
      <c r="V1223" s="40">
        <v>46023</v>
      </c>
      <c r="W1223" s="36"/>
      <c r="X1223" s="36">
        <v>0</v>
      </c>
      <c r="Y1223" s="36"/>
      <c r="Z1223" s="36">
        <v>0</v>
      </c>
      <c r="AA1223" s="36">
        <v>0</v>
      </c>
      <c r="AB1223" s="36"/>
      <c r="AC1223" s="36" t="str">
        <f t="shared" si="7"/>
        <v>PC26</v>
      </c>
      <c r="AD1223" s="36" t="str">
        <f>VLOOKUP(D1223,Oficial!A:C,3,0)</f>
        <v>Administración de Fondos</v>
      </c>
    </row>
    <row r="1224" spans="1:30" x14ac:dyDescent="0.25">
      <c r="A1224" s="36" t="s">
        <v>27</v>
      </c>
      <c r="B1224" s="36" t="s">
        <v>1976</v>
      </c>
      <c r="C1224" s="36" t="s">
        <v>28</v>
      </c>
      <c r="D1224" s="36" t="s">
        <v>1976</v>
      </c>
      <c r="E1224" s="36" t="s">
        <v>30</v>
      </c>
      <c r="F1224" s="36" t="s">
        <v>569</v>
      </c>
      <c r="G1224" s="37">
        <v>2591</v>
      </c>
      <c r="H1224" s="36" t="s">
        <v>1977</v>
      </c>
      <c r="I1224" s="36" t="s">
        <v>1978</v>
      </c>
      <c r="J1224" s="36">
        <v>1</v>
      </c>
      <c r="K1224" s="36" t="s">
        <v>1979</v>
      </c>
      <c r="L1224" s="36">
        <v>4</v>
      </c>
      <c r="M1224" s="36">
        <v>4</v>
      </c>
      <c r="N1224" s="38">
        <v>3996070</v>
      </c>
      <c r="O1224" s="38">
        <v>15984280</v>
      </c>
      <c r="P1224" s="36">
        <v>1</v>
      </c>
      <c r="Q1224" s="40">
        <v>46113</v>
      </c>
      <c r="R1224" s="36" t="s">
        <v>1660</v>
      </c>
      <c r="S1224" s="36" t="s">
        <v>1980</v>
      </c>
      <c r="T1224" s="36" t="s">
        <v>1662</v>
      </c>
      <c r="U1224" s="36" t="s">
        <v>1663</v>
      </c>
      <c r="V1224" s="40">
        <v>46113</v>
      </c>
      <c r="W1224" s="36"/>
      <c r="X1224" s="36">
        <v>0</v>
      </c>
      <c r="Y1224" s="36"/>
      <c r="Z1224" s="36">
        <v>0</v>
      </c>
      <c r="AA1224" s="36">
        <v>0</v>
      </c>
      <c r="AB1224" s="36"/>
      <c r="AC1224" s="36" t="str">
        <f t="shared" si="7"/>
        <v>PC26</v>
      </c>
      <c r="AD1224" s="36" t="str">
        <f>VLOOKUP(D1224,Oficial!A:C,3,0)</f>
        <v>Bienes y Servicios</v>
      </c>
    </row>
    <row r="1225" spans="1:30" x14ac:dyDescent="0.25">
      <c r="A1225" s="36" t="s">
        <v>27</v>
      </c>
      <c r="B1225" s="36" t="s">
        <v>1981</v>
      </c>
      <c r="C1225" s="36" t="s">
        <v>28</v>
      </c>
      <c r="D1225" s="36" t="s">
        <v>1981</v>
      </c>
      <c r="E1225" s="36" t="s">
        <v>30</v>
      </c>
      <c r="F1225" s="36" t="s">
        <v>569</v>
      </c>
      <c r="G1225" s="37" t="s">
        <v>757</v>
      </c>
      <c r="H1225" s="36" t="s">
        <v>1982</v>
      </c>
      <c r="I1225" s="36" t="s">
        <v>1983</v>
      </c>
      <c r="J1225" s="36">
        <v>2</v>
      </c>
      <c r="K1225" s="36" t="s">
        <v>1984</v>
      </c>
      <c r="L1225" s="36">
        <v>4</v>
      </c>
      <c r="M1225" s="36">
        <v>412</v>
      </c>
      <c r="N1225" s="38">
        <v>850</v>
      </c>
      <c r="O1225" s="38">
        <v>350200</v>
      </c>
      <c r="P1225" s="36">
        <v>1</v>
      </c>
      <c r="Q1225" s="40">
        <v>46023</v>
      </c>
      <c r="R1225" s="36" t="s">
        <v>1985</v>
      </c>
      <c r="S1225" s="36" t="s">
        <v>1986</v>
      </c>
      <c r="T1225" s="36" t="s">
        <v>1987</v>
      </c>
      <c r="U1225" s="36" t="s">
        <v>1988</v>
      </c>
      <c r="V1225" s="40">
        <v>46023</v>
      </c>
      <c r="W1225" s="36"/>
      <c r="X1225" s="36">
        <v>0</v>
      </c>
      <c r="Y1225" s="36"/>
      <c r="Z1225" s="36">
        <v>0</v>
      </c>
      <c r="AA1225" s="36">
        <v>0</v>
      </c>
      <c r="AB1225" s="36"/>
      <c r="AC1225" s="36" t="str">
        <f t="shared" si="7"/>
        <v>PC26</v>
      </c>
      <c r="AD1225" s="36" t="str">
        <f>VLOOKUP(D1225,Oficial!A:C,3,0)</f>
        <v>Bienes y Servicios</v>
      </c>
    </row>
    <row r="1226" spans="1:30" x14ac:dyDescent="0.25">
      <c r="A1226" s="36" t="s">
        <v>27</v>
      </c>
      <c r="B1226" s="36" t="s">
        <v>1981</v>
      </c>
      <c r="C1226" s="36" t="s">
        <v>28</v>
      </c>
      <c r="D1226" s="36" t="s">
        <v>1981</v>
      </c>
      <c r="E1226" s="36" t="s">
        <v>30</v>
      </c>
      <c r="F1226" s="36" t="s">
        <v>569</v>
      </c>
      <c r="G1226" s="37" t="s">
        <v>757</v>
      </c>
      <c r="H1226" s="36" t="s">
        <v>1982</v>
      </c>
      <c r="I1226" s="36" t="s">
        <v>1983</v>
      </c>
      <c r="J1226" s="36">
        <v>2</v>
      </c>
      <c r="K1226" s="36" t="s">
        <v>1989</v>
      </c>
      <c r="L1226" s="36">
        <v>4</v>
      </c>
      <c r="M1226" s="36">
        <v>1200</v>
      </c>
      <c r="N1226" s="38">
        <v>459</v>
      </c>
      <c r="O1226" s="38">
        <v>550800</v>
      </c>
      <c r="P1226" s="36">
        <v>1</v>
      </c>
      <c r="Q1226" s="40">
        <v>46023</v>
      </c>
      <c r="R1226" s="36" t="s">
        <v>1985</v>
      </c>
      <c r="S1226" s="36" t="s">
        <v>1986</v>
      </c>
      <c r="T1226" s="36" t="s">
        <v>1987</v>
      </c>
      <c r="U1226" s="36" t="s">
        <v>1988</v>
      </c>
      <c r="V1226" s="40">
        <v>46023</v>
      </c>
      <c r="W1226" s="36"/>
      <c r="X1226" s="36">
        <v>0</v>
      </c>
      <c r="Y1226" s="36"/>
      <c r="Z1226" s="36">
        <v>0</v>
      </c>
      <c r="AA1226" s="36">
        <v>0</v>
      </c>
      <c r="AB1226" s="36"/>
      <c r="AC1226" s="36" t="str">
        <f t="shared" si="7"/>
        <v>PC26</v>
      </c>
      <c r="AD1226" s="36" t="str">
        <f>VLOOKUP(D1226,Oficial!A:C,3,0)</f>
        <v>Bienes y Servicios</v>
      </c>
    </row>
    <row r="1227" spans="1:30" x14ac:dyDescent="0.25">
      <c r="A1227" s="36" t="s">
        <v>27</v>
      </c>
      <c r="B1227" s="36" t="s">
        <v>1990</v>
      </c>
      <c r="C1227" s="36" t="s">
        <v>28</v>
      </c>
      <c r="D1227" s="36" t="s">
        <v>1990</v>
      </c>
      <c r="E1227" s="36" t="s">
        <v>30</v>
      </c>
      <c r="F1227" s="36" t="s">
        <v>569</v>
      </c>
      <c r="G1227" s="37">
        <v>2594</v>
      </c>
      <c r="H1227" s="36" t="s">
        <v>1991</v>
      </c>
      <c r="I1227" s="36" t="s">
        <v>1992</v>
      </c>
      <c r="J1227" s="36">
        <v>1</v>
      </c>
      <c r="K1227" s="36" t="s">
        <v>1303</v>
      </c>
      <c r="L1227" s="36">
        <v>4</v>
      </c>
      <c r="M1227" s="36">
        <v>20</v>
      </c>
      <c r="N1227" s="38">
        <v>175000</v>
      </c>
      <c r="O1227" s="38">
        <v>3500000</v>
      </c>
      <c r="P1227" s="36">
        <v>1</v>
      </c>
      <c r="Q1227" s="40">
        <v>46113</v>
      </c>
      <c r="R1227" s="36" t="s">
        <v>414</v>
      </c>
      <c r="S1227" s="36" t="s">
        <v>1852</v>
      </c>
      <c r="T1227" s="36" t="s">
        <v>1706</v>
      </c>
      <c r="U1227" s="36" t="s">
        <v>417</v>
      </c>
      <c r="V1227" s="40">
        <v>46082</v>
      </c>
      <c r="W1227" s="36"/>
      <c r="X1227" s="36">
        <v>0</v>
      </c>
      <c r="Y1227" s="36"/>
      <c r="Z1227" s="36">
        <v>0</v>
      </c>
      <c r="AA1227" s="36">
        <v>0</v>
      </c>
      <c r="AB1227" s="36"/>
      <c r="AC1227" s="36" t="str">
        <f t="shared" si="7"/>
        <v>PC26</v>
      </c>
      <c r="AD1227" s="36" t="str">
        <f>VLOOKUP(D1227,Oficial!A:C,3,0)</f>
        <v>Bienes y Servicios</v>
      </c>
    </row>
    <row r="1228" spans="1:30" x14ac:dyDescent="0.25">
      <c r="A1228" s="36" t="s">
        <v>27</v>
      </c>
      <c r="B1228" s="36" t="s">
        <v>1993</v>
      </c>
      <c r="C1228" s="36" t="s">
        <v>28</v>
      </c>
      <c r="D1228" s="36" t="s">
        <v>1993</v>
      </c>
      <c r="E1228" s="36" t="s">
        <v>30</v>
      </c>
      <c r="F1228" s="36" t="s">
        <v>569</v>
      </c>
      <c r="G1228" s="37" t="s">
        <v>285</v>
      </c>
      <c r="H1228" s="36" t="s">
        <v>1994</v>
      </c>
      <c r="I1228" s="36" t="s">
        <v>1995</v>
      </c>
      <c r="J1228" s="36">
        <v>1</v>
      </c>
      <c r="K1228" s="36" t="s">
        <v>1959</v>
      </c>
      <c r="L1228" s="36">
        <v>4</v>
      </c>
      <c r="M1228" s="36">
        <v>870</v>
      </c>
      <c r="N1228" s="38">
        <v>17397</v>
      </c>
      <c r="O1228" s="38">
        <v>15135390</v>
      </c>
      <c r="P1228" s="36">
        <v>1</v>
      </c>
      <c r="Q1228" s="40">
        <v>46082</v>
      </c>
      <c r="R1228" s="36" t="s">
        <v>414</v>
      </c>
      <c r="S1228" s="36" t="s">
        <v>1996</v>
      </c>
      <c r="T1228" s="36" t="s">
        <v>1706</v>
      </c>
      <c r="U1228" s="36" t="s">
        <v>417</v>
      </c>
      <c r="V1228" s="40">
        <v>46082</v>
      </c>
      <c r="W1228" s="36"/>
      <c r="X1228" s="36">
        <v>0</v>
      </c>
      <c r="Y1228" s="36"/>
      <c r="Z1228" s="36">
        <v>0</v>
      </c>
      <c r="AA1228" s="36">
        <v>0</v>
      </c>
      <c r="AB1228" s="36"/>
      <c r="AC1228" s="36" t="str">
        <f t="shared" si="7"/>
        <v>PC26</v>
      </c>
      <c r="AD1228" s="36" t="str">
        <f>VLOOKUP(D1228,Oficial!A:C,3,0)</f>
        <v>Bienes y Servicios</v>
      </c>
    </row>
    <row r="1229" spans="1:30" x14ac:dyDescent="0.25">
      <c r="A1229" s="36" t="s">
        <v>27</v>
      </c>
      <c r="B1229" s="36" t="s">
        <v>1997</v>
      </c>
      <c r="C1229" s="36" t="s">
        <v>28</v>
      </c>
      <c r="D1229" s="36" t="s">
        <v>1997</v>
      </c>
      <c r="E1229" s="36" t="s">
        <v>30</v>
      </c>
      <c r="F1229" s="36" t="s">
        <v>569</v>
      </c>
      <c r="G1229" s="37">
        <v>2597</v>
      </c>
      <c r="H1229" s="36" t="s">
        <v>1998</v>
      </c>
      <c r="I1229" s="36" t="s">
        <v>1999</v>
      </c>
      <c r="J1229" s="36">
        <v>1</v>
      </c>
      <c r="K1229" s="36" t="s">
        <v>602</v>
      </c>
      <c r="L1229" s="36">
        <v>4</v>
      </c>
      <c r="M1229" s="36">
        <v>8</v>
      </c>
      <c r="N1229" s="38">
        <v>150000</v>
      </c>
      <c r="O1229" s="38">
        <v>1200000</v>
      </c>
      <c r="P1229" s="36">
        <v>1</v>
      </c>
      <c r="Q1229" s="40">
        <v>46113</v>
      </c>
      <c r="R1229" s="36" t="s">
        <v>1985</v>
      </c>
      <c r="S1229" s="36" t="s">
        <v>1986</v>
      </c>
      <c r="T1229" s="36" t="s">
        <v>1987</v>
      </c>
      <c r="U1229" s="36" t="s">
        <v>1988</v>
      </c>
      <c r="V1229" s="40">
        <v>46113</v>
      </c>
      <c r="W1229" s="36"/>
      <c r="X1229" s="36">
        <v>0</v>
      </c>
      <c r="Y1229" s="36"/>
      <c r="Z1229" s="36">
        <v>0</v>
      </c>
      <c r="AA1229" s="36">
        <v>0</v>
      </c>
      <c r="AB1229" s="36"/>
      <c r="AC1229" s="36" t="str">
        <f t="shared" si="7"/>
        <v>PC26</v>
      </c>
      <c r="AD1229" s="36" t="str">
        <f>VLOOKUP(D1229,Oficial!A:C,3,0)</f>
        <v>Bienes y Servicios</v>
      </c>
    </row>
    <row r="1230" spans="1:30" x14ac:dyDescent="0.25">
      <c r="A1230" s="36" t="s">
        <v>27</v>
      </c>
      <c r="B1230" s="36" t="s">
        <v>2000</v>
      </c>
      <c r="C1230" s="36" t="s">
        <v>28</v>
      </c>
      <c r="D1230" s="36" t="s">
        <v>2000</v>
      </c>
      <c r="E1230" s="36" t="s">
        <v>45</v>
      </c>
      <c r="F1230" s="36" t="s">
        <v>569</v>
      </c>
      <c r="G1230" s="37">
        <v>2598</v>
      </c>
      <c r="H1230" s="36" t="s">
        <v>2001</v>
      </c>
      <c r="I1230" s="36" t="s">
        <v>2002</v>
      </c>
      <c r="J1230" s="36">
        <v>2</v>
      </c>
      <c r="K1230" s="36" t="s">
        <v>2003</v>
      </c>
      <c r="L1230" s="36">
        <v>4</v>
      </c>
      <c r="M1230" s="36">
        <v>1000</v>
      </c>
      <c r="N1230" s="38">
        <v>10000</v>
      </c>
      <c r="O1230" s="38">
        <v>10000000</v>
      </c>
      <c r="P1230" s="36">
        <v>12</v>
      </c>
      <c r="Q1230" s="36" t="s">
        <v>413</v>
      </c>
      <c r="R1230" s="36" t="s">
        <v>1985</v>
      </c>
      <c r="S1230" s="36" t="s">
        <v>1986</v>
      </c>
      <c r="T1230" s="36" t="s">
        <v>1987</v>
      </c>
      <c r="U1230" s="36" t="s">
        <v>1988</v>
      </c>
      <c r="V1230" s="40">
        <v>46023</v>
      </c>
      <c r="W1230" s="36"/>
      <c r="X1230" s="36">
        <v>0</v>
      </c>
      <c r="Y1230" s="36"/>
      <c r="Z1230" s="36">
        <v>0</v>
      </c>
      <c r="AA1230" s="36">
        <v>0</v>
      </c>
      <c r="AB1230" s="36"/>
      <c r="AC1230" s="36" t="str">
        <f t="shared" si="7"/>
        <v>PC26</v>
      </c>
      <c r="AD1230" s="36" t="str">
        <f>VLOOKUP(D1230,Oficial!A:C,3,0)</f>
        <v>Bienes y Servicios</v>
      </c>
    </row>
    <row r="1231" spans="1:30" x14ac:dyDescent="0.25">
      <c r="A1231" s="36" t="s">
        <v>27</v>
      </c>
      <c r="B1231" s="36" t="s">
        <v>2000</v>
      </c>
      <c r="C1231" s="36" t="s">
        <v>28</v>
      </c>
      <c r="D1231" s="36" t="s">
        <v>2000</v>
      </c>
      <c r="E1231" s="36" t="s">
        <v>45</v>
      </c>
      <c r="F1231" s="36" t="s">
        <v>569</v>
      </c>
      <c r="G1231" s="37">
        <v>2598</v>
      </c>
      <c r="H1231" s="36" t="s">
        <v>2001</v>
      </c>
      <c r="I1231" s="36" t="s">
        <v>2002</v>
      </c>
      <c r="J1231" s="36">
        <v>2</v>
      </c>
      <c r="K1231" s="36" t="s">
        <v>2004</v>
      </c>
      <c r="L1231" s="36">
        <v>4</v>
      </c>
      <c r="M1231" s="36">
        <v>1000</v>
      </c>
      <c r="N1231" s="38">
        <v>10000</v>
      </c>
      <c r="O1231" s="38">
        <v>10000000</v>
      </c>
      <c r="P1231" s="36">
        <v>12</v>
      </c>
      <c r="Q1231" s="36" t="s">
        <v>413</v>
      </c>
      <c r="R1231" s="36" t="s">
        <v>1985</v>
      </c>
      <c r="S1231" s="36" t="s">
        <v>1986</v>
      </c>
      <c r="T1231" s="36" t="s">
        <v>1987</v>
      </c>
      <c r="U1231" s="36" t="s">
        <v>1988</v>
      </c>
      <c r="V1231" s="40">
        <v>46023</v>
      </c>
      <c r="W1231" s="36"/>
      <c r="X1231" s="36">
        <v>0</v>
      </c>
      <c r="Y1231" s="36"/>
      <c r="Z1231" s="36">
        <v>0</v>
      </c>
      <c r="AA1231" s="36">
        <v>0</v>
      </c>
      <c r="AB1231" s="36"/>
      <c r="AC1231" s="36" t="str">
        <f t="shared" si="7"/>
        <v>PC26</v>
      </c>
      <c r="AD1231" s="36" t="str">
        <f>VLOOKUP(D1231,Oficial!A:C,3,0)</f>
        <v>Bienes y Servicios</v>
      </c>
    </row>
    <row r="1232" spans="1:30" x14ac:dyDescent="0.25">
      <c r="A1232" s="36" t="s">
        <v>27</v>
      </c>
      <c r="B1232" s="36" t="s">
        <v>2005</v>
      </c>
      <c r="C1232" s="36" t="s">
        <v>28</v>
      </c>
      <c r="D1232" s="36" t="s">
        <v>2005</v>
      </c>
      <c r="E1232" s="36" t="s">
        <v>30</v>
      </c>
      <c r="F1232" s="36" t="s">
        <v>569</v>
      </c>
      <c r="G1232" s="37" t="s">
        <v>1902</v>
      </c>
      <c r="H1232" s="36" t="s">
        <v>2006</v>
      </c>
      <c r="I1232" s="36" t="s">
        <v>2007</v>
      </c>
      <c r="J1232" s="36">
        <v>4</v>
      </c>
      <c r="K1232" s="36" t="s">
        <v>359</v>
      </c>
      <c r="L1232" s="36">
        <v>4</v>
      </c>
      <c r="M1232" s="36">
        <v>685</v>
      </c>
      <c r="N1232" s="38">
        <v>231</v>
      </c>
      <c r="O1232" s="38">
        <v>158235</v>
      </c>
      <c r="P1232" s="36">
        <v>1</v>
      </c>
      <c r="Q1232" s="40">
        <v>46113</v>
      </c>
      <c r="R1232" s="36" t="s">
        <v>1469</v>
      </c>
      <c r="S1232" s="36" t="s">
        <v>2008</v>
      </c>
      <c r="T1232" s="36" t="s">
        <v>2009</v>
      </c>
      <c r="U1232" s="36" t="s">
        <v>1472</v>
      </c>
      <c r="V1232" s="40">
        <v>46082</v>
      </c>
      <c r="W1232" s="36"/>
      <c r="X1232" s="36">
        <v>0</v>
      </c>
      <c r="Y1232" s="36"/>
      <c r="Z1232" s="36">
        <v>0</v>
      </c>
      <c r="AA1232" s="36">
        <v>0</v>
      </c>
      <c r="AB1232" s="36"/>
      <c r="AC1232" s="36" t="str">
        <f t="shared" si="7"/>
        <v>PC26</v>
      </c>
      <c r="AD1232" s="36" t="str">
        <f>VLOOKUP(D1232,Oficial!A:C,3,0)</f>
        <v>Bienes y Servicios</v>
      </c>
    </row>
    <row r="1233" spans="1:30" x14ac:dyDescent="0.25">
      <c r="A1233" s="36" t="s">
        <v>27</v>
      </c>
      <c r="B1233" s="36" t="s">
        <v>2005</v>
      </c>
      <c r="C1233" s="36" t="s">
        <v>28</v>
      </c>
      <c r="D1233" s="36" t="s">
        <v>2005</v>
      </c>
      <c r="E1233" s="36" t="s">
        <v>30</v>
      </c>
      <c r="F1233" s="36" t="s">
        <v>569</v>
      </c>
      <c r="G1233" s="37" t="s">
        <v>1902</v>
      </c>
      <c r="H1233" s="36" t="s">
        <v>2006</v>
      </c>
      <c r="I1233" s="36" t="s">
        <v>2007</v>
      </c>
      <c r="J1233" s="36">
        <v>4</v>
      </c>
      <c r="K1233" s="36" t="s">
        <v>2010</v>
      </c>
      <c r="L1233" s="36">
        <v>4</v>
      </c>
      <c r="M1233" s="36">
        <v>200</v>
      </c>
      <c r="N1233" s="38">
        <v>100</v>
      </c>
      <c r="O1233" s="38">
        <v>20000</v>
      </c>
      <c r="P1233" s="36">
        <v>1</v>
      </c>
      <c r="Q1233" s="40">
        <v>46174</v>
      </c>
      <c r="R1233" s="36" t="s">
        <v>1469</v>
      </c>
      <c r="S1233" s="36" t="s">
        <v>2008</v>
      </c>
      <c r="T1233" s="36" t="s">
        <v>2009</v>
      </c>
      <c r="U1233" s="36" t="s">
        <v>1472</v>
      </c>
      <c r="V1233" s="40">
        <v>46143</v>
      </c>
      <c r="W1233" s="36"/>
      <c r="X1233" s="36">
        <v>0</v>
      </c>
      <c r="Y1233" s="36"/>
      <c r="Z1233" s="36">
        <v>0</v>
      </c>
      <c r="AA1233" s="36">
        <v>0</v>
      </c>
      <c r="AB1233" s="36"/>
      <c r="AC1233" s="36" t="str">
        <f t="shared" si="7"/>
        <v>PC26</v>
      </c>
      <c r="AD1233" s="36" t="str">
        <f>VLOOKUP(D1233,Oficial!A:C,3,0)</f>
        <v>Bienes y Servicios</v>
      </c>
    </row>
    <row r="1234" spans="1:30" x14ac:dyDescent="0.25">
      <c r="A1234" s="36" t="s">
        <v>27</v>
      </c>
      <c r="B1234" s="36" t="s">
        <v>2005</v>
      </c>
      <c r="C1234" s="36" t="s">
        <v>28</v>
      </c>
      <c r="D1234" s="36" t="s">
        <v>2005</v>
      </c>
      <c r="E1234" s="36" t="s">
        <v>30</v>
      </c>
      <c r="F1234" s="36" t="s">
        <v>569</v>
      </c>
      <c r="G1234" s="37" t="s">
        <v>1902</v>
      </c>
      <c r="H1234" s="36" t="s">
        <v>2006</v>
      </c>
      <c r="I1234" s="36" t="s">
        <v>2007</v>
      </c>
      <c r="J1234" s="36">
        <v>4</v>
      </c>
      <c r="K1234" s="36" t="s">
        <v>1406</v>
      </c>
      <c r="L1234" s="36">
        <v>4</v>
      </c>
      <c r="M1234" s="36">
        <v>4</v>
      </c>
      <c r="N1234" s="38">
        <v>1000</v>
      </c>
      <c r="O1234" s="38">
        <v>4000</v>
      </c>
      <c r="P1234" s="36">
        <v>1</v>
      </c>
      <c r="Q1234" s="40">
        <v>46174</v>
      </c>
      <c r="R1234" s="36" t="s">
        <v>1469</v>
      </c>
      <c r="S1234" s="36" t="s">
        <v>2008</v>
      </c>
      <c r="T1234" s="36" t="s">
        <v>2009</v>
      </c>
      <c r="U1234" s="36" t="s">
        <v>1472</v>
      </c>
      <c r="V1234" s="40">
        <v>46143</v>
      </c>
      <c r="W1234" s="36"/>
      <c r="X1234" s="36">
        <v>0</v>
      </c>
      <c r="Y1234" s="36"/>
      <c r="Z1234" s="36">
        <v>0</v>
      </c>
      <c r="AA1234" s="36">
        <v>0</v>
      </c>
      <c r="AB1234" s="36"/>
      <c r="AC1234" s="36" t="str">
        <f t="shared" si="7"/>
        <v>PC26</v>
      </c>
      <c r="AD1234" s="36" t="str">
        <f>VLOOKUP(D1234,Oficial!A:C,3,0)</f>
        <v>Bienes y Servicios</v>
      </c>
    </row>
    <row r="1235" spans="1:30" x14ac:dyDescent="0.25">
      <c r="A1235" s="36" t="s">
        <v>27</v>
      </c>
      <c r="B1235" s="36" t="s">
        <v>2005</v>
      </c>
      <c r="C1235" s="36" t="s">
        <v>28</v>
      </c>
      <c r="D1235" s="36" t="s">
        <v>2005</v>
      </c>
      <c r="E1235" s="36" t="s">
        <v>30</v>
      </c>
      <c r="F1235" s="36" t="s">
        <v>569</v>
      </c>
      <c r="G1235" s="37" t="s">
        <v>1902</v>
      </c>
      <c r="H1235" s="36" t="s">
        <v>2006</v>
      </c>
      <c r="I1235" s="36" t="s">
        <v>2007</v>
      </c>
      <c r="J1235" s="36">
        <v>4</v>
      </c>
      <c r="K1235" s="36" t="s">
        <v>1954</v>
      </c>
      <c r="L1235" s="36">
        <v>4</v>
      </c>
      <c r="M1235" s="36">
        <v>452</v>
      </c>
      <c r="N1235" s="38">
        <v>1613</v>
      </c>
      <c r="O1235" s="38">
        <v>729076</v>
      </c>
      <c r="P1235" s="36">
        <v>1</v>
      </c>
      <c r="Q1235" s="40">
        <v>46082</v>
      </c>
      <c r="R1235" s="36" t="s">
        <v>1469</v>
      </c>
      <c r="S1235" s="36" t="s">
        <v>2008</v>
      </c>
      <c r="T1235" s="36" t="s">
        <v>2009</v>
      </c>
      <c r="U1235" s="36" t="s">
        <v>1472</v>
      </c>
      <c r="V1235" s="40">
        <v>46054</v>
      </c>
      <c r="W1235" s="36"/>
      <c r="X1235" s="36">
        <v>0</v>
      </c>
      <c r="Y1235" s="36"/>
      <c r="Z1235" s="36">
        <v>0</v>
      </c>
      <c r="AA1235" s="36">
        <v>0</v>
      </c>
      <c r="AB1235" s="36"/>
      <c r="AC1235" s="36" t="str">
        <f t="shared" si="7"/>
        <v>PC26</v>
      </c>
      <c r="AD1235" s="36" t="str">
        <f>VLOOKUP(D1235,Oficial!A:C,3,0)</f>
        <v>Bienes y Servicios</v>
      </c>
    </row>
    <row r="1236" spans="1:30" x14ac:dyDescent="0.25">
      <c r="A1236" s="36" t="s">
        <v>27</v>
      </c>
      <c r="B1236" s="36" t="s">
        <v>2011</v>
      </c>
      <c r="C1236" s="36" t="s">
        <v>28</v>
      </c>
      <c r="D1236" s="36" t="s">
        <v>2011</v>
      </c>
      <c r="E1236" s="36" t="s">
        <v>30</v>
      </c>
      <c r="F1236" s="36" t="s">
        <v>569</v>
      </c>
      <c r="G1236" s="37">
        <v>2599</v>
      </c>
      <c r="H1236" s="36" t="s">
        <v>2012</v>
      </c>
      <c r="I1236" s="36" t="s">
        <v>2013</v>
      </c>
      <c r="J1236" s="36">
        <v>2</v>
      </c>
      <c r="K1236" s="36" t="s">
        <v>2014</v>
      </c>
      <c r="L1236" s="36">
        <v>4</v>
      </c>
      <c r="M1236" s="36">
        <v>1000</v>
      </c>
      <c r="N1236" s="38">
        <v>10000</v>
      </c>
      <c r="O1236" s="38">
        <v>10000000</v>
      </c>
      <c r="P1236" s="36">
        <v>12</v>
      </c>
      <c r="Q1236" s="36" t="s">
        <v>413</v>
      </c>
      <c r="R1236" s="36" t="s">
        <v>1985</v>
      </c>
      <c r="S1236" s="36" t="s">
        <v>1986</v>
      </c>
      <c r="T1236" s="36" t="s">
        <v>1987</v>
      </c>
      <c r="U1236" s="36" t="s">
        <v>1988</v>
      </c>
      <c r="V1236" s="40">
        <v>46023</v>
      </c>
      <c r="W1236" s="36"/>
      <c r="X1236" s="36">
        <v>0</v>
      </c>
      <c r="Y1236" s="36"/>
      <c r="Z1236" s="36">
        <v>0</v>
      </c>
      <c r="AA1236" s="36">
        <v>0</v>
      </c>
      <c r="AB1236" s="36"/>
      <c r="AC1236" s="36" t="str">
        <f t="shared" si="7"/>
        <v>PC26</v>
      </c>
      <c r="AD1236" s="36" t="str">
        <f>VLOOKUP(D1236,Oficial!A:C,3,0)</f>
        <v>Bienes y Servicios</v>
      </c>
    </row>
    <row r="1237" spans="1:30" x14ac:dyDescent="0.25">
      <c r="A1237" s="36" t="s">
        <v>27</v>
      </c>
      <c r="B1237" s="36" t="s">
        <v>2011</v>
      </c>
      <c r="C1237" s="36" t="s">
        <v>28</v>
      </c>
      <c r="D1237" s="36" t="s">
        <v>2011</v>
      </c>
      <c r="E1237" s="36" t="s">
        <v>30</v>
      </c>
      <c r="F1237" s="36" t="s">
        <v>569</v>
      </c>
      <c r="G1237" s="37">
        <v>2599</v>
      </c>
      <c r="H1237" s="36" t="s">
        <v>2012</v>
      </c>
      <c r="I1237" s="36" t="s">
        <v>2013</v>
      </c>
      <c r="J1237" s="36">
        <v>2</v>
      </c>
      <c r="K1237" s="36" t="s">
        <v>2015</v>
      </c>
      <c r="L1237" s="36">
        <v>4</v>
      </c>
      <c r="M1237" s="36">
        <v>12000</v>
      </c>
      <c r="N1237" s="38">
        <v>3334</v>
      </c>
      <c r="O1237" s="38">
        <v>40008000</v>
      </c>
      <c r="P1237" s="36">
        <v>12</v>
      </c>
      <c r="Q1237" s="36" t="s">
        <v>413</v>
      </c>
      <c r="R1237" s="36" t="s">
        <v>1985</v>
      </c>
      <c r="S1237" s="36" t="s">
        <v>1986</v>
      </c>
      <c r="T1237" s="36" t="s">
        <v>1987</v>
      </c>
      <c r="U1237" s="36" t="s">
        <v>1988</v>
      </c>
      <c r="V1237" s="40">
        <v>46023</v>
      </c>
      <c r="W1237" s="36"/>
      <c r="X1237" s="36">
        <v>0</v>
      </c>
      <c r="Y1237" s="36"/>
      <c r="Z1237" s="36">
        <v>0</v>
      </c>
      <c r="AA1237" s="36">
        <v>0</v>
      </c>
      <c r="AB1237" s="36"/>
      <c r="AC1237" s="36" t="str">
        <f t="shared" si="7"/>
        <v>PC26</v>
      </c>
      <c r="AD1237" s="36" t="str">
        <f>VLOOKUP(D1237,Oficial!A:C,3,0)</f>
        <v>Bienes y Servicios</v>
      </c>
    </row>
    <row r="1238" spans="1:30" x14ac:dyDescent="0.25">
      <c r="A1238" s="36" t="s">
        <v>27</v>
      </c>
      <c r="B1238" s="36" t="s">
        <v>2016</v>
      </c>
      <c r="C1238" s="36" t="s">
        <v>28</v>
      </c>
      <c r="D1238" s="36" t="s">
        <v>2016</v>
      </c>
      <c r="E1238" s="36" t="s">
        <v>30</v>
      </c>
      <c r="F1238" s="36" t="s">
        <v>569</v>
      </c>
      <c r="G1238" s="37" t="s">
        <v>654</v>
      </c>
      <c r="H1238" s="36" t="s">
        <v>2017</v>
      </c>
      <c r="I1238" s="36" t="s">
        <v>2018</v>
      </c>
      <c r="J1238" s="36">
        <v>3</v>
      </c>
      <c r="K1238" s="36" t="s">
        <v>740</v>
      </c>
      <c r="L1238" s="36">
        <v>4</v>
      </c>
      <c r="M1238" s="36">
        <v>22</v>
      </c>
      <c r="N1238" s="38">
        <v>2955</v>
      </c>
      <c r="O1238" s="38">
        <v>65010</v>
      </c>
      <c r="P1238" s="36">
        <v>1</v>
      </c>
      <c r="Q1238" s="40">
        <v>46082</v>
      </c>
      <c r="R1238" s="36" t="s">
        <v>1963</v>
      </c>
      <c r="S1238" s="36" t="s">
        <v>1964</v>
      </c>
      <c r="T1238" s="36" t="s">
        <v>1212</v>
      </c>
      <c r="U1238" s="36" t="s">
        <v>1965</v>
      </c>
      <c r="V1238" s="40">
        <v>46082</v>
      </c>
      <c r="W1238" s="36"/>
      <c r="X1238" s="36">
        <v>0</v>
      </c>
      <c r="Y1238" s="36"/>
      <c r="Z1238" s="36">
        <v>0</v>
      </c>
      <c r="AA1238" s="36">
        <v>0</v>
      </c>
      <c r="AB1238" s="36"/>
      <c r="AC1238" s="36" t="str">
        <f t="shared" si="7"/>
        <v>PC26</v>
      </c>
      <c r="AD1238" s="36" t="str">
        <f>VLOOKUP(D1238,Oficial!A:C,3,0)</f>
        <v>Bienes y Servicios</v>
      </c>
    </row>
    <row r="1239" spans="1:30" x14ac:dyDescent="0.25">
      <c r="A1239" s="36" t="s">
        <v>27</v>
      </c>
      <c r="B1239" s="36" t="s">
        <v>2016</v>
      </c>
      <c r="C1239" s="36" t="s">
        <v>28</v>
      </c>
      <c r="D1239" s="36" t="s">
        <v>2016</v>
      </c>
      <c r="E1239" s="36" t="s">
        <v>30</v>
      </c>
      <c r="F1239" s="36" t="s">
        <v>569</v>
      </c>
      <c r="G1239" s="37" t="s">
        <v>654</v>
      </c>
      <c r="H1239" s="36" t="s">
        <v>2017</v>
      </c>
      <c r="I1239" s="36" t="s">
        <v>2018</v>
      </c>
      <c r="J1239" s="36">
        <v>3</v>
      </c>
      <c r="K1239" s="36" t="s">
        <v>2019</v>
      </c>
      <c r="L1239" s="36">
        <v>4</v>
      </c>
      <c r="M1239" s="36">
        <v>22</v>
      </c>
      <c r="N1239" s="38">
        <v>2046</v>
      </c>
      <c r="O1239" s="38">
        <v>45012</v>
      </c>
      <c r="P1239" s="36">
        <v>1</v>
      </c>
      <c r="Q1239" s="40">
        <v>46082</v>
      </c>
      <c r="R1239" s="36" t="s">
        <v>1963</v>
      </c>
      <c r="S1239" s="36" t="s">
        <v>1964</v>
      </c>
      <c r="T1239" s="36" t="s">
        <v>1212</v>
      </c>
      <c r="U1239" s="36" t="s">
        <v>1965</v>
      </c>
      <c r="V1239" s="40">
        <v>46082</v>
      </c>
      <c r="W1239" s="36"/>
      <c r="X1239" s="36">
        <v>0</v>
      </c>
      <c r="Y1239" s="36"/>
      <c r="Z1239" s="36">
        <v>0</v>
      </c>
      <c r="AA1239" s="36">
        <v>0</v>
      </c>
      <c r="AB1239" s="36"/>
      <c r="AC1239" s="36" t="str">
        <f t="shared" ref="AC1239:AC1302" si="8">RIGHT(D1239,4)</f>
        <v>PC26</v>
      </c>
      <c r="AD1239" s="36" t="str">
        <f>VLOOKUP(D1239,Oficial!A:C,3,0)</f>
        <v>Bienes y Servicios</v>
      </c>
    </row>
    <row r="1240" spans="1:30" x14ac:dyDescent="0.25">
      <c r="A1240" s="36" t="s">
        <v>27</v>
      </c>
      <c r="B1240" s="36" t="s">
        <v>2016</v>
      </c>
      <c r="C1240" s="36" t="s">
        <v>28</v>
      </c>
      <c r="D1240" s="36" t="s">
        <v>2016</v>
      </c>
      <c r="E1240" s="36" t="s">
        <v>30</v>
      </c>
      <c r="F1240" s="36" t="s">
        <v>569</v>
      </c>
      <c r="G1240" s="37" t="s">
        <v>654</v>
      </c>
      <c r="H1240" s="36" t="s">
        <v>2017</v>
      </c>
      <c r="I1240" s="36" t="s">
        <v>2018</v>
      </c>
      <c r="J1240" s="36">
        <v>3</v>
      </c>
      <c r="K1240" s="36" t="s">
        <v>962</v>
      </c>
      <c r="L1240" s="36">
        <v>4</v>
      </c>
      <c r="M1240" s="36">
        <v>22</v>
      </c>
      <c r="N1240" s="38">
        <v>5455</v>
      </c>
      <c r="O1240" s="38">
        <v>120010</v>
      </c>
      <c r="P1240" s="36">
        <v>1</v>
      </c>
      <c r="Q1240" s="40">
        <v>46082</v>
      </c>
      <c r="R1240" s="36" t="s">
        <v>1963</v>
      </c>
      <c r="S1240" s="36" t="s">
        <v>1964</v>
      </c>
      <c r="T1240" s="36" t="s">
        <v>1212</v>
      </c>
      <c r="U1240" s="36" t="s">
        <v>1965</v>
      </c>
      <c r="V1240" s="40">
        <v>46082</v>
      </c>
      <c r="W1240" s="36"/>
      <c r="X1240" s="36">
        <v>0</v>
      </c>
      <c r="Y1240" s="36"/>
      <c r="Z1240" s="36">
        <v>0</v>
      </c>
      <c r="AA1240" s="36">
        <v>0</v>
      </c>
      <c r="AB1240" s="36"/>
      <c r="AC1240" s="36" t="str">
        <f t="shared" si="8"/>
        <v>PC26</v>
      </c>
      <c r="AD1240" s="36" t="str">
        <f>VLOOKUP(D1240,Oficial!A:C,3,0)</f>
        <v>Bienes y Servicios</v>
      </c>
    </row>
    <row r="1241" spans="1:30" x14ac:dyDescent="0.25">
      <c r="A1241" s="36" t="s">
        <v>27</v>
      </c>
      <c r="B1241" s="36" t="s">
        <v>2020</v>
      </c>
      <c r="C1241" s="36" t="s">
        <v>28</v>
      </c>
      <c r="D1241" s="36" t="s">
        <v>2020</v>
      </c>
      <c r="E1241" s="36" t="s">
        <v>30</v>
      </c>
      <c r="F1241" s="36" t="s">
        <v>569</v>
      </c>
      <c r="G1241" s="37">
        <v>2601</v>
      </c>
      <c r="H1241" s="36" t="s">
        <v>2021</v>
      </c>
      <c r="I1241" s="36" t="s">
        <v>2022</v>
      </c>
      <c r="J1241" s="36">
        <v>1</v>
      </c>
      <c r="K1241" s="36" t="s">
        <v>2023</v>
      </c>
      <c r="L1241" s="36">
        <v>4</v>
      </c>
      <c r="M1241" s="36">
        <v>15</v>
      </c>
      <c r="N1241" s="38">
        <v>46667</v>
      </c>
      <c r="O1241" s="38">
        <v>700005</v>
      </c>
      <c r="P1241" s="36">
        <v>1</v>
      </c>
      <c r="Q1241" s="40">
        <v>46023</v>
      </c>
      <c r="R1241" s="36" t="s">
        <v>1985</v>
      </c>
      <c r="S1241" s="36" t="s">
        <v>1986</v>
      </c>
      <c r="T1241" s="36" t="s">
        <v>1987</v>
      </c>
      <c r="U1241" s="36" t="s">
        <v>1988</v>
      </c>
      <c r="V1241" s="40">
        <v>46023</v>
      </c>
      <c r="W1241" s="36"/>
      <c r="X1241" s="36">
        <v>0</v>
      </c>
      <c r="Y1241" s="36"/>
      <c r="Z1241" s="36">
        <v>0</v>
      </c>
      <c r="AA1241" s="36">
        <v>0</v>
      </c>
      <c r="AB1241" s="36"/>
      <c r="AC1241" s="36" t="str">
        <f t="shared" si="8"/>
        <v>PC26</v>
      </c>
      <c r="AD1241" s="36" t="str">
        <f>VLOOKUP(D1241,Oficial!A:C,3,0)</f>
        <v>Bienes y Servicios</v>
      </c>
    </row>
    <row r="1242" spans="1:30" x14ac:dyDescent="0.25">
      <c r="A1242" s="36" t="s">
        <v>27</v>
      </c>
      <c r="B1242" s="36" t="s">
        <v>2024</v>
      </c>
      <c r="C1242" s="36" t="s">
        <v>28</v>
      </c>
      <c r="D1242" s="36" t="s">
        <v>2024</v>
      </c>
      <c r="E1242" s="36" t="s">
        <v>30</v>
      </c>
      <c r="F1242" s="36" t="s">
        <v>569</v>
      </c>
      <c r="G1242" s="37" t="s">
        <v>314</v>
      </c>
      <c r="H1242" s="36" t="s">
        <v>2025</v>
      </c>
      <c r="I1242" s="36" t="s">
        <v>2026</v>
      </c>
      <c r="J1242" s="36">
        <v>1</v>
      </c>
      <c r="K1242" s="36" t="s">
        <v>2027</v>
      </c>
      <c r="L1242" s="36">
        <v>4</v>
      </c>
      <c r="M1242" s="36">
        <v>1</v>
      </c>
      <c r="N1242" s="38">
        <v>10000000</v>
      </c>
      <c r="O1242" s="38">
        <v>10000000</v>
      </c>
      <c r="P1242" s="36">
        <v>12</v>
      </c>
      <c r="Q1242" s="36" t="s">
        <v>413</v>
      </c>
      <c r="R1242" s="36" t="s">
        <v>1985</v>
      </c>
      <c r="S1242" s="36" t="s">
        <v>1986</v>
      </c>
      <c r="T1242" s="36" t="s">
        <v>1987</v>
      </c>
      <c r="U1242" s="36" t="s">
        <v>1988</v>
      </c>
      <c r="V1242" s="40">
        <v>46023</v>
      </c>
      <c r="W1242" s="36"/>
      <c r="X1242" s="36">
        <v>0</v>
      </c>
      <c r="Y1242" s="36"/>
      <c r="Z1242" s="36">
        <v>0</v>
      </c>
      <c r="AA1242" s="36">
        <v>0</v>
      </c>
      <c r="AB1242" s="36"/>
      <c r="AC1242" s="36" t="str">
        <f t="shared" si="8"/>
        <v>PC26</v>
      </c>
      <c r="AD1242" s="36" t="str">
        <f>VLOOKUP(D1242,Oficial!A:C,3,0)</f>
        <v>Bienes y Servicios</v>
      </c>
    </row>
    <row r="1243" spans="1:30" x14ac:dyDescent="0.25">
      <c r="A1243" s="36" t="s">
        <v>27</v>
      </c>
      <c r="B1243" s="36" t="s">
        <v>2028</v>
      </c>
      <c r="C1243" s="36" t="s">
        <v>374</v>
      </c>
      <c r="D1243" s="36" t="s">
        <v>2028</v>
      </c>
      <c r="E1243" s="36" t="s">
        <v>30</v>
      </c>
      <c r="F1243" s="36" t="s">
        <v>569</v>
      </c>
      <c r="G1243" s="37">
        <v>2603</v>
      </c>
      <c r="H1243" s="36" t="s">
        <v>2029</v>
      </c>
      <c r="I1243" s="36" t="s">
        <v>2030</v>
      </c>
      <c r="J1243" s="36">
        <v>8</v>
      </c>
      <c r="K1243" s="36" t="s">
        <v>2031</v>
      </c>
      <c r="L1243" s="36">
        <v>4</v>
      </c>
      <c r="M1243" s="36">
        <v>500</v>
      </c>
      <c r="N1243" s="38">
        <v>1200</v>
      </c>
      <c r="O1243" s="38">
        <v>600000</v>
      </c>
      <c r="P1243" s="36">
        <v>1</v>
      </c>
      <c r="Q1243" s="40">
        <v>46082</v>
      </c>
      <c r="R1243" s="36" t="s">
        <v>2032</v>
      </c>
      <c r="S1243" s="36" t="s">
        <v>2033</v>
      </c>
      <c r="T1243" s="36" t="s">
        <v>2034</v>
      </c>
      <c r="U1243" s="36" t="s">
        <v>2035</v>
      </c>
      <c r="V1243" s="40">
        <v>46082</v>
      </c>
      <c r="W1243" s="36"/>
      <c r="X1243" s="36">
        <v>0</v>
      </c>
      <c r="Y1243" s="36"/>
      <c r="Z1243" s="36">
        <v>0</v>
      </c>
      <c r="AA1243" s="36">
        <v>0</v>
      </c>
      <c r="AB1243" s="36"/>
      <c r="AC1243" s="36" t="str">
        <f t="shared" si="8"/>
        <v>PC26</v>
      </c>
      <c r="AD1243" s="36" t="str">
        <f>VLOOKUP(D1243,Oficial!A:C,3,0)</f>
        <v>Administración de Fondos</v>
      </c>
    </row>
    <row r="1244" spans="1:30" x14ac:dyDescent="0.25">
      <c r="A1244" s="36" t="s">
        <v>27</v>
      </c>
      <c r="B1244" s="36" t="s">
        <v>2028</v>
      </c>
      <c r="C1244" s="36" t="s">
        <v>374</v>
      </c>
      <c r="D1244" s="36" t="s">
        <v>2028</v>
      </c>
      <c r="E1244" s="36" t="s">
        <v>30</v>
      </c>
      <c r="F1244" s="36" t="s">
        <v>569</v>
      </c>
      <c r="G1244" s="37">
        <v>2603</v>
      </c>
      <c r="H1244" s="36" t="s">
        <v>2029</v>
      </c>
      <c r="I1244" s="36" t="s">
        <v>2030</v>
      </c>
      <c r="J1244" s="36">
        <v>8</v>
      </c>
      <c r="K1244" s="36" t="s">
        <v>1678</v>
      </c>
      <c r="L1244" s="36">
        <v>4</v>
      </c>
      <c r="M1244" s="36">
        <v>2</v>
      </c>
      <c r="N1244" s="38">
        <v>197770</v>
      </c>
      <c r="O1244" s="38">
        <v>395540</v>
      </c>
      <c r="P1244" s="36">
        <v>1</v>
      </c>
      <c r="Q1244" s="40">
        <v>46082</v>
      </c>
      <c r="R1244" s="36" t="s">
        <v>2032</v>
      </c>
      <c r="S1244" s="36" t="s">
        <v>2033</v>
      </c>
      <c r="T1244" s="36" t="s">
        <v>2034</v>
      </c>
      <c r="U1244" s="36" t="s">
        <v>2035</v>
      </c>
      <c r="V1244" s="40">
        <v>46082</v>
      </c>
      <c r="W1244" s="36"/>
      <c r="X1244" s="36">
        <v>0</v>
      </c>
      <c r="Y1244" s="36"/>
      <c r="Z1244" s="36">
        <v>0</v>
      </c>
      <c r="AA1244" s="36">
        <v>0</v>
      </c>
      <c r="AB1244" s="36"/>
      <c r="AC1244" s="36" t="str">
        <f t="shared" si="8"/>
        <v>PC26</v>
      </c>
      <c r="AD1244" s="36" t="str">
        <f>VLOOKUP(D1244,Oficial!A:C,3,0)</f>
        <v>Administración de Fondos</v>
      </c>
    </row>
    <row r="1245" spans="1:30" x14ac:dyDescent="0.25">
      <c r="A1245" s="36" t="s">
        <v>27</v>
      </c>
      <c r="B1245" s="36" t="s">
        <v>2028</v>
      </c>
      <c r="C1245" s="36" t="s">
        <v>374</v>
      </c>
      <c r="D1245" s="36" t="s">
        <v>2028</v>
      </c>
      <c r="E1245" s="36" t="s">
        <v>30</v>
      </c>
      <c r="F1245" s="36" t="s">
        <v>569</v>
      </c>
      <c r="G1245" s="37">
        <v>2603</v>
      </c>
      <c r="H1245" s="36" t="s">
        <v>2029</v>
      </c>
      <c r="I1245" s="36" t="s">
        <v>2030</v>
      </c>
      <c r="J1245" s="36">
        <v>8</v>
      </c>
      <c r="K1245" s="36" t="s">
        <v>370</v>
      </c>
      <c r="L1245" s="36">
        <v>4</v>
      </c>
      <c r="M1245" s="36">
        <v>1</v>
      </c>
      <c r="N1245" s="38">
        <v>250000</v>
      </c>
      <c r="O1245" s="38">
        <v>250000</v>
      </c>
      <c r="P1245" s="36">
        <v>1</v>
      </c>
      <c r="Q1245" s="40">
        <v>46082</v>
      </c>
      <c r="R1245" s="36" t="s">
        <v>2032</v>
      </c>
      <c r="S1245" s="36" t="s">
        <v>2033</v>
      </c>
      <c r="T1245" s="36" t="s">
        <v>2034</v>
      </c>
      <c r="U1245" s="36" t="s">
        <v>2035</v>
      </c>
      <c r="V1245" s="40">
        <v>46082</v>
      </c>
      <c r="W1245" s="36"/>
      <c r="X1245" s="36">
        <v>0</v>
      </c>
      <c r="Y1245" s="36"/>
      <c r="Z1245" s="36">
        <v>0</v>
      </c>
      <c r="AA1245" s="36">
        <v>0</v>
      </c>
      <c r="AB1245" s="36"/>
      <c r="AC1245" s="36" t="str">
        <f t="shared" si="8"/>
        <v>PC26</v>
      </c>
      <c r="AD1245" s="36" t="str">
        <f>VLOOKUP(D1245,Oficial!A:C,3,0)</f>
        <v>Administración de Fondos</v>
      </c>
    </row>
    <row r="1246" spans="1:30" x14ac:dyDescent="0.25">
      <c r="A1246" s="36" t="s">
        <v>27</v>
      </c>
      <c r="B1246" s="36" t="s">
        <v>2028</v>
      </c>
      <c r="C1246" s="36" t="s">
        <v>374</v>
      </c>
      <c r="D1246" s="36" t="s">
        <v>2028</v>
      </c>
      <c r="E1246" s="36" t="s">
        <v>30</v>
      </c>
      <c r="F1246" s="36" t="s">
        <v>569</v>
      </c>
      <c r="G1246" s="37">
        <v>2603</v>
      </c>
      <c r="H1246" s="36" t="s">
        <v>2029</v>
      </c>
      <c r="I1246" s="36" t="s">
        <v>2030</v>
      </c>
      <c r="J1246" s="36">
        <v>8</v>
      </c>
      <c r="K1246" s="36" t="s">
        <v>831</v>
      </c>
      <c r="L1246" s="36">
        <v>4</v>
      </c>
      <c r="M1246" s="36">
        <v>1000</v>
      </c>
      <c r="N1246" s="38">
        <v>930</v>
      </c>
      <c r="O1246" s="38">
        <v>930000</v>
      </c>
      <c r="P1246" s="36">
        <v>1</v>
      </c>
      <c r="Q1246" s="40">
        <v>46082</v>
      </c>
      <c r="R1246" s="36" t="s">
        <v>2032</v>
      </c>
      <c r="S1246" s="36" t="s">
        <v>2033</v>
      </c>
      <c r="T1246" s="36" t="s">
        <v>2034</v>
      </c>
      <c r="U1246" s="36" t="s">
        <v>2035</v>
      </c>
      <c r="V1246" s="40">
        <v>46082</v>
      </c>
      <c r="W1246" s="36"/>
      <c r="X1246" s="36">
        <v>0</v>
      </c>
      <c r="Y1246" s="36"/>
      <c r="Z1246" s="36">
        <v>0</v>
      </c>
      <c r="AA1246" s="36">
        <v>0</v>
      </c>
      <c r="AB1246" s="36"/>
      <c r="AC1246" s="36" t="str">
        <f t="shared" si="8"/>
        <v>PC26</v>
      </c>
      <c r="AD1246" s="36" t="str">
        <f>VLOOKUP(D1246,Oficial!A:C,3,0)</f>
        <v>Administración de Fondos</v>
      </c>
    </row>
    <row r="1247" spans="1:30" x14ac:dyDescent="0.25">
      <c r="A1247" s="36" t="s">
        <v>27</v>
      </c>
      <c r="B1247" s="36" t="s">
        <v>2028</v>
      </c>
      <c r="C1247" s="36" t="s">
        <v>374</v>
      </c>
      <c r="D1247" s="36" t="s">
        <v>2028</v>
      </c>
      <c r="E1247" s="36" t="s">
        <v>30</v>
      </c>
      <c r="F1247" s="36" t="s">
        <v>569</v>
      </c>
      <c r="G1247" s="37">
        <v>2603</v>
      </c>
      <c r="H1247" s="36" t="s">
        <v>2029</v>
      </c>
      <c r="I1247" s="36" t="s">
        <v>2030</v>
      </c>
      <c r="J1247" s="36">
        <v>8</v>
      </c>
      <c r="K1247" s="36" t="s">
        <v>2036</v>
      </c>
      <c r="L1247" s="36">
        <v>4</v>
      </c>
      <c r="M1247" s="36">
        <v>1</v>
      </c>
      <c r="N1247" s="38">
        <v>1200000</v>
      </c>
      <c r="O1247" s="38">
        <v>1200000</v>
      </c>
      <c r="P1247" s="36">
        <v>1</v>
      </c>
      <c r="Q1247" s="40">
        <v>46082</v>
      </c>
      <c r="R1247" s="36" t="s">
        <v>2032</v>
      </c>
      <c r="S1247" s="36" t="s">
        <v>2033</v>
      </c>
      <c r="T1247" s="36" t="s">
        <v>2034</v>
      </c>
      <c r="U1247" s="36" t="s">
        <v>2035</v>
      </c>
      <c r="V1247" s="40">
        <v>46082</v>
      </c>
      <c r="W1247" s="36"/>
      <c r="X1247" s="36">
        <v>0</v>
      </c>
      <c r="Y1247" s="36"/>
      <c r="Z1247" s="36">
        <v>0</v>
      </c>
      <c r="AA1247" s="36">
        <v>0</v>
      </c>
      <c r="AB1247" s="36"/>
      <c r="AC1247" s="36" t="str">
        <f t="shared" si="8"/>
        <v>PC26</v>
      </c>
      <c r="AD1247" s="36" t="str">
        <f>VLOOKUP(D1247,Oficial!A:C,3,0)</f>
        <v>Administración de Fondos</v>
      </c>
    </row>
    <row r="1248" spans="1:30" x14ac:dyDescent="0.25">
      <c r="A1248" s="36" t="s">
        <v>27</v>
      </c>
      <c r="B1248" s="36" t="s">
        <v>2028</v>
      </c>
      <c r="C1248" s="36" t="s">
        <v>374</v>
      </c>
      <c r="D1248" s="36" t="s">
        <v>2028</v>
      </c>
      <c r="E1248" s="36" t="s">
        <v>30</v>
      </c>
      <c r="F1248" s="36" t="s">
        <v>569</v>
      </c>
      <c r="G1248" s="37">
        <v>2603</v>
      </c>
      <c r="H1248" s="36" t="s">
        <v>2029</v>
      </c>
      <c r="I1248" s="36" t="s">
        <v>2030</v>
      </c>
      <c r="J1248" s="36">
        <v>8</v>
      </c>
      <c r="K1248" s="36" t="s">
        <v>486</v>
      </c>
      <c r="L1248" s="36">
        <v>4</v>
      </c>
      <c r="M1248" s="36">
        <v>1000</v>
      </c>
      <c r="N1248" s="38">
        <v>1164</v>
      </c>
      <c r="O1248" s="38">
        <v>1164000</v>
      </c>
      <c r="P1248" s="36">
        <v>1</v>
      </c>
      <c r="Q1248" s="40">
        <v>46082</v>
      </c>
      <c r="R1248" s="36" t="s">
        <v>2032</v>
      </c>
      <c r="S1248" s="36" t="s">
        <v>2033</v>
      </c>
      <c r="T1248" s="36" t="s">
        <v>2034</v>
      </c>
      <c r="U1248" s="36" t="s">
        <v>2035</v>
      </c>
      <c r="V1248" s="40">
        <v>46082</v>
      </c>
      <c r="W1248" s="36"/>
      <c r="X1248" s="36">
        <v>0</v>
      </c>
      <c r="Y1248" s="36"/>
      <c r="Z1248" s="36">
        <v>0</v>
      </c>
      <c r="AA1248" s="36">
        <v>0</v>
      </c>
      <c r="AB1248" s="36"/>
      <c r="AC1248" s="36" t="str">
        <f t="shared" si="8"/>
        <v>PC26</v>
      </c>
      <c r="AD1248" s="36" t="str">
        <f>VLOOKUP(D1248,Oficial!A:C,3,0)</f>
        <v>Administración de Fondos</v>
      </c>
    </row>
    <row r="1249" spans="1:30" x14ac:dyDescent="0.25">
      <c r="A1249" s="36" t="s">
        <v>27</v>
      </c>
      <c r="B1249" s="36" t="s">
        <v>2028</v>
      </c>
      <c r="C1249" s="36" t="s">
        <v>374</v>
      </c>
      <c r="D1249" s="36" t="s">
        <v>2028</v>
      </c>
      <c r="E1249" s="36" t="s">
        <v>30</v>
      </c>
      <c r="F1249" s="36" t="s">
        <v>569</v>
      </c>
      <c r="G1249" s="37">
        <v>2603</v>
      </c>
      <c r="H1249" s="36" t="s">
        <v>2029</v>
      </c>
      <c r="I1249" s="36" t="s">
        <v>2030</v>
      </c>
      <c r="J1249" s="36">
        <v>8</v>
      </c>
      <c r="K1249" s="36" t="s">
        <v>1174</v>
      </c>
      <c r="L1249" s="36">
        <v>4</v>
      </c>
      <c r="M1249" s="36">
        <v>1000</v>
      </c>
      <c r="N1249" s="38">
        <v>1195</v>
      </c>
      <c r="O1249" s="38">
        <v>1195000</v>
      </c>
      <c r="P1249" s="36">
        <v>1</v>
      </c>
      <c r="Q1249" s="40">
        <v>46082</v>
      </c>
      <c r="R1249" s="36" t="s">
        <v>2032</v>
      </c>
      <c r="S1249" s="36" t="s">
        <v>2033</v>
      </c>
      <c r="T1249" s="36" t="s">
        <v>2034</v>
      </c>
      <c r="U1249" s="36" t="s">
        <v>2035</v>
      </c>
      <c r="V1249" s="40">
        <v>46082</v>
      </c>
      <c r="W1249" s="36"/>
      <c r="X1249" s="36">
        <v>0</v>
      </c>
      <c r="Y1249" s="36"/>
      <c r="Z1249" s="36">
        <v>0</v>
      </c>
      <c r="AA1249" s="36">
        <v>0</v>
      </c>
      <c r="AB1249" s="36"/>
      <c r="AC1249" s="36" t="str">
        <f t="shared" si="8"/>
        <v>PC26</v>
      </c>
      <c r="AD1249" s="36" t="str">
        <f>VLOOKUP(D1249,Oficial!A:C,3,0)</f>
        <v>Administración de Fondos</v>
      </c>
    </row>
    <row r="1250" spans="1:30" x14ac:dyDescent="0.25">
      <c r="A1250" s="36" t="s">
        <v>27</v>
      </c>
      <c r="B1250" s="36" t="s">
        <v>2028</v>
      </c>
      <c r="C1250" s="36" t="s">
        <v>374</v>
      </c>
      <c r="D1250" s="36" t="s">
        <v>2028</v>
      </c>
      <c r="E1250" s="36" t="s">
        <v>30</v>
      </c>
      <c r="F1250" s="36" t="s">
        <v>569</v>
      </c>
      <c r="G1250" s="37">
        <v>2603</v>
      </c>
      <c r="H1250" s="36" t="s">
        <v>2029</v>
      </c>
      <c r="I1250" s="36" t="s">
        <v>2030</v>
      </c>
      <c r="J1250" s="36">
        <v>8</v>
      </c>
      <c r="K1250" s="36" t="s">
        <v>1279</v>
      </c>
      <c r="L1250" s="36">
        <v>4</v>
      </c>
      <c r="M1250" s="36">
        <v>500</v>
      </c>
      <c r="N1250" s="38">
        <v>3700</v>
      </c>
      <c r="O1250" s="38">
        <v>1850000</v>
      </c>
      <c r="P1250" s="36">
        <v>1</v>
      </c>
      <c r="Q1250" s="40">
        <v>46082</v>
      </c>
      <c r="R1250" s="36" t="s">
        <v>2032</v>
      </c>
      <c r="S1250" s="36" t="s">
        <v>2033</v>
      </c>
      <c r="T1250" s="36" t="s">
        <v>2034</v>
      </c>
      <c r="U1250" s="36" t="s">
        <v>2035</v>
      </c>
      <c r="V1250" s="40">
        <v>46082</v>
      </c>
      <c r="W1250" s="36"/>
      <c r="X1250" s="36">
        <v>0</v>
      </c>
      <c r="Y1250" s="36"/>
      <c r="Z1250" s="36">
        <v>0</v>
      </c>
      <c r="AA1250" s="36">
        <v>0</v>
      </c>
      <c r="AB1250" s="36"/>
      <c r="AC1250" s="36" t="str">
        <f t="shared" si="8"/>
        <v>PC26</v>
      </c>
      <c r="AD1250" s="36" t="str">
        <f>VLOOKUP(D1250,Oficial!A:C,3,0)</f>
        <v>Administración de Fondos</v>
      </c>
    </row>
    <row r="1251" spans="1:30" x14ac:dyDescent="0.25">
      <c r="A1251" s="36" t="s">
        <v>27</v>
      </c>
      <c r="B1251" s="36" t="s">
        <v>2037</v>
      </c>
      <c r="C1251" s="36" t="s">
        <v>1238</v>
      </c>
      <c r="D1251" s="36" t="s">
        <v>2037</v>
      </c>
      <c r="E1251" s="36" t="s">
        <v>30</v>
      </c>
      <c r="F1251" s="36" t="s">
        <v>569</v>
      </c>
      <c r="G1251" s="37">
        <v>2505</v>
      </c>
      <c r="H1251" s="36" t="s">
        <v>1658</v>
      </c>
      <c r="I1251" s="36" t="s">
        <v>1677</v>
      </c>
      <c r="J1251" s="36">
        <v>2</v>
      </c>
      <c r="K1251" s="36" t="s">
        <v>2038</v>
      </c>
      <c r="L1251" s="36">
        <v>4</v>
      </c>
      <c r="M1251" s="36">
        <v>15</v>
      </c>
      <c r="N1251" s="38">
        <v>1200000</v>
      </c>
      <c r="O1251" s="38">
        <v>18000000</v>
      </c>
      <c r="P1251" s="36">
        <v>1</v>
      </c>
      <c r="Q1251" s="40">
        <v>46174</v>
      </c>
      <c r="R1251" s="36" t="s">
        <v>2039</v>
      </c>
      <c r="S1251" s="36" t="s">
        <v>1661</v>
      </c>
      <c r="T1251" s="36" t="s">
        <v>1662</v>
      </c>
      <c r="U1251" s="36" t="s">
        <v>1663</v>
      </c>
      <c r="V1251" s="40">
        <v>46174</v>
      </c>
      <c r="W1251" s="36"/>
      <c r="X1251" s="36">
        <v>0</v>
      </c>
      <c r="Y1251" s="36"/>
      <c r="Z1251" s="36">
        <v>0</v>
      </c>
      <c r="AA1251" s="36">
        <v>0</v>
      </c>
      <c r="AB1251" s="36"/>
      <c r="AC1251" s="36" t="str">
        <f t="shared" si="8"/>
        <v>PC26</v>
      </c>
      <c r="AD1251" s="36" t="str">
        <f>VLOOKUP(D1251,Oficial!A:C,3,0)</f>
        <v>Activos Fijos</v>
      </c>
    </row>
    <row r="1252" spans="1:30" x14ac:dyDescent="0.25">
      <c r="A1252" s="36" t="s">
        <v>27</v>
      </c>
      <c r="B1252" s="36" t="s">
        <v>2037</v>
      </c>
      <c r="C1252" s="36" t="s">
        <v>1238</v>
      </c>
      <c r="D1252" s="36" t="s">
        <v>2037</v>
      </c>
      <c r="E1252" s="36" t="s">
        <v>30</v>
      </c>
      <c r="F1252" s="36" t="s">
        <v>569</v>
      </c>
      <c r="G1252" s="37">
        <v>2505</v>
      </c>
      <c r="H1252" s="36" t="s">
        <v>1658</v>
      </c>
      <c r="I1252" s="36" t="s">
        <v>1677</v>
      </c>
      <c r="J1252" s="36">
        <v>2</v>
      </c>
      <c r="K1252" s="36" t="s">
        <v>2040</v>
      </c>
      <c r="L1252" s="36">
        <v>4</v>
      </c>
      <c r="M1252" s="36">
        <v>1</v>
      </c>
      <c r="N1252" s="38">
        <v>1000000</v>
      </c>
      <c r="O1252" s="38">
        <v>1000000</v>
      </c>
      <c r="P1252" s="36">
        <v>1</v>
      </c>
      <c r="Q1252" s="40">
        <v>46174</v>
      </c>
      <c r="R1252" s="36" t="s">
        <v>2039</v>
      </c>
      <c r="S1252" s="36" t="s">
        <v>1661</v>
      </c>
      <c r="T1252" s="36" t="s">
        <v>1662</v>
      </c>
      <c r="U1252" s="36" t="s">
        <v>1663</v>
      </c>
      <c r="V1252" s="40">
        <v>46174</v>
      </c>
      <c r="W1252" s="36"/>
      <c r="X1252" s="36">
        <v>0</v>
      </c>
      <c r="Y1252" s="36"/>
      <c r="Z1252" s="36">
        <v>0</v>
      </c>
      <c r="AA1252" s="36">
        <v>0</v>
      </c>
      <c r="AB1252" s="36"/>
      <c r="AC1252" s="36" t="str">
        <f t="shared" si="8"/>
        <v>PC26</v>
      </c>
      <c r="AD1252" s="36" t="str">
        <f>VLOOKUP(D1252,Oficial!A:C,3,0)</f>
        <v>Activos Fijos</v>
      </c>
    </row>
    <row r="1253" spans="1:30" x14ac:dyDescent="0.25">
      <c r="A1253" s="36" t="s">
        <v>27</v>
      </c>
      <c r="B1253" s="36" t="s">
        <v>2041</v>
      </c>
      <c r="C1253" s="36" t="s">
        <v>28</v>
      </c>
      <c r="D1253" s="36" t="s">
        <v>2041</v>
      </c>
      <c r="E1253" s="36" t="s">
        <v>30</v>
      </c>
      <c r="F1253" s="36" t="s">
        <v>569</v>
      </c>
      <c r="G1253" s="37">
        <v>2169</v>
      </c>
      <c r="H1253" s="36" t="s">
        <v>2042</v>
      </c>
      <c r="I1253" s="36" t="s">
        <v>2043</v>
      </c>
      <c r="J1253" s="36">
        <v>6</v>
      </c>
      <c r="K1253" s="36" t="s">
        <v>821</v>
      </c>
      <c r="L1253" s="36">
        <v>4</v>
      </c>
      <c r="M1253" s="36">
        <v>5</v>
      </c>
      <c r="N1253" s="38">
        <v>12000</v>
      </c>
      <c r="O1253" s="38">
        <v>60000</v>
      </c>
      <c r="P1253" s="36">
        <v>1</v>
      </c>
      <c r="Q1253" s="40">
        <v>46023</v>
      </c>
      <c r="R1253" s="36" t="s">
        <v>657</v>
      </c>
      <c r="S1253" s="36" t="s">
        <v>658</v>
      </c>
      <c r="T1253" s="36" t="s">
        <v>659</v>
      </c>
      <c r="U1253" s="36" t="s">
        <v>660</v>
      </c>
      <c r="V1253" s="40">
        <v>46023</v>
      </c>
      <c r="W1253" s="36"/>
      <c r="X1253" s="36">
        <v>0</v>
      </c>
      <c r="Y1253" s="36"/>
      <c r="Z1253" s="36">
        <v>0</v>
      </c>
      <c r="AA1253" s="36">
        <v>0</v>
      </c>
      <c r="AB1253" s="36"/>
      <c r="AC1253" s="36" t="str">
        <f t="shared" si="8"/>
        <v>PC26</v>
      </c>
      <c r="AD1253" s="36" t="str">
        <f>VLOOKUP(D1253,Oficial!A:C,3,0)</f>
        <v>Bienes y Servicios</v>
      </c>
    </row>
    <row r="1254" spans="1:30" x14ac:dyDescent="0.25">
      <c r="A1254" s="36" t="s">
        <v>27</v>
      </c>
      <c r="B1254" s="36" t="s">
        <v>2041</v>
      </c>
      <c r="C1254" s="36" t="s">
        <v>28</v>
      </c>
      <c r="D1254" s="36" t="s">
        <v>2041</v>
      </c>
      <c r="E1254" s="36" t="s">
        <v>30</v>
      </c>
      <c r="F1254" s="36" t="s">
        <v>569</v>
      </c>
      <c r="G1254" s="37">
        <v>2169</v>
      </c>
      <c r="H1254" s="36" t="s">
        <v>2042</v>
      </c>
      <c r="I1254" s="36" t="s">
        <v>2043</v>
      </c>
      <c r="J1254" s="36">
        <v>6</v>
      </c>
      <c r="K1254" s="36" t="s">
        <v>1262</v>
      </c>
      <c r="L1254" s="36">
        <v>4</v>
      </c>
      <c r="M1254" s="36">
        <v>100</v>
      </c>
      <c r="N1254" s="38">
        <v>8150</v>
      </c>
      <c r="O1254" s="38">
        <v>815000</v>
      </c>
      <c r="P1254" s="36">
        <v>1</v>
      </c>
      <c r="Q1254" s="40">
        <v>46023</v>
      </c>
      <c r="R1254" s="36" t="s">
        <v>657</v>
      </c>
      <c r="S1254" s="36" t="s">
        <v>658</v>
      </c>
      <c r="T1254" s="36" t="s">
        <v>659</v>
      </c>
      <c r="U1254" s="36" t="s">
        <v>660</v>
      </c>
      <c r="V1254" s="40">
        <v>46023</v>
      </c>
      <c r="W1254" s="36"/>
      <c r="X1254" s="36">
        <v>0</v>
      </c>
      <c r="Y1254" s="36"/>
      <c r="Z1254" s="36">
        <v>0</v>
      </c>
      <c r="AA1254" s="36">
        <v>0</v>
      </c>
      <c r="AB1254" s="36"/>
      <c r="AC1254" s="36" t="str">
        <f t="shared" si="8"/>
        <v>PC26</v>
      </c>
      <c r="AD1254" s="36" t="str">
        <f>VLOOKUP(D1254,Oficial!A:C,3,0)</f>
        <v>Bienes y Servicios</v>
      </c>
    </row>
    <row r="1255" spans="1:30" x14ac:dyDescent="0.25">
      <c r="A1255" s="36" t="s">
        <v>27</v>
      </c>
      <c r="B1255" s="36" t="s">
        <v>2041</v>
      </c>
      <c r="C1255" s="36" t="s">
        <v>28</v>
      </c>
      <c r="D1255" s="36" t="s">
        <v>2041</v>
      </c>
      <c r="E1255" s="36" t="s">
        <v>30</v>
      </c>
      <c r="F1255" s="36" t="s">
        <v>569</v>
      </c>
      <c r="G1255" s="37">
        <v>2169</v>
      </c>
      <c r="H1255" s="36" t="s">
        <v>2042</v>
      </c>
      <c r="I1255" s="36" t="s">
        <v>2043</v>
      </c>
      <c r="J1255" s="36">
        <v>6</v>
      </c>
      <c r="K1255" s="36" t="s">
        <v>2044</v>
      </c>
      <c r="L1255" s="36">
        <v>4</v>
      </c>
      <c r="M1255" s="36">
        <v>20</v>
      </c>
      <c r="N1255" s="38">
        <v>41650</v>
      </c>
      <c r="O1255" s="38">
        <v>833000</v>
      </c>
      <c r="P1255" s="36">
        <v>1</v>
      </c>
      <c r="Q1255" s="40">
        <v>46023</v>
      </c>
      <c r="R1255" s="36" t="s">
        <v>657</v>
      </c>
      <c r="S1255" s="36" t="s">
        <v>658</v>
      </c>
      <c r="T1255" s="36" t="s">
        <v>659</v>
      </c>
      <c r="U1255" s="36" t="s">
        <v>660</v>
      </c>
      <c r="V1255" s="40">
        <v>46023</v>
      </c>
      <c r="W1255" s="36"/>
      <c r="X1255" s="36">
        <v>0</v>
      </c>
      <c r="Y1255" s="36"/>
      <c r="Z1255" s="36">
        <v>0</v>
      </c>
      <c r="AA1255" s="36">
        <v>0</v>
      </c>
      <c r="AB1255" s="36"/>
      <c r="AC1255" s="36" t="str">
        <f t="shared" si="8"/>
        <v>PC26</v>
      </c>
      <c r="AD1255" s="36" t="str">
        <f>VLOOKUP(D1255,Oficial!A:C,3,0)</f>
        <v>Bienes y Servicios</v>
      </c>
    </row>
    <row r="1256" spans="1:30" x14ac:dyDescent="0.25">
      <c r="A1256" s="36" t="s">
        <v>27</v>
      </c>
      <c r="B1256" s="36" t="s">
        <v>2041</v>
      </c>
      <c r="C1256" s="36" t="s">
        <v>28</v>
      </c>
      <c r="D1256" s="36" t="s">
        <v>2041</v>
      </c>
      <c r="E1256" s="36" t="s">
        <v>30</v>
      </c>
      <c r="F1256" s="36" t="s">
        <v>569</v>
      </c>
      <c r="G1256" s="37">
        <v>2169</v>
      </c>
      <c r="H1256" s="36" t="s">
        <v>2042</v>
      </c>
      <c r="I1256" s="36" t="s">
        <v>2043</v>
      </c>
      <c r="J1256" s="36">
        <v>6</v>
      </c>
      <c r="K1256" s="36" t="s">
        <v>760</v>
      </c>
      <c r="L1256" s="36">
        <v>4</v>
      </c>
      <c r="M1256" s="36">
        <v>6</v>
      </c>
      <c r="N1256" s="38">
        <v>91667</v>
      </c>
      <c r="O1256" s="38">
        <v>550002</v>
      </c>
      <c r="P1256" s="36">
        <v>1</v>
      </c>
      <c r="Q1256" s="40">
        <v>46023</v>
      </c>
      <c r="R1256" s="36" t="s">
        <v>657</v>
      </c>
      <c r="S1256" s="36" t="s">
        <v>658</v>
      </c>
      <c r="T1256" s="36" t="s">
        <v>659</v>
      </c>
      <c r="U1256" s="36" t="s">
        <v>660</v>
      </c>
      <c r="V1256" s="40">
        <v>46023</v>
      </c>
      <c r="W1256" s="36"/>
      <c r="X1256" s="36">
        <v>0</v>
      </c>
      <c r="Y1256" s="36"/>
      <c r="Z1256" s="36">
        <v>0</v>
      </c>
      <c r="AA1256" s="36">
        <v>0</v>
      </c>
      <c r="AB1256" s="36"/>
      <c r="AC1256" s="36" t="str">
        <f t="shared" si="8"/>
        <v>PC26</v>
      </c>
      <c r="AD1256" s="36" t="str">
        <f>VLOOKUP(D1256,Oficial!A:C,3,0)</f>
        <v>Bienes y Servicios</v>
      </c>
    </row>
    <row r="1257" spans="1:30" x14ac:dyDescent="0.25">
      <c r="A1257" s="36" t="s">
        <v>27</v>
      </c>
      <c r="B1257" s="36" t="s">
        <v>2041</v>
      </c>
      <c r="C1257" s="36" t="s">
        <v>28</v>
      </c>
      <c r="D1257" s="36" t="s">
        <v>2041</v>
      </c>
      <c r="E1257" s="36" t="s">
        <v>30</v>
      </c>
      <c r="F1257" s="36" t="s">
        <v>569</v>
      </c>
      <c r="G1257" s="37">
        <v>2169</v>
      </c>
      <c r="H1257" s="36" t="s">
        <v>2042</v>
      </c>
      <c r="I1257" s="36" t="s">
        <v>2043</v>
      </c>
      <c r="J1257" s="36">
        <v>6</v>
      </c>
      <c r="K1257" s="36" t="s">
        <v>2045</v>
      </c>
      <c r="L1257" s="36">
        <v>4</v>
      </c>
      <c r="M1257" s="36">
        <v>24</v>
      </c>
      <c r="N1257" s="38">
        <v>11667</v>
      </c>
      <c r="O1257" s="38">
        <v>280008</v>
      </c>
      <c r="P1257" s="36">
        <v>1</v>
      </c>
      <c r="Q1257" s="40">
        <v>46023</v>
      </c>
      <c r="R1257" s="36" t="s">
        <v>657</v>
      </c>
      <c r="S1257" s="36" t="s">
        <v>658</v>
      </c>
      <c r="T1257" s="36" t="s">
        <v>659</v>
      </c>
      <c r="U1257" s="36" t="s">
        <v>660</v>
      </c>
      <c r="V1257" s="40">
        <v>46023</v>
      </c>
      <c r="W1257" s="36"/>
      <c r="X1257" s="36">
        <v>0</v>
      </c>
      <c r="Y1257" s="36"/>
      <c r="Z1257" s="36">
        <v>0</v>
      </c>
      <c r="AA1257" s="36">
        <v>0</v>
      </c>
      <c r="AB1257" s="36"/>
      <c r="AC1257" s="36" t="str">
        <f t="shared" si="8"/>
        <v>PC26</v>
      </c>
      <c r="AD1257" s="36" t="str">
        <f>VLOOKUP(D1257,Oficial!A:C,3,0)</f>
        <v>Bienes y Servicios</v>
      </c>
    </row>
    <row r="1258" spans="1:30" x14ac:dyDescent="0.25">
      <c r="A1258" s="36" t="s">
        <v>27</v>
      </c>
      <c r="B1258" s="36" t="s">
        <v>2041</v>
      </c>
      <c r="C1258" s="36" t="s">
        <v>28</v>
      </c>
      <c r="D1258" s="36" t="s">
        <v>2041</v>
      </c>
      <c r="E1258" s="36" t="s">
        <v>30</v>
      </c>
      <c r="F1258" s="36" t="s">
        <v>569</v>
      </c>
      <c r="G1258" s="37">
        <v>2169</v>
      </c>
      <c r="H1258" s="36" t="s">
        <v>2042</v>
      </c>
      <c r="I1258" s="36" t="s">
        <v>2043</v>
      </c>
      <c r="J1258" s="36">
        <v>6</v>
      </c>
      <c r="K1258" s="36" t="s">
        <v>2046</v>
      </c>
      <c r="L1258" s="36">
        <v>4</v>
      </c>
      <c r="M1258" s="36">
        <v>4</v>
      </c>
      <c r="N1258" s="38">
        <v>25000</v>
      </c>
      <c r="O1258" s="38">
        <v>100000</v>
      </c>
      <c r="P1258" s="36">
        <v>1</v>
      </c>
      <c r="Q1258" s="40">
        <v>46023</v>
      </c>
      <c r="R1258" s="36" t="s">
        <v>657</v>
      </c>
      <c r="S1258" s="36" t="s">
        <v>658</v>
      </c>
      <c r="T1258" s="36" t="s">
        <v>659</v>
      </c>
      <c r="U1258" s="36" t="s">
        <v>660</v>
      </c>
      <c r="V1258" s="40">
        <v>46023</v>
      </c>
      <c r="W1258" s="36"/>
      <c r="X1258" s="36">
        <v>0</v>
      </c>
      <c r="Y1258" s="36"/>
      <c r="Z1258" s="36">
        <v>0</v>
      </c>
      <c r="AA1258" s="36">
        <v>0</v>
      </c>
      <c r="AB1258" s="36"/>
      <c r="AC1258" s="36" t="str">
        <f t="shared" si="8"/>
        <v>PC26</v>
      </c>
      <c r="AD1258" s="36" t="str">
        <f>VLOOKUP(D1258,Oficial!A:C,3,0)</f>
        <v>Bienes y Servicios</v>
      </c>
    </row>
    <row r="1259" spans="1:30" x14ac:dyDescent="0.25">
      <c r="A1259" s="36" t="s">
        <v>27</v>
      </c>
      <c r="B1259" s="36" t="s">
        <v>2047</v>
      </c>
      <c r="C1259" s="36" t="s">
        <v>28</v>
      </c>
      <c r="D1259" s="36" t="s">
        <v>2047</v>
      </c>
      <c r="E1259" s="36" t="s">
        <v>45</v>
      </c>
      <c r="F1259" s="36" t="s">
        <v>569</v>
      </c>
      <c r="G1259" s="37" t="s">
        <v>1902</v>
      </c>
      <c r="H1259" s="36" t="s">
        <v>2048</v>
      </c>
      <c r="I1259" s="36" t="s">
        <v>2049</v>
      </c>
      <c r="J1259" s="36">
        <v>3</v>
      </c>
      <c r="K1259" s="36" t="s">
        <v>2050</v>
      </c>
      <c r="L1259" s="36">
        <v>4</v>
      </c>
      <c r="M1259" s="36">
        <v>15</v>
      </c>
      <c r="N1259" s="38">
        <v>24000</v>
      </c>
      <c r="O1259" s="38">
        <v>360000</v>
      </c>
      <c r="P1259" s="36">
        <v>1</v>
      </c>
      <c r="Q1259" s="40">
        <v>46174</v>
      </c>
      <c r="R1259" s="36" t="s">
        <v>2051</v>
      </c>
      <c r="S1259" s="36" t="s">
        <v>2052</v>
      </c>
      <c r="T1259" s="36" t="s">
        <v>2053</v>
      </c>
      <c r="U1259" s="36" t="s">
        <v>1155</v>
      </c>
      <c r="V1259" s="40">
        <v>46143</v>
      </c>
      <c r="W1259" s="36"/>
      <c r="X1259" s="36">
        <v>0</v>
      </c>
      <c r="Y1259" s="36"/>
      <c r="Z1259" s="36">
        <v>0</v>
      </c>
      <c r="AA1259" s="36">
        <v>0</v>
      </c>
      <c r="AB1259" s="36"/>
      <c r="AC1259" s="36" t="str">
        <f t="shared" si="8"/>
        <v>PC26</v>
      </c>
      <c r="AD1259" s="36" t="str">
        <f>VLOOKUP(D1259,Oficial!A:C,3,0)</f>
        <v>Bienes y Servicios</v>
      </c>
    </row>
    <row r="1260" spans="1:30" x14ac:dyDescent="0.25">
      <c r="A1260" s="36" t="s">
        <v>27</v>
      </c>
      <c r="B1260" s="36" t="s">
        <v>2047</v>
      </c>
      <c r="C1260" s="36" t="s">
        <v>28</v>
      </c>
      <c r="D1260" s="36" t="s">
        <v>2047</v>
      </c>
      <c r="E1260" s="36" t="s">
        <v>45</v>
      </c>
      <c r="F1260" s="36" t="s">
        <v>569</v>
      </c>
      <c r="G1260" s="37" t="s">
        <v>1902</v>
      </c>
      <c r="H1260" s="36" t="s">
        <v>2048</v>
      </c>
      <c r="I1260" s="36" t="s">
        <v>2049</v>
      </c>
      <c r="J1260" s="36">
        <v>3</v>
      </c>
      <c r="K1260" s="36" t="s">
        <v>2054</v>
      </c>
      <c r="L1260" s="36">
        <v>4</v>
      </c>
      <c r="M1260" s="36">
        <v>955</v>
      </c>
      <c r="N1260" s="38">
        <v>717</v>
      </c>
      <c r="O1260" s="38">
        <v>684735</v>
      </c>
      <c r="P1260" s="36">
        <v>1</v>
      </c>
      <c r="Q1260" s="40">
        <v>46174</v>
      </c>
      <c r="R1260" s="36" t="s">
        <v>2051</v>
      </c>
      <c r="S1260" s="36" t="s">
        <v>2052</v>
      </c>
      <c r="T1260" s="36" t="s">
        <v>2053</v>
      </c>
      <c r="U1260" s="36" t="s">
        <v>1155</v>
      </c>
      <c r="V1260" s="40">
        <v>46143</v>
      </c>
      <c r="W1260" s="36"/>
      <c r="X1260" s="36">
        <v>0</v>
      </c>
      <c r="Y1260" s="36"/>
      <c r="Z1260" s="36">
        <v>0</v>
      </c>
      <c r="AA1260" s="36">
        <v>0</v>
      </c>
      <c r="AB1260" s="36"/>
      <c r="AC1260" s="36" t="str">
        <f t="shared" si="8"/>
        <v>PC26</v>
      </c>
      <c r="AD1260" s="36" t="str">
        <f>VLOOKUP(D1260,Oficial!A:C,3,0)</f>
        <v>Bienes y Servicios</v>
      </c>
    </row>
    <row r="1261" spans="1:30" x14ac:dyDescent="0.25">
      <c r="A1261" s="36" t="s">
        <v>27</v>
      </c>
      <c r="B1261" s="36" t="s">
        <v>2047</v>
      </c>
      <c r="C1261" s="36" t="s">
        <v>28</v>
      </c>
      <c r="D1261" s="36" t="s">
        <v>2047</v>
      </c>
      <c r="E1261" s="36" t="s">
        <v>45</v>
      </c>
      <c r="F1261" s="36" t="s">
        <v>569</v>
      </c>
      <c r="G1261" s="37" t="s">
        <v>1902</v>
      </c>
      <c r="H1261" s="36" t="s">
        <v>2048</v>
      </c>
      <c r="I1261" s="36" t="s">
        <v>2049</v>
      </c>
      <c r="J1261" s="36">
        <v>3</v>
      </c>
      <c r="K1261" s="36" t="s">
        <v>2055</v>
      </c>
      <c r="L1261" s="36">
        <v>4</v>
      </c>
      <c r="M1261" s="36">
        <v>157</v>
      </c>
      <c r="N1261" s="38">
        <v>1300</v>
      </c>
      <c r="O1261" s="38">
        <v>204100</v>
      </c>
      <c r="P1261" s="36">
        <v>1</v>
      </c>
      <c r="Q1261" s="40">
        <v>46174</v>
      </c>
      <c r="R1261" s="36" t="s">
        <v>2051</v>
      </c>
      <c r="S1261" s="36" t="s">
        <v>2052</v>
      </c>
      <c r="T1261" s="36" t="s">
        <v>2053</v>
      </c>
      <c r="U1261" s="36" t="s">
        <v>1155</v>
      </c>
      <c r="V1261" s="40">
        <v>46143</v>
      </c>
      <c r="W1261" s="36"/>
      <c r="X1261" s="36">
        <v>0</v>
      </c>
      <c r="Y1261" s="36"/>
      <c r="Z1261" s="36">
        <v>0</v>
      </c>
      <c r="AA1261" s="36">
        <v>0</v>
      </c>
      <c r="AB1261" s="36"/>
      <c r="AC1261" s="36" t="str">
        <f t="shared" si="8"/>
        <v>PC26</v>
      </c>
      <c r="AD1261" s="36" t="str">
        <f>VLOOKUP(D1261,Oficial!A:C,3,0)</f>
        <v>Bienes y Servicios</v>
      </c>
    </row>
    <row r="1262" spans="1:30" x14ac:dyDescent="0.25">
      <c r="A1262" s="36" t="s">
        <v>27</v>
      </c>
      <c r="B1262" s="36" t="s">
        <v>2056</v>
      </c>
      <c r="C1262" s="36" t="s">
        <v>28</v>
      </c>
      <c r="D1262" s="36" t="s">
        <v>2056</v>
      </c>
      <c r="E1262" s="36" t="s">
        <v>30</v>
      </c>
      <c r="F1262" s="36" t="s">
        <v>569</v>
      </c>
      <c r="G1262" s="37" t="s">
        <v>615</v>
      </c>
      <c r="H1262" s="36" t="s">
        <v>2057</v>
      </c>
      <c r="I1262" s="36" t="s">
        <v>2058</v>
      </c>
      <c r="J1262" s="36">
        <v>5</v>
      </c>
      <c r="K1262" s="36" t="s">
        <v>2059</v>
      </c>
      <c r="L1262" s="36">
        <v>4</v>
      </c>
      <c r="M1262" s="36">
        <v>30</v>
      </c>
      <c r="N1262" s="38">
        <v>1500</v>
      </c>
      <c r="O1262" s="38">
        <v>45000</v>
      </c>
      <c r="P1262" s="36">
        <v>1</v>
      </c>
      <c r="Q1262" s="40">
        <v>46113</v>
      </c>
      <c r="R1262" s="36" t="s">
        <v>1642</v>
      </c>
      <c r="S1262" s="36" t="s">
        <v>2060</v>
      </c>
      <c r="T1262" s="36" t="s">
        <v>403</v>
      </c>
      <c r="U1262" s="36" t="s">
        <v>404</v>
      </c>
      <c r="V1262" s="40">
        <v>46082</v>
      </c>
      <c r="W1262" s="36"/>
      <c r="X1262" s="36">
        <v>0</v>
      </c>
      <c r="Y1262" s="36"/>
      <c r="Z1262" s="36">
        <v>0</v>
      </c>
      <c r="AA1262" s="36">
        <v>0</v>
      </c>
      <c r="AB1262" s="36"/>
      <c r="AC1262" s="36" t="str">
        <f t="shared" si="8"/>
        <v>PC26</v>
      </c>
      <c r="AD1262" s="36" t="str">
        <f>VLOOKUP(D1262,Oficial!A:C,3,0)</f>
        <v>Bienes y Servicios</v>
      </c>
    </row>
    <row r="1263" spans="1:30" x14ac:dyDescent="0.25">
      <c r="A1263" s="36" t="s">
        <v>27</v>
      </c>
      <c r="B1263" s="36" t="s">
        <v>2056</v>
      </c>
      <c r="C1263" s="36" t="s">
        <v>28</v>
      </c>
      <c r="D1263" s="36" t="s">
        <v>2056</v>
      </c>
      <c r="E1263" s="36" t="s">
        <v>30</v>
      </c>
      <c r="F1263" s="36" t="s">
        <v>569</v>
      </c>
      <c r="G1263" s="37" t="s">
        <v>615</v>
      </c>
      <c r="H1263" s="36" t="s">
        <v>2057</v>
      </c>
      <c r="I1263" s="36" t="s">
        <v>2058</v>
      </c>
      <c r="J1263" s="36">
        <v>5</v>
      </c>
      <c r="K1263" s="36" t="s">
        <v>2061</v>
      </c>
      <c r="L1263" s="36">
        <v>4</v>
      </c>
      <c r="M1263" s="36">
        <v>30</v>
      </c>
      <c r="N1263" s="38">
        <v>4100</v>
      </c>
      <c r="O1263" s="38">
        <v>123000</v>
      </c>
      <c r="P1263" s="36">
        <v>1</v>
      </c>
      <c r="Q1263" s="40">
        <v>46113</v>
      </c>
      <c r="R1263" s="36" t="s">
        <v>1642</v>
      </c>
      <c r="S1263" s="36" t="s">
        <v>2060</v>
      </c>
      <c r="T1263" s="36" t="s">
        <v>403</v>
      </c>
      <c r="U1263" s="36" t="s">
        <v>404</v>
      </c>
      <c r="V1263" s="40">
        <v>46082</v>
      </c>
      <c r="W1263" s="36"/>
      <c r="X1263" s="36">
        <v>0</v>
      </c>
      <c r="Y1263" s="36"/>
      <c r="Z1263" s="36">
        <v>0</v>
      </c>
      <c r="AA1263" s="36">
        <v>0</v>
      </c>
      <c r="AB1263" s="36"/>
      <c r="AC1263" s="36" t="str">
        <f t="shared" si="8"/>
        <v>PC26</v>
      </c>
      <c r="AD1263" s="36" t="str">
        <f>VLOOKUP(D1263,Oficial!A:C,3,0)</f>
        <v>Bienes y Servicios</v>
      </c>
    </row>
    <row r="1264" spans="1:30" x14ac:dyDescent="0.25">
      <c r="A1264" s="36" t="s">
        <v>27</v>
      </c>
      <c r="B1264" s="36" t="s">
        <v>2056</v>
      </c>
      <c r="C1264" s="36" t="s">
        <v>28</v>
      </c>
      <c r="D1264" s="36" t="s">
        <v>2056</v>
      </c>
      <c r="E1264" s="36" t="s">
        <v>30</v>
      </c>
      <c r="F1264" s="36" t="s">
        <v>569</v>
      </c>
      <c r="G1264" s="37" t="s">
        <v>615</v>
      </c>
      <c r="H1264" s="36" t="s">
        <v>2057</v>
      </c>
      <c r="I1264" s="36" t="s">
        <v>2058</v>
      </c>
      <c r="J1264" s="36">
        <v>5</v>
      </c>
      <c r="K1264" s="36" t="s">
        <v>1973</v>
      </c>
      <c r="L1264" s="36">
        <v>4</v>
      </c>
      <c r="M1264" s="36">
        <v>56</v>
      </c>
      <c r="N1264" s="38">
        <v>8929</v>
      </c>
      <c r="O1264" s="38">
        <v>500024</v>
      </c>
      <c r="P1264" s="36">
        <v>1</v>
      </c>
      <c r="Q1264" s="40">
        <v>46113</v>
      </c>
      <c r="R1264" s="36" t="s">
        <v>1642</v>
      </c>
      <c r="S1264" s="36" t="s">
        <v>2060</v>
      </c>
      <c r="T1264" s="36" t="s">
        <v>403</v>
      </c>
      <c r="U1264" s="36" t="s">
        <v>404</v>
      </c>
      <c r="V1264" s="40">
        <v>46082</v>
      </c>
      <c r="W1264" s="36"/>
      <c r="X1264" s="36">
        <v>0</v>
      </c>
      <c r="Y1264" s="36"/>
      <c r="Z1264" s="36">
        <v>0</v>
      </c>
      <c r="AA1264" s="36">
        <v>0</v>
      </c>
      <c r="AB1264" s="36"/>
      <c r="AC1264" s="36" t="str">
        <f t="shared" si="8"/>
        <v>PC26</v>
      </c>
      <c r="AD1264" s="36" t="str">
        <f>VLOOKUP(D1264,Oficial!A:C,3,0)</f>
        <v>Bienes y Servicios</v>
      </c>
    </row>
    <row r="1265" spans="1:30" x14ac:dyDescent="0.25">
      <c r="A1265" s="36" t="s">
        <v>27</v>
      </c>
      <c r="B1265" s="36" t="s">
        <v>2056</v>
      </c>
      <c r="C1265" s="36" t="s">
        <v>28</v>
      </c>
      <c r="D1265" s="36" t="s">
        <v>2056</v>
      </c>
      <c r="E1265" s="36" t="s">
        <v>30</v>
      </c>
      <c r="F1265" s="36" t="s">
        <v>569</v>
      </c>
      <c r="G1265" s="37" t="s">
        <v>615</v>
      </c>
      <c r="H1265" s="36" t="s">
        <v>2057</v>
      </c>
      <c r="I1265" s="36" t="s">
        <v>2058</v>
      </c>
      <c r="J1265" s="36">
        <v>5</v>
      </c>
      <c r="K1265" s="36" t="s">
        <v>2062</v>
      </c>
      <c r="L1265" s="36">
        <v>4</v>
      </c>
      <c r="M1265" s="36">
        <v>21</v>
      </c>
      <c r="N1265" s="38">
        <v>8334</v>
      </c>
      <c r="O1265" s="38">
        <v>175014</v>
      </c>
      <c r="P1265" s="36">
        <v>1</v>
      </c>
      <c r="Q1265" s="40">
        <v>46204</v>
      </c>
      <c r="R1265" s="36" t="s">
        <v>1642</v>
      </c>
      <c r="S1265" s="36" t="s">
        <v>2060</v>
      </c>
      <c r="T1265" s="36" t="s">
        <v>403</v>
      </c>
      <c r="U1265" s="36" t="s">
        <v>404</v>
      </c>
      <c r="V1265" s="40">
        <v>46174</v>
      </c>
      <c r="W1265" s="36"/>
      <c r="X1265" s="36">
        <v>0</v>
      </c>
      <c r="Y1265" s="36"/>
      <c r="Z1265" s="36">
        <v>0</v>
      </c>
      <c r="AA1265" s="36">
        <v>0</v>
      </c>
      <c r="AB1265" s="36"/>
      <c r="AC1265" s="36" t="str">
        <f t="shared" si="8"/>
        <v>PC26</v>
      </c>
      <c r="AD1265" s="36" t="str">
        <f>VLOOKUP(D1265,Oficial!A:C,3,0)</f>
        <v>Bienes y Servicios</v>
      </c>
    </row>
    <row r="1266" spans="1:30" x14ac:dyDescent="0.25">
      <c r="A1266" s="36" t="s">
        <v>27</v>
      </c>
      <c r="B1266" s="36" t="s">
        <v>2056</v>
      </c>
      <c r="C1266" s="36" t="s">
        <v>28</v>
      </c>
      <c r="D1266" s="36" t="s">
        <v>2056</v>
      </c>
      <c r="E1266" s="36" t="s">
        <v>30</v>
      </c>
      <c r="F1266" s="36" t="s">
        <v>569</v>
      </c>
      <c r="G1266" s="37" t="s">
        <v>615</v>
      </c>
      <c r="H1266" s="36" t="s">
        <v>2057</v>
      </c>
      <c r="I1266" s="36" t="s">
        <v>2058</v>
      </c>
      <c r="J1266" s="36">
        <v>5</v>
      </c>
      <c r="K1266" s="36" t="s">
        <v>1137</v>
      </c>
      <c r="L1266" s="36">
        <v>4</v>
      </c>
      <c r="M1266" s="36">
        <v>1</v>
      </c>
      <c r="N1266" s="38">
        <v>40000</v>
      </c>
      <c r="O1266" s="38">
        <v>40000</v>
      </c>
      <c r="P1266" s="36">
        <v>1</v>
      </c>
      <c r="Q1266" s="40">
        <v>46113</v>
      </c>
      <c r="R1266" s="36" t="s">
        <v>1642</v>
      </c>
      <c r="S1266" s="36" t="s">
        <v>2060</v>
      </c>
      <c r="T1266" s="36" t="s">
        <v>403</v>
      </c>
      <c r="U1266" s="36" t="s">
        <v>404</v>
      </c>
      <c r="V1266" s="40">
        <v>46082</v>
      </c>
      <c r="W1266" s="36"/>
      <c r="X1266" s="36">
        <v>0</v>
      </c>
      <c r="Y1266" s="36"/>
      <c r="Z1266" s="36">
        <v>0</v>
      </c>
      <c r="AA1266" s="36">
        <v>0</v>
      </c>
      <c r="AB1266" s="36"/>
      <c r="AC1266" s="36" t="str">
        <f t="shared" si="8"/>
        <v>PC26</v>
      </c>
      <c r="AD1266" s="36" t="str">
        <f>VLOOKUP(D1266,Oficial!A:C,3,0)</f>
        <v>Bienes y Servicios</v>
      </c>
    </row>
    <row r="1267" spans="1:30" x14ac:dyDescent="0.25">
      <c r="A1267" s="36" t="s">
        <v>27</v>
      </c>
      <c r="B1267" s="36" t="s">
        <v>2063</v>
      </c>
      <c r="C1267" s="36" t="s">
        <v>1238</v>
      </c>
      <c r="D1267" s="36" t="s">
        <v>2063</v>
      </c>
      <c r="E1267" s="36" t="s">
        <v>30</v>
      </c>
      <c r="F1267" s="36" t="s">
        <v>569</v>
      </c>
      <c r="G1267" s="37">
        <v>2579</v>
      </c>
      <c r="H1267" s="36" t="s">
        <v>2064</v>
      </c>
      <c r="I1267" s="36" t="s">
        <v>2065</v>
      </c>
      <c r="J1267" s="36">
        <v>1</v>
      </c>
      <c r="K1267" s="36" t="s">
        <v>2066</v>
      </c>
      <c r="L1267" s="36">
        <v>4</v>
      </c>
      <c r="M1267" s="36">
        <v>1</v>
      </c>
      <c r="N1267" s="38">
        <v>300000</v>
      </c>
      <c r="O1267" s="38">
        <v>300000</v>
      </c>
      <c r="P1267" s="36">
        <v>1</v>
      </c>
      <c r="Q1267" s="40">
        <v>46023</v>
      </c>
      <c r="R1267" s="36" t="s">
        <v>768</v>
      </c>
      <c r="S1267" s="36" t="s">
        <v>966</v>
      </c>
      <c r="T1267" s="36" t="s">
        <v>967</v>
      </c>
      <c r="U1267" s="36" t="s">
        <v>968</v>
      </c>
      <c r="V1267" s="40">
        <v>46023</v>
      </c>
      <c r="W1267" s="36"/>
      <c r="X1267" s="36">
        <v>0</v>
      </c>
      <c r="Y1267" s="36"/>
      <c r="Z1267" s="36">
        <v>0</v>
      </c>
      <c r="AA1267" s="36">
        <v>0</v>
      </c>
      <c r="AB1267" s="36"/>
      <c r="AC1267" s="36" t="str">
        <f t="shared" si="8"/>
        <v>PC26</v>
      </c>
      <c r="AD1267" s="36" t="str">
        <f>VLOOKUP(D1267,Oficial!A:C,3,0)</f>
        <v>Activos Fijos</v>
      </c>
    </row>
    <row r="1268" spans="1:30" x14ac:dyDescent="0.25">
      <c r="A1268" s="36" t="s">
        <v>27</v>
      </c>
      <c r="B1268" s="36" t="s">
        <v>2067</v>
      </c>
      <c r="C1268" s="36" t="s">
        <v>28</v>
      </c>
      <c r="D1268" s="36" t="s">
        <v>2067</v>
      </c>
      <c r="E1268" s="36" t="s">
        <v>30</v>
      </c>
      <c r="F1268" s="36" t="s">
        <v>569</v>
      </c>
      <c r="G1268" s="37">
        <v>2185</v>
      </c>
      <c r="H1268" s="36" t="s">
        <v>2068</v>
      </c>
      <c r="I1268" s="36" t="s">
        <v>2069</v>
      </c>
      <c r="J1268" s="36">
        <v>1</v>
      </c>
      <c r="K1268" s="36" t="s">
        <v>486</v>
      </c>
      <c r="L1268" s="36">
        <v>4</v>
      </c>
      <c r="M1268" s="36">
        <v>340</v>
      </c>
      <c r="N1268" s="38">
        <v>1442</v>
      </c>
      <c r="O1268" s="38">
        <v>490280</v>
      </c>
      <c r="P1268" s="36">
        <v>1</v>
      </c>
      <c r="Q1268" s="40">
        <v>46082</v>
      </c>
      <c r="R1268" s="36" t="s">
        <v>590</v>
      </c>
      <c r="S1268" s="36" t="s">
        <v>591</v>
      </c>
      <c r="T1268" s="36" t="s">
        <v>592</v>
      </c>
      <c r="U1268" s="36" t="s">
        <v>593</v>
      </c>
      <c r="V1268" s="40">
        <v>46082</v>
      </c>
      <c r="W1268" s="36"/>
      <c r="X1268" s="36">
        <v>0</v>
      </c>
      <c r="Y1268" s="36"/>
      <c r="Z1268" s="36">
        <v>0</v>
      </c>
      <c r="AA1268" s="36">
        <v>0</v>
      </c>
      <c r="AB1268" s="36"/>
      <c r="AC1268" s="36" t="str">
        <f t="shared" si="8"/>
        <v>PC26</v>
      </c>
      <c r="AD1268" s="36" t="str">
        <f>VLOOKUP(D1268,Oficial!A:C,3,0)</f>
        <v>Bienes y Servicios</v>
      </c>
    </row>
    <row r="1269" spans="1:30" x14ac:dyDescent="0.25">
      <c r="A1269" s="36" t="s">
        <v>27</v>
      </c>
      <c r="B1269" s="36" t="s">
        <v>2070</v>
      </c>
      <c r="C1269" s="36" t="s">
        <v>28</v>
      </c>
      <c r="D1269" s="36" t="s">
        <v>2070</v>
      </c>
      <c r="E1269" s="36" t="s">
        <v>45</v>
      </c>
      <c r="F1269" s="36" t="s">
        <v>569</v>
      </c>
      <c r="G1269" s="37">
        <v>2583</v>
      </c>
      <c r="H1269" s="36" t="s">
        <v>2071</v>
      </c>
      <c r="I1269" s="36" t="s">
        <v>2072</v>
      </c>
      <c r="J1269" s="36">
        <v>1</v>
      </c>
      <c r="K1269" s="36" t="s">
        <v>2073</v>
      </c>
      <c r="L1269" s="36">
        <v>4</v>
      </c>
      <c r="M1269" s="36">
        <v>2</v>
      </c>
      <c r="N1269" s="38">
        <v>35000</v>
      </c>
      <c r="O1269" s="38">
        <v>70000</v>
      </c>
      <c r="P1269" s="36">
        <v>1</v>
      </c>
      <c r="Q1269" s="40">
        <v>46143</v>
      </c>
      <c r="R1269" s="36" t="s">
        <v>1642</v>
      </c>
      <c r="S1269" s="36" t="s">
        <v>1643</v>
      </c>
      <c r="T1269" s="36" t="s">
        <v>1644</v>
      </c>
      <c r="U1269" s="36" t="s">
        <v>404</v>
      </c>
      <c r="V1269" s="40">
        <v>46113</v>
      </c>
      <c r="W1269" s="36"/>
      <c r="X1269" s="36">
        <v>0</v>
      </c>
      <c r="Y1269" s="36"/>
      <c r="Z1269" s="36">
        <v>0</v>
      </c>
      <c r="AA1269" s="36">
        <v>0</v>
      </c>
      <c r="AB1269" s="36"/>
      <c r="AC1269" s="36" t="str">
        <f t="shared" si="8"/>
        <v>PC26</v>
      </c>
      <c r="AD1269" s="36" t="str">
        <f>VLOOKUP(D1269,Oficial!A:C,3,0)</f>
        <v>Bienes y Servicios</v>
      </c>
    </row>
    <row r="1270" spans="1:30" x14ac:dyDescent="0.25">
      <c r="A1270" s="36" t="s">
        <v>27</v>
      </c>
      <c r="B1270" s="36" t="s">
        <v>2074</v>
      </c>
      <c r="C1270" s="36" t="s">
        <v>28</v>
      </c>
      <c r="D1270" s="36" t="s">
        <v>2074</v>
      </c>
      <c r="E1270" s="36" t="s">
        <v>30</v>
      </c>
      <c r="F1270" s="36" t="s">
        <v>569</v>
      </c>
      <c r="G1270" s="37">
        <v>2203</v>
      </c>
      <c r="H1270" s="36" t="s">
        <v>788</v>
      </c>
      <c r="I1270" s="36" t="s">
        <v>2075</v>
      </c>
      <c r="J1270" s="36">
        <v>2</v>
      </c>
      <c r="K1270" s="36" t="s">
        <v>359</v>
      </c>
      <c r="L1270" s="36">
        <v>4</v>
      </c>
      <c r="M1270" s="36">
        <v>16890</v>
      </c>
      <c r="N1270" s="38">
        <v>135</v>
      </c>
      <c r="O1270" s="38">
        <v>2280150</v>
      </c>
      <c r="P1270" s="36">
        <v>1</v>
      </c>
      <c r="Q1270" s="40">
        <v>46082</v>
      </c>
      <c r="R1270" s="36" t="s">
        <v>2076</v>
      </c>
      <c r="S1270" s="36" t="s">
        <v>2077</v>
      </c>
      <c r="T1270" s="36" t="s">
        <v>2078</v>
      </c>
      <c r="U1270" s="36" t="s">
        <v>2079</v>
      </c>
      <c r="V1270" s="40">
        <v>46082</v>
      </c>
      <c r="W1270" s="36"/>
      <c r="X1270" s="36">
        <v>0</v>
      </c>
      <c r="Y1270" s="36"/>
      <c r="Z1270" s="36">
        <v>0</v>
      </c>
      <c r="AA1270" s="36">
        <v>0</v>
      </c>
      <c r="AB1270" s="36"/>
      <c r="AC1270" s="36" t="str">
        <f t="shared" si="8"/>
        <v>PC26</v>
      </c>
      <c r="AD1270" s="36" t="str">
        <f>VLOOKUP(D1270,Oficial!A:C,3,0)</f>
        <v>Bienes y Servicios</v>
      </c>
    </row>
    <row r="1271" spans="1:30" x14ac:dyDescent="0.25">
      <c r="A1271" s="36" t="s">
        <v>27</v>
      </c>
      <c r="B1271" s="36" t="s">
        <v>2074</v>
      </c>
      <c r="C1271" s="36" t="s">
        <v>28</v>
      </c>
      <c r="D1271" s="36" t="s">
        <v>2074</v>
      </c>
      <c r="E1271" s="36" t="s">
        <v>30</v>
      </c>
      <c r="F1271" s="36" t="s">
        <v>569</v>
      </c>
      <c r="G1271" s="37">
        <v>2203</v>
      </c>
      <c r="H1271" s="36" t="s">
        <v>788</v>
      </c>
      <c r="I1271" s="36" t="s">
        <v>2075</v>
      </c>
      <c r="J1271" s="36">
        <v>2</v>
      </c>
      <c r="K1271" s="36" t="s">
        <v>855</v>
      </c>
      <c r="L1271" s="36">
        <v>4</v>
      </c>
      <c r="M1271" s="36">
        <v>1120</v>
      </c>
      <c r="N1271" s="38">
        <v>173</v>
      </c>
      <c r="O1271" s="38">
        <v>193760</v>
      </c>
      <c r="P1271" s="36">
        <v>1</v>
      </c>
      <c r="Q1271" s="40">
        <v>46082</v>
      </c>
      <c r="R1271" s="36" t="s">
        <v>2076</v>
      </c>
      <c r="S1271" s="36" t="s">
        <v>2077</v>
      </c>
      <c r="T1271" s="36" t="s">
        <v>2078</v>
      </c>
      <c r="U1271" s="36" t="s">
        <v>2079</v>
      </c>
      <c r="V1271" s="40">
        <v>46082</v>
      </c>
      <c r="W1271" s="36"/>
      <c r="X1271" s="36">
        <v>0</v>
      </c>
      <c r="Y1271" s="36"/>
      <c r="Z1271" s="36">
        <v>0</v>
      </c>
      <c r="AA1271" s="36">
        <v>0</v>
      </c>
      <c r="AB1271" s="36"/>
      <c r="AC1271" s="36" t="str">
        <f t="shared" si="8"/>
        <v>PC26</v>
      </c>
      <c r="AD1271" s="36" t="str">
        <f>VLOOKUP(D1271,Oficial!A:C,3,0)</f>
        <v>Bienes y Servicios</v>
      </c>
    </row>
    <row r="1272" spans="1:30" x14ac:dyDescent="0.25">
      <c r="A1272" s="36" t="s">
        <v>27</v>
      </c>
      <c r="B1272" s="36" t="s">
        <v>2080</v>
      </c>
      <c r="C1272" s="36" t="s">
        <v>374</v>
      </c>
      <c r="D1272" s="36" t="s">
        <v>2080</v>
      </c>
      <c r="E1272" s="36" t="s">
        <v>30</v>
      </c>
      <c r="F1272" s="36" t="s">
        <v>569</v>
      </c>
      <c r="G1272" s="37">
        <v>2207</v>
      </c>
      <c r="H1272" s="36" t="s">
        <v>2081</v>
      </c>
      <c r="I1272" s="36" t="s">
        <v>2082</v>
      </c>
      <c r="J1272" s="36">
        <v>1</v>
      </c>
      <c r="K1272" s="36" t="s">
        <v>786</v>
      </c>
      <c r="L1272" s="36">
        <v>4</v>
      </c>
      <c r="M1272" s="36">
        <v>120</v>
      </c>
      <c r="N1272" s="38">
        <v>2919</v>
      </c>
      <c r="O1272" s="38">
        <v>350280</v>
      </c>
      <c r="P1272" s="36">
        <v>1</v>
      </c>
      <c r="Q1272" s="40">
        <v>46082</v>
      </c>
      <c r="R1272" s="36" t="s">
        <v>768</v>
      </c>
      <c r="S1272" s="36" t="s">
        <v>769</v>
      </c>
      <c r="T1272" s="36" t="s">
        <v>770</v>
      </c>
      <c r="U1272" s="36" t="s">
        <v>388</v>
      </c>
      <c r="V1272" s="40">
        <v>46082</v>
      </c>
      <c r="W1272" s="36"/>
      <c r="X1272" s="36">
        <v>0</v>
      </c>
      <c r="Y1272" s="36"/>
      <c r="Z1272" s="36">
        <v>0</v>
      </c>
      <c r="AA1272" s="36">
        <v>0</v>
      </c>
      <c r="AB1272" s="36"/>
      <c r="AC1272" s="36" t="str">
        <f t="shared" si="8"/>
        <v>PC26</v>
      </c>
      <c r="AD1272" s="36" t="str">
        <f>VLOOKUP(D1272,Oficial!A:C,3,0)</f>
        <v>Administración de Fondos</v>
      </c>
    </row>
    <row r="1273" spans="1:30" x14ac:dyDescent="0.25">
      <c r="A1273" s="36" t="s">
        <v>27</v>
      </c>
      <c r="B1273" s="36" t="s">
        <v>2083</v>
      </c>
      <c r="C1273" s="36" t="s">
        <v>28</v>
      </c>
      <c r="D1273" s="36" t="s">
        <v>2083</v>
      </c>
      <c r="E1273" s="36" t="s">
        <v>30</v>
      </c>
      <c r="F1273" s="36" t="s">
        <v>569</v>
      </c>
      <c r="G1273" s="37">
        <v>2582</v>
      </c>
      <c r="H1273" s="36" t="s">
        <v>1916</v>
      </c>
      <c r="I1273" s="36" t="s">
        <v>2084</v>
      </c>
      <c r="J1273" s="36">
        <v>1</v>
      </c>
      <c r="K1273" s="36" t="s">
        <v>2085</v>
      </c>
      <c r="L1273" s="36">
        <v>4</v>
      </c>
      <c r="M1273" s="36">
        <v>4</v>
      </c>
      <c r="N1273" s="38">
        <v>50000</v>
      </c>
      <c r="O1273" s="38">
        <v>200000</v>
      </c>
      <c r="P1273" s="36">
        <v>1</v>
      </c>
      <c r="Q1273" s="40">
        <v>46082</v>
      </c>
      <c r="R1273" s="36" t="s">
        <v>1445</v>
      </c>
      <c r="S1273" s="36" t="s">
        <v>1446</v>
      </c>
      <c r="T1273" s="36" t="s">
        <v>1447</v>
      </c>
      <c r="U1273" s="36" t="s">
        <v>1448</v>
      </c>
      <c r="V1273" s="40">
        <v>46054</v>
      </c>
      <c r="W1273" s="36"/>
      <c r="X1273" s="36">
        <v>0</v>
      </c>
      <c r="Y1273" s="36"/>
      <c r="Z1273" s="36">
        <v>0</v>
      </c>
      <c r="AA1273" s="36">
        <v>0</v>
      </c>
      <c r="AB1273" s="36"/>
      <c r="AC1273" s="36" t="str">
        <f t="shared" si="8"/>
        <v>PC26</v>
      </c>
      <c r="AD1273" s="36" t="str">
        <f>VLOOKUP(D1273,Oficial!A:C,3,0)</f>
        <v>Bienes y Servicios</v>
      </c>
    </row>
    <row r="1274" spans="1:30" x14ac:dyDescent="0.25">
      <c r="A1274" s="36" t="s">
        <v>27</v>
      </c>
      <c r="B1274" s="36" t="s">
        <v>2086</v>
      </c>
      <c r="C1274" s="36" t="s">
        <v>374</v>
      </c>
      <c r="D1274" s="36" t="s">
        <v>2086</v>
      </c>
      <c r="E1274" s="36" t="s">
        <v>30</v>
      </c>
      <c r="F1274" s="36" t="s">
        <v>569</v>
      </c>
      <c r="G1274" s="37">
        <v>2210</v>
      </c>
      <c r="H1274" s="36" t="s">
        <v>2087</v>
      </c>
      <c r="I1274" s="36" t="s">
        <v>2088</v>
      </c>
      <c r="J1274" s="36">
        <v>1</v>
      </c>
      <c r="K1274" s="36" t="s">
        <v>786</v>
      </c>
      <c r="L1274" s="36">
        <v>4</v>
      </c>
      <c r="M1274" s="36">
        <v>360</v>
      </c>
      <c r="N1274" s="38">
        <v>1406</v>
      </c>
      <c r="O1274" s="38">
        <v>506160</v>
      </c>
      <c r="P1274" s="36">
        <v>1</v>
      </c>
      <c r="Q1274" s="40">
        <v>46082</v>
      </c>
      <c r="R1274" s="36" t="s">
        <v>768</v>
      </c>
      <c r="S1274" s="36" t="s">
        <v>769</v>
      </c>
      <c r="T1274" s="36" t="s">
        <v>770</v>
      </c>
      <c r="U1274" s="36" t="s">
        <v>388</v>
      </c>
      <c r="V1274" s="40">
        <v>46054</v>
      </c>
      <c r="W1274" s="36"/>
      <c r="X1274" s="36">
        <v>0</v>
      </c>
      <c r="Y1274" s="36"/>
      <c r="Z1274" s="36">
        <v>0</v>
      </c>
      <c r="AA1274" s="36">
        <v>0</v>
      </c>
      <c r="AB1274" s="36"/>
      <c r="AC1274" s="36" t="str">
        <f t="shared" si="8"/>
        <v>PC26</v>
      </c>
      <c r="AD1274" s="36" t="str">
        <f>VLOOKUP(D1274,Oficial!A:C,3,0)</f>
        <v>Administración de Fondos</v>
      </c>
    </row>
    <row r="1275" spans="1:30" x14ac:dyDescent="0.25">
      <c r="A1275" s="36" t="s">
        <v>27</v>
      </c>
      <c r="B1275" s="36" t="s">
        <v>2089</v>
      </c>
      <c r="C1275" s="36" t="s">
        <v>28</v>
      </c>
      <c r="D1275" s="36" t="s">
        <v>2089</v>
      </c>
      <c r="E1275" s="36" t="s">
        <v>30</v>
      </c>
      <c r="F1275" s="36" t="s">
        <v>569</v>
      </c>
      <c r="G1275" s="37">
        <v>2266</v>
      </c>
      <c r="H1275" s="36" t="s">
        <v>2090</v>
      </c>
      <c r="I1275" s="36" t="s">
        <v>2091</v>
      </c>
      <c r="J1275" s="36">
        <v>6</v>
      </c>
      <c r="K1275" s="36" t="s">
        <v>2092</v>
      </c>
      <c r="L1275" s="36">
        <v>4</v>
      </c>
      <c r="M1275" s="36">
        <v>620</v>
      </c>
      <c r="N1275" s="38">
        <v>554</v>
      </c>
      <c r="O1275" s="38">
        <v>343480</v>
      </c>
      <c r="P1275" s="36">
        <v>1</v>
      </c>
      <c r="Q1275" s="40">
        <v>46143</v>
      </c>
      <c r="R1275" s="36" t="s">
        <v>761</v>
      </c>
      <c r="S1275" s="36" t="s">
        <v>762</v>
      </c>
      <c r="T1275" s="36" t="s">
        <v>763</v>
      </c>
      <c r="U1275" s="36" t="s">
        <v>764</v>
      </c>
      <c r="V1275" s="40">
        <v>46113</v>
      </c>
      <c r="W1275" s="36"/>
      <c r="X1275" s="36">
        <v>0</v>
      </c>
      <c r="Y1275" s="36"/>
      <c r="Z1275" s="36">
        <v>0</v>
      </c>
      <c r="AA1275" s="36">
        <v>0</v>
      </c>
      <c r="AB1275" s="36"/>
      <c r="AC1275" s="36" t="str">
        <f t="shared" si="8"/>
        <v>PC26</v>
      </c>
      <c r="AD1275" s="36" t="str">
        <f>VLOOKUP(D1275,Oficial!A:C,3,0)</f>
        <v>Bienes y Servicios</v>
      </c>
    </row>
    <row r="1276" spans="1:30" x14ac:dyDescent="0.25">
      <c r="A1276" s="36" t="s">
        <v>27</v>
      </c>
      <c r="B1276" s="36" t="s">
        <v>2089</v>
      </c>
      <c r="C1276" s="36" t="s">
        <v>28</v>
      </c>
      <c r="D1276" s="36" t="s">
        <v>2089</v>
      </c>
      <c r="E1276" s="36" t="s">
        <v>30</v>
      </c>
      <c r="F1276" s="36" t="s">
        <v>569</v>
      </c>
      <c r="G1276" s="37">
        <v>2266</v>
      </c>
      <c r="H1276" s="36" t="s">
        <v>2090</v>
      </c>
      <c r="I1276" s="36" t="s">
        <v>2091</v>
      </c>
      <c r="J1276" s="36">
        <v>6</v>
      </c>
      <c r="K1276" s="36" t="s">
        <v>2093</v>
      </c>
      <c r="L1276" s="36">
        <v>4</v>
      </c>
      <c r="M1276" s="36">
        <v>5</v>
      </c>
      <c r="N1276" s="38">
        <v>20000</v>
      </c>
      <c r="O1276" s="38">
        <v>100000</v>
      </c>
      <c r="P1276" s="36">
        <v>1</v>
      </c>
      <c r="Q1276" s="40">
        <v>46143</v>
      </c>
      <c r="R1276" s="36" t="s">
        <v>761</v>
      </c>
      <c r="S1276" s="36" t="s">
        <v>762</v>
      </c>
      <c r="T1276" s="36" t="s">
        <v>763</v>
      </c>
      <c r="U1276" s="36" t="s">
        <v>764</v>
      </c>
      <c r="V1276" s="40">
        <v>46113</v>
      </c>
      <c r="W1276" s="36"/>
      <c r="X1276" s="36">
        <v>0</v>
      </c>
      <c r="Y1276" s="36"/>
      <c r="Z1276" s="36">
        <v>0</v>
      </c>
      <c r="AA1276" s="36">
        <v>0</v>
      </c>
      <c r="AB1276" s="36"/>
      <c r="AC1276" s="36" t="str">
        <f t="shared" si="8"/>
        <v>PC26</v>
      </c>
      <c r="AD1276" s="36" t="str">
        <f>VLOOKUP(D1276,Oficial!A:C,3,0)</f>
        <v>Bienes y Servicios</v>
      </c>
    </row>
    <row r="1277" spans="1:30" x14ac:dyDescent="0.25">
      <c r="A1277" s="36" t="s">
        <v>27</v>
      </c>
      <c r="B1277" s="36" t="s">
        <v>2089</v>
      </c>
      <c r="C1277" s="36" t="s">
        <v>28</v>
      </c>
      <c r="D1277" s="36" t="s">
        <v>2089</v>
      </c>
      <c r="E1277" s="36" t="s">
        <v>30</v>
      </c>
      <c r="F1277" s="36" t="s">
        <v>569</v>
      </c>
      <c r="G1277" s="37">
        <v>2266</v>
      </c>
      <c r="H1277" s="36" t="s">
        <v>2090</v>
      </c>
      <c r="I1277" s="36" t="s">
        <v>2091</v>
      </c>
      <c r="J1277" s="36">
        <v>6</v>
      </c>
      <c r="K1277" s="36" t="s">
        <v>2094</v>
      </c>
      <c r="L1277" s="36">
        <v>4</v>
      </c>
      <c r="M1277" s="36">
        <v>180</v>
      </c>
      <c r="N1277" s="38">
        <v>1278</v>
      </c>
      <c r="O1277" s="38">
        <v>230040</v>
      </c>
      <c r="P1277" s="36">
        <v>1</v>
      </c>
      <c r="Q1277" s="40">
        <v>46143</v>
      </c>
      <c r="R1277" s="36" t="s">
        <v>761</v>
      </c>
      <c r="S1277" s="36" t="s">
        <v>762</v>
      </c>
      <c r="T1277" s="36" t="s">
        <v>763</v>
      </c>
      <c r="U1277" s="36" t="s">
        <v>764</v>
      </c>
      <c r="V1277" s="40">
        <v>46113</v>
      </c>
      <c r="W1277" s="36"/>
      <c r="X1277" s="36">
        <v>0</v>
      </c>
      <c r="Y1277" s="36"/>
      <c r="Z1277" s="36">
        <v>0</v>
      </c>
      <c r="AA1277" s="36">
        <v>0</v>
      </c>
      <c r="AB1277" s="36"/>
      <c r="AC1277" s="36" t="str">
        <f t="shared" si="8"/>
        <v>PC26</v>
      </c>
      <c r="AD1277" s="36" t="str">
        <f>VLOOKUP(D1277,Oficial!A:C,3,0)</f>
        <v>Bienes y Servicios</v>
      </c>
    </row>
    <row r="1278" spans="1:30" x14ac:dyDescent="0.25">
      <c r="A1278" s="36" t="s">
        <v>27</v>
      </c>
      <c r="B1278" s="36" t="s">
        <v>2089</v>
      </c>
      <c r="C1278" s="36" t="s">
        <v>28</v>
      </c>
      <c r="D1278" s="36" t="s">
        <v>2089</v>
      </c>
      <c r="E1278" s="36" t="s">
        <v>30</v>
      </c>
      <c r="F1278" s="36" t="s">
        <v>569</v>
      </c>
      <c r="G1278" s="37">
        <v>2266</v>
      </c>
      <c r="H1278" s="36" t="s">
        <v>2090</v>
      </c>
      <c r="I1278" s="36" t="s">
        <v>2091</v>
      </c>
      <c r="J1278" s="36">
        <v>6</v>
      </c>
      <c r="K1278" s="36" t="s">
        <v>2095</v>
      </c>
      <c r="L1278" s="36">
        <v>4</v>
      </c>
      <c r="M1278" s="36">
        <v>300</v>
      </c>
      <c r="N1278" s="38">
        <v>7881</v>
      </c>
      <c r="O1278" s="38">
        <v>2364300</v>
      </c>
      <c r="P1278" s="36">
        <v>1</v>
      </c>
      <c r="Q1278" s="40">
        <v>46143</v>
      </c>
      <c r="R1278" s="36" t="s">
        <v>761</v>
      </c>
      <c r="S1278" s="36" t="s">
        <v>762</v>
      </c>
      <c r="T1278" s="36" t="s">
        <v>763</v>
      </c>
      <c r="U1278" s="36" t="s">
        <v>764</v>
      </c>
      <c r="V1278" s="40">
        <v>46113</v>
      </c>
      <c r="W1278" s="36"/>
      <c r="X1278" s="36">
        <v>0</v>
      </c>
      <c r="Y1278" s="36"/>
      <c r="Z1278" s="36">
        <v>0</v>
      </c>
      <c r="AA1278" s="36">
        <v>0</v>
      </c>
      <c r="AB1278" s="36"/>
      <c r="AC1278" s="36" t="str">
        <f t="shared" si="8"/>
        <v>PC26</v>
      </c>
      <c r="AD1278" s="36" t="str">
        <f>VLOOKUP(D1278,Oficial!A:C,3,0)</f>
        <v>Bienes y Servicios</v>
      </c>
    </row>
    <row r="1279" spans="1:30" x14ac:dyDescent="0.25">
      <c r="A1279" s="36" t="s">
        <v>27</v>
      </c>
      <c r="B1279" s="36" t="s">
        <v>2089</v>
      </c>
      <c r="C1279" s="36" t="s">
        <v>28</v>
      </c>
      <c r="D1279" s="36" t="s">
        <v>2089</v>
      </c>
      <c r="E1279" s="36" t="s">
        <v>30</v>
      </c>
      <c r="F1279" s="36" t="s">
        <v>569</v>
      </c>
      <c r="G1279" s="37">
        <v>2266</v>
      </c>
      <c r="H1279" s="36" t="s">
        <v>2090</v>
      </c>
      <c r="I1279" s="36" t="s">
        <v>2091</v>
      </c>
      <c r="J1279" s="36">
        <v>6</v>
      </c>
      <c r="K1279" s="36" t="s">
        <v>1938</v>
      </c>
      <c r="L1279" s="36">
        <v>4</v>
      </c>
      <c r="M1279" s="36">
        <v>115</v>
      </c>
      <c r="N1279" s="38">
        <v>1914</v>
      </c>
      <c r="O1279" s="38">
        <v>220110</v>
      </c>
      <c r="P1279" s="36">
        <v>1</v>
      </c>
      <c r="Q1279" s="40">
        <v>46143</v>
      </c>
      <c r="R1279" s="36" t="s">
        <v>761</v>
      </c>
      <c r="S1279" s="36" t="s">
        <v>762</v>
      </c>
      <c r="T1279" s="36" t="s">
        <v>763</v>
      </c>
      <c r="U1279" s="36" t="s">
        <v>764</v>
      </c>
      <c r="V1279" s="40">
        <v>46113</v>
      </c>
      <c r="W1279" s="36"/>
      <c r="X1279" s="36">
        <v>0</v>
      </c>
      <c r="Y1279" s="36"/>
      <c r="Z1279" s="36">
        <v>0</v>
      </c>
      <c r="AA1279" s="36">
        <v>0</v>
      </c>
      <c r="AB1279" s="36"/>
      <c r="AC1279" s="36" t="str">
        <f t="shared" si="8"/>
        <v>PC26</v>
      </c>
      <c r="AD1279" s="36" t="str">
        <f>VLOOKUP(D1279,Oficial!A:C,3,0)</f>
        <v>Bienes y Servicios</v>
      </c>
    </row>
    <row r="1280" spans="1:30" x14ac:dyDescent="0.25">
      <c r="A1280" s="36" t="s">
        <v>27</v>
      </c>
      <c r="B1280" s="36" t="s">
        <v>2089</v>
      </c>
      <c r="C1280" s="36" t="s">
        <v>28</v>
      </c>
      <c r="D1280" s="36" t="s">
        <v>2089</v>
      </c>
      <c r="E1280" s="36" t="s">
        <v>30</v>
      </c>
      <c r="F1280" s="36" t="s">
        <v>569</v>
      </c>
      <c r="G1280" s="37">
        <v>2266</v>
      </c>
      <c r="H1280" s="36" t="s">
        <v>2090</v>
      </c>
      <c r="I1280" s="36" t="s">
        <v>2091</v>
      </c>
      <c r="J1280" s="36">
        <v>6</v>
      </c>
      <c r="K1280" s="36" t="s">
        <v>2096</v>
      </c>
      <c r="L1280" s="36">
        <v>4</v>
      </c>
      <c r="M1280" s="36">
        <v>1</v>
      </c>
      <c r="N1280" s="38">
        <v>30000</v>
      </c>
      <c r="O1280" s="38">
        <v>30000</v>
      </c>
      <c r="P1280" s="36">
        <v>1</v>
      </c>
      <c r="Q1280" s="40">
        <v>46143</v>
      </c>
      <c r="R1280" s="36" t="s">
        <v>761</v>
      </c>
      <c r="S1280" s="36" t="s">
        <v>762</v>
      </c>
      <c r="T1280" s="36" t="s">
        <v>763</v>
      </c>
      <c r="U1280" s="36" t="s">
        <v>764</v>
      </c>
      <c r="V1280" s="40">
        <v>46113</v>
      </c>
      <c r="W1280" s="36"/>
      <c r="X1280" s="36">
        <v>0</v>
      </c>
      <c r="Y1280" s="36"/>
      <c r="Z1280" s="36">
        <v>0</v>
      </c>
      <c r="AA1280" s="36">
        <v>0</v>
      </c>
      <c r="AB1280" s="36"/>
      <c r="AC1280" s="36" t="str">
        <f t="shared" si="8"/>
        <v>PC26</v>
      </c>
      <c r="AD1280" s="36" t="str">
        <f>VLOOKUP(D1280,Oficial!A:C,3,0)</f>
        <v>Bienes y Servicios</v>
      </c>
    </row>
    <row r="1281" spans="1:30" x14ac:dyDescent="0.25">
      <c r="A1281" s="36" t="s">
        <v>27</v>
      </c>
      <c r="B1281" s="36" t="s">
        <v>2097</v>
      </c>
      <c r="C1281" s="36" t="s">
        <v>28</v>
      </c>
      <c r="D1281" s="36" t="s">
        <v>2097</v>
      </c>
      <c r="E1281" s="36" t="s">
        <v>30</v>
      </c>
      <c r="F1281" s="36" t="s">
        <v>569</v>
      </c>
      <c r="G1281" s="37" t="s">
        <v>615</v>
      </c>
      <c r="H1281" s="36" t="s">
        <v>2098</v>
      </c>
      <c r="I1281" s="36" t="s">
        <v>2099</v>
      </c>
      <c r="J1281" s="36">
        <v>3</v>
      </c>
      <c r="K1281" s="36" t="s">
        <v>2055</v>
      </c>
      <c r="L1281" s="36">
        <v>4</v>
      </c>
      <c r="M1281" s="36">
        <v>13</v>
      </c>
      <c r="N1281" s="38">
        <v>35693</v>
      </c>
      <c r="O1281" s="38">
        <v>464009</v>
      </c>
      <c r="P1281" s="36">
        <v>1</v>
      </c>
      <c r="Q1281" s="40">
        <v>46113</v>
      </c>
      <c r="R1281" s="36" t="s">
        <v>590</v>
      </c>
      <c r="S1281" s="36" t="s">
        <v>591</v>
      </c>
      <c r="T1281" s="36" t="s">
        <v>2100</v>
      </c>
      <c r="U1281" s="36" t="s">
        <v>593</v>
      </c>
      <c r="V1281" s="40">
        <v>46082</v>
      </c>
      <c r="W1281" s="36"/>
      <c r="X1281" s="36">
        <v>0</v>
      </c>
      <c r="Y1281" s="36"/>
      <c r="Z1281" s="36">
        <v>0</v>
      </c>
      <c r="AA1281" s="36">
        <v>0</v>
      </c>
      <c r="AB1281" s="36"/>
      <c r="AC1281" s="36" t="str">
        <f t="shared" si="8"/>
        <v>PC26</v>
      </c>
      <c r="AD1281" s="36" t="str">
        <f>VLOOKUP(D1281,Oficial!A:C,3,0)</f>
        <v>Bienes y Servicios</v>
      </c>
    </row>
    <row r="1282" spans="1:30" x14ac:dyDescent="0.25">
      <c r="A1282" s="36" t="s">
        <v>27</v>
      </c>
      <c r="B1282" s="36" t="s">
        <v>2097</v>
      </c>
      <c r="C1282" s="36" t="s">
        <v>28</v>
      </c>
      <c r="D1282" s="36" t="s">
        <v>2097</v>
      </c>
      <c r="E1282" s="36" t="s">
        <v>30</v>
      </c>
      <c r="F1282" s="36" t="s">
        <v>569</v>
      </c>
      <c r="G1282" s="37" t="s">
        <v>615</v>
      </c>
      <c r="H1282" s="36" t="s">
        <v>2098</v>
      </c>
      <c r="I1282" s="36" t="s">
        <v>2099</v>
      </c>
      <c r="J1282" s="36">
        <v>3</v>
      </c>
      <c r="K1282" s="36" t="s">
        <v>1940</v>
      </c>
      <c r="L1282" s="36">
        <v>4</v>
      </c>
      <c r="M1282" s="36">
        <v>15</v>
      </c>
      <c r="N1282" s="38">
        <v>10000</v>
      </c>
      <c r="O1282" s="38">
        <v>150000</v>
      </c>
      <c r="P1282" s="36">
        <v>1</v>
      </c>
      <c r="Q1282" s="40">
        <v>46143</v>
      </c>
      <c r="R1282" s="36" t="s">
        <v>590</v>
      </c>
      <c r="S1282" s="36" t="s">
        <v>591</v>
      </c>
      <c r="T1282" s="36" t="s">
        <v>2100</v>
      </c>
      <c r="U1282" s="36" t="s">
        <v>593</v>
      </c>
      <c r="V1282" s="40">
        <v>46113</v>
      </c>
      <c r="W1282" s="36"/>
      <c r="X1282" s="36">
        <v>0</v>
      </c>
      <c r="Y1282" s="36"/>
      <c r="Z1282" s="36">
        <v>0</v>
      </c>
      <c r="AA1282" s="36">
        <v>0</v>
      </c>
      <c r="AB1282" s="36"/>
      <c r="AC1282" s="36" t="str">
        <f t="shared" si="8"/>
        <v>PC26</v>
      </c>
      <c r="AD1282" s="36" t="str">
        <f>VLOOKUP(D1282,Oficial!A:C,3,0)</f>
        <v>Bienes y Servicios</v>
      </c>
    </row>
    <row r="1283" spans="1:30" x14ac:dyDescent="0.25">
      <c r="A1283" s="36" t="s">
        <v>27</v>
      </c>
      <c r="B1283" s="36" t="s">
        <v>2097</v>
      </c>
      <c r="C1283" s="36" t="s">
        <v>28</v>
      </c>
      <c r="D1283" s="36" t="s">
        <v>2097</v>
      </c>
      <c r="E1283" s="36" t="s">
        <v>30</v>
      </c>
      <c r="F1283" s="36" t="s">
        <v>569</v>
      </c>
      <c r="G1283" s="37" t="s">
        <v>615</v>
      </c>
      <c r="H1283" s="36" t="s">
        <v>2098</v>
      </c>
      <c r="I1283" s="36" t="s">
        <v>2099</v>
      </c>
      <c r="J1283" s="36">
        <v>3</v>
      </c>
      <c r="K1283" s="36" t="s">
        <v>2101</v>
      </c>
      <c r="L1283" s="36">
        <v>4</v>
      </c>
      <c r="M1283" s="36">
        <v>107</v>
      </c>
      <c r="N1283" s="38">
        <v>14571</v>
      </c>
      <c r="O1283" s="38">
        <v>1559097</v>
      </c>
      <c r="P1283" s="36">
        <v>1</v>
      </c>
      <c r="Q1283" s="40">
        <v>46143</v>
      </c>
      <c r="R1283" s="36" t="s">
        <v>590</v>
      </c>
      <c r="S1283" s="36" t="s">
        <v>591</v>
      </c>
      <c r="T1283" s="36" t="s">
        <v>2100</v>
      </c>
      <c r="U1283" s="36" t="s">
        <v>593</v>
      </c>
      <c r="V1283" s="40">
        <v>46113</v>
      </c>
      <c r="W1283" s="36"/>
      <c r="X1283" s="36">
        <v>0</v>
      </c>
      <c r="Y1283" s="36"/>
      <c r="Z1283" s="36">
        <v>0</v>
      </c>
      <c r="AA1283" s="36">
        <v>0</v>
      </c>
      <c r="AB1283" s="36"/>
      <c r="AC1283" s="36" t="str">
        <f t="shared" si="8"/>
        <v>PC26</v>
      </c>
      <c r="AD1283" s="36" t="str">
        <f>VLOOKUP(D1283,Oficial!A:C,3,0)</f>
        <v>Bienes y Servicios</v>
      </c>
    </row>
    <row r="1284" spans="1:30" x14ac:dyDescent="0.25">
      <c r="A1284" s="36" t="s">
        <v>27</v>
      </c>
      <c r="B1284" s="36" t="s">
        <v>2102</v>
      </c>
      <c r="C1284" s="36" t="s">
        <v>1238</v>
      </c>
      <c r="D1284" s="36" t="s">
        <v>2102</v>
      </c>
      <c r="E1284" s="36" t="s">
        <v>30</v>
      </c>
      <c r="F1284" s="36" t="s">
        <v>569</v>
      </c>
      <c r="G1284" s="37">
        <v>2518</v>
      </c>
      <c r="H1284" s="36" t="s">
        <v>2103</v>
      </c>
      <c r="I1284" s="36" t="s">
        <v>2104</v>
      </c>
      <c r="J1284" s="36">
        <v>2</v>
      </c>
      <c r="K1284" s="36" t="s">
        <v>2105</v>
      </c>
      <c r="L1284" s="36">
        <v>4</v>
      </c>
      <c r="M1284" s="36">
        <v>1</v>
      </c>
      <c r="N1284" s="38">
        <v>15000000</v>
      </c>
      <c r="O1284" s="38">
        <v>15000000</v>
      </c>
      <c r="P1284" s="36">
        <v>1</v>
      </c>
      <c r="Q1284" s="40">
        <v>46082</v>
      </c>
      <c r="R1284" s="36" t="s">
        <v>1759</v>
      </c>
      <c r="S1284" s="36" t="s">
        <v>1760</v>
      </c>
      <c r="T1284" s="36" t="s">
        <v>1761</v>
      </c>
      <c r="U1284" s="36" t="s">
        <v>1762</v>
      </c>
      <c r="V1284" s="40">
        <v>46082</v>
      </c>
      <c r="W1284" s="36"/>
      <c r="X1284" s="36">
        <v>0</v>
      </c>
      <c r="Y1284" s="36"/>
      <c r="Z1284" s="36">
        <v>0</v>
      </c>
      <c r="AA1284" s="36">
        <v>0</v>
      </c>
      <c r="AB1284" s="36"/>
      <c r="AC1284" s="36" t="str">
        <f t="shared" si="8"/>
        <v>PC26</v>
      </c>
      <c r="AD1284" s="36" t="str">
        <f>VLOOKUP(D1284,Oficial!A:C,3,0)</f>
        <v>Activos Fijos</v>
      </c>
    </row>
    <row r="1285" spans="1:30" x14ac:dyDescent="0.25">
      <c r="A1285" s="36" t="s">
        <v>27</v>
      </c>
      <c r="B1285" s="36" t="s">
        <v>2102</v>
      </c>
      <c r="C1285" s="36" t="s">
        <v>1238</v>
      </c>
      <c r="D1285" s="36" t="s">
        <v>2102</v>
      </c>
      <c r="E1285" s="36" t="s">
        <v>30</v>
      </c>
      <c r="F1285" s="36" t="s">
        <v>569</v>
      </c>
      <c r="G1285" s="37">
        <v>2518</v>
      </c>
      <c r="H1285" s="36" t="s">
        <v>2103</v>
      </c>
      <c r="I1285" s="36" t="s">
        <v>2104</v>
      </c>
      <c r="J1285" s="36">
        <v>2</v>
      </c>
      <c r="K1285" s="36" t="s">
        <v>2106</v>
      </c>
      <c r="L1285" s="36">
        <v>4</v>
      </c>
      <c r="M1285" s="36">
        <v>2</v>
      </c>
      <c r="N1285" s="38">
        <v>500000</v>
      </c>
      <c r="O1285" s="38">
        <v>1000000</v>
      </c>
      <c r="P1285" s="36">
        <v>1</v>
      </c>
      <c r="Q1285" s="40">
        <v>46082</v>
      </c>
      <c r="R1285" s="36" t="s">
        <v>1759</v>
      </c>
      <c r="S1285" s="36" t="s">
        <v>1760</v>
      </c>
      <c r="T1285" s="36" t="s">
        <v>1761</v>
      </c>
      <c r="U1285" s="36" t="s">
        <v>1762</v>
      </c>
      <c r="V1285" s="40">
        <v>46082</v>
      </c>
      <c r="W1285" s="36"/>
      <c r="X1285" s="36">
        <v>0</v>
      </c>
      <c r="Y1285" s="36"/>
      <c r="Z1285" s="36">
        <v>0</v>
      </c>
      <c r="AA1285" s="36">
        <v>0</v>
      </c>
      <c r="AB1285" s="36"/>
      <c r="AC1285" s="36" t="str">
        <f t="shared" si="8"/>
        <v>PC26</v>
      </c>
      <c r="AD1285" s="36" t="str">
        <f>VLOOKUP(D1285,Oficial!A:C,3,0)</f>
        <v>Activos Fijos</v>
      </c>
    </row>
    <row r="1286" spans="1:30" x14ac:dyDescent="0.25">
      <c r="A1286" s="36" t="s">
        <v>27</v>
      </c>
      <c r="B1286" s="36" t="s">
        <v>2107</v>
      </c>
      <c r="C1286" s="36" t="s">
        <v>28</v>
      </c>
      <c r="D1286" s="36" t="s">
        <v>2107</v>
      </c>
      <c r="E1286" s="36" t="s">
        <v>30</v>
      </c>
      <c r="F1286" s="36" t="s">
        <v>569</v>
      </c>
      <c r="G1286" s="37">
        <v>2233</v>
      </c>
      <c r="H1286" s="36" t="s">
        <v>2108</v>
      </c>
      <c r="I1286" s="36" t="s">
        <v>2109</v>
      </c>
      <c r="J1286" s="36">
        <v>3</v>
      </c>
      <c r="K1286" s="36" t="s">
        <v>953</v>
      </c>
      <c r="L1286" s="36">
        <v>4</v>
      </c>
      <c r="M1286" s="36">
        <v>12</v>
      </c>
      <c r="N1286" s="38">
        <v>41667</v>
      </c>
      <c r="O1286" s="38">
        <v>500004</v>
      </c>
      <c r="P1286" s="36">
        <v>1</v>
      </c>
      <c r="Q1286" s="40">
        <v>46054</v>
      </c>
      <c r="R1286" s="36" t="s">
        <v>761</v>
      </c>
      <c r="S1286" s="36" t="s">
        <v>762</v>
      </c>
      <c r="T1286" s="36" t="s">
        <v>763</v>
      </c>
      <c r="U1286" s="36" t="s">
        <v>764</v>
      </c>
      <c r="V1286" s="40">
        <v>46054</v>
      </c>
      <c r="W1286" s="36"/>
      <c r="X1286" s="36">
        <v>0</v>
      </c>
      <c r="Y1286" s="36"/>
      <c r="Z1286" s="36">
        <v>0</v>
      </c>
      <c r="AA1286" s="36">
        <v>0</v>
      </c>
      <c r="AB1286" s="36"/>
      <c r="AC1286" s="36" t="str">
        <f t="shared" si="8"/>
        <v>PC26</v>
      </c>
      <c r="AD1286" s="36" t="str">
        <f>VLOOKUP(D1286,Oficial!A:C,3,0)</f>
        <v>Bienes y Servicios</v>
      </c>
    </row>
    <row r="1287" spans="1:30" x14ac:dyDescent="0.25">
      <c r="A1287" s="36" t="s">
        <v>27</v>
      </c>
      <c r="B1287" s="36" t="s">
        <v>2107</v>
      </c>
      <c r="C1287" s="36" t="s">
        <v>28</v>
      </c>
      <c r="D1287" s="36" t="s">
        <v>2107</v>
      </c>
      <c r="E1287" s="36" t="s">
        <v>30</v>
      </c>
      <c r="F1287" s="36" t="s">
        <v>569</v>
      </c>
      <c r="G1287" s="37">
        <v>2233</v>
      </c>
      <c r="H1287" s="36" t="s">
        <v>2108</v>
      </c>
      <c r="I1287" s="36" t="s">
        <v>2109</v>
      </c>
      <c r="J1287" s="36">
        <v>3</v>
      </c>
      <c r="K1287" s="36" t="s">
        <v>486</v>
      </c>
      <c r="L1287" s="36">
        <v>4</v>
      </c>
      <c r="M1287" s="36">
        <v>1000</v>
      </c>
      <c r="N1287" s="38">
        <v>1975</v>
      </c>
      <c r="O1287" s="38">
        <v>1975000</v>
      </c>
      <c r="P1287" s="36">
        <v>1</v>
      </c>
      <c r="Q1287" s="40">
        <v>46054</v>
      </c>
      <c r="R1287" s="36" t="s">
        <v>761</v>
      </c>
      <c r="S1287" s="36" t="s">
        <v>762</v>
      </c>
      <c r="T1287" s="36" t="s">
        <v>763</v>
      </c>
      <c r="U1287" s="36" t="s">
        <v>764</v>
      </c>
      <c r="V1287" s="40">
        <v>46054</v>
      </c>
      <c r="W1287" s="36"/>
      <c r="X1287" s="36">
        <v>0</v>
      </c>
      <c r="Y1287" s="36"/>
      <c r="Z1287" s="36">
        <v>0</v>
      </c>
      <c r="AA1287" s="36">
        <v>0</v>
      </c>
      <c r="AB1287" s="36"/>
      <c r="AC1287" s="36" t="str">
        <f t="shared" si="8"/>
        <v>PC26</v>
      </c>
      <c r="AD1287" s="36" t="str">
        <f>VLOOKUP(D1287,Oficial!A:C,3,0)</f>
        <v>Bienes y Servicios</v>
      </c>
    </row>
    <row r="1288" spans="1:30" x14ac:dyDescent="0.25">
      <c r="A1288" s="36" t="s">
        <v>27</v>
      </c>
      <c r="B1288" s="36" t="s">
        <v>2107</v>
      </c>
      <c r="C1288" s="36" t="s">
        <v>28</v>
      </c>
      <c r="D1288" s="36" t="s">
        <v>2107</v>
      </c>
      <c r="E1288" s="36" t="s">
        <v>30</v>
      </c>
      <c r="F1288" s="36" t="s">
        <v>569</v>
      </c>
      <c r="G1288" s="37">
        <v>2233</v>
      </c>
      <c r="H1288" s="36" t="s">
        <v>2108</v>
      </c>
      <c r="I1288" s="36" t="s">
        <v>2109</v>
      </c>
      <c r="J1288" s="36">
        <v>3</v>
      </c>
      <c r="K1288" s="36" t="s">
        <v>1683</v>
      </c>
      <c r="L1288" s="36">
        <v>4</v>
      </c>
      <c r="M1288" s="36">
        <v>10</v>
      </c>
      <c r="N1288" s="38">
        <v>5000</v>
      </c>
      <c r="O1288" s="38">
        <v>50000</v>
      </c>
      <c r="P1288" s="36">
        <v>1</v>
      </c>
      <c r="Q1288" s="40">
        <v>46054</v>
      </c>
      <c r="R1288" s="36" t="s">
        <v>761</v>
      </c>
      <c r="S1288" s="36" t="s">
        <v>762</v>
      </c>
      <c r="T1288" s="36" t="s">
        <v>763</v>
      </c>
      <c r="U1288" s="36" t="s">
        <v>764</v>
      </c>
      <c r="V1288" s="40">
        <v>46054</v>
      </c>
      <c r="W1288" s="36"/>
      <c r="X1288" s="36">
        <v>0</v>
      </c>
      <c r="Y1288" s="36"/>
      <c r="Z1288" s="36">
        <v>0</v>
      </c>
      <c r="AA1288" s="36">
        <v>0</v>
      </c>
      <c r="AB1288" s="36"/>
      <c r="AC1288" s="36" t="str">
        <f t="shared" si="8"/>
        <v>PC26</v>
      </c>
      <c r="AD1288" s="36" t="str">
        <f>VLOOKUP(D1288,Oficial!A:C,3,0)</f>
        <v>Bienes y Servicios</v>
      </c>
    </row>
    <row r="1289" spans="1:30" x14ac:dyDescent="0.25">
      <c r="A1289" s="36" t="s">
        <v>27</v>
      </c>
      <c r="B1289" s="36" t="s">
        <v>2110</v>
      </c>
      <c r="C1289" s="36" t="s">
        <v>374</v>
      </c>
      <c r="D1289" s="36" t="s">
        <v>2110</v>
      </c>
      <c r="E1289" s="36" t="s">
        <v>30</v>
      </c>
      <c r="F1289" s="36" t="s">
        <v>569</v>
      </c>
      <c r="G1289" s="37">
        <v>2240</v>
      </c>
      <c r="H1289" s="36" t="s">
        <v>2111</v>
      </c>
      <c r="I1289" s="36" t="s">
        <v>2112</v>
      </c>
      <c r="J1289" s="36">
        <v>5</v>
      </c>
      <c r="K1289" s="36" t="s">
        <v>359</v>
      </c>
      <c r="L1289" s="36">
        <v>4</v>
      </c>
      <c r="M1289" s="36">
        <v>260</v>
      </c>
      <c r="N1289" s="38">
        <v>1700</v>
      </c>
      <c r="O1289" s="38">
        <v>442000</v>
      </c>
      <c r="P1289" s="36">
        <v>1</v>
      </c>
      <c r="Q1289" s="40">
        <v>46023</v>
      </c>
      <c r="R1289" s="36" t="s">
        <v>768</v>
      </c>
      <c r="S1289" s="36" t="s">
        <v>769</v>
      </c>
      <c r="T1289" s="36" t="s">
        <v>770</v>
      </c>
      <c r="U1289" s="36" t="s">
        <v>388</v>
      </c>
      <c r="V1289" s="40">
        <v>46023</v>
      </c>
      <c r="W1289" s="36"/>
      <c r="X1289" s="36">
        <v>0</v>
      </c>
      <c r="Y1289" s="36"/>
      <c r="Z1289" s="36">
        <v>0</v>
      </c>
      <c r="AA1289" s="36">
        <v>0</v>
      </c>
      <c r="AB1289" s="36"/>
      <c r="AC1289" s="36" t="str">
        <f t="shared" si="8"/>
        <v>PC26</v>
      </c>
      <c r="AD1289" s="36" t="str">
        <f>VLOOKUP(D1289,Oficial!A:C,3,0)</f>
        <v>Administración de Fondos</v>
      </c>
    </row>
    <row r="1290" spans="1:30" x14ac:dyDescent="0.25">
      <c r="A1290" s="36" t="s">
        <v>27</v>
      </c>
      <c r="B1290" s="36" t="s">
        <v>2110</v>
      </c>
      <c r="C1290" s="36" t="s">
        <v>374</v>
      </c>
      <c r="D1290" s="36" t="s">
        <v>2110</v>
      </c>
      <c r="E1290" s="36" t="s">
        <v>30</v>
      </c>
      <c r="F1290" s="36" t="s">
        <v>569</v>
      </c>
      <c r="G1290" s="37">
        <v>2240</v>
      </c>
      <c r="H1290" s="36" t="s">
        <v>2111</v>
      </c>
      <c r="I1290" s="36" t="s">
        <v>2112</v>
      </c>
      <c r="J1290" s="36">
        <v>5</v>
      </c>
      <c r="K1290" s="36" t="s">
        <v>486</v>
      </c>
      <c r="L1290" s="36">
        <v>4</v>
      </c>
      <c r="M1290" s="36">
        <v>510</v>
      </c>
      <c r="N1290" s="38">
        <v>983</v>
      </c>
      <c r="O1290" s="38">
        <v>501330</v>
      </c>
      <c r="P1290" s="36">
        <v>1</v>
      </c>
      <c r="Q1290" s="40">
        <v>46023</v>
      </c>
      <c r="R1290" s="36" t="s">
        <v>768</v>
      </c>
      <c r="S1290" s="36" t="s">
        <v>769</v>
      </c>
      <c r="T1290" s="36" t="s">
        <v>770</v>
      </c>
      <c r="U1290" s="36" t="s">
        <v>388</v>
      </c>
      <c r="V1290" s="40">
        <v>46023</v>
      </c>
      <c r="W1290" s="36"/>
      <c r="X1290" s="36">
        <v>0</v>
      </c>
      <c r="Y1290" s="36"/>
      <c r="Z1290" s="36">
        <v>0</v>
      </c>
      <c r="AA1290" s="36">
        <v>0</v>
      </c>
      <c r="AB1290" s="36"/>
      <c r="AC1290" s="36" t="str">
        <f t="shared" si="8"/>
        <v>PC26</v>
      </c>
      <c r="AD1290" s="36" t="str">
        <f>VLOOKUP(D1290,Oficial!A:C,3,0)</f>
        <v>Administración de Fondos</v>
      </c>
    </row>
    <row r="1291" spans="1:30" x14ac:dyDescent="0.25">
      <c r="A1291" s="36" t="s">
        <v>27</v>
      </c>
      <c r="B1291" s="36" t="s">
        <v>2110</v>
      </c>
      <c r="C1291" s="36" t="s">
        <v>374</v>
      </c>
      <c r="D1291" s="36" t="s">
        <v>2110</v>
      </c>
      <c r="E1291" s="36" t="s">
        <v>30</v>
      </c>
      <c r="F1291" s="36" t="s">
        <v>569</v>
      </c>
      <c r="G1291" s="37">
        <v>2240</v>
      </c>
      <c r="H1291" s="36" t="s">
        <v>2111</v>
      </c>
      <c r="I1291" s="36" t="s">
        <v>2112</v>
      </c>
      <c r="J1291" s="36">
        <v>5</v>
      </c>
      <c r="K1291" s="36" t="s">
        <v>855</v>
      </c>
      <c r="L1291" s="36">
        <v>4</v>
      </c>
      <c r="M1291" s="36">
        <v>700</v>
      </c>
      <c r="N1291" s="38">
        <v>71</v>
      </c>
      <c r="O1291" s="38">
        <v>49700</v>
      </c>
      <c r="P1291" s="36">
        <v>1</v>
      </c>
      <c r="Q1291" s="40">
        <v>46023</v>
      </c>
      <c r="R1291" s="36" t="s">
        <v>768</v>
      </c>
      <c r="S1291" s="36" t="s">
        <v>769</v>
      </c>
      <c r="T1291" s="36" t="s">
        <v>770</v>
      </c>
      <c r="U1291" s="36" t="s">
        <v>388</v>
      </c>
      <c r="V1291" s="40">
        <v>46023</v>
      </c>
      <c r="W1291" s="36"/>
      <c r="X1291" s="36">
        <v>0</v>
      </c>
      <c r="Y1291" s="36"/>
      <c r="Z1291" s="36">
        <v>0</v>
      </c>
      <c r="AA1291" s="36">
        <v>0</v>
      </c>
      <c r="AB1291" s="36"/>
      <c r="AC1291" s="36" t="str">
        <f t="shared" si="8"/>
        <v>PC26</v>
      </c>
      <c r="AD1291" s="36" t="str">
        <f>VLOOKUP(D1291,Oficial!A:C,3,0)</f>
        <v>Administración de Fondos</v>
      </c>
    </row>
    <row r="1292" spans="1:30" x14ac:dyDescent="0.25">
      <c r="A1292" s="36" t="s">
        <v>27</v>
      </c>
      <c r="B1292" s="36" t="s">
        <v>2110</v>
      </c>
      <c r="C1292" s="36" t="s">
        <v>374</v>
      </c>
      <c r="D1292" s="36" t="s">
        <v>2110</v>
      </c>
      <c r="E1292" s="36" t="s">
        <v>30</v>
      </c>
      <c r="F1292" s="36" t="s">
        <v>569</v>
      </c>
      <c r="G1292" s="37">
        <v>2240</v>
      </c>
      <c r="H1292" s="36" t="s">
        <v>2111</v>
      </c>
      <c r="I1292" s="36" t="s">
        <v>2112</v>
      </c>
      <c r="J1292" s="36">
        <v>5</v>
      </c>
      <c r="K1292" s="36" t="s">
        <v>2113</v>
      </c>
      <c r="L1292" s="36">
        <v>4</v>
      </c>
      <c r="M1292" s="36">
        <v>2</v>
      </c>
      <c r="N1292" s="38">
        <v>120000</v>
      </c>
      <c r="O1292" s="38">
        <v>240000</v>
      </c>
      <c r="P1292" s="36">
        <v>1</v>
      </c>
      <c r="Q1292" s="40">
        <v>46023</v>
      </c>
      <c r="R1292" s="36" t="s">
        <v>768</v>
      </c>
      <c r="S1292" s="36" t="s">
        <v>769</v>
      </c>
      <c r="T1292" s="36" t="s">
        <v>770</v>
      </c>
      <c r="U1292" s="36" t="s">
        <v>388</v>
      </c>
      <c r="V1292" s="40">
        <v>46023</v>
      </c>
      <c r="W1292" s="36"/>
      <c r="X1292" s="36">
        <v>0</v>
      </c>
      <c r="Y1292" s="36"/>
      <c r="Z1292" s="36">
        <v>0</v>
      </c>
      <c r="AA1292" s="36">
        <v>0</v>
      </c>
      <c r="AB1292" s="36"/>
      <c r="AC1292" s="36" t="str">
        <f t="shared" si="8"/>
        <v>PC26</v>
      </c>
      <c r="AD1292" s="36" t="str">
        <f>VLOOKUP(D1292,Oficial!A:C,3,0)</f>
        <v>Administración de Fondos</v>
      </c>
    </row>
    <row r="1293" spans="1:30" x14ac:dyDescent="0.25">
      <c r="A1293" s="36" t="s">
        <v>27</v>
      </c>
      <c r="B1293" s="36" t="s">
        <v>2110</v>
      </c>
      <c r="C1293" s="36" t="s">
        <v>374</v>
      </c>
      <c r="D1293" s="36" t="s">
        <v>2110</v>
      </c>
      <c r="E1293" s="36" t="s">
        <v>30</v>
      </c>
      <c r="F1293" s="36" t="s">
        <v>569</v>
      </c>
      <c r="G1293" s="37">
        <v>2240</v>
      </c>
      <c r="H1293" s="36" t="s">
        <v>2111</v>
      </c>
      <c r="I1293" s="36" t="s">
        <v>2112</v>
      </c>
      <c r="J1293" s="36">
        <v>5</v>
      </c>
      <c r="K1293" s="36" t="s">
        <v>2114</v>
      </c>
      <c r="L1293" s="36">
        <v>4</v>
      </c>
      <c r="M1293" s="36">
        <v>2</v>
      </c>
      <c r="N1293" s="38">
        <v>35000</v>
      </c>
      <c r="O1293" s="38">
        <v>70000</v>
      </c>
      <c r="P1293" s="36">
        <v>1</v>
      </c>
      <c r="Q1293" s="40">
        <v>46023</v>
      </c>
      <c r="R1293" s="36" t="s">
        <v>768</v>
      </c>
      <c r="S1293" s="36" t="s">
        <v>769</v>
      </c>
      <c r="T1293" s="36" t="s">
        <v>770</v>
      </c>
      <c r="U1293" s="36" t="s">
        <v>388</v>
      </c>
      <c r="V1293" s="40">
        <v>46023</v>
      </c>
      <c r="W1293" s="36"/>
      <c r="X1293" s="36">
        <v>0</v>
      </c>
      <c r="Y1293" s="36"/>
      <c r="Z1293" s="36">
        <v>0</v>
      </c>
      <c r="AA1293" s="36">
        <v>0</v>
      </c>
      <c r="AB1293" s="36"/>
      <c r="AC1293" s="36" t="str">
        <f t="shared" si="8"/>
        <v>PC26</v>
      </c>
      <c r="AD1293" s="36" t="str">
        <f>VLOOKUP(D1293,Oficial!A:C,3,0)</f>
        <v>Administración de Fondos</v>
      </c>
    </row>
    <row r="1294" spans="1:30" x14ac:dyDescent="0.25">
      <c r="A1294" s="36" t="s">
        <v>27</v>
      </c>
      <c r="B1294" s="36" t="s">
        <v>2115</v>
      </c>
      <c r="C1294" s="36" t="s">
        <v>28</v>
      </c>
      <c r="D1294" s="36" t="s">
        <v>2115</v>
      </c>
      <c r="E1294" s="36" t="s">
        <v>30</v>
      </c>
      <c r="F1294" s="36" t="s">
        <v>569</v>
      </c>
      <c r="G1294" s="37">
        <v>2254</v>
      </c>
      <c r="H1294" s="36" t="s">
        <v>2116</v>
      </c>
      <c r="I1294" s="36" t="s">
        <v>2117</v>
      </c>
      <c r="J1294" s="36">
        <v>4</v>
      </c>
      <c r="K1294" s="36" t="s">
        <v>2118</v>
      </c>
      <c r="L1294" s="36">
        <v>4</v>
      </c>
      <c r="M1294" s="36">
        <v>1</v>
      </c>
      <c r="N1294" s="38">
        <v>1000000</v>
      </c>
      <c r="O1294" s="38">
        <v>1000000</v>
      </c>
      <c r="P1294" s="36">
        <v>1</v>
      </c>
      <c r="Q1294" s="40">
        <v>46266</v>
      </c>
      <c r="R1294" s="36" t="s">
        <v>761</v>
      </c>
      <c r="S1294" s="36" t="s">
        <v>762</v>
      </c>
      <c r="T1294" s="36" t="s">
        <v>763</v>
      </c>
      <c r="U1294" s="36" t="s">
        <v>764</v>
      </c>
      <c r="V1294" s="40">
        <v>46266</v>
      </c>
      <c r="W1294" s="36"/>
      <c r="X1294" s="36">
        <v>0</v>
      </c>
      <c r="Y1294" s="36"/>
      <c r="Z1294" s="36">
        <v>0</v>
      </c>
      <c r="AA1294" s="36">
        <v>0</v>
      </c>
      <c r="AB1294" s="36"/>
      <c r="AC1294" s="36" t="str">
        <f t="shared" si="8"/>
        <v>PC26</v>
      </c>
      <c r="AD1294" s="36" t="str">
        <f>VLOOKUP(D1294,Oficial!A:C,3,0)</f>
        <v>Bienes y Servicios</v>
      </c>
    </row>
    <row r="1295" spans="1:30" x14ac:dyDescent="0.25">
      <c r="A1295" s="36" t="s">
        <v>27</v>
      </c>
      <c r="B1295" s="36" t="s">
        <v>2115</v>
      </c>
      <c r="C1295" s="36" t="s">
        <v>28</v>
      </c>
      <c r="D1295" s="36" t="s">
        <v>2115</v>
      </c>
      <c r="E1295" s="36" t="s">
        <v>30</v>
      </c>
      <c r="F1295" s="36" t="s">
        <v>569</v>
      </c>
      <c r="G1295" s="37">
        <v>2254</v>
      </c>
      <c r="H1295" s="36" t="s">
        <v>2116</v>
      </c>
      <c r="I1295" s="36" t="s">
        <v>2117</v>
      </c>
      <c r="J1295" s="36">
        <v>4</v>
      </c>
      <c r="K1295" s="36" t="s">
        <v>2119</v>
      </c>
      <c r="L1295" s="36">
        <v>4</v>
      </c>
      <c r="M1295" s="36">
        <v>48</v>
      </c>
      <c r="N1295" s="38">
        <v>7500</v>
      </c>
      <c r="O1295" s="38">
        <v>360000</v>
      </c>
      <c r="P1295" s="36">
        <v>1</v>
      </c>
      <c r="Q1295" s="40">
        <v>46266</v>
      </c>
      <c r="R1295" s="36" t="s">
        <v>761</v>
      </c>
      <c r="S1295" s="36" t="s">
        <v>762</v>
      </c>
      <c r="T1295" s="36" t="s">
        <v>763</v>
      </c>
      <c r="U1295" s="36" t="s">
        <v>764</v>
      </c>
      <c r="V1295" s="40">
        <v>46266</v>
      </c>
      <c r="W1295" s="36"/>
      <c r="X1295" s="36">
        <v>0</v>
      </c>
      <c r="Y1295" s="36"/>
      <c r="Z1295" s="36">
        <v>0</v>
      </c>
      <c r="AA1295" s="36">
        <v>0</v>
      </c>
      <c r="AB1295" s="36"/>
      <c r="AC1295" s="36" t="str">
        <f t="shared" si="8"/>
        <v>PC26</v>
      </c>
      <c r="AD1295" s="36" t="str">
        <f>VLOOKUP(D1295,Oficial!A:C,3,0)</f>
        <v>Bienes y Servicios</v>
      </c>
    </row>
    <row r="1296" spans="1:30" x14ac:dyDescent="0.25">
      <c r="A1296" s="36" t="s">
        <v>27</v>
      </c>
      <c r="B1296" s="36" t="s">
        <v>2115</v>
      </c>
      <c r="C1296" s="36" t="s">
        <v>28</v>
      </c>
      <c r="D1296" s="36" t="s">
        <v>2115</v>
      </c>
      <c r="E1296" s="36" t="s">
        <v>30</v>
      </c>
      <c r="F1296" s="36" t="s">
        <v>569</v>
      </c>
      <c r="G1296" s="37">
        <v>2254</v>
      </c>
      <c r="H1296" s="36" t="s">
        <v>2116</v>
      </c>
      <c r="I1296" s="36" t="s">
        <v>2117</v>
      </c>
      <c r="J1296" s="36">
        <v>4</v>
      </c>
      <c r="K1296" s="36" t="s">
        <v>2120</v>
      </c>
      <c r="L1296" s="36">
        <v>4</v>
      </c>
      <c r="M1296" s="36">
        <v>400</v>
      </c>
      <c r="N1296" s="38">
        <v>465</v>
      </c>
      <c r="O1296" s="38">
        <v>186000</v>
      </c>
      <c r="P1296" s="36">
        <v>1</v>
      </c>
      <c r="Q1296" s="40">
        <v>46266</v>
      </c>
      <c r="R1296" s="36" t="s">
        <v>761</v>
      </c>
      <c r="S1296" s="36" t="s">
        <v>762</v>
      </c>
      <c r="T1296" s="36" t="s">
        <v>763</v>
      </c>
      <c r="U1296" s="36" t="s">
        <v>764</v>
      </c>
      <c r="V1296" s="40">
        <v>46266</v>
      </c>
      <c r="W1296" s="36"/>
      <c r="X1296" s="36">
        <v>0</v>
      </c>
      <c r="Y1296" s="36"/>
      <c r="Z1296" s="36">
        <v>0</v>
      </c>
      <c r="AA1296" s="36">
        <v>0</v>
      </c>
      <c r="AB1296" s="36"/>
      <c r="AC1296" s="36" t="str">
        <f t="shared" si="8"/>
        <v>PC26</v>
      </c>
      <c r="AD1296" s="36" t="str">
        <f>VLOOKUP(D1296,Oficial!A:C,3,0)</f>
        <v>Bienes y Servicios</v>
      </c>
    </row>
    <row r="1297" spans="1:30" x14ac:dyDescent="0.25">
      <c r="A1297" s="36" t="s">
        <v>27</v>
      </c>
      <c r="B1297" s="36" t="s">
        <v>2115</v>
      </c>
      <c r="C1297" s="36" t="s">
        <v>28</v>
      </c>
      <c r="D1297" s="36" t="s">
        <v>2115</v>
      </c>
      <c r="E1297" s="36" t="s">
        <v>30</v>
      </c>
      <c r="F1297" s="36" t="s">
        <v>569</v>
      </c>
      <c r="G1297" s="37">
        <v>2254</v>
      </c>
      <c r="H1297" s="36" t="s">
        <v>2116</v>
      </c>
      <c r="I1297" s="36" t="s">
        <v>2117</v>
      </c>
      <c r="J1297" s="36">
        <v>4</v>
      </c>
      <c r="K1297" s="36" t="s">
        <v>359</v>
      </c>
      <c r="L1297" s="36">
        <v>4</v>
      </c>
      <c r="M1297" s="36">
        <v>3238</v>
      </c>
      <c r="N1297" s="38">
        <v>210</v>
      </c>
      <c r="O1297" s="38">
        <v>679980</v>
      </c>
      <c r="P1297" s="36">
        <v>1</v>
      </c>
      <c r="Q1297" s="40">
        <v>46266</v>
      </c>
      <c r="R1297" s="36" t="s">
        <v>761</v>
      </c>
      <c r="S1297" s="36" t="s">
        <v>762</v>
      </c>
      <c r="T1297" s="36" t="s">
        <v>763</v>
      </c>
      <c r="U1297" s="36" t="s">
        <v>764</v>
      </c>
      <c r="V1297" s="40">
        <v>46266</v>
      </c>
      <c r="W1297" s="36"/>
      <c r="X1297" s="36">
        <v>0</v>
      </c>
      <c r="Y1297" s="36"/>
      <c r="Z1297" s="36">
        <v>0</v>
      </c>
      <c r="AA1297" s="36">
        <v>0</v>
      </c>
      <c r="AB1297" s="36"/>
      <c r="AC1297" s="36" t="str">
        <f t="shared" si="8"/>
        <v>PC26</v>
      </c>
      <c r="AD1297" s="36" t="str">
        <f>VLOOKUP(D1297,Oficial!A:C,3,0)</f>
        <v>Bienes y Servicios</v>
      </c>
    </row>
    <row r="1298" spans="1:30" x14ac:dyDescent="0.25">
      <c r="A1298" s="36" t="s">
        <v>27</v>
      </c>
      <c r="B1298" s="36" t="s">
        <v>2121</v>
      </c>
      <c r="C1298" s="36" t="s">
        <v>28</v>
      </c>
      <c r="D1298" s="36" t="s">
        <v>2121</v>
      </c>
      <c r="E1298" s="36" t="s">
        <v>30</v>
      </c>
      <c r="F1298" s="36" t="s">
        <v>569</v>
      </c>
      <c r="G1298" s="37">
        <v>2281</v>
      </c>
      <c r="H1298" s="36" t="s">
        <v>2122</v>
      </c>
      <c r="I1298" s="36" t="s">
        <v>2123</v>
      </c>
      <c r="J1298" s="36">
        <v>23</v>
      </c>
      <c r="K1298" s="36" t="s">
        <v>2095</v>
      </c>
      <c r="L1298" s="36">
        <v>4</v>
      </c>
      <c r="M1298" s="36">
        <v>70</v>
      </c>
      <c r="N1298" s="38">
        <v>10215</v>
      </c>
      <c r="O1298" s="38">
        <v>715050</v>
      </c>
      <c r="P1298" s="36">
        <v>1</v>
      </c>
      <c r="Q1298" s="40">
        <v>46113</v>
      </c>
      <c r="R1298" s="36" t="s">
        <v>2124</v>
      </c>
      <c r="S1298" s="36" t="s">
        <v>1217</v>
      </c>
      <c r="T1298" s="36" t="s">
        <v>2125</v>
      </c>
      <c r="U1298" s="36" t="s">
        <v>2126</v>
      </c>
      <c r="V1298" s="40">
        <v>46082</v>
      </c>
      <c r="W1298" s="36"/>
      <c r="X1298" s="36">
        <v>0</v>
      </c>
      <c r="Y1298" s="36"/>
      <c r="Z1298" s="36">
        <v>0</v>
      </c>
      <c r="AA1298" s="36">
        <v>0</v>
      </c>
      <c r="AB1298" s="36"/>
      <c r="AC1298" s="36" t="str">
        <f t="shared" si="8"/>
        <v>PC26</v>
      </c>
      <c r="AD1298" s="36" t="str">
        <f>VLOOKUP(D1298,Oficial!A:C,3,0)</f>
        <v>Bienes y Servicios</v>
      </c>
    </row>
    <row r="1299" spans="1:30" x14ac:dyDescent="0.25">
      <c r="A1299" s="36" t="s">
        <v>27</v>
      </c>
      <c r="B1299" s="36" t="s">
        <v>2121</v>
      </c>
      <c r="C1299" s="36" t="s">
        <v>28</v>
      </c>
      <c r="D1299" s="36" t="s">
        <v>2121</v>
      </c>
      <c r="E1299" s="36" t="s">
        <v>30</v>
      </c>
      <c r="F1299" s="36" t="s">
        <v>569</v>
      </c>
      <c r="G1299" s="37">
        <v>2281</v>
      </c>
      <c r="H1299" s="36" t="s">
        <v>2122</v>
      </c>
      <c r="I1299" s="36" t="s">
        <v>2123</v>
      </c>
      <c r="J1299" s="36">
        <v>23</v>
      </c>
      <c r="K1299" s="36" t="s">
        <v>2094</v>
      </c>
      <c r="L1299" s="36">
        <v>4</v>
      </c>
      <c r="M1299" s="36">
        <v>80</v>
      </c>
      <c r="N1299" s="38">
        <v>3850</v>
      </c>
      <c r="O1299" s="38">
        <v>308000</v>
      </c>
      <c r="P1299" s="36">
        <v>1</v>
      </c>
      <c r="Q1299" s="40">
        <v>46113</v>
      </c>
      <c r="R1299" s="36" t="s">
        <v>2124</v>
      </c>
      <c r="S1299" s="36" t="s">
        <v>1217</v>
      </c>
      <c r="T1299" s="36" t="s">
        <v>2125</v>
      </c>
      <c r="U1299" s="36" t="s">
        <v>2126</v>
      </c>
      <c r="V1299" s="40">
        <v>46082</v>
      </c>
      <c r="W1299" s="36"/>
      <c r="X1299" s="36">
        <v>0</v>
      </c>
      <c r="Y1299" s="36"/>
      <c r="Z1299" s="36">
        <v>0</v>
      </c>
      <c r="AA1299" s="36">
        <v>0</v>
      </c>
      <c r="AB1299" s="36"/>
      <c r="AC1299" s="36" t="str">
        <f t="shared" si="8"/>
        <v>PC26</v>
      </c>
      <c r="AD1299" s="36" t="str">
        <f>VLOOKUP(D1299,Oficial!A:C,3,0)</f>
        <v>Bienes y Servicios</v>
      </c>
    </row>
    <row r="1300" spans="1:30" x14ac:dyDescent="0.25">
      <c r="A1300" s="36" t="s">
        <v>27</v>
      </c>
      <c r="B1300" s="36" t="s">
        <v>2121</v>
      </c>
      <c r="C1300" s="36" t="s">
        <v>28</v>
      </c>
      <c r="D1300" s="36" t="s">
        <v>2121</v>
      </c>
      <c r="E1300" s="36" t="s">
        <v>30</v>
      </c>
      <c r="F1300" s="36" t="s">
        <v>569</v>
      </c>
      <c r="G1300" s="37">
        <v>2281</v>
      </c>
      <c r="H1300" s="36" t="s">
        <v>2122</v>
      </c>
      <c r="I1300" s="36" t="s">
        <v>2123</v>
      </c>
      <c r="J1300" s="36">
        <v>23</v>
      </c>
      <c r="K1300" s="36" t="s">
        <v>1938</v>
      </c>
      <c r="L1300" s="36">
        <v>4</v>
      </c>
      <c r="M1300" s="36">
        <v>70</v>
      </c>
      <c r="N1300" s="38">
        <v>2072</v>
      </c>
      <c r="O1300" s="38">
        <v>145040</v>
      </c>
      <c r="P1300" s="36">
        <v>1</v>
      </c>
      <c r="Q1300" s="40">
        <v>46113</v>
      </c>
      <c r="R1300" s="36" t="s">
        <v>2124</v>
      </c>
      <c r="S1300" s="36" t="s">
        <v>1217</v>
      </c>
      <c r="T1300" s="36" t="s">
        <v>2125</v>
      </c>
      <c r="U1300" s="36" t="s">
        <v>2126</v>
      </c>
      <c r="V1300" s="40">
        <v>46082</v>
      </c>
      <c r="W1300" s="36"/>
      <c r="X1300" s="36">
        <v>0</v>
      </c>
      <c r="Y1300" s="36"/>
      <c r="Z1300" s="36">
        <v>0</v>
      </c>
      <c r="AA1300" s="36">
        <v>0</v>
      </c>
      <c r="AB1300" s="36"/>
      <c r="AC1300" s="36" t="str">
        <f t="shared" si="8"/>
        <v>PC26</v>
      </c>
      <c r="AD1300" s="36" t="str">
        <f>VLOOKUP(D1300,Oficial!A:C,3,0)</f>
        <v>Bienes y Servicios</v>
      </c>
    </row>
    <row r="1301" spans="1:30" x14ac:dyDescent="0.25">
      <c r="A1301" s="36" t="s">
        <v>27</v>
      </c>
      <c r="B1301" s="36" t="s">
        <v>2121</v>
      </c>
      <c r="C1301" s="36" t="s">
        <v>28</v>
      </c>
      <c r="D1301" s="36" t="s">
        <v>2121</v>
      </c>
      <c r="E1301" s="36" t="s">
        <v>30</v>
      </c>
      <c r="F1301" s="36" t="s">
        <v>569</v>
      </c>
      <c r="G1301" s="37">
        <v>2281</v>
      </c>
      <c r="H1301" s="36" t="s">
        <v>2122</v>
      </c>
      <c r="I1301" s="36" t="s">
        <v>2123</v>
      </c>
      <c r="J1301" s="36">
        <v>23</v>
      </c>
      <c r="K1301" s="36" t="s">
        <v>912</v>
      </c>
      <c r="L1301" s="36">
        <v>4</v>
      </c>
      <c r="M1301" s="36">
        <v>100</v>
      </c>
      <c r="N1301" s="38">
        <v>3850</v>
      </c>
      <c r="O1301" s="38">
        <v>385000</v>
      </c>
      <c r="P1301" s="36">
        <v>1</v>
      </c>
      <c r="Q1301" s="40">
        <v>46113</v>
      </c>
      <c r="R1301" s="36" t="s">
        <v>2124</v>
      </c>
      <c r="S1301" s="36" t="s">
        <v>1217</v>
      </c>
      <c r="T1301" s="36" t="s">
        <v>2125</v>
      </c>
      <c r="U1301" s="36" t="s">
        <v>2126</v>
      </c>
      <c r="V1301" s="40">
        <v>46082</v>
      </c>
      <c r="W1301" s="36"/>
      <c r="X1301" s="36">
        <v>0</v>
      </c>
      <c r="Y1301" s="36"/>
      <c r="Z1301" s="36">
        <v>0</v>
      </c>
      <c r="AA1301" s="36">
        <v>0</v>
      </c>
      <c r="AB1301" s="36"/>
      <c r="AC1301" s="36" t="str">
        <f t="shared" si="8"/>
        <v>PC26</v>
      </c>
      <c r="AD1301" s="36" t="str">
        <f>VLOOKUP(D1301,Oficial!A:C,3,0)</f>
        <v>Bienes y Servicios</v>
      </c>
    </row>
    <row r="1302" spans="1:30" x14ac:dyDescent="0.25">
      <c r="A1302" s="36" t="s">
        <v>27</v>
      </c>
      <c r="B1302" s="36" t="s">
        <v>2121</v>
      </c>
      <c r="C1302" s="36" t="s">
        <v>28</v>
      </c>
      <c r="D1302" s="36" t="s">
        <v>2121</v>
      </c>
      <c r="E1302" s="36" t="s">
        <v>30</v>
      </c>
      <c r="F1302" s="36" t="s">
        <v>569</v>
      </c>
      <c r="G1302" s="37">
        <v>2281</v>
      </c>
      <c r="H1302" s="36" t="s">
        <v>2122</v>
      </c>
      <c r="I1302" s="36" t="s">
        <v>2123</v>
      </c>
      <c r="J1302" s="36">
        <v>23</v>
      </c>
      <c r="K1302" s="36" t="s">
        <v>1939</v>
      </c>
      <c r="L1302" s="36">
        <v>4</v>
      </c>
      <c r="M1302" s="36">
        <v>8</v>
      </c>
      <c r="N1302" s="38">
        <v>8750</v>
      </c>
      <c r="O1302" s="38">
        <v>70000</v>
      </c>
      <c r="P1302" s="36">
        <v>1</v>
      </c>
      <c r="Q1302" s="40">
        <v>46113</v>
      </c>
      <c r="R1302" s="36" t="s">
        <v>2124</v>
      </c>
      <c r="S1302" s="36" t="s">
        <v>1217</v>
      </c>
      <c r="T1302" s="36" t="s">
        <v>2125</v>
      </c>
      <c r="U1302" s="36" t="s">
        <v>2126</v>
      </c>
      <c r="V1302" s="40">
        <v>46082</v>
      </c>
      <c r="W1302" s="36"/>
      <c r="X1302" s="36">
        <v>0</v>
      </c>
      <c r="Y1302" s="36"/>
      <c r="Z1302" s="36">
        <v>0</v>
      </c>
      <c r="AA1302" s="36">
        <v>0</v>
      </c>
      <c r="AB1302" s="36"/>
      <c r="AC1302" s="36" t="str">
        <f t="shared" si="8"/>
        <v>PC26</v>
      </c>
      <c r="AD1302" s="36" t="str">
        <f>VLOOKUP(D1302,Oficial!A:C,3,0)</f>
        <v>Bienes y Servicios</v>
      </c>
    </row>
    <row r="1303" spans="1:30" x14ac:dyDescent="0.25">
      <c r="A1303" s="36" t="s">
        <v>27</v>
      </c>
      <c r="B1303" s="36" t="s">
        <v>2121</v>
      </c>
      <c r="C1303" s="36" t="s">
        <v>28</v>
      </c>
      <c r="D1303" s="36" t="s">
        <v>2121</v>
      </c>
      <c r="E1303" s="36" t="s">
        <v>30</v>
      </c>
      <c r="F1303" s="36" t="s">
        <v>569</v>
      </c>
      <c r="G1303" s="37">
        <v>2281</v>
      </c>
      <c r="H1303" s="36" t="s">
        <v>2122</v>
      </c>
      <c r="I1303" s="36" t="s">
        <v>2123</v>
      </c>
      <c r="J1303" s="36">
        <v>23</v>
      </c>
      <c r="K1303" s="36" t="s">
        <v>2059</v>
      </c>
      <c r="L1303" s="36">
        <v>4</v>
      </c>
      <c r="M1303" s="36">
        <v>1</v>
      </c>
      <c r="N1303" s="38">
        <v>35000</v>
      </c>
      <c r="O1303" s="38">
        <v>35000</v>
      </c>
      <c r="P1303" s="36">
        <v>1</v>
      </c>
      <c r="Q1303" s="40">
        <v>46113</v>
      </c>
      <c r="R1303" s="36" t="s">
        <v>2124</v>
      </c>
      <c r="S1303" s="36" t="s">
        <v>1217</v>
      </c>
      <c r="T1303" s="36" t="s">
        <v>2125</v>
      </c>
      <c r="U1303" s="36" t="s">
        <v>2126</v>
      </c>
      <c r="V1303" s="40">
        <v>46082</v>
      </c>
      <c r="W1303" s="36"/>
      <c r="X1303" s="36">
        <v>0</v>
      </c>
      <c r="Y1303" s="36"/>
      <c r="Z1303" s="36">
        <v>0</v>
      </c>
      <c r="AA1303" s="36">
        <v>0</v>
      </c>
      <c r="AB1303" s="36"/>
      <c r="AC1303" s="36" t="str">
        <f t="shared" ref="AC1303:AC1360" si="9">RIGHT(D1303,4)</f>
        <v>PC26</v>
      </c>
      <c r="AD1303" s="36" t="str">
        <f>VLOOKUP(D1303,Oficial!A:C,3,0)</f>
        <v>Bienes y Servicios</v>
      </c>
    </row>
    <row r="1304" spans="1:30" x14ac:dyDescent="0.25">
      <c r="A1304" s="36" t="s">
        <v>27</v>
      </c>
      <c r="B1304" s="36" t="s">
        <v>2121</v>
      </c>
      <c r="C1304" s="36" t="s">
        <v>28</v>
      </c>
      <c r="D1304" s="36" t="s">
        <v>2121</v>
      </c>
      <c r="E1304" s="36" t="s">
        <v>30</v>
      </c>
      <c r="F1304" s="36" t="s">
        <v>569</v>
      </c>
      <c r="G1304" s="37">
        <v>2281</v>
      </c>
      <c r="H1304" s="36" t="s">
        <v>2122</v>
      </c>
      <c r="I1304" s="36" t="s">
        <v>2123</v>
      </c>
      <c r="J1304" s="36">
        <v>23</v>
      </c>
      <c r="K1304" s="36" t="s">
        <v>2127</v>
      </c>
      <c r="L1304" s="36">
        <v>4</v>
      </c>
      <c r="M1304" s="36">
        <v>160</v>
      </c>
      <c r="N1304" s="38">
        <v>6313</v>
      </c>
      <c r="O1304" s="38">
        <v>1010080</v>
      </c>
      <c r="P1304" s="36">
        <v>1</v>
      </c>
      <c r="Q1304" s="40">
        <v>46113</v>
      </c>
      <c r="R1304" s="36" t="s">
        <v>2124</v>
      </c>
      <c r="S1304" s="36" t="s">
        <v>1217</v>
      </c>
      <c r="T1304" s="36" t="s">
        <v>2125</v>
      </c>
      <c r="U1304" s="36" t="s">
        <v>2126</v>
      </c>
      <c r="V1304" s="40">
        <v>46082</v>
      </c>
      <c r="W1304" s="36"/>
      <c r="X1304" s="36">
        <v>0</v>
      </c>
      <c r="Y1304" s="36"/>
      <c r="Z1304" s="36">
        <v>0</v>
      </c>
      <c r="AA1304" s="36">
        <v>0</v>
      </c>
      <c r="AB1304" s="36"/>
      <c r="AC1304" s="36" t="str">
        <f t="shared" si="9"/>
        <v>PC26</v>
      </c>
      <c r="AD1304" s="36" t="str">
        <f>VLOOKUP(D1304,Oficial!A:C,3,0)</f>
        <v>Bienes y Servicios</v>
      </c>
    </row>
    <row r="1305" spans="1:30" x14ac:dyDescent="0.25">
      <c r="A1305" s="36" t="s">
        <v>27</v>
      </c>
      <c r="B1305" s="36" t="s">
        <v>2121</v>
      </c>
      <c r="C1305" s="36" t="s">
        <v>28</v>
      </c>
      <c r="D1305" s="36" t="s">
        <v>2121</v>
      </c>
      <c r="E1305" s="36" t="s">
        <v>30</v>
      </c>
      <c r="F1305" s="36" t="s">
        <v>569</v>
      </c>
      <c r="G1305" s="37">
        <v>2281</v>
      </c>
      <c r="H1305" s="36" t="s">
        <v>2122</v>
      </c>
      <c r="I1305" s="36" t="s">
        <v>2123</v>
      </c>
      <c r="J1305" s="36">
        <v>23</v>
      </c>
      <c r="K1305" s="36" t="s">
        <v>2128</v>
      </c>
      <c r="L1305" s="36">
        <v>4</v>
      </c>
      <c r="M1305" s="36">
        <v>5</v>
      </c>
      <c r="N1305" s="38">
        <v>8000</v>
      </c>
      <c r="O1305" s="38">
        <v>40000</v>
      </c>
      <c r="P1305" s="36">
        <v>1</v>
      </c>
      <c r="Q1305" s="40">
        <v>46113</v>
      </c>
      <c r="R1305" s="36" t="s">
        <v>2124</v>
      </c>
      <c r="S1305" s="36" t="s">
        <v>1217</v>
      </c>
      <c r="T1305" s="36" t="s">
        <v>2125</v>
      </c>
      <c r="U1305" s="36" t="s">
        <v>2126</v>
      </c>
      <c r="V1305" s="40">
        <v>46082</v>
      </c>
      <c r="W1305" s="36"/>
      <c r="X1305" s="36">
        <v>0</v>
      </c>
      <c r="Y1305" s="36"/>
      <c r="Z1305" s="36">
        <v>0</v>
      </c>
      <c r="AA1305" s="36">
        <v>0</v>
      </c>
      <c r="AB1305" s="36"/>
      <c r="AC1305" s="36" t="str">
        <f t="shared" si="9"/>
        <v>PC26</v>
      </c>
      <c r="AD1305" s="36" t="str">
        <f>VLOOKUP(D1305,Oficial!A:C,3,0)</f>
        <v>Bienes y Servicios</v>
      </c>
    </row>
    <row r="1306" spans="1:30" x14ac:dyDescent="0.25">
      <c r="A1306" s="36" t="s">
        <v>27</v>
      </c>
      <c r="B1306" s="36" t="s">
        <v>2121</v>
      </c>
      <c r="C1306" s="36" t="s">
        <v>28</v>
      </c>
      <c r="D1306" s="36" t="s">
        <v>2121</v>
      </c>
      <c r="E1306" s="36" t="s">
        <v>30</v>
      </c>
      <c r="F1306" s="36" t="s">
        <v>569</v>
      </c>
      <c r="G1306" s="37">
        <v>2281</v>
      </c>
      <c r="H1306" s="36" t="s">
        <v>2122</v>
      </c>
      <c r="I1306" s="36" t="s">
        <v>2123</v>
      </c>
      <c r="J1306" s="36">
        <v>23</v>
      </c>
      <c r="K1306" s="36" t="s">
        <v>512</v>
      </c>
      <c r="L1306" s="36">
        <v>4</v>
      </c>
      <c r="M1306" s="36">
        <v>1</v>
      </c>
      <c r="N1306" s="38">
        <v>5000000</v>
      </c>
      <c r="O1306" s="38">
        <v>5000000</v>
      </c>
      <c r="P1306" s="36">
        <v>3</v>
      </c>
      <c r="Q1306" s="36" t="s">
        <v>2129</v>
      </c>
      <c r="R1306" s="36" t="s">
        <v>2124</v>
      </c>
      <c r="S1306" s="36" t="s">
        <v>1217</v>
      </c>
      <c r="T1306" s="36" t="s">
        <v>2125</v>
      </c>
      <c r="U1306" s="36" t="s">
        <v>2126</v>
      </c>
      <c r="V1306" s="40">
        <v>46113</v>
      </c>
      <c r="W1306" s="36"/>
      <c r="X1306" s="36">
        <v>0</v>
      </c>
      <c r="Y1306" s="36"/>
      <c r="Z1306" s="36">
        <v>0</v>
      </c>
      <c r="AA1306" s="36">
        <v>0</v>
      </c>
      <c r="AB1306" s="36"/>
      <c r="AC1306" s="36" t="str">
        <f t="shared" si="9"/>
        <v>PC26</v>
      </c>
      <c r="AD1306" s="36" t="str">
        <f>VLOOKUP(D1306,Oficial!A:C,3,0)</f>
        <v>Bienes y Servicios</v>
      </c>
    </row>
    <row r="1307" spans="1:30" x14ac:dyDescent="0.25">
      <c r="A1307" s="36" t="s">
        <v>27</v>
      </c>
      <c r="B1307" s="36" t="s">
        <v>2121</v>
      </c>
      <c r="C1307" s="36" t="s">
        <v>28</v>
      </c>
      <c r="D1307" s="36" t="s">
        <v>2121</v>
      </c>
      <c r="E1307" s="36" t="s">
        <v>30</v>
      </c>
      <c r="F1307" s="36" t="s">
        <v>569</v>
      </c>
      <c r="G1307" s="37">
        <v>2281</v>
      </c>
      <c r="H1307" s="36" t="s">
        <v>2122</v>
      </c>
      <c r="I1307" s="36" t="s">
        <v>2123</v>
      </c>
      <c r="J1307" s="36">
        <v>23</v>
      </c>
      <c r="K1307" s="36" t="s">
        <v>1936</v>
      </c>
      <c r="L1307" s="36">
        <v>4</v>
      </c>
      <c r="M1307" s="36">
        <v>1</v>
      </c>
      <c r="N1307" s="38">
        <v>500000</v>
      </c>
      <c r="O1307" s="38">
        <v>500000</v>
      </c>
      <c r="P1307" s="36">
        <v>1</v>
      </c>
      <c r="Q1307" s="40">
        <v>46174</v>
      </c>
      <c r="R1307" s="36" t="s">
        <v>2124</v>
      </c>
      <c r="S1307" s="36" t="s">
        <v>1217</v>
      </c>
      <c r="T1307" s="36" t="s">
        <v>2125</v>
      </c>
      <c r="U1307" s="36" t="s">
        <v>2126</v>
      </c>
      <c r="V1307" s="40">
        <v>46143</v>
      </c>
      <c r="W1307" s="36"/>
      <c r="X1307" s="36">
        <v>0</v>
      </c>
      <c r="Y1307" s="36"/>
      <c r="Z1307" s="36">
        <v>0</v>
      </c>
      <c r="AA1307" s="36">
        <v>0</v>
      </c>
      <c r="AB1307" s="36"/>
      <c r="AC1307" s="36" t="str">
        <f t="shared" si="9"/>
        <v>PC26</v>
      </c>
      <c r="AD1307" s="36" t="str">
        <f>VLOOKUP(D1307,Oficial!A:C,3,0)</f>
        <v>Bienes y Servicios</v>
      </c>
    </row>
    <row r="1308" spans="1:30" x14ac:dyDescent="0.25">
      <c r="A1308" s="36" t="s">
        <v>27</v>
      </c>
      <c r="B1308" s="36" t="s">
        <v>2121</v>
      </c>
      <c r="C1308" s="36" t="s">
        <v>28</v>
      </c>
      <c r="D1308" s="36" t="s">
        <v>2121</v>
      </c>
      <c r="E1308" s="36" t="s">
        <v>30</v>
      </c>
      <c r="F1308" s="36" t="s">
        <v>569</v>
      </c>
      <c r="G1308" s="37">
        <v>2281</v>
      </c>
      <c r="H1308" s="36" t="s">
        <v>2122</v>
      </c>
      <c r="I1308" s="36" t="s">
        <v>2123</v>
      </c>
      <c r="J1308" s="36">
        <v>23</v>
      </c>
      <c r="K1308" s="36" t="s">
        <v>2130</v>
      </c>
      <c r="L1308" s="36">
        <v>4</v>
      </c>
      <c r="M1308" s="36">
        <v>1</v>
      </c>
      <c r="N1308" s="38">
        <v>2500000</v>
      </c>
      <c r="O1308" s="38">
        <v>2500000</v>
      </c>
      <c r="P1308" s="36">
        <v>1</v>
      </c>
      <c r="Q1308" s="40">
        <v>46174</v>
      </c>
      <c r="R1308" s="36" t="s">
        <v>2124</v>
      </c>
      <c r="S1308" s="36" t="s">
        <v>1217</v>
      </c>
      <c r="T1308" s="36" t="s">
        <v>2125</v>
      </c>
      <c r="U1308" s="36" t="s">
        <v>2126</v>
      </c>
      <c r="V1308" s="40">
        <v>46143</v>
      </c>
      <c r="W1308" s="36"/>
      <c r="X1308" s="36">
        <v>0</v>
      </c>
      <c r="Y1308" s="36"/>
      <c r="Z1308" s="36">
        <v>0</v>
      </c>
      <c r="AA1308" s="36">
        <v>0</v>
      </c>
      <c r="AB1308" s="36"/>
      <c r="AC1308" s="36" t="str">
        <f t="shared" si="9"/>
        <v>PC26</v>
      </c>
      <c r="AD1308" s="36" t="str">
        <f>VLOOKUP(D1308,Oficial!A:C,3,0)</f>
        <v>Bienes y Servicios</v>
      </c>
    </row>
    <row r="1309" spans="1:30" x14ac:dyDescent="0.25">
      <c r="A1309" s="36" t="s">
        <v>27</v>
      </c>
      <c r="B1309" s="36" t="s">
        <v>2121</v>
      </c>
      <c r="C1309" s="36" t="s">
        <v>28</v>
      </c>
      <c r="D1309" s="36" t="s">
        <v>2121</v>
      </c>
      <c r="E1309" s="36" t="s">
        <v>30</v>
      </c>
      <c r="F1309" s="36" t="s">
        <v>569</v>
      </c>
      <c r="G1309" s="37">
        <v>2281</v>
      </c>
      <c r="H1309" s="36" t="s">
        <v>2122</v>
      </c>
      <c r="I1309" s="36" t="s">
        <v>2123</v>
      </c>
      <c r="J1309" s="36">
        <v>23</v>
      </c>
      <c r="K1309" s="36" t="s">
        <v>2131</v>
      </c>
      <c r="L1309" s="36">
        <v>4</v>
      </c>
      <c r="M1309" s="36">
        <v>2</v>
      </c>
      <c r="N1309" s="38">
        <v>500000</v>
      </c>
      <c r="O1309" s="38">
        <v>1000000</v>
      </c>
      <c r="P1309" s="36">
        <v>1</v>
      </c>
      <c r="Q1309" s="40">
        <v>46174</v>
      </c>
      <c r="R1309" s="36" t="s">
        <v>2124</v>
      </c>
      <c r="S1309" s="36" t="s">
        <v>1217</v>
      </c>
      <c r="T1309" s="36" t="s">
        <v>2125</v>
      </c>
      <c r="U1309" s="36" t="s">
        <v>2126</v>
      </c>
      <c r="V1309" s="40">
        <v>46143</v>
      </c>
      <c r="W1309" s="36"/>
      <c r="X1309" s="36">
        <v>0</v>
      </c>
      <c r="Y1309" s="36"/>
      <c r="Z1309" s="36">
        <v>0</v>
      </c>
      <c r="AA1309" s="36">
        <v>0</v>
      </c>
      <c r="AB1309" s="36"/>
      <c r="AC1309" s="36" t="str">
        <f t="shared" si="9"/>
        <v>PC26</v>
      </c>
      <c r="AD1309" s="36" t="str">
        <f>VLOOKUP(D1309,Oficial!A:C,3,0)</f>
        <v>Bienes y Servicios</v>
      </c>
    </row>
    <row r="1310" spans="1:30" x14ac:dyDescent="0.25">
      <c r="A1310" s="36" t="s">
        <v>27</v>
      </c>
      <c r="B1310" s="36" t="s">
        <v>2121</v>
      </c>
      <c r="C1310" s="36" t="s">
        <v>28</v>
      </c>
      <c r="D1310" s="36" t="s">
        <v>2121</v>
      </c>
      <c r="E1310" s="36" t="s">
        <v>30</v>
      </c>
      <c r="F1310" s="36" t="s">
        <v>569</v>
      </c>
      <c r="G1310" s="37">
        <v>2281</v>
      </c>
      <c r="H1310" s="36" t="s">
        <v>2122</v>
      </c>
      <c r="I1310" s="36" t="s">
        <v>2123</v>
      </c>
      <c r="J1310" s="36">
        <v>23</v>
      </c>
      <c r="K1310" s="36" t="s">
        <v>2132</v>
      </c>
      <c r="L1310" s="36">
        <v>4</v>
      </c>
      <c r="M1310" s="36">
        <v>1</v>
      </c>
      <c r="N1310" s="38">
        <v>600000</v>
      </c>
      <c r="O1310" s="38">
        <v>600000</v>
      </c>
      <c r="P1310" s="36">
        <v>4</v>
      </c>
      <c r="Q1310" s="36" t="s">
        <v>2133</v>
      </c>
      <c r="R1310" s="36" t="s">
        <v>2124</v>
      </c>
      <c r="S1310" s="36" t="s">
        <v>1217</v>
      </c>
      <c r="T1310" s="36" t="s">
        <v>2125</v>
      </c>
      <c r="U1310" s="36" t="s">
        <v>2126</v>
      </c>
      <c r="V1310" s="40">
        <v>46143</v>
      </c>
      <c r="W1310" s="36"/>
      <c r="X1310" s="36">
        <v>0</v>
      </c>
      <c r="Y1310" s="36"/>
      <c r="Z1310" s="36">
        <v>0</v>
      </c>
      <c r="AA1310" s="36">
        <v>0</v>
      </c>
      <c r="AB1310" s="36"/>
      <c r="AC1310" s="36" t="str">
        <f t="shared" si="9"/>
        <v>PC26</v>
      </c>
      <c r="AD1310" s="36" t="str">
        <f>VLOOKUP(D1310,Oficial!A:C,3,0)</f>
        <v>Bienes y Servicios</v>
      </c>
    </row>
    <row r="1311" spans="1:30" x14ac:dyDescent="0.25">
      <c r="A1311" s="36" t="s">
        <v>27</v>
      </c>
      <c r="B1311" s="36" t="s">
        <v>2121</v>
      </c>
      <c r="C1311" s="36" t="s">
        <v>28</v>
      </c>
      <c r="D1311" s="36" t="s">
        <v>2121</v>
      </c>
      <c r="E1311" s="36" t="s">
        <v>30</v>
      </c>
      <c r="F1311" s="36" t="s">
        <v>569</v>
      </c>
      <c r="G1311" s="37">
        <v>2281</v>
      </c>
      <c r="H1311" s="36" t="s">
        <v>2122</v>
      </c>
      <c r="I1311" s="36" t="s">
        <v>2123</v>
      </c>
      <c r="J1311" s="36">
        <v>23</v>
      </c>
      <c r="K1311" s="36" t="s">
        <v>1930</v>
      </c>
      <c r="L1311" s="36">
        <v>4</v>
      </c>
      <c r="M1311" s="36">
        <v>1</v>
      </c>
      <c r="N1311" s="38">
        <v>1000000</v>
      </c>
      <c r="O1311" s="38">
        <v>1000000</v>
      </c>
      <c r="P1311" s="36">
        <v>1</v>
      </c>
      <c r="Q1311" s="40">
        <v>46143</v>
      </c>
      <c r="R1311" s="36" t="s">
        <v>2124</v>
      </c>
      <c r="S1311" s="36" t="s">
        <v>1217</v>
      </c>
      <c r="T1311" s="36" t="s">
        <v>2125</v>
      </c>
      <c r="U1311" s="36" t="s">
        <v>2126</v>
      </c>
      <c r="V1311" s="40">
        <v>46113</v>
      </c>
      <c r="W1311" s="36"/>
      <c r="X1311" s="36">
        <v>0</v>
      </c>
      <c r="Y1311" s="36"/>
      <c r="Z1311" s="36">
        <v>0</v>
      </c>
      <c r="AA1311" s="36">
        <v>0</v>
      </c>
      <c r="AB1311" s="36"/>
      <c r="AC1311" s="36" t="str">
        <f t="shared" si="9"/>
        <v>PC26</v>
      </c>
      <c r="AD1311" s="36" t="str">
        <f>VLOOKUP(D1311,Oficial!A:C,3,0)</f>
        <v>Bienes y Servicios</v>
      </c>
    </row>
    <row r="1312" spans="1:30" x14ac:dyDescent="0.25">
      <c r="A1312" s="36" t="s">
        <v>27</v>
      </c>
      <c r="B1312" s="36" t="s">
        <v>2121</v>
      </c>
      <c r="C1312" s="36" t="s">
        <v>28</v>
      </c>
      <c r="D1312" s="36" t="s">
        <v>2121</v>
      </c>
      <c r="E1312" s="36" t="s">
        <v>30</v>
      </c>
      <c r="F1312" s="36" t="s">
        <v>569</v>
      </c>
      <c r="G1312" s="37">
        <v>2281</v>
      </c>
      <c r="H1312" s="36" t="s">
        <v>2122</v>
      </c>
      <c r="I1312" s="36" t="s">
        <v>2123</v>
      </c>
      <c r="J1312" s="36">
        <v>23</v>
      </c>
      <c r="K1312" s="36" t="s">
        <v>2134</v>
      </c>
      <c r="L1312" s="36">
        <v>4</v>
      </c>
      <c r="M1312" s="36">
        <v>1</v>
      </c>
      <c r="N1312" s="38">
        <v>1000000</v>
      </c>
      <c r="O1312" s="38">
        <v>1000000</v>
      </c>
      <c r="P1312" s="36">
        <v>1</v>
      </c>
      <c r="Q1312" s="40">
        <v>46174</v>
      </c>
      <c r="R1312" s="36" t="s">
        <v>2124</v>
      </c>
      <c r="S1312" s="36" t="s">
        <v>1217</v>
      </c>
      <c r="T1312" s="36" t="s">
        <v>2125</v>
      </c>
      <c r="U1312" s="36" t="s">
        <v>2126</v>
      </c>
      <c r="V1312" s="40">
        <v>46143</v>
      </c>
      <c r="W1312" s="36"/>
      <c r="X1312" s="36">
        <v>0</v>
      </c>
      <c r="Y1312" s="36"/>
      <c r="Z1312" s="36">
        <v>0</v>
      </c>
      <c r="AA1312" s="36">
        <v>0</v>
      </c>
      <c r="AB1312" s="36"/>
      <c r="AC1312" s="36" t="str">
        <f t="shared" si="9"/>
        <v>PC26</v>
      </c>
      <c r="AD1312" s="36" t="str">
        <f>VLOOKUP(D1312,Oficial!A:C,3,0)</f>
        <v>Bienes y Servicios</v>
      </c>
    </row>
    <row r="1313" spans="1:30" x14ac:dyDescent="0.25">
      <c r="A1313" s="36" t="s">
        <v>27</v>
      </c>
      <c r="B1313" s="36" t="s">
        <v>2121</v>
      </c>
      <c r="C1313" s="36" t="s">
        <v>28</v>
      </c>
      <c r="D1313" s="36" t="s">
        <v>2121</v>
      </c>
      <c r="E1313" s="36" t="s">
        <v>30</v>
      </c>
      <c r="F1313" s="36" t="s">
        <v>569</v>
      </c>
      <c r="G1313" s="37">
        <v>2281</v>
      </c>
      <c r="H1313" s="36" t="s">
        <v>2122</v>
      </c>
      <c r="I1313" s="36" t="s">
        <v>2123</v>
      </c>
      <c r="J1313" s="36">
        <v>23</v>
      </c>
      <c r="K1313" s="36" t="s">
        <v>359</v>
      </c>
      <c r="L1313" s="36">
        <v>4</v>
      </c>
      <c r="M1313" s="36">
        <v>100</v>
      </c>
      <c r="N1313" s="38">
        <v>4900</v>
      </c>
      <c r="O1313" s="38">
        <v>490000</v>
      </c>
      <c r="P1313" s="36">
        <v>1</v>
      </c>
      <c r="Q1313" s="40">
        <v>46113</v>
      </c>
      <c r="R1313" s="36" t="s">
        <v>2124</v>
      </c>
      <c r="S1313" s="36" t="s">
        <v>1217</v>
      </c>
      <c r="T1313" s="36" t="s">
        <v>2125</v>
      </c>
      <c r="U1313" s="36" t="s">
        <v>2126</v>
      </c>
      <c r="V1313" s="40">
        <v>46082</v>
      </c>
      <c r="W1313" s="36"/>
      <c r="X1313" s="36">
        <v>0</v>
      </c>
      <c r="Y1313" s="36"/>
      <c r="Z1313" s="36">
        <v>0</v>
      </c>
      <c r="AA1313" s="36">
        <v>0</v>
      </c>
      <c r="AB1313" s="36"/>
      <c r="AC1313" s="36" t="str">
        <f t="shared" si="9"/>
        <v>PC26</v>
      </c>
      <c r="AD1313" s="36" t="str">
        <f>VLOOKUP(D1313,Oficial!A:C,3,0)</f>
        <v>Bienes y Servicios</v>
      </c>
    </row>
    <row r="1314" spans="1:30" x14ac:dyDescent="0.25">
      <c r="A1314" s="36" t="s">
        <v>27</v>
      </c>
      <c r="B1314" s="36" t="s">
        <v>2121</v>
      </c>
      <c r="C1314" s="36" t="s">
        <v>28</v>
      </c>
      <c r="D1314" s="36" t="s">
        <v>2121</v>
      </c>
      <c r="E1314" s="36" t="s">
        <v>30</v>
      </c>
      <c r="F1314" s="36" t="s">
        <v>569</v>
      </c>
      <c r="G1314" s="37">
        <v>2281</v>
      </c>
      <c r="H1314" s="36" t="s">
        <v>2122</v>
      </c>
      <c r="I1314" s="36" t="s">
        <v>2123</v>
      </c>
      <c r="J1314" s="36">
        <v>23</v>
      </c>
      <c r="K1314" s="36" t="s">
        <v>2135</v>
      </c>
      <c r="L1314" s="36">
        <v>4</v>
      </c>
      <c r="M1314" s="36">
        <v>1</v>
      </c>
      <c r="N1314" s="38">
        <v>2000000</v>
      </c>
      <c r="O1314" s="38">
        <v>2000000</v>
      </c>
      <c r="P1314" s="36">
        <v>1</v>
      </c>
      <c r="Q1314" s="40">
        <v>46113</v>
      </c>
      <c r="R1314" s="36" t="s">
        <v>2124</v>
      </c>
      <c r="S1314" s="36" t="s">
        <v>1217</v>
      </c>
      <c r="T1314" s="36" t="s">
        <v>2125</v>
      </c>
      <c r="U1314" s="36" t="s">
        <v>2126</v>
      </c>
      <c r="V1314" s="40">
        <v>46082</v>
      </c>
      <c r="W1314" s="36"/>
      <c r="X1314" s="36">
        <v>0</v>
      </c>
      <c r="Y1314" s="36"/>
      <c r="Z1314" s="36">
        <v>0</v>
      </c>
      <c r="AA1314" s="36">
        <v>0</v>
      </c>
      <c r="AB1314" s="36"/>
      <c r="AC1314" s="36" t="str">
        <f t="shared" si="9"/>
        <v>PC26</v>
      </c>
      <c r="AD1314" s="36" t="str">
        <f>VLOOKUP(D1314,Oficial!A:C,3,0)</f>
        <v>Bienes y Servicios</v>
      </c>
    </row>
    <row r="1315" spans="1:30" x14ac:dyDescent="0.25">
      <c r="A1315" s="36" t="s">
        <v>27</v>
      </c>
      <c r="B1315" s="36" t="s">
        <v>2121</v>
      </c>
      <c r="C1315" s="36" t="s">
        <v>28</v>
      </c>
      <c r="D1315" s="36" t="s">
        <v>2121</v>
      </c>
      <c r="E1315" s="36" t="s">
        <v>30</v>
      </c>
      <c r="F1315" s="36" t="s">
        <v>569</v>
      </c>
      <c r="G1315" s="37">
        <v>2281</v>
      </c>
      <c r="H1315" s="36" t="s">
        <v>2122</v>
      </c>
      <c r="I1315" s="36" t="s">
        <v>2123</v>
      </c>
      <c r="J1315" s="36">
        <v>23</v>
      </c>
      <c r="K1315" s="36" t="s">
        <v>2136</v>
      </c>
      <c r="L1315" s="36">
        <v>4</v>
      </c>
      <c r="M1315" s="36">
        <v>1</v>
      </c>
      <c r="N1315" s="38">
        <v>4000000</v>
      </c>
      <c r="O1315" s="38">
        <v>4000000</v>
      </c>
      <c r="P1315" s="36">
        <v>1</v>
      </c>
      <c r="Q1315" s="40">
        <v>46174</v>
      </c>
      <c r="R1315" s="36" t="s">
        <v>2124</v>
      </c>
      <c r="S1315" s="36" t="s">
        <v>1217</v>
      </c>
      <c r="T1315" s="36" t="s">
        <v>2125</v>
      </c>
      <c r="U1315" s="36" t="s">
        <v>2126</v>
      </c>
      <c r="V1315" s="40">
        <v>46143</v>
      </c>
      <c r="W1315" s="36"/>
      <c r="X1315" s="36">
        <v>0</v>
      </c>
      <c r="Y1315" s="36"/>
      <c r="Z1315" s="36">
        <v>0</v>
      </c>
      <c r="AA1315" s="36">
        <v>0</v>
      </c>
      <c r="AB1315" s="36"/>
      <c r="AC1315" s="36" t="str">
        <f t="shared" si="9"/>
        <v>PC26</v>
      </c>
      <c r="AD1315" s="36" t="str">
        <f>VLOOKUP(D1315,Oficial!A:C,3,0)</f>
        <v>Bienes y Servicios</v>
      </c>
    </row>
    <row r="1316" spans="1:30" x14ac:dyDescent="0.25">
      <c r="A1316" s="36" t="s">
        <v>27</v>
      </c>
      <c r="B1316" s="36" t="s">
        <v>2121</v>
      </c>
      <c r="C1316" s="36" t="s">
        <v>28</v>
      </c>
      <c r="D1316" s="36" t="s">
        <v>2121</v>
      </c>
      <c r="E1316" s="36" t="s">
        <v>30</v>
      </c>
      <c r="F1316" s="36" t="s">
        <v>569</v>
      </c>
      <c r="G1316" s="37">
        <v>2281</v>
      </c>
      <c r="H1316" s="36" t="s">
        <v>2122</v>
      </c>
      <c r="I1316" s="36" t="s">
        <v>2123</v>
      </c>
      <c r="J1316" s="36">
        <v>23</v>
      </c>
      <c r="K1316" s="36" t="s">
        <v>288</v>
      </c>
      <c r="L1316" s="36">
        <v>4</v>
      </c>
      <c r="M1316" s="36">
        <v>1</v>
      </c>
      <c r="N1316" s="38">
        <v>6000000</v>
      </c>
      <c r="O1316" s="38">
        <v>6000000</v>
      </c>
      <c r="P1316" s="36">
        <v>1</v>
      </c>
      <c r="Q1316" s="40">
        <v>46143</v>
      </c>
      <c r="R1316" s="36" t="s">
        <v>2124</v>
      </c>
      <c r="S1316" s="36" t="s">
        <v>1217</v>
      </c>
      <c r="T1316" s="36" t="s">
        <v>2125</v>
      </c>
      <c r="U1316" s="36" t="s">
        <v>2126</v>
      </c>
      <c r="V1316" s="40">
        <v>46113</v>
      </c>
      <c r="W1316" s="36"/>
      <c r="X1316" s="36">
        <v>0</v>
      </c>
      <c r="Y1316" s="36"/>
      <c r="Z1316" s="36">
        <v>0</v>
      </c>
      <c r="AA1316" s="36">
        <v>0</v>
      </c>
      <c r="AB1316" s="36"/>
      <c r="AC1316" s="36" t="str">
        <f t="shared" si="9"/>
        <v>PC26</v>
      </c>
      <c r="AD1316" s="36" t="str">
        <f>VLOOKUP(D1316,Oficial!A:C,3,0)</f>
        <v>Bienes y Servicios</v>
      </c>
    </row>
    <row r="1317" spans="1:30" x14ac:dyDescent="0.25">
      <c r="A1317" s="36" t="s">
        <v>27</v>
      </c>
      <c r="B1317" s="36" t="s">
        <v>2121</v>
      </c>
      <c r="C1317" s="36" t="s">
        <v>28</v>
      </c>
      <c r="D1317" s="36" t="s">
        <v>2121</v>
      </c>
      <c r="E1317" s="36" t="s">
        <v>30</v>
      </c>
      <c r="F1317" s="36" t="s">
        <v>569</v>
      </c>
      <c r="G1317" s="37">
        <v>2281</v>
      </c>
      <c r="H1317" s="36" t="s">
        <v>2122</v>
      </c>
      <c r="I1317" s="36" t="s">
        <v>2123</v>
      </c>
      <c r="J1317" s="36">
        <v>23</v>
      </c>
      <c r="K1317" s="36" t="s">
        <v>2137</v>
      </c>
      <c r="L1317" s="36">
        <v>4</v>
      </c>
      <c r="M1317" s="36">
        <v>1</v>
      </c>
      <c r="N1317" s="38">
        <v>2000000</v>
      </c>
      <c r="O1317" s="38">
        <v>2000000</v>
      </c>
      <c r="P1317" s="36">
        <v>1</v>
      </c>
      <c r="Q1317" s="40">
        <v>46143</v>
      </c>
      <c r="R1317" s="36" t="s">
        <v>2124</v>
      </c>
      <c r="S1317" s="36" t="s">
        <v>1217</v>
      </c>
      <c r="T1317" s="36" t="s">
        <v>2125</v>
      </c>
      <c r="U1317" s="36" t="s">
        <v>2126</v>
      </c>
      <c r="V1317" s="40">
        <v>46113</v>
      </c>
      <c r="W1317" s="36"/>
      <c r="X1317" s="36">
        <v>0</v>
      </c>
      <c r="Y1317" s="36"/>
      <c r="Z1317" s="36">
        <v>0</v>
      </c>
      <c r="AA1317" s="36">
        <v>0</v>
      </c>
      <c r="AB1317" s="36"/>
      <c r="AC1317" s="36" t="str">
        <f t="shared" si="9"/>
        <v>PC26</v>
      </c>
      <c r="AD1317" s="36" t="str">
        <f>VLOOKUP(D1317,Oficial!A:C,3,0)</f>
        <v>Bienes y Servicios</v>
      </c>
    </row>
    <row r="1318" spans="1:30" x14ac:dyDescent="0.25">
      <c r="A1318" s="36" t="s">
        <v>27</v>
      </c>
      <c r="B1318" s="36" t="s">
        <v>2121</v>
      </c>
      <c r="C1318" s="36" t="s">
        <v>28</v>
      </c>
      <c r="D1318" s="36" t="s">
        <v>2121</v>
      </c>
      <c r="E1318" s="36" t="s">
        <v>30</v>
      </c>
      <c r="F1318" s="36" t="s">
        <v>569</v>
      </c>
      <c r="G1318" s="37">
        <v>2281</v>
      </c>
      <c r="H1318" s="36" t="s">
        <v>2122</v>
      </c>
      <c r="I1318" s="36" t="s">
        <v>2123</v>
      </c>
      <c r="J1318" s="36">
        <v>23</v>
      </c>
      <c r="K1318" s="36" t="s">
        <v>2138</v>
      </c>
      <c r="L1318" s="36">
        <v>4</v>
      </c>
      <c r="M1318" s="36">
        <v>2</v>
      </c>
      <c r="N1318" s="38">
        <v>20000</v>
      </c>
      <c r="O1318" s="38">
        <v>40000</v>
      </c>
      <c r="P1318" s="36">
        <v>1</v>
      </c>
      <c r="Q1318" s="40">
        <v>46113</v>
      </c>
      <c r="R1318" s="36" t="s">
        <v>2124</v>
      </c>
      <c r="S1318" s="36" t="s">
        <v>1217</v>
      </c>
      <c r="T1318" s="36" t="s">
        <v>2125</v>
      </c>
      <c r="U1318" s="36" t="s">
        <v>2126</v>
      </c>
      <c r="V1318" s="40">
        <v>46082</v>
      </c>
      <c r="W1318" s="36"/>
      <c r="X1318" s="36">
        <v>0</v>
      </c>
      <c r="Y1318" s="36"/>
      <c r="Z1318" s="36">
        <v>0</v>
      </c>
      <c r="AA1318" s="36">
        <v>0</v>
      </c>
      <c r="AB1318" s="36"/>
      <c r="AC1318" s="36" t="str">
        <f t="shared" si="9"/>
        <v>PC26</v>
      </c>
      <c r="AD1318" s="36" t="str">
        <f>VLOOKUP(D1318,Oficial!A:C,3,0)</f>
        <v>Bienes y Servicios</v>
      </c>
    </row>
    <row r="1319" spans="1:30" x14ac:dyDescent="0.25">
      <c r="A1319" s="36" t="s">
        <v>27</v>
      </c>
      <c r="B1319" s="36" t="s">
        <v>2121</v>
      </c>
      <c r="C1319" s="36" t="s">
        <v>28</v>
      </c>
      <c r="D1319" s="36" t="s">
        <v>2121</v>
      </c>
      <c r="E1319" s="36" t="s">
        <v>30</v>
      </c>
      <c r="F1319" s="36" t="s">
        <v>569</v>
      </c>
      <c r="G1319" s="37">
        <v>2281</v>
      </c>
      <c r="H1319" s="36" t="s">
        <v>2122</v>
      </c>
      <c r="I1319" s="36" t="s">
        <v>2123</v>
      </c>
      <c r="J1319" s="36">
        <v>23</v>
      </c>
      <c r="K1319" s="36" t="s">
        <v>1517</v>
      </c>
      <c r="L1319" s="36">
        <v>4</v>
      </c>
      <c r="M1319" s="36">
        <v>1</v>
      </c>
      <c r="N1319" s="38">
        <v>35000</v>
      </c>
      <c r="O1319" s="38">
        <v>35000</v>
      </c>
      <c r="P1319" s="36">
        <v>1</v>
      </c>
      <c r="Q1319" s="40">
        <v>46113</v>
      </c>
      <c r="R1319" s="36" t="s">
        <v>2124</v>
      </c>
      <c r="S1319" s="36" t="s">
        <v>1217</v>
      </c>
      <c r="T1319" s="36" t="s">
        <v>2125</v>
      </c>
      <c r="U1319" s="36" t="s">
        <v>2126</v>
      </c>
      <c r="V1319" s="40">
        <v>46082</v>
      </c>
      <c r="W1319" s="36"/>
      <c r="X1319" s="36">
        <v>0</v>
      </c>
      <c r="Y1319" s="36"/>
      <c r="Z1319" s="36">
        <v>0</v>
      </c>
      <c r="AA1319" s="36">
        <v>0</v>
      </c>
      <c r="AB1319" s="36"/>
      <c r="AC1319" s="36" t="str">
        <f t="shared" si="9"/>
        <v>PC26</v>
      </c>
      <c r="AD1319" s="36" t="str">
        <f>VLOOKUP(D1319,Oficial!A:C,3,0)</f>
        <v>Bienes y Servicios</v>
      </c>
    </row>
    <row r="1320" spans="1:30" x14ac:dyDescent="0.25">
      <c r="A1320" s="36" t="s">
        <v>27</v>
      </c>
      <c r="B1320" s="36" t="s">
        <v>2121</v>
      </c>
      <c r="C1320" s="36" t="s">
        <v>28</v>
      </c>
      <c r="D1320" s="36" t="s">
        <v>2121</v>
      </c>
      <c r="E1320" s="36" t="s">
        <v>30</v>
      </c>
      <c r="F1320" s="36" t="s">
        <v>569</v>
      </c>
      <c r="G1320" s="37">
        <v>2281</v>
      </c>
      <c r="H1320" s="36" t="s">
        <v>2122</v>
      </c>
      <c r="I1320" s="36" t="s">
        <v>2123</v>
      </c>
      <c r="J1320" s="36">
        <v>23</v>
      </c>
      <c r="K1320" s="36" t="s">
        <v>2139</v>
      </c>
      <c r="L1320" s="36">
        <v>4</v>
      </c>
      <c r="M1320" s="36">
        <v>24</v>
      </c>
      <c r="N1320" s="38">
        <v>6500</v>
      </c>
      <c r="O1320" s="38">
        <v>156000</v>
      </c>
      <c r="P1320" s="36">
        <v>1</v>
      </c>
      <c r="Q1320" s="40">
        <v>46113</v>
      </c>
      <c r="R1320" s="36" t="s">
        <v>2124</v>
      </c>
      <c r="S1320" s="36" t="s">
        <v>1217</v>
      </c>
      <c r="T1320" s="36" t="s">
        <v>2125</v>
      </c>
      <c r="U1320" s="36" t="s">
        <v>2126</v>
      </c>
      <c r="V1320" s="40">
        <v>46082</v>
      </c>
      <c r="W1320" s="36"/>
      <c r="X1320" s="36">
        <v>0</v>
      </c>
      <c r="Y1320" s="36"/>
      <c r="Z1320" s="36">
        <v>0</v>
      </c>
      <c r="AA1320" s="36">
        <v>0</v>
      </c>
      <c r="AB1320" s="36"/>
      <c r="AC1320" s="36" t="str">
        <f t="shared" si="9"/>
        <v>PC26</v>
      </c>
      <c r="AD1320" s="36" t="str">
        <f>VLOOKUP(D1320,Oficial!A:C,3,0)</f>
        <v>Bienes y Servicios</v>
      </c>
    </row>
    <row r="1321" spans="1:30" x14ac:dyDescent="0.25">
      <c r="A1321" s="36" t="s">
        <v>27</v>
      </c>
      <c r="B1321" s="36" t="s">
        <v>2140</v>
      </c>
      <c r="C1321" s="36" t="s">
        <v>1238</v>
      </c>
      <c r="D1321" s="36" t="s">
        <v>2140</v>
      </c>
      <c r="E1321" s="36" t="s">
        <v>30</v>
      </c>
      <c r="F1321" s="36" t="s">
        <v>569</v>
      </c>
      <c r="G1321" s="37">
        <v>2584</v>
      </c>
      <c r="H1321" s="36" t="s">
        <v>2141</v>
      </c>
      <c r="I1321" s="36" t="s">
        <v>2142</v>
      </c>
      <c r="J1321" s="36">
        <v>1</v>
      </c>
      <c r="K1321" s="36" t="s">
        <v>2143</v>
      </c>
      <c r="L1321" s="36">
        <v>4</v>
      </c>
      <c r="M1321" s="36">
        <v>1</v>
      </c>
      <c r="N1321" s="38">
        <v>250000</v>
      </c>
      <c r="O1321" s="38">
        <v>250000</v>
      </c>
      <c r="P1321" s="36">
        <v>1</v>
      </c>
      <c r="Q1321" s="40">
        <v>46054</v>
      </c>
      <c r="R1321" s="36" t="s">
        <v>768</v>
      </c>
      <c r="S1321" s="36" t="s">
        <v>966</v>
      </c>
      <c r="T1321" s="36" t="s">
        <v>967</v>
      </c>
      <c r="U1321" s="36" t="s">
        <v>968</v>
      </c>
      <c r="V1321" s="40">
        <v>46023</v>
      </c>
      <c r="W1321" s="36"/>
      <c r="X1321" s="36">
        <v>0</v>
      </c>
      <c r="Y1321" s="36"/>
      <c r="Z1321" s="36">
        <v>0</v>
      </c>
      <c r="AA1321" s="36">
        <v>0</v>
      </c>
      <c r="AB1321" s="36"/>
      <c r="AC1321" s="36" t="str">
        <f t="shared" si="9"/>
        <v>PC26</v>
      </c>
      <c r="AD1321" s="36" t="str">
        <f>VLOOKUP(D1321,Oficial!A:C,3,0)</f>
        <v>Activos Fijos</v>
      </c>
    </row>
    <row r="1322" spans="1:30" x14ac:dyDescent="0.25">
      <c r="A1322" s="36" t="s">
        <v>27</v>
      </c>
      <c r="B1322" s="36" t="s">
        <v>2144</v>
      </c>
      <c r="C1322" s="36" t="s">
        <v>28</v>
      </c>
      <c r="D1322" s="36" t="s">
        <v>2144</v>
      </c>
      <c r="E1322" s="36" t="s">
        <v>30</v>
      </c>
      <c r="F1322" s="36" t="s">
        <v>569</v>
      </c>
      <c r="G1322" s="37">
        <v>2380</v>
      </c>
      <c r="H1322" s="36" t="s">
        <v>2145</v>
      </c>
      <c r="I1322" s="36" t="s">
        <v>2146</v>
      </c>
      <c r="J1322" s="36">
        <v>4</v>
      </c>
      <c r="K1322" s="36" t="s">
        <v>2147</v>
      </c>
      <c r="L1322" s="36">
        <v>4</v>
      </c>
      <c r="M1322" s="36">
        <v>62</v>
      </c>
      <c r="N1322" s="38">
        <v>2678</v>
      </c>
      <c r="O1322" s="38">
        <v>166036</v>
      </c>
      <c r="P1322" s="36">
        <v>1</v>
      </c>
      <c r="Q1322" s="40">
        <v>46113</v>
      </c>
      <c r="R1322" s="36" t="s">
        <v>1231</v>
      </c>
      <c r="S1322" s="36" t="s">
        <v>1232</v>
      </c>
      <c r="T1322" s="36" t="s">
        <v>566</v>
      </c>
      <c r="U1322" s="36" t="s">
        <v>67</v>
      </c>
      <c r="V1322" s="40">
        <v>46113</v>
      </c>
      <c r="W1322" s="36"/>
      <c r="X1322" s="36">
        <v>0</v>
      </c>
      <c r="Y1322" s="36"/>
      <c r="Z1322" s="36">
        <v>0</v>
      </c>
      <c r="AA1322" s="36">
        <v>0</v>
      </c>
      <c r="AB1322" s="36"/>
      <c r="AC1322" s="36" t="str">
        <f t="shared" si="9"/>
        <v>PC26</v>
      </c>
      <c r="AD1322" s="36" t="str">
        <f>VLOOKUP(D1322,Oficial!A:C,3,0)</f>
        <v>Bienes y Servicios</v>
      </c>
    </row>
    <row r="1323" spans="1:30" x14ac:dyDescent="0.25">
      <c r="A1323" s="36" t="s">
        <v>27</v>
      </c>
      <c r="B1323" s="36" t="s">
        <v>2144</v>
      </c>
      <c r="C1323" s="36" t="s">
        <v>28</v>
      </c>
      <c r="D1323" s="36" t="s">
        <v>2144</v>
      </c>
      <c r="E1323" s="36" t="s">
        <v>30</v>
      </c>
      <c r="F1323" s="36" t="s">
        <v>569</v>
      </c>
      <c r="G1323" s="37">
        <v>2380</v>
      </c>
      <c r="H1323" s="36" t="s">
        <v>2145</v>
      </c>
      <c r="I1323" s="36" t="s">
        <v>2146</v>
      </c>
      <c r="J1323" s="36">
        <v>4</v>
      </c>
      <c r="K1323" s="36" t="s">
        <v>2148</v>
      </c>
      <c r="L1323" s="36">
        <v>4</v>
      </c>
      <c r="M1323" s="36">
        <v>200</v>
      </c>
      <c r="N1323" s="38">
        <v>6750</v>
      </c>
      <c r="O1323" s="38">
        <v>1350000</v>
      </c>
      <c r="P1323" s="36">
        <v>1</v>
      </c>
      <c r="Q1323" s="40">
        <v>46113</v>
      </c>
      <c r="R1323" s="36" t="s">
        <v>1231</v>
      </c>
      <c r="S1323" s="36" t="s">
        <v>1232</v>
      </c>
      <c r="T1323" s="36" t="s">
        <v>566</v>
      </c>
      <c r="U1323" s="36" t="s">
        <v>67</v>
      </c>
      <c r="V1323" s="40">
        <v>46113</v>
      </c>
      <c r="W1323" s="36"/>
      <c r="X1323" s="36">
        <v>0</v>
      </c>
      <c r="Y1323" s="36"/>
      <c r="Z1323" s="36">
        <v>0</v>
      </c>
      <c r="AA1323" s="36">
        <v>0</v>
      </c>
      <c r="AB1323" s="36"/>
      <c r="AC1323" s="36" t="str">
        <f t="shared" si="9"/>
        <v>PC26</v>
      </c>
      <c r="AD1323" s="36" t="str">
        <f>VLOOKUP(D1323,Oficial!A:C,3,0)</f>
        <v>Bienes y Servicios</v>
      </c>
    </row>
    <row r="1324" spans="1:30" x14ac:dyDescent="0.25">
      <c r="A1324" s="36" t="s">
        <v>27</v>
      </c>
      <c r="B1324" s="36" t="s">
        <v>2144</v>
      </c>
      <c r="C1324" s="36" t="s">
        <v>28</v>
      </c>
      <c r="D1324" s="36" t="s">
        <v>2144</v>
      </c>
      <c r="E1324" s="36" t="s">
        <v>30</v>
      </c>
      <c r="F1324" s="36" t="s">
        <v>569</v>
      </c>
      <c r="G1324" s="37">
        <v>2380</v>
      </c>
      <c r="H1324" s="36" t="s">
        <v>2145</v>
      </c>
      <c r="I1324" s="36" t="s">
        <v>2146</v>
      </c>
      <c r="J1324" s="36">
        <v>4</v>
      </c>
      <c r="K1324" s="36" t="s">
        <v>855</v>
      </c>
      <c r="L1324" s="36">
        <v>4</v>
      </c>
      <c r="M1324" s="36">
        <v>656</v>
      </c>
      <c r="N1324" s="38">
        <v>112</v>
      </c>
      <c r="O1324" s="38">
        <v>73472</v>
      </c>
      <c r="P1324" s="36">
        <v>1</v>
      </c>
      <c r="Q1324" s="40">
        <v>46113</v>
      </c>
      <c r="R1324" s="36" t="s">
        <v>1231</v>
      </c>
      <c r="S1324" s="36" t="s">
        <v>1232</v>
      </c>
      <c r="T1324" s="36" t="s">
        <v>566</v>
      </c>
      <c r="U1324" s="36" t="s">
        <v>67</v>
      </c>
      <c r="V1324" s="40">
        <v>46113</v>
      </c>
      <c r="W1324" s="36"/>
      <c r="X1324" s="36">
        <v>0</v>
      </c>
      <c r="Y1324" s="36"/>
      <c r="Z1324" s="36">
        <v>0</v>
      </c>
      <c r="AA1324" s="36">
        <v>0</v>
      </c>
      <c r="AB1324" s="36"/>
      <c r="AC1324" s="36" t="str">
        <f t="shared" si="9"/>
        <v>PC26</v>
      </c>
      <c r="AD1324" s="36" t="str">
        <f>VLOOKUP(D1324,Oficial!A:C,3,0)</f>
        <v>Bienes y Servicios</v>
      </c>
    </row>
    <row r="1325" spans="1:30" x14ac:dyDescent="0.25">
      <c r="A1325" s="36" t="s">
        <v>27</v>
      </c>
      <c r="B1325" s="36" t="s">
        <v>2144</v>
      </c>
      <c r="C1325" s="36" t="s">
        <v>28</v>
      </c>
      <c r="D1325" s="36" t="s">
        <v>2144</v>
      </c>
      <c r="E1325" s="36" t="s">
        <v>30</v>
      </c>
      <c r="F1325" s="36" t="s">
        <v>569</v>
      </c>
      <c r="G1325" s="37">
        <v>2380</v>
      </c>
      <c r="H1325" s="36" t="s">
        <v>2145</v>
      </c>
      <c r="I1325" s="36" t="s">
        <v>2146</v>
      </c>
      <c r="J1325" s="36">
        <v>4</v>
      </c>
      <c r="K1325" s="36" t="s">
        <v>359</v>
      </c>
      <c r="L1325" s="36">
        <v>4</v>
      </c>
      <c r="M1325" s="36">
        <v>1</v>
      </c>
      <c r="N1325" s="38">
        <v>364000</v>
      </c>
      <c r="O1325" s="38">
        <v>364000</v>
      </c>
      <c r="P1325" s="36">
        <v>1</v>
      </c>
      <c r="Q1325" s="40">
        <v>46113</v>
      </c>
      <c r="R1325" s="36" t="s">
        <v>1231</v>
      </c>
      <c r="S1325" s="36" t="s">
        <v>1232</v>
      </c>
      <c r="T1325" s="36" t="s">
        <v>566</v>
      </c>
      <c r="U1325" s="36" t="s">
        <v>67</v>
      </c>
      <c r="V1325" s="40">
        <v>46113</v>
      </c>
      <c r="W1325" s="36"/>
      <c r="X1325" s="36">
        <v>0</v>
      </c>
      <c r="Y1325" s="36"/>
      <c r="Z1325" s="36">
        <v>0</v>
      </c>
      <c r="AA1325" s="36">
        <v>0</v>
      </c>
      <c r="AB1325" s="36"/>
      <c r="AC1325" s="36" t="str">
        <f t="shared" si="9"/>
        <v>PC26</v>
      </c>
      <c r="AD1325" s="36" t="str">
        <f>VLOOKUP(D1325,Oficial!A:C,3,0)</f>
        <v>Bienes y Servicios</v>
      </c>
    </row>
    <row r="1326" spans="1:30" x14ac:dyDescent="0.25">
      <c r="A1326" s="36" t="s">
        <v>27</v>
      </c>
      <c r="B1326" s="36" t="s">
        <v>2149</v>
      </c>
      <c r="C1326" s="36" t="s">
        <v>28</v>
      </c>
      <c r="D1326" s="36" t="s">
        <v>2149</v>
      </c>
      <c r="E1326" s="36" t="s">
        <v>30</v>
      </c>
      <c r="F1326" s="36" t="s">
        <v>569</v>
      </c>
      <c r="G1326" s="37" t="s">
        <v>800</v>
      </c>
      <c r="H1326" s="36" t="s">
        <v>2150</v>
      </c>
      <c r="I1326" s="36" t="s">
        <v>2151</v>
      </c>
      <c r="J1326" s="36">
        <v>5</v>
      </c>
      <c r="K1326" s="36" t="s">
        <v>855</v>
      </c>
      <c r="L1326" s="36">
        <v>4</v>
      </c>
      <c r="M1326" s="36">
        <v>2160</v>
      </c>
      <c r="N1326" s="38">
        <v>73</v>
      </c>
      <c r="O1326" s="38">
        <v>157680</v>
      </c>
      <c r="P1326" s="36">
        <v>1</v>
      </c>
      <c r="Q1326" s="40">
        <v>46054</v>
      </c>
      <c r="R1326" s="36" t="s">
        <v>2152</v>
      </c>
      <c r="S1326" s="36" t="s">
        <v>2153</v>
      </c>
      <c r="T1326" s="36" t="s">
        <v>1257</v>
      </c>
      <c r="U1326" s="36" t="s">
        <v>2154</v>
      </c>
      <c r="V1326" s="40">
        <v>46054</v>
      </c>
      <c r="W1326" s="36"/>
      <c r="X1326" s="36">
        <v>0</v>
      </c>
      <c r="Y1326" s="36"/>
      <c r="Z1326" s="36">
        <v>0</v>
      </c>
      <c r="AA1326" s="36">
        <v>0</v>
      </c>
      <c r="AB1326" s="36"/>
      <c r="AC1326" s="36" t="str">
        <f t="shared" si="9"/>
        <v>PC26</v>
      </c>
      <c r="AD1326" s="36" t="str">
        <f>VLOOKUP(D1326,Oficial!A:C,3,0)</f>
        <v>Bienes y Servicios</v>
      </c>
    </row>
    <row r="1327" spans="1:30" x14ac:dyDescent="0.25">
      <c r="A1327" s="36" t="s">
        <v>27</v>
      </c>
      <c r="B1327" s="36" t="s">
        <v>2149</v>
      </c>
      <c r="C1327" s="36" t="s">
        <v>28</v>
      </c>
      <c r="D1327" s="36" t="s">
        <v>2149</v>
      </c>
      <c r="E1327" s="36" t="s">
        <v>30</v>
      </c>
      <c r="F1327" s="36" t="s">
        <v>569</v>
      </c>
      <c r="G1327" s="37" t="s">
        <v>800</v>
      </c>
      <c r="H1327" s="36" t="s">
        <v>2150</v>
      </c>
      <c r="I1327" s="36" t="s">
        <v>2151</v>
      </c>
      <c r="J1327" s="36">
        <v>5</v>
      </c>
      <c r="K1327" s="36" t="s">
        <v>359</v>
      </c>
      <c r="L1327" s="36">
        <v>4</v>
      </c>
      <c r="M1327" s="36">
        <v>1405</v>
      </c>
      <c r="N1327" s="38">
        <v>461</v>
      </c>
      <c r="O1327" s="38">
        <v>647705</v>
      </c>
      <c r="P1327" s="36">
        <v>1</v>
      </c>
      <c r="Q1327" s="40">
        <v>46054</v>
      </c>
      <c r="R1327" s="36" t="s">
        <v>2152</v>
      </c>
      <c r="S1327" s="36" t="s">
        <v>2153</v>
      </c>
      <c r="T1327" s="36" t="s">
        <v>1257</v>
      </c>
      <c r="U1327" s="36" t="s">
        <v>2154</v>
      </c>
      <c r="V1327" s="40">
        <v>46054</v>
      </c>
      <c r="W1327" s="36"/>
      <c r="X1327" s="36">
        <v>0</v>
      </c>
      <c r="Y1327" s="36"/>
      <c r="Z1327" s="36">
        <v>0</v>
      </c>
      <c r="AA1327" s="36">
        <v>0</v>
      </c>
      <c r="AB1327" s="36"/>
      <c r="AC1327" s="36" t="str">
        <f t="shared" si="9"/>
        <v>PC26</v>
      </c>
      <c r="AD1327" s="36" t="str">
        <f>VLOOKUP(D1327,Oficial!A:C,3,0)</f>
        <v>Bienes y Servicios</v>
      </c>
    </row>
    <row r="1328" spans="1:30" x14ac:dyDescent="0.25">
      <c r="A1328" s="36" t="s">
        <v>27</v>
      </c>
      <c r="B1328" s="36" t="s">
        <v>2149</v>
      </c>
      <c r="C1328" s="36" t="s">
        <v>28</v>
      </c>
      <c r="D1328" s="36" t="s">
        <v>2149</v>
      </c>
      <c r="E1328" s="36" t="s">
        <v>30</v>
      </c>
      <c r="F1328" s="36" t="s">
        <v>569</v>
      </c>
      <c r="G1328" s="37" t="s">
        <v>800</v>
      </c>
      <c r="H1328" s="36" t="s">
        <v>2150</v>
      </c>
      <c r="I1328" s="36" t="s">
        <v>2151</v>
      </c>
      <c r="J1328" s="36">
        <v>5</v>
      </c>
      <c r="K1328" s="36" t="s">
        <v>486</v>
      </c>
      <c r="L1328" s="36">
        <v>4</v>
      </c>
      <c r="M1328" s="36">
        <v>803</v>
      </c>
      <c r="N1328" s="38">
        <v>1053</v>
      </c>
      <c r="O1328" s="38">
        <v>845559</v>
      </c>
      <c r="P1328" s="36">
        <v>1</v>
      </c>
      <c r="Q1328" s="40">
        <v>46054</v>
      </c>
      <c r="R1328" s="36" t="s">
        <v>2152</v>
      </c>
      <c r="S1328" s="36" t="s">
        <v>2153</v>
      </c>
      <c r="T1328" s="36" t="s">
        <v>1257</v>
      </c>
      <c r="U1328" s="36" t="s">
        <v>2154</v>
      </c>
      <c r="V1328" s="40">
        <v>46054</v>
      </c>
      <c r="W1328" s="36"/>
      <c r="X1328" s="36">
        <v>0</v>
      </c>
      <c r="Y1328" s="36"/>
      <c r="Z1328" s="36">
        <v>0</v>
      </c>
      <c r="AA1328" s="36">
        <v>0</v>
      </c>
      <c r="AB1328" s="36"/>
      <c r="AC1328" s="36" t="str">
        <f t="shared" si="9"/>
        <v>PC26</v>
      </c>
      <c r="AD1328" s="36" t="str">
        <f>VLOOKUP(D1328,Oficial!A:C,3,0)</f>
        <v>Bienes y Servicios</v>
      </c>
    </row>
    <row r="1329" spans="1:30" x14ac:dyDescent="0.25">
      <c r="A1329" s="36" t="s">
        <v>27</v>
      </c>
      <c r="B1329" s="36" t="s">
        <v>2149</v>
      </c>
      <c r="C1329" s="36" t="s">
        <v>28</v>
      </c>
      <c r="D1329" s="36" t="s">
        <v>2149</v>
      </c>
      <c r="E1329" s="36" t="s">
        <v>30</v>
      </c>
      <c r="F1329" s="36" t="s">
        <v>569</v>
      </c>
      <c r="G1329" s="37" t="s">
        <v>800</v>
      </c>
      <c r="H1329" s="36" t="s">
        <v>2150</v>
      </c>
      <c r="I1329" s="36" t="s">
        <v>2151</v>
      </c>
      <c r="J1329" s="36">
        <v>5</v>
      </c>
      <c r="K1329" s="36" t="s">
        <v>2155</v>
      </c>
      <c r="L1329" s="36">
        <v>4</v>
      </c>
      <c r="M1329" s="36">
        <v>566</v>
      </c>
      <c r="N1329" s="38">
        <v>7947</v>
      </c>
      <c r="O1329" s="38">
        <v>4498002</v>
      </c>
      <c r="P1329" s="36">
        <v>1</v>
      </c>
      <c r="Q1329" s="40">
        <v>46054</v>
      </c>
      <c r="R1329" s="36" t="s">
        <v>2152</v>
      </c>
      <c r="S1329" s="36" t="s">
        <v>2153</v>
      </c>
      <c r="T1329" s="36" t="s">
        <v>1257</v>
      </c>
      <c r="U1329" s="36" t="s">
        <v>2154</v>
      </c>
      <c r="V1329" s="40">
        <v>46054</v>
      </c>
      <c r="W1329" s="36"/>
      <c r="X1329" s="36">
        <v>0</v>
      </c>
      <c r="Y1329" s="36"/>
      <c r="Z1329" s="36">
        <v>0</v>
      </c>
      <c r="AA1329" s="36">
        <v>0</v>
      </c>
      <c r="AB1329" s="36"/>
      <c r="AC1329" s="36" t="str">
        <f t="shared" si="9"/>
        <v>PC26</v>
      </c>
      <c r="AD1329" s="36" t="str">
        <f>VLOOKUP(D1329,Oficial!A:C,3,0)</f>
        <v>Bienes y Servicios</v>
      </c>
    </row>
    <row r="1330" spans="1:30" x14ac:dyDescent="0.25">
      <c r="A1330" s="36" t="s">
        <v>27</v>
      </c>
      <c r="B1330" s="36" t="s">
        <v>2149</v>
      </c>
      <c r="C1330" s="36" t="s">
        <v>28</v>
      </c>
      <c r="D1330" s="36" t="s">
        <v>2149</v>
      </c>
      <c r="E1330" s="36" t="s">
        <v>30</v>
      </c>
      <c r="F1330" s="36" t="s">
        <v>569</v>
      </c>
      <c r="G1330" s="37" t="s">
        <v>800</v>
      </c>
      <c r="H1330" s="36" t="s">
        <v>2150</v>
      </c>
      <c r="I1330" s="36" t="s">
        <v>2151</v>
      </c>
      <c r="J1330" s="36">
        <v>5</v>
      </c>
      <c r="K1330" s="36" t="s">
        <v>786</v>
      </c>
      <c r="L1330" s="36">
        <v>4</v>
      </c>
      <c r="M1330" s="36">
        <v>1170</v>
      </c>
      <c r="N1330" s="38">
        <v>375</v>
      </c>
      <c r="O1330" s="38">
        <v>438750</v>
      </c>
      <c r="P1330" s="36">
        <v>1</v>
      </c>
      <c r="Q1330" s="40">
        <v>46054</v>
      </c>
      <c r="R1330" s="36" t="s">
        <v>2152</v>
      </c>
      <c r="S1330" s="36" t="s">
        <v>2153</v>
      </c>
      <c r="T1330" s="36" t="s">
        <v>1257</v>
      </c>
      <c r="U1330" s="36" t="s">
        <v>2154</v>
      </c>
      <c r="V1330" s="40">
        <v>46054</v>
      </c>
      <c r="W1330" s="36"/>
      <c r="X1330" s="36">
        <v>0</v>
      </c>
      <c r="Y1330" s="36"/>
      <c r="Z1330" s="36">
        <v>0</v>
      </c>
      <c r="AA1330" s="36">
        <v>0</v>
      </c>
      <c r="AB1330" s="36"/>
      <c r="AC1330" s="36" t="str">
        <f t="shared" si="9"/>
        <v>PC26</v>
      </c>
      <c r="AD1330" s="36" t="str">
        <f>VLOOKUP(D1330,Oficial!A:C,3,0)</f>
        <v>Bienes y Servicios</v>
      </c>
    </row>
    <row r="1331" spans="1:30" x14ac:dyDescent="0.25">
      <c r="A1331" s="36" t="s">
        <v>27</v>
      </c>
      <c r="B1331" s="36" t="s">
        <v>2156</v>
      </c>
      <c r="C1331" s="36" t="s">
        <v>28</v>
      </c>
      <c r="D1331" s="36" t="s">
        <v>2156</v>
      </c>
      <c r="E1331" s="36" t="s">
        <v>30</v>
      </c>
      <c r="F1331" s="36" t="s">
        <v>569</v>
      </c>
      <c r="G1331" s="37" t="s">
        <v>725</v>
      </c>
      <c r="H1331" s="36" t="s">
        <v>2157</v>
      </c>
      <c r="I1331" s="36" t="s">
        <v>2158</v>
      </c>
      <c r="J1331" s="36">
        <v>2</v>
      </c>
      <c r="K1331" s="36" t="s">
        <v>786</v>
      </c>
      <c r="L1331" s="36">
        <v>4</v>
      </c>
      <c r="M1331" s="36">
        <v>396</v>
      </c>
      <c r="N1331" s="38">
        <v>1998</v>
      </c>
      <c r="O1331" s="38">
        <v>791208</v>
      </c>
      <c r="P1331" s="36">
        <v>1</v>
      </c>
      <c r="Q1331" s="40">
        <v>46023</v>
      </c>
      <c r="R1331" s="36" t="s">
        <v>395</v>
      </c>
      <c r="S1331" s="36" t="s">
        <v>1217</v>
      </c>
      <c r="T1331" s="36" t="s">
        <v>1218</v>
      </c>
      <c r="U1331" s="36" t="s">
        <v>398</v>
      </c>
      <c r="V1331" s="40">
        <v>46023</v>
      </c>
      <c r="W1331" s="36"/>
      <c r="X1331" s="36">
        <v>0</v>
      </c>
      <c r="Y1331" s="36"/>
      <c r="Z1331" s="36">
        <v>0</v>
      </c>
      <c r="AA1331" s="36">
        <v>0</v>
      </c>
      <c r="AB1331" s="36"/>
      <c r="AC1331" s="36" t="str">
        <f t="shared" si="9"/>
        <v>PC26</v>
      </c>
      <c r="AD1331" s="36" t="str">
        <f>VLOOKUP(D1331,Oficial!A:C,3,0)</f>
        <v>Bienes y Servicios</v>
      </c>
    </row>
    <row r="1332" spans="1:30" x14ac:dyDescent="0.25">
      <c r="A1332" s="36" t="s">
        <v>27</v>
      </c>
      <c r="B1332" s="36" t="s">
        <v>2156</v>
      </c>
      <c r="C1332" s="36" t="s">
        <v>28</v>
      </c>
      <c r="D1332" s="36" t="s">
        <v>2156</v>
      </c>
      <c r="E1332" s="36" t="s">
        <v>30</v>
      </c>
      <c r="F1332" s="36" t="s">
        <v>569</v>
      </c>
      <c r="G1332" s="37" t="s">
        <v>725</v>
      </c>
      <c r="H1332" s="36" t="s">
        <v>2157</v>
      </c>
      <c r="I1332" s="36" t="s">
        <v>2158</v>
      </c>
      <c r="J1332" s="36">
        <v>2</v>
      </c>
      <c r="K1332" s="36" t="s">
        <v>1989</v>
      </c>
      <c r="L1332" s="36">
        <v>4</v>
      </c>
      <c r="M1332" s="36">
        <v>12</v>
      </c>
      <c r="N1332" s="38">
        <v>2500</v>
      </c>
      <c r="O1332" s="38">
        <v>30000</v>
      </c>
      <c r="P1332" s="36">
        <v>1</v>
      </c>
      <c r="Q1332" s="40">
        <v>46023</v>
      </c>
      <c r="R1332" s="36" t="s">
        <v>395</v>
      </c>
      <c r="S1332" s="36" t="s">
        <v>1217</v>
      </c>
      <c r="T1332" s="36" t="s">
        <v>1218</v>
      </c>
      <c r="U1332" s="36" t="s">
        <v>398</v>
      </c>
      <c r="V1332" s="40">
        <v>46023</v>
      </c>
      <c r="W1332" s="36"/>
      <c r="X1332" s="36">
        <v>0</v>
      </c>
      <c r="Y1332" s="36"/>
      <c r="Z1332" s="36">
        <v>0</v>
      </c>
      <c r="AA1332" s="36">
        <v>0</v>
      </c>
      <c r="AB1332" s="36"/>
      <c r="AC1332" s="36" t="str">
        <f t="shared" si="9"/>
        <v>PC26</v>
      </c>
      <c r="AD1332" s="36" t="str">
        <f>VLOOKUP(D1332,Oficial!A:C,3,0)</f>
        <v>Bienes y Servicios</v>
      </c>
    </row>
    <row r="1333" spans="1:30" x14ac:dyDescent="0.25">
      <c r="A1333" s="36" t="s">
        <v>27</v>
      </c>
      <c r="B1333" s="36" t="s">
        <v>2159</v>
      </c>
      <c r="C1333" s="36" t="s">
        <v>374</v>
      </c>
      <c r="D1333" s="36" t="s">
        <v>2159</v>
      </c>
      <c r="E1333" s="36" t="s">
        <v>30</v>
      </c>
      <c r="F1333" s="36" t="s">
        <v>569</v>
      </c>
      <c r="G1333" s="37" t="s">
        <v>615</v>
      </c>
      <c r="H1333" s="36" t="s">
        <v>2160</v>
      </c>
      <c r="I1333" s="36" t="s">
        <v>1652</v>
      </c>
      <c r="J1333" s="36">
        <v>7</v>
      </c>
      <c r="K1333" s="36" t="s">
        <v>2161</v>
      </c>
      <c r="L1333" s="36">
        <v>4</v>
      </c>
      <c r="M1333" s="36">
        <v>44</v>
      </c>
      <c r="N1333" s="38">
        <v>61364</v>
      </c>
      <c r="O1333" s="38">
        <v>2700016</v>
      </c>
      <c r="P1333" s="36">
        <v>1</v>
      </c>
      <c r="Q1333" s="40">
        <v>46054</v>
      </c>
      <c r="R1333" s="36" t="s">
        <v>761</v>
      </c>
      <c r="S1333" s="36" t="s">
        <v>762</v>
      </c>
      <c r="T1333" s="36" t="s">
        <v>763</v>
      </c>
      <c r="U1333" s="36" t="s">
        <v>764</v>
      </c>
      <c r="V1333" s="40">
        <v>46054</v>
      </c>
      <c r="W1333" s="36"/>
      <c r="X1333" s="36">
        <v>0</v>
      </c>
      <c r="Y1333" s="36"/>
      <c r="Z1333" s="36">
        <v>0</v>
      </c>
      <c r="AA1333" s="36">
        <v>0</v>
      </c>
      <c r="AB1333" s="36"/>
      <c r="AC1333" s="36" t="str">
        <f t="shared" si="9"/>
        <v>PC26</v>
      </c>
      <c r="AD1333" s="36" t="str">
        <f>VLOOKUP(D1333,Oficial!A:C,3,0)</f>
        <v>Administración de Fondos</v>
      </c>
    </row>
    <row r="1334" spans="1:30" x14ac:dyDescent="0.25">
      <c r="A1334" s="36" t="s">
        <v>27</v>
      </c>
      <c r="B1334" s="36" t="s">
        <v>2159</v>
      </c>
      <c r="C1334" s="36" t="s">
        <v>374</v>
      </c>
      <c r="D1334" s="36" t="s">
        <v>2159</v>
      </c>
      <c r="E1334" s="36" t="s">
        <v>30</v>
      </c>
      <c r="F1334" s="36" t="s">
        <v>569</v>
      </c>
      <c r="G1334" s="37" t="s">
        <v>615</v>
      </c>
      <c r="H1334" s="36" t="s">
        <v>2160</v>
      </c>
      <c r="I1334" s="36" t="s">
        <v>1652</v>
      </c>
      <c r="J1334" s="36">
        <v>7</v>
      </c>
      <c r="K1334" s="36" t="s">
        <v>2162</v>
      </c>
      <c r="L1334" s="36">
        <v>4</v>
      </c>
      <c r="M1334" s="36">
        <v>4</v>
      </c>
      <c r="N1334" s="38">
        <v>315000</v>
      </c>
      <c r="O1334" s="38">
        <v>1260000</v>
      </c>
      <c r="P1334" s="36">
        <v>1</v>
      </c>
      <c r="Q1334" s="40">
        <v>46054</v>
      </c>
      <c r="R1334" s="36" t="s">
        <v>761</v>
      </c>
      <c r="S1334" s="36" t="s">
        <v>762</v>
      </c>
      <c r="T1334" s="36" t="s">
        <v>763</v>
      </c>
      <c r="U1334" s="36" t="s">
        <v>764</v>
      </c>
      <c r="V1334" s="40">
        <v>46054</v>
      </c>
      <c r="W1334" s="36"/>
      <c r="X1334" s="36">
        <v>0</v>
      </c>
      <c r="Y1334" s="36"/>
      <c r="Z1334" s="36">
        <v>0</v>
      </c>
      <c r="AA1334" s="36">
        <v>0</v>
      </c>
      <c r="AB1334" s="36"/>
      <c r="AC1334" s="36" t="str">
        <f t="shared" si="9"/>
        <v>PC26</v>
      </c>
      <c r="AD1334" s="36" t="str">
        <f>VLOOKUP(D1334,Oficial!A:C,3,0)</f>
        <v>Administración de Fondos</v>
      </c>
    </row>
    <row r="1335" spans="1:30" x14ac:dyDescent="0.25">
      <c r="A1335" s="36" t="s">
        <v>27</v>
      </c>
      <c r="B1335" s="36" t="s">
        <v>2159</v>
      </c>
      <c r="C1335" s="36" t="s">
        <v>374</v>
      </c>
      <c r="D1335" s="36" t="s">
        <v>2159</v>
      </c>
      <c r="E1335" s="36" t="s">
        <v>30</v>
      </c>
      <c r="F1335" s="36" t="s">
        <v>569</v>
      </c>
      <c r="G1335" s="37" t="s">
        <v>615</v>
      </c>
      <c r="H1335" s="36" t="s">
        <v>2160</v>
      </c>
      <c r="I1335" s="36" t="s">
        <v>1652</v>
      </c>
      <c r="J1335" s="36">
        <v>7</v>
      </c>
      <c r="K1335" s="36" t="s">
        <v>2163</v>
      </c>
      <c r="L1335" s="36">
        <v>4</v>
      </c>
      <c r="M1335" s="36">
        <v>7</v>
      </c>
      <c r="N1335" s="38">
        <v>294286</v>
      </c>
      <c r="O1335" s="38">
        <v>2060002</v>
      </c>
      <c r="P1335" s="36">
        <v>1</v>
      </c>
      <c r="Q1335" s="40">
        <v>46174</v>
      </c>
      <c r="R1335" s="36" t="s">
        <v>761</v>
      </c>
      <c r="S1335" s="36" t="s">
        <v>762</v>
      </c>
      <c r="T1335" s="36" t="s">
        <v>763</v>
      </c>
      <c r="U1335" s="36" t="s">
        <v>764</v>
      </c>
      <c r="V1335" s="40">
        <v>46174</v>
      </c>
      <c r="W1335" s="36"/>
      <c r="X1335" s="36">
        <v>0</v>
      </c>
      <c r="Y1335" s="36"/>
      <c r="Z1335" s="36">
        <v>0</v>
      </c>
      <c r="AA1335" s="36">
        <v>0</v>
      </c>
      <c r="AB1335" s="36"/>
      <c r="AC1335" s="36" t="str">
        <f t="shared" si="9"/>
        <v>PC26</v>
      </c>
      <c r="AD1335" s="36" t="str">
        <f>VLOOKUP(D1335,Oficial!A:C,3,0)</f>
        <v>Administración de Fondos</v>
      </c>
    </row>
    <row r="1336" spans="1:30" x14ac:dyDescent="0.25">
      <c r="A1336" s="36" t="s">
        <v>27</v>
      </c>
      <c r="B1336" s="36" t="s">
        <v>2159</v>
      </c>
      <c r="C1336" s="36" t="s">
        <v>374</v>
      </c>
      <c r="D1336" s="36" t="s">
        <v>2159</v>
      </c>
      <c r="E1336" s="36" t="s">
        <v>30</v>
      </c>
      <c r="F1336" s="36" t="s">
        <v>569</v>
      </c>
      <c r="G1336" s="37" t="s">
        <v>615</v>
      </c>
      <c r="H1336" s="36" t="s">
        <v>2160</v>
      </c>
      <c r="I1336" s="36" t="s">
        <v>1652</v>
      </c>
      <c r="J1336" s="36">
        <v>7</v>
      </c>
      <c r="K1336" s="36" t="s">
        <v>2164</v>
      </c>
      <c r="L1336" s="36">
        <v>4</v>
      </c>
      <c r="M1336" s="36">
        <v>9</v>
      </c>
      <c r="N1336" s="38">
        <v>52223</v>
      </c>
      <c r="O1336" s="38">
        <v>470007</v>
      </c>
      <c r="P1336" s="36">
        <v>1</v>
      </c>
      <c r="Q1336" s="40">
        <v>46174</v>
      </c>
      <c r="R1336" s="36" t="s">
        <v>761</v>
      </c>
      <c r="S1336" s="36" t="s">
        <v>762</v>
      </c>
      <c r="T1336" s="36" t="s">
        <v>763</v>
      </c>
      <c r="U1336" s="36" t="s">
        <v>764</v>
      </c>
      <c r="V1336" s="40">
        <v>46054</v>
      </c>
      <c r="W1336" s="36"/>
      <c r="X1336" s="36">
        <v>0</v>
      </c>
      <c r="Y1336" s="36"/>
      <c r="Z1336" s="36">
        <v>0</v>
      </c>
      <c r="AA1336" s="36">
        <v>0</v>
      </c>
      <c r="AB1336" s="36"/>
      <c r="AC1336" s="36" t="str">
        <f t="shared" si="9"/>
        <v>PC26</v>
      </c>
      <c r="AD1336" s="36" t="str">
        <f>VLOOKUP(D1336,Oficial!A:C,3,0)</f>
        <v>Administración de Fondos</v>
      </c>
    </row>
    <row r="1337" spans="1:30" x14ac:dyDescent="0.25">
      <c r="A1337" s="36" t="s">
        <v>27</v>
      </c>
      <c r="B1337" s="36" t="s">
        <v>2159</v>
      </c>
      <c r="C1337" s="36" t="s">
        <v>374</v>
      </c>
      <c r="D1337" s="36" t="s">
        <v>2159</v>
      </c>
      <c r="E1337" s="36" t="s">
        <v>30</v>
      </c>
      <c r="F1337" s="36" t="s">
        <v>569</v>
      </c>
      <c r="G1337" s="37" t="s">
        <v>615</v>
      </c>
      <c r="H1337" s="36" t="s">
        <v>2160</v>
      </c>
      <c r="I1337" s="36" t="s">
        <v>1652</v>
      </c>
      <c r="J1337" s="36">
        <v>7</v>
      </c>
      <c r="K1337" s="36" t="s">
        <v>820</v>
      </c>
      <c r="L1337" s="36">
        <v>4</v>
      </c>
      <c r="M1337" s="36">
        <v>2</v>
      </c>
      <c r="N1337" s="38">
        <v>350000</v>
      </c>
      <c r="O1337" s="38">
        <v>700000</v>
      </c>
      <c r="P1337" s="36">
        <v>1</v>
      </c>
      <c r="Q1337" s="40">
        <v>46174</v>
      </c>
      <c r="R1337" s="36" t="s">
        <v>761</v>
      </c>
      <c r="S1337" s="36" t="s">
        <v>762</v>
      </c>
      <c r="T1337" s="36" t="s">
        <v>763</v>
      </c>
      <c r="U1337" s="36" t="s">
        <v>764</v>
      </c>
      <c r="V1337" s="40">
        <v>46174</v>
      </c>
      <c r="W1337" s="36"/>
      <c r="X1337" s="36">
        <v>0</v>
      </c>
      <c r="Y1337" s="36"/>
      <c r="Z1337" s="36">
        <v>0</v>
      </c>
      <c r="AA1337" s="36">
        <v>0</v>
      </c>
      <c r="AB1337" s="36"/>
      <c r="AC1337" s="36" t="str">
        <f t="shared" si="9"/>
        <v>PC26</v>
      </c>
      <c r="AD1337" s="36" t="str">
        <f>VLOOKUP(D1337,Oficial!A:C,3,0)</f>
        <v>Administración de Fondos</v>
      </c>
    </row>
    <row r="1338" spans="1:30" x14ac:dyDescent="0.25">
      <c r="A1338" s="36" t="s">
        <v>27</v>
      </c>
      <c r="B1338" s="36" t="s">
        <v>2159</v>
      </c>
      <c r="C1338" s="36" t="s">
        <v>374</v>
      </c>
      <c r="D1338" s="36" t="s">
        <v>2159</v>
      </c>
      <c r="E1338" s="36" t="s">
        <v>30</v>
      </c>
      <c r="F1338" s="36" t="s">
        <v>569</v>
      </c>
      <c r="G1338" s="37" t="s">
        <v>615</v>
      </c>
      <c r="H1338" s="36" t="s">
        <v>2160</v>
      </c>
      <c r="I1338" s="36" t="s">
        <v>1652</v>
      </c>
      <c r="J1338" s="36">
        <v>7</v>
      </c>
      <c r="K1338" s="36" t="s">
        <v>1578</v>
      </c>
      <c r="L1338" s="36">
        <v>4</v>
      </c>
      <c r="M1338" s="36">
        <v>2</v>
      </c>
      <c r="N1338" s="38">
        <v>60000</v>
      </c>
      <c r="O1338" s="38">
        <v>120000</v>
      </c>
      <c r="P1338" s="36">
        <v>1</v>
      </c>
      <c r="Q1338" s="40">
        <v>46174</v>
      </c>
      <c r="R1338" s="36" t="s">
        <v>761</v>
      </c>
      <c r="S1338" s="36" t="s">
        <v>762</v>
      </c>
      <c r="T1338" s="36" t="s">
        <v>763</v>
      </c>
      <c r="U1338" s="36" t="s">
        <v>764</v>
      </c>
      <c r="V1338" s="40">
        <v>46174</v>
      </c>
      <c r="W1338" s="36"/>
      <c r="X1338" s="36">
        <v>0</v>
      </c>
      <c r="Y1338" s="36"/>
      <c r="Z1338" s="36">
        <v>0</v>
      </c>
      <c r="AA1338" s="36">
        <v>0</v>
      </c>
      <c r="AB1338" s="36"/>
      <c r="AC1338" s="36" t="str">
        <f t="shared" si="9"/>
        <v>PC26</v>
      </c>
      <c r="AD1338" s="36" t="str">
        <f>VLOOKUP(D1338,Oficial!A:C,3,0)</f>
        <v>Administración de Fondos</v>
      </c>
    </row>
    <row r="1339" spans="1:30" x14ac:dyDescent="0.25">
      <c r="A1339" s="36" t="s">
        <v>27</v>
      </c>
      <c r="B1339" s="36" t="s">
        <v>2159</v>
      </c>
      <c r="C1339" s="36" t="s">
        <v>374</v>
      </c>
      <c r="D1339" s="36" t="s">
        <v>2159</v>
      </c>
      <c r="E1339" s="36" t="s">
        <v>30</v>
      </c>
      <c r="F1339" s="36" t="s">
        <v>569</v>
      </c>
      <c r="G1339" s="37" t="s">
        <v>615</v>
      </c>
      <c r="H1339" s="36" t="s">
        <v>2160</v>
      </c>
      <c r="I1339" s="36" t="s">
        <v>1652</v>
      </c>
      <c r="J1339" s="36">
        <v>7</v>
      </c>
      <c r="K1339" s="36" t="s">
        <v>2165</v>
      </c>
      <c r="L1339" s="36">
        <v>4</v>
      </c>
      <c r="M1339" s="36">
        <v>1</v>
      </c>
      <c r="N1339" s="38">
        <v>500000</v>
      </c>
      <c r="O1339" s="38">
        <v>500000</v>
      </c>
      <c r="P1339" s="36">
        <v>1</v>
      </c>
      <c r="Q1339" s="40">
        <v>46174</v>
      </c>
      <c r="R1339" s="36" t="s">
        <v>761</v>
      </c>
      <c r="S1339" s="36" t="s">
        <v>762</v>
      </c>
      <c r="T1339" s="36" t="s">
        <v>763</v>
      </c>
      <c r="U1339" s="36" t="s">
        <v>764</v>
      </c>
      <c r="V1339" s="40">
        <v>46054</v>
      </c>
      <c r="W1339" s="36"/>
      <c r="X1339" s="36">
        <v>0</v>
      </c>
      <c r="Y1339" s="36"/>
      <c r="Z1339" s="36">
        <v>0</v>
      </c>
      <c r="AA1339" s="36">
        <v>0</v>
      </c>
      <c r="AB1339" s="36"/>
      <c r="AC1339" s="36" t="str">
        <f t="shared" si="9"/>
        <v>PC26</v>
      </c>
      <c r="AD1339" s="36" t="str">
        <f>VLOOKUP(D1339,Oficial!A:C,3,0)</f>
        <v>Administración de Fondos</v>
      </c>
    </row>
    <row r="1340" spans="1:30" x14ac:dyDescent="0.25">
      <c r="A1340" s="36" t="s">
        <v>27</v>
      </c>
      <c r="B1340" s="36" t="s">
        <v>2166</v>
      </c>
      <c r="C1340" s="36" t="s">
        <v>28</v>
      </c>
      <c r="D1340" s="36" t="s">
        <v>2166</v>
      </c>
      <c r="E1340" s="36" t="s">
        <v>30</v>
      </c>
      <c r="F1340" s="36" t="s">
        <v>569</v>
      </c>
      <c r="G1340" s="37" t="s">
        <v>483</v>
      </c>
      <c r="H1340" s="36" t="s">
        <v>2167</v>
      </c>
      <c r="I1340" s="36" t="s">
        <v>2168</v>
      </c>
      <c r="J1340" s="36">
        <v>3</v>
      </c>
      <c r="K1340" s="36" t="s">
        <v>486</v>
      </c>
      <c r="L1340" s="36">
        <v>4</v>
      </c>
      <c r="M1340" s="36">
        <v>5298</v>
      </c>
      <c r="N1340" s="38">
        <v>52</v>
      </c>
      <c r="O1340" s="38">
        <v>275496</v>
      </c>
      <c r="P1340" s="36">
        <v>1</v>
      </c>
      <c r="Q1340" s="40">
        <v>46054</v>
      </c>
      <c r="R1340" s="36" t="s">
        <v>1231</v>
      </c>
      <c r="S1340" s="36" t="s">
        <v>1232</v>
      </c>
      <c r="T1340" s="36" t="s">
        <v>566</v>
      </c>
      <c r="U1340" s="36" t="s">
        <v>67</v>
      </c>
      <c r="V1340" s="40">
        <v>46054</v>
      </c>
      <c r="W1340" s="36"/>
      <c r="X1340" s="36">
        <v>0</v>
      </c>
      <c r="Y1340" s="36"/>
      <c r="Z1340" s="36">
        <v>0</v>
      </c>
      <c r="AA1340" s="36">
        <v>0</v>
      </c>
      <c r="AB1340" s="36"/>
      <c r="AC1340" s="36" t="str">
        <f t="shared" si="9"/>
        <v>PC26</v>
      </c>
      <c r="AD1340" s="36" t="str">
        <f>VLOOKUP(D1340,Oficial!A:C,3,0)</f>
        <v>Bienes y Servicios</v>
      </c>
    </row>
    <row r="1341" spans="1:30" x14ac:dyDescent="0.25">
      <c r="A1341" s="36" t="s">
        <v>27</v>
      </c>
      <c r="B1341" s="36" t="s">
        <v>2166</v>
      </c>
      <c r="C1341" s="36" t="s">
        <v>28</v>
      </c>
      <c r="D1341" s="36" t="s">
        <v>2166</v>
      </c>
      <c r="E1341" s="36" t="s">
        <v>30</v>
      </c>
      <c r="F1341" s="36" t="s">
        <v>569</v>
      </c>
      <c r="G1341" s="37" t="s">
        <v>483</v>
      </c>
      <c r="H1341" s="36" t="s">
        <v>2167</v>
      </c>
      <c r="I1341" s="36" t="s">
        <v>2168</v>
      </c>
      <c r="J1341" s="36">
        <v>3</v>
      </c>
      <c r="K1341" s="36" t="s">
        <v>832</v>
      </c>
      <c r="L1341" s="36">
        <v>4</v>
      </c>
      <c r="M1341" s="36">
        <v>1</v>
      </c>
      <c r="N1341" s="38">
        <v>80000</v>
      </c>
      <c r="O1341" s="38">
        <v>80000</v>
      </c>
      <c r="P1341" s="36">
        <v>1</v>
      </c>
      <c r="Q1341" s="40">
        <v>46054</v>
      </c>
      <c r="R1341" s="36" t="s">
        <v>1231</v>
      </c>
      <c r="S1341" s="36" t="s">
        <v>1232</v>
      </c>
      <c r="T1341" s="36" t="s">
        <v>566</v>
      </c>
      <c r="U1341" s="36" t="s">
        <v>67</v>
      </c>
      <c r="V1341" s="40">
        <v>46054</v>
      </c>
      <c r="W1341" s="36"/>
      <c r="X1341" s="36">
        <v>0</v>
      </c>
      <c r="Y1341" s="36"/>
      <c r="Z1341" s="36">
        <v>0</v>
      </c>
      <c r="AA1341" s="36">
        <v>0</v>
      </c>
      <c r="AB1341" s="36"/>
      <c r="AC1341" s="36" t="str">
        <f t="shared" si="9"/>
        <v>PC26</v>
      </c>
      <c r="AD1341" s="36" t="str">
        <f>VLOOKUP(D1341,Oficial!A:C,3,0)</f>
        <v>Bienes y Servicios</v>
      </c>
    </row>
    <row r="1342" spans="1:30" x14ac:dyDescent="0.25">
      <c r="A1342" s="36" t="s">
        <v>27</v>
      </c>
      <c r="B1342" s="36" t="s">
        <v>2166</v>
      </c>
      <c r="C1342" s="36" t="s">
        <v>28</v>
      </c>
      <c r="D1342" s="36" t="s">
        <v>2166</v>
      </c>
      <c r="E1342" s="36" t="s">
        <v>30</v>
      </c>
      <c r="F1342" s="36" t="s">
        <v>569</v>
      </c>
      <c r="G1342" s="37" t="s">
        <v>483</v>
      </c>
      <c r="H1342" s="36" t="s">
        <v>2167</v>
      </c>
      <c r="I1342" s="36" t="s">
        <v>2168</v>
      </c>
      <c r="J1342" s="36">
        <v>3</v>
      </c>
      <c r="K1342" s="36" t="s">
        <v>1550</v>
      </c>
      <c r="L1342" s="36">
        <v>4</v>
      </c>
      <c r="M1342" s="36">
        <v>4</v>
      </c>
      <c r="N1342" s="38">
        <v>10000</v>
      </c>
      <c r="O1342" s="38">
        <v>40000</v>
      </c>
      <c r="P1342" s="36">
        <v>1</v>
      </c>
      <c r="Q1342" s="40">
        <v>46054</v>
      </c>
      <c r="R1342" s="36" t="s">
        <v>1231</v>
      </c>
      <c r="S1342" s="36" t="s">
        <v>1232</v>
      </c>
      <c r="T1342" s="36" t="s">
        <v>566</v>
      </c>
      <c r="U1342" s="36" t="s">
        <v>67</v>
      </c>
      <c r="V1342" s="40">
        <v>46054</v>
      </c>
      <c r="W1342" s="36"/>
      <c r="X1342" s="36">
        <v>0</v>
      </c>
      <c r="Y1342" s="36"/>
      <c r="Z1342" s="36">
        <v>0</v>
      </c>
      <c r="AA1342" s="36">
        <v>0</v>
      </c>
      <c r="AB1342" s="36"/>
      <c r="AC1342" s="36" t="str">
        <f t="shared" si="9"/>
        <v>PC26</v>
      </c>
      <c r="AD1342" s="36" t="str">
        <f>VLOOKUP(D1342,Oficial!A:C,3,0)</f>
        <v>Bienes y Servicios</v>
      </c>
    </row>
    <row r="1343" spans="1:30" x14ac:dyDescent="0.25">
      <c r="A1343" s="36" t="s">
        <v>27</v>
      </c>
      <c r="B1343" s="36" t="s">
        <v>2169</v>
      </c>
      <c r="C1343" s="36" t="s">
        <v>28</v>
      </c>
      <c r="D1343" s="36" t="s">
        <v>2169</v>
      </c>
      <c r="E1343" s="36" t="s">
        <v>30</v>
      </c>
      <c r="F1343" s="36" t="s">
        <v>569</v>
      </c>
      <c r="G1343" s="37" t="s">
        <v>800</v>
      </c>
      <c r="H1343" s="36" t="s">
        <v>2170</v>
      </c>
      <c r="I1343" s="36" t="s">
        <v>2151</v>
      </c>
      <c r="J1343" s="36">
        <v>3</v>
      </c>
      <c r="K1343" s="36" t="s">
        <v>359</v>
      </c>
      <c r="L1343" s="36">
        <v>4</v>
      </c>
      <c r="M1343" s="36">
        <v>1348</v>
      </c>
      <c r="N1343" s="38">
        <v>580</v>
      </c>
      <c r="O1343" s="38">
        <v>781840</v>
      </c>
      <c r="P1343" s="36">
        <v>1</v>
      </c>
      <c r="Q1343" s="40">
        <v>46054</v>
      </c>
      <c r="R1343" s="36" t="s">
        <v>2171</v>
      </c>
      <c r="S1343" s="36" t="s">
        <v>2172</v>
      </c>
      <c r="T1343" s="36" t="s">
        <v>1257</v>
      </c>
      <c r="U1343" s="36" t="s">
        <v>2173</v>
      </c>
      <c r="V1343" s="40">
        <v>46054</v>
      </c>
      <c r="W1343" s="36"/>
      <c r="X1343" s="36">
        <v>0</v>
      </c>
      <c r="Y1343" s="36"/>
      <c r="Z1343" s="36">
        <v>0</v>
      </c>
      <c r="AA1343" s="36">
        <v>0</v>
      </c>
      <c r="AB1343" s="36"/>
      <c r="AC1343" s="36" t="str">
        <f t="shared" si="9"/>
        <v>PC26</v>
      </c>
      <c r="AD1343" s="36" t="str">
        <f>VLOOKUP(D1343,Oficial!A:C,3,0)</f>
        <v>Bienes y Servicios</v>
      </c>
    </row>
    <row r="1344" spans="1:30" x14ac:dyDescent="0.25">
      <c r="A1344" s="36" t="s">
        <v>27</v>
      </c>
      <c r="B1344" s="36" t="s">
        <v>2169</v>
      </c>
      <c r="C1344" s="36" t="s">
        <v>28</v>
      </c>
      <c r="D1344" s="36" t="s">
        <v>2169</v>
      </c>
      <c r="E1344" s="36" t="s">
        <v>30</v>
      </c>
      <c r="F1344" s="36" t="s">
        <v>569</v>
      </c>
      <c r="G1344" s="37" t="s">
        <v>800</v>
      </c>
      <c r="H1344" s="36" t="s">
        <v>2170</v>
      </c>
      <c r="I1344" s="36" t="s">
        <v>2151</v>
      </c>
      <c r="J1344" s="36">
        <v>3</v>
      </c>
      <c r="K1344" s="36" t="s">
        <v>855</v>
      </c>
      <c r="L1344" s="36">
        <v>4</v>
      </c>
      <c r="M1344" s="36">
        <v>2210</v>
      </c>
      <c r="N1344" s="38">
        <v>75</v>
      </c>
      <c r="O1344" s="38">
        <v>165750</v>
      </c>
      <c r="P1344" s="36">
        <v>1</v>
      </c>
      <c r="Q1344" s="40">
        <v>46054</v>
      </c>
      <c r="R1344" s="36" t="s">
        <v>2171</v>
      </c>
      <c r="S1344" s="36" t="s">
        <v>2172</v>
      </c>
      <c r="T1344" s="36" t="s">
        <v>1257</v>
      </c>
      <c r="U1344" s="36" t="s">
        <v>2173</v>
      </c>
      <c r="V1344" s="40">
        <v>46054</v>
      </c>
      <c r="W1344" s="36"/>
      <c r="X1344" s="36">
        <v>0</v>
      </c>
      <c r="Y1344" s="36"/>
      <c r="Z1344" s="36">
        <v>0</v>
      </c>
      <c r="AA1344" s="36">
        <v>0</v>
      </c>
      <c r="AB1344" s="36"/>
      <c r="AC1344" s="36" t="str">
        <f t="shared" si="9"/>
        <v>PC26</v>
      </c>
      <c r="AD1344" s="36" t="str">
        <f>VLOOKUP(D1344,Oficial!A:C,3,0)</f>
        <v>Bienes y Servicios</v>
      </c>
    </row>
    <row r="1345" spans="1:30" x14ac:dyDescent="0.25">
      <c r="A1345" s="36" t="s">
        <v>27</v>
      </c>
      <c r="B1345" s="36" t="s">
        <v>2169</v>
      </c>
      <c r="C1345" s="36" t="s">
        <v>28</v>
      </c>
      <c r="D1345" s="36" t="s">
        <v>2169</v>
      </c>
      <c r="E1345" s="36" t="s">
        <v>30</v>
      </c>
      <c r="F1345" s="36" t="s">
        <v>569</v>
      </c>
      <c r="G1345" s="37" t="s">
        <v>800</v>
      </c>
      <c r="H1345" s="36" t="s">
        <v>2170</v>
      </c>
      <c r="I1345" s="36" t="s">
        <v>2151</v>
      </c>
      <c r="J1345" s="36">
        <v>3</v>
      </c>
      <c r="K1345" s="36" t="s">
        <v>786</v>
      </c>
      <c r="L1345" s="36">
        <v>4</v>
      </c>
      <c r="M1345" s="36">
        <v>2554</v>
      </c>
      <c r="N1345" s="38">
        <v>227</v>
      </c>
      <c r="O1345" s="38">
        <v>579758</v>
      </c>
      <c r="P1345" s="36">
        <v>1</v>
      </c>
      <c r="Q1345" s="40">
        <v>46054</v>
      </c>
      <c r="R1345" s="36" t="s">
        <v>2171</v>
      </c>
      <c r="S1345" s="36" t="s">
        <v>2172</v>
      </c>
      <c r="T1345" s="36" t="s">
        <v>1257</v>
      </c>
      <c r="U1345" s="36" t="s">
        <v>2173</v>
      </c>
      <c r="V1345" s="40">
        <v>46054</v>
      </c>
      <c r="W1345" s="36"/>
      <c r="X1345" s="36">
        <v>0</v>
      </c>
      <c r="Y1345" s="36"/>
      <c r="Z1345" s="36">
        <v>0</v>
      </c>
      <c r="AA1345" s="36">
        <v>0</v>
      </c>
      <c r="AB1345" s="36"/>
      <c r="AC1345" s="36" t="str">
        <f t="shared" si="9"/>
        <v>PC26</v>
      </c>
      <c r="AD1345" s="36" t="str">
        <f>VLOOKUP(D1345,Oficial!A:C,3,0)</f>
        <v>Bienes y Servicios</v>
      </c>
    </row>
    <row r="1346" spans="1:30" x14ac:dyDescent="0.25">
      <c r="A1346" s="36" t="s">
        <v>27</v>
      </c>
      <c r="B1346" s="36" t="s">
        <v>2174</v>
      </c>
      <c r="C1346" s="36" t="s">
        <v>28</v>
      </c>
      <c r="D1346" s="36" t="s">
        <v>2174</v>
      </c>
      <c r="E1346" s="36" t="s">
        <v>30</v>
      </c>
      <c r="F1346" s="36" t="s">
        <v>569</v>
      </c>
      <c r="G1346" s="37" t="s">
        <v>615</v>
      </c>
      <c r="H1346" s="36" t="s">
        <v>2175</v>
      </c>
      <c r="I1346" s="36" t="s">
        <v>2176</v>
      </c>
      <c r="J1346" s="36">
        <v>2</v>
      </c>
      <c r="K1346" s="36" t="s">
        <v>486</v>
      </c>
      <c r="L1346" s="36">
        <v>4</v>
      </c>
      <c r="M1346" s="36">
        <v>20</v>
      </c>
      <c r="N1346" s="38">
        <v>11950</v>
      </c>
      <c r="O1346" s="38">
        <v>239000</v>
      </c>
      <c r="P1346" s="36">
        <v>1</v>
      </c>
      <c r="Q1346" s="40">
        <v>46023</v>
      </c>
      <c r="R1346" s="36" t="s">
        <v>1893</v>
      </c>
      <c r="S1346" s="36" t="s">
        <v>2177</v>
      </c>
      <c r="T1346" s="36" t="s">
        <v>1895</v>
      </c>
      <c r="U1346" s="36" t="s">
        <v>1896</v>
      </c>
      <c r="V1346" s="40">
        <v>46023</v>
      </c>
      <c r="W1346" s="36"/>
      <c r="X1346" s="36">
        <v>0</v>
      </c>
      <c r="Y1346" s="36"/>
      <c r="Z1346" s="36">
        <v>0</v>
      </c>
      <c r="AA1346" s="36">
        <v>0</v>
      </c>
      <c r="AB1346" s="36"/>
      <c r="AC1346" s="36" t="str">
        <f t="shared" si="9"/>
        <v>PC26</v>
      </c>
      <c r="AD1346" s="36" t="str">
        <f>VLOOKUP(D1346,Oficial!A:C,3,0)</f>
        <v>Bienes y Servicios</v>
      </c>
    </row>
    <row r="1347" spans="1:30" x14ac:dyDescent="0.25">
      <c r="A1347" s="36" t="s">
        <v>27</v>
      </c>
      <c r="B1347" s="36" t="s">
        <v>2174</v>
      </c>
      <c r="C1347" s="36" t="s">
        <v>28</v>
      </c>
      <c r="D1347" s="36" t="s">
        <v>2174</v>
      </c>
      <c r="E1347" s="36" t="s">
        <v>30</v>
      </c>
      <c r="F1347" s="36" t="s">
        <v>569</v>
      </c>
      <c r="G1347" s="37" t="s">
        <v>615</v>
      </c>
      <c r="H1347" s="36" t="s">
        <v>2175</v>
      </c>
      <c r="I1347" s="36" t="s">
        <v>2176</v>
      </c>
      <c r="J1347" s="36">
        <v>2</v>
      </c>
      <c r="K1347" s="36" t="s">
        <v>2106</v>
      </c>
      <c r="L1347" s="36">
        <v>4</v>
      </c>
      <c r="M1347" s="36">
        <v>4</v>
      </c>
      <c r="N1347" s="38">
        <v>62500</v>
      </c>
      <c r="O1347" s="38">
        <v>250000</v>
      </c>
      <c r="P1347" s="36">
        <v>1</v>
      </c>
      <c r="Q1347" s="40">
        <v>46023</v>
      </c>
      <c r="R1347" s="36" t="s">
        <v>1893</v>
      </c>
      <c r="S1347" s="36" t="s">
        <v>2177</v>
      </c>
      <c r="T1347" s="36" t="s">
        <v>1895</v>
      </c>
      <c r="U1347" s="36" t="s">
        <v>1896</v>
      </c>
      <c r="V1347" s="40">
        <v>46023</v>
      </c>
      <c r="W1347" s="36"/>
      <c r="X1347" s="36">
        <v>0</v>
      </c>
      <c r="Y1347" s="36"/>
      <c r="Z1347" s="36">
        <v>0</v>
      </c>
      <c r="AA1347" s="36">
        <v>0</v>
      </c>
      <c r="AB1347" s="36"/>
      <c r="AC1347" s="36" t="str">
        <f t="shared" si="9"/>
        <v>PC26</v>
      </c>
      <c r="AD1347" s="36" t="str">
        <f>VLOOKUP(D1347,Oficial!A:C,3,0)</f>
        <v>Bienes y Servicios</v>
      </c>
    </row>
    <row r="1348" spans="1:30" x14ac:dyDescent="0.25">
      <c r="A1348" s="36" t="s">
        <v>27</v>
      </c>
      <c r="B1348" s="36" t="s">
        <v>2178</v>
      </c>
      <c r="C1348" s="36" t="s">
        <v>28</v>
      </c>
      <c r="D1348" s="36" t="s">
        <v>2178</v>
      </c>
      <c r="E1348" s="36" t="s">
        <v>30</v>
      </c>
      <c r="F1348" s="36" t="s">
        <v>569</v>
      </c>
      <c r="G1348" s="37" t="s">
        <v>757</v>
      </c>
      <c r="H1348" s="36" t="s">
        <v>2179</v>
      </c>
      <c r="I1348" s="36" t="s">
        <v>2180</v>
      </c>
      <c r="J1348" s="36">
        <v>1</v>
      </c>
      <c r="K1348" s="36" t="s">
        <v>760</v>
      </c>
      <c r="L1348" s="36">
        <v>4</v>
      </c>
      <c r="M1348" s="36">
        <v>250000</v>
      </c>
      <c r="N1348" s="38">
        <v>230</v>
      </c>
      <c r="O1348" s="38">
        <v>57500000</v>
      </c>
      <c r="P1348" s="36">
        <v>1</v>
      </c>
      <c r="Q1348" s="40">
        <v>46113</v>
      </c>
      <c r="R1348" s="36" t="s">
        <v>950</v>
      </c>
      <c r="S1348" s="36" t="s">
        <v>951</v>
      </c>
      <c r="T1348" s="36" t="s">
        <v>952</v>
      </c>
      <c r="U1348" s="36" t="s">
        <v>293</v>
      </c>
      <c r="V1348" s="40">
        <v>46113</v>
      </c>
      <c r="W1348" s="36"/>
      <c r="X1348" s="36">
        <v>0</v>
      </c>
      <c r="Y1348" s="36"/>
      <c r="Z1348" s="36">
        <v>0</v>
      </c>
      <c r="AA1348" s="36">
        <v>0</v>
      </c>
      <c r="AB1348" s="36"/>
      <c r="AC1348" s="36" t="str">
        <f t="shared" si="9"/>
        <v>PC26</v>
      </c>
      <c r="AD1348" s="36" t="str">
        <f>VLOOKUP(D1348,Oficial!A:C,3,0)</f>
        <v>Bienes y Servicios</v>
      </c>
    </row>
    <row r="1349" spans="1:30" x14ac:dyDescent="0.25">
      <c r="A1349" s="36" t="s">
        <v>27</v>
      </c>
      <c r="B1349" s="36" t="s">
        <v>2181</v>
      </c>
      <c r="C1349" s="36" t="s">
        <v>374</v>
      </c>
      <c r="D1349" s="36" t="s">
        <v>2181</v>
      </c>
      <c r="E1349" s="36" t="s">
        <v>30</v>
      </c>
      <c r="F1349" s="36" t="s">
        <v>569</v>
      </c>
      <c r="G1349" s="37" t="s">
        <v>615</v>
      </c>
      <c r="H1349" s="36" t="s">
        <v>2182</v>
      </c>
      <c r="I1349" s="36" t="s">
        <v>1577</v>
      </c>
      <c r="J1349" s="36">
        <v>1</v>
      </c>
      <c r="K1349" s="36" t="s">
        <v>1653</v>
      </c>
      <c r="L1349" s="36">
        <v>4</v>
      </c>
      <c r="M1349" s="36">
        <v>9</v>
      </c>
      <c r="N1349" s="38">
        <v>31112</v>
      </c>
      <c r="O1349" s="38">
        <v>280008</v>
      </c>
      <c r="P1349" s="36">
        <v>1</v>
      </c>
      <c r="Q1349" s="40">
        <v>46143</v>
      </c>
      <c r="R1349" s="36" t="s">
        <v>761</v>
      </c>
      <c r="S1349" s="36" t="s">
        <v>762</v>
      </c>
      <c r="T1349" s="36" t="s">
        <v>763</v>
      </c>
      <c r="U1349" s="36" t="s">
        <v>764</v>
      </c>
      <c r="V1349" s="40">
        <v>46143</v>
      </c>
      <c r="W1349" s="36"/>
      <c r="X1349" s="36">
        <v>0</v>
      </c>
      <c r="Y1349" s="36"/>
      <c r="Z1349" s="36">
        <v>0</v>
      </c>
      <c r="AA1349" s="36">
        <v>0</v>
      </c>
      <c r="AB1349" s="36"/>
      <c r="AC1349" s="36" t="str">
        <f t="shared" si="9"/>
        <v>PC26</v>
      </c>
      <c r="AD1349" s="36" t="str">
        <f>VLOOKUP(D1349,Oficial!A:C,3,0)</f>
        <v>Administración de Fondos</v>
      </c>
    </row>
    <row r="1350" spans="1:30" x14ac:dyDescent="0.25">
      <c r="A1350" s="36" t="s">
        <v>27</v>
      </c>
      <c r="B1350" s="36" t="s">
        <v>2183</v>
      </c>
      <c r="C1350" s="36" t="s">
        <v>28</v>
      </c>
      <c r="D1350" s="36" t="s">
        <v>2183</v>
      </c>
      <c r="E1350" s="36" t="s">
        <v>30</v>
      </c>
      <c r="F1350" s="36" t="s">
        <v>569</v>
      </c>
      <c r="G1350" s="37" t="s">
        <v>615</v>
      </c>
      <c r="H1350" s="36" t="s">
        <v>2184</v>
      </c>
      <c r="I1350" s="36" t="s">
        <v>2185</v>
      </c>
      <c r="J1350" s="36">
        <v>11</v>
      </c>
      <c r="K1350" s="36" t="s">
        <v>855</v>
      </c>
      <c r="L1350" s="36">
        <v>4</v>
      </c>
      <c r="M1350" s="36">
        <v>660</v>
      </c>
      <c r="N1350" s="38">
        <v>3884</v>
      </c>
      <c r="O1350" s="38">
        <v>2563440</v>
      </c>
      <c r="P1350" s="36">
        <v>1</v>
      </c>
      <c r="Q1350" s="40">
        <v>46143</v>
      </c>
      <c r="R1350" s="36" t="s">
        <v>761</v>
      </c>
      <c r="S1350" s="36" t="s">
        <v>762</v>
      </c>
      <c r="T1350" s="36" t="s">
        <v>763</v>
      </c>
      <c r="U1350" s="36" t="s">
        <v>764</v>
      </c>
      <c r="V1350" s="40">
        <v>46143</v>
      </c>
      <c r="W1350" s="36"/>
      <c r="X1350" s="36">
        <v>0</v>
      </c>
      <c r="Y1350" s="36"/>
      <c r="Z1350" s="36">
        <v>0</v>
      </c>
      <c r="AA1350" s="36">
        <v>0</v>
      </c>
      <c r="AB1350" s="36"/>
      <c r="AC1350" s="36" t="str">
        <f t="shared" si="9"/>
        <v>PC26</v>
      </c>
      <c r="AD1350" s="36" t="str">
        <f>VLOOKUP(D1350,Oficial!A:C,3,0)</f>
        <v>Bienes y Servicios</v>
      </c>
    </row>
    <row r="1351" spans="1:30" x14ac:dyDescent="0.25">
      <c r="A1351" s="36" t="s">
        <v>27</v>
      </c>
      <c r="B1351" s="36" t="s">
        <v>2183</v>
      </c>
      <c r="C1351" s="36" t="s">
        <v>28</v>
      </c>
      <c r="D1351" s="36" t="s">
        <v>2183</v>
      </c>
      <c r="E1351" s="36" t="s">
        <v>30</v>
      </c>
      <c r="F1351" s="36" t="s">
        <v>569</v>
      </c>
      <c r="G1351" s="37" t="s">
        <v>615</v>
      </c>
      <c r="H1351" s="36" t="s">
        <v>2184</v>
      </c>
      <c r="I1351" s="36" t="s">
        <v>2185</v>
      </c>
      <c r="J1351" s="36">
        <v>11</v>
      </c>
      <c r="K1351" s="36" t="s">
        <v>2186</v>
      </c>
      <c r="L1351" s="36">
        <v>4</v>
      </c>
      <c r="M1351" s="36">
        <v>535</v>
      </c>
      <c r="N1351" s="38">
        <v>7651</v>
      </c>
      <c r="O1351" s="38">
        <v>4093285</v>
      </c>
      <c r="P1351" s="36">
        <v>1</v>
      </c>
      <c r="Q1351" s="40">
        <v>46143</v>
      </c>
      <c r="R1351" s="36" t="s">
        <v>761</v>
      </c>
      <c r="S1351" s="36" t="s">
        <v>762</v>
      </c>
      <c r="T1351" s="36" t="s">
        <v>763</v>
      </c>
      <c r="U1351" s="36" t="s">
        <v>764</v>
      </c>
      <c r="V1351" s="40">
        <v>46143</v>
      </c>
      <c r="W1351" s="36"/>
      <c r="X1351" s="36">
        <v>0</v>
      </c>
      <c r="Y1351" s="36"/>
      <c r="Z1351" s="36">
        <v>0</v>
      </c>
      <c r="AA1351" s="36">
        <v>0</v>
      </c>
      <c r="AB1351" s="36"/>
      <c r="AC1351" s="36" t="str">
        <f t="shared" si="9"/>
        <v>PC26</v>
      </c>
      <c r="AD1351" s="36" t="str">
        <f>VLOOKUP(D1351,Oficial!A:C,3,0)</f>
        <v>Bienes y Servicios</v>
      </c>
    </row>
    <row r="1352" spans="1:30" x14ac:dyDescent="0.25">
      <c r="A1352" s="36" t="s">
        <v>27</v>
      </c>
      <c r="B1352" s="36" t="s">
        <v>2183</v>
      </c>
      <c r="C1352" s="36" t="s">
        <v>28</v>
      </c>
      <c r="D1352" s="36" t="s">
        <v>2183</v>
      </c>
      <c r="E1352" s="36" t="s">
        <v>30</v>
      </c>
      <c r="F1352" s="36" t="s">
        <v>569</v>
      </c>
      <c r="G1352" s="37" t="s">
        <v>615</v>
      </c>
      <c r="H1352" s="36" t="s">
        <v>2184</v>
      </c>
      <c r="I1352" s="36" t="s">
        <v>2185</v>
      </c>
      <c r="J1352" s="36">
        <v>11</v>
      </c>
      <c r="K1352" s="36" t="s">
        <v>2187</v>
      </c>
      <c r="L1352" s="36">
        <v>4</v>
      </c>
      <c r="M1352" s="36">
        <v>77</v>
      </c>
      <c r="N1352" s="38">
        <v>15610</v>
      </c>
      <c r="O1352" s="38">
        <v>1201970</v>
      </c>
      <c r="P1352" s="36">
        <v>1</v>
      </c>
      <c r="Q1352" s="40">
        <v>46143</v>
      </c>
      <c r="R1352" s="36" t="s">
        <v>761</v>
      </c>
      <c r="S1352" s="36" t="s">
        <v>762</v>
      </c>
      <c r="T1352" s="36" t="s">
        <v>763</v>
      </c>
      <c r="U1352" s="36" t="s">
        <v>764</v>
      </c>
      <c r="V1352" s="40">
        <v>46143</v>
      </c>
      <c r="W1352" s="36"/>
      <c r="X1352" s="36">
        <v>0</v>
      </c>
      <c r="Y1352" s="36"/>
      <c r="Z1352" s="36">
        <v>0</v>
      </c>
      <c r="AA1352" s="36">
        <v>0</v>
      </c>
      <c r="AB1352" s="36"/>
      <c r="AC1352" s="36" t="str">
        <f t="shared" si="9"/>
        <v>PC26</v>
      </c>
      <c r="AD1352" s="36" t="str">
        <f>VLOOKUP(D1352,Oficial!A:C,3,0)</f>
        <v>Bienes y Servicios</v>
      </c>
    </row>
    <row r="1353" spans="1:30" x14ac:dyDescent="0.25">
      <c r="A1353" s="36" t="s">
        <v>27</v>
      </c>
      <c r="B1353" s="36" t="s">
        <v>2183</v>
      </c>
      <c r="C1353" s="36" t="s">
        <v>28</v>
      </c>
      <c r="D1353" s="36" t="s">
        <v>2183</v>
      </c>
      <c r="E1353" s="36" t="s">
        <v>30</v>
      </c>
      <c r="F1353" s="36" t="s">
        <v>569</v>
      </c>
      <c r="G1353" s="37" t="s">
        <v>615</v>
      </c>
      <c r="H1353" s="36" t="s">
        <v>2184</v>
      </c>
      <c r="I1353" s="36" t="s">
        <v>2185</v>
      </c>
      <c r="J1353" s="36">
        <v>11</v>
      </c>
      <c r="K1353" s="36" t="s">
        <v>2188</v>
      </c>
      <c r="L1353" s="36">
        <v>4</v>
      </c>
      <c r="M1353" s="36">
        <v>12</v>
      </c>
      <c r="N1353" s="38">
        <v>80000</v>
      </c>
      <c r="O1353" s="38">
        <v>960000</v>
      </c>
      <c r="P1353" s="36">
        <v>1</v>
      </c>
      <c r="Q1353" s="40">
        <v>46143</v>
      </c>
      <c r="R1353" s="36" t="s">
        <v>761</v>
      </c>
      <c r="S1353" s="36" t="s">
        <v>762</v>
      </c>
      <c r="T1353" s="36" t="s">
        <v>763</v>
      </c>
      <c r="U1353" s="36" t="s">
        <v>764</v>
      </c>
      <c r="V1353" s="40">
        <v>46143</v>
      </c>
      <c r="W1353" s="36"/>
      <c r="X1353" s="36">
        <v>0</v>
      </c>
      <c r="Y1353" s="36"/>
      <c r="Z1353" s="36">
        <v>0</v>
      </c>
      <c r="AA1353" s="36">
        <v>0</v>
      </c>
      <c r="AB1353" s="36"/>
      <c r="AC1353" s="36" t="str">
        <f t="shared" si="9"/>
        <v>PC26</v>
      </c>
      <c r="AD1353" s="36" t="str">
        <f>VLOOKUP(D1353,Oficial!A:C,3,0)</f>
        <v>Bienes y Servicios</v>
      </c>
    </row>
    <row r="1354" spans="1:30" x14ac:dyDescent="0.25">
      <c r="A1354" s="36" t="s">
        <v>27</v>
      </c>
      <c r="B1354" s="36" t="s">
        <v>2183</v>
      </c>
      <c r="C1354" s="36" t="s">
        <v>28</v>
      </c>
      <c r="D1354" s="36" t="s">
        <v>2183</v>
      </c>
      <c r="E1354" s="36" t="s">
        <v>30</v>
      </c>
      <c r="F1354" s="36" t="s">
        <v>569</v>
      </c>
      <c r="G1354" s="37" t="s">
        <v>615</v>
      </c>
      <c r="H1354" s="36" t="s">
        <v>2184</v>
      </c>
      <c r="I1354" s="36" t="s">
        <v>2185</v>
      </c>
      <c r="J1354" s="36">
        <v>11</v>
      </c>
      <c r="K1354" s="36" t="s">
        <v>2189</v>
      </c>
      <c r="L1354" s="36">
        <v>4</v>
      </c>
      <c r="M1354" s="36">
        <v>131</v>
      </c>
      <c r="N1354" s="38">
        <v>7237</v>
      </c>
      <c r="O1354" s="38">
        <v>948047</v>
      </c>
      <c r="P1354" s="36">
        <v>1</v>
      </c>
      <c r="Q1354" s="40">
        <v>46143</v>
      </c>
      <c r="R1354" s="36" t="s">
        <v>761</v>
      </c>
      <c r="S1354" s="36" t="s">
        <v>762</v>
      </c>
      <c r="T1354" s="36" t="s">
        <v>763</v>
      </c>
      <c r="U1354" s="36" t="s">
        <v>764</v>
      </c>
      <c r="V1354" s="40">
        <v>46143</v>
      </c>
      <c r="W1354" s="36"/>
      <c r="X1354" s="36">
        <v>0</v>
      </c>
      <c r="Y1354" s="36"/>
      <c r="Z1354" s="36">
        <v>0</v>
      </c>
      <c r="AA1354" s="36">
        <v>0</v>
      </c>
      <c r="AB1354" s="36"/>
      <c r="AC1354" s="36" t="str">
        <f t="shared" si="9"/>
        <v>PC26</v>
      </c>
      <c r="AD1354" s="36" t="str">
        <f>VLOOKUP(D1354,Oficial!A:C,3,0)</f>
        <v>Bienes y Servicios</v>
      </c>
    </row>
    <row r="1355" spans="1:30" x14ac:dyDescent="0.25">
      <c r="A1355" s="36" t="s">
        <v>27</v>
      </c>
      <c r="B1355" s="36" t="s">
        <v>2183</v>
      </c>
      <c r="C1355" s="36" t="s">
        <v>28</v>
      </c>
      <c r="D1355" s="36" t="s">
        <v>2183</v>
      </c>
      <c r="E1355" s="36" t="s">
        <v>30</v>
      </c>
      <c r="F1355" s="36" t="s">
        <v>569</v>
      </c>
      <c r="G1355" s="37" t="s">
        <v>615</v>
      </c>
      <c r="H1355" s="36" t="s">
        <v>2184</v>
      </c>
      <c r="I1355" s="36" t="s">
        <v>2185</v>
      </c>
      <c r="J1355" s="36">
        <v>11</v>
      </c>
      <c r="K1355" s="36" t="s">
        <v>2190</v>
      </c>
      <c r="L1355" s="36">
        <v>4</v>
      </c>
      <c r="M1355" s="36">
        <v>61</v>
      </c>
      <c r="N1355" s="38">
        <v>9000</v>
      </c>
      <c r="O1355" s="38">
        <v>549000</v>
      </c>
      <c r="P1355" s="36">
        <v>1</v>
      </c>
      <c r="Q1355" s="40">
        <v>46143</v>
      </c>
      <c r="R1355" s="36" t="s">
        <v>761</v>
      </c>
      <c r="S1355" s="36" t="s">
        <v>762</v>
      </c>
      <c r="T1355" s="36" t="s">
        <v>763</v>
      </c>
      <c r="U1355" s="36" t="s">
        <v>764</v>
      </c>
      <c r="V1355" s="40">
        <v>46143</v>
      </c>
      <c r="W1355" s="36"/>
      <c r="X1355" s="36">
        <v>0</v>
      </c>
      <c r="Y1355" s="36"/>
      <c r="Z1355" s="36">
        <v>0</v>
      </c>
      <c r="AA1355" s="36">
        <v>0</v>
      </c>
      <c r="AB1355" s="36"/>
      <c r="AC1355" s="36" t="str">
        <f t="shared" si="9"/>
        <v>PC26</v>
      </c>
      <c r="AD1355" s="36" t="str">
        <f>VLOOKUP(D1355,Oficial!A:C,3,0)</f>
        <v>Bienes y Servicios</v>
      </c>
    </row>
    <row r="1356" spans="1:30" x14ac:dyDescent="0.25">
      <c r="A1356" s="36" t="s">
        <v>27</v>
      </c>
      <c r="B1356" s="36" t="s">
        <v>2183</v>
      </c>
      <c r="C1356" s="36" t="s">
        <v>28</v>
      </c>
      <c r="D1356" s="36" t="s">
        <v>2183</v>
      </c>
      <c r="E1356" s="36" t="s">
        <v>30</v>
      </c>
      <c r="F1356" s="36" t="s">
        <v>569</v>
      </c>
      <c r="G1356" s="37" t="s">
        <v>615</v>
      </c>
      <c r="H1356" s="36" t="s">
        <v>2184</v>
      </c>
      <c r="I1356" s="36" t="s">
        <v>2185</v>
      </c>
      <c r="J1356" s="36">
        <v>11</v>
      </c>
      <c r="K1356" s="36" t="s">
        <v>2191</v>
      </c>
      <c r="L1356" s="36">
        <v>4</v>
      </c>
      <c r="M1356" s="36">
        <v>12</v>
      </c>
      <c r="N1356" s="38">
        <v>41667</v>
      </c>
      <c r="O1356" s="38">
        <v>500004</v>
      </c>
      <c r="P1356" s="36">
        <v>1</v>
      </c>
      <c r="Q1356" s="40">
        <v>46143</v>
      </c>
      <c r="R1356" s="36" t="s">
        <v>761</v>
      </c>
      <c r="S1356" s="36" t="s">
        <v>762</v>
      </c>
      <c r="T1356" s="36" t="s">
        <v>763</v>
      </c>
      <c r="U1356" s="36" t="s">
        <v>764</v>
      </c>
      <c r="V1356" s="40">
        <v>46143</v>
      </c>
      <c r="W1356" s="36"/>
      <c r="X1356" s="36">
        <v>0</v>
      </c>
      <c r="Y1356" s="36"/>
      <c r="Z1356" s="36">
        <v>0</v>
      </c>
      <c r="AA1356" s="36">
        <v>0</v>
      </c>
      <c r="AB1356" s="36"/>
      <c r="AC1356" s="36" t="str">
        <f t="shared" si="9"/>
        <v>PC26</v>
      </c>
      <c r="AD1356" s="36" t="str">
        <f>VLOOKUP(D1356,Oficial!A:C,3,0)</f>
        <v>Bienes y Servicios</v>
      </c>
    </row>
    <row r="1357" spans="1:30" x14ac:dyDescent="0.25">
      <c r="A1357" s="36" t="s">
        <v>27</v>
      </c>
      <c r="B1357" s="36" t="s">
        <v>2183</v>
      </c>
      <c r="C1357" s="36" t="s">
        <v>28</v>
      </c>
      <c r="D1357" s="36" t="s">
        <v>2183</v>
      </c>
      <c r="E1357" s="36" t="s">
        <v>30</v>
      </c>
      <c r="F1357" s="36" t="s">
        <v>569</v>
      </c>
      <c r="G1357" s="37" t="s">
        <v>615</v>
      </c>
      <c r="H1357" s="36" t="s">
        <v>2184</v>
      </c>
      <c r="I1357" s="36" t="s">
        <v>2185</v>
      </c>
      <c r="J1357" s="36">
        <v>11</v>
      </c>
      <c r="K1357" s="36" t="s">
        <v>2192</v>
      </c>
      <c r="L1357" s="36">
        <v>4</v>
      </c>
      <c r="M1357" s="36">
        <v>91</v>
      </c>
      <c r="N1357" s="38">
        <v>3187</v>
      </c>
      <c r="O1357" s="38">
        <v>290017</v>
      </c>
      <c r="P1357" s="36">
        <v>1</v>
      </c>
      <c r="Q1357" s="40">
        <v>46143</v>
      </c>
      <c r="R1357" s="36" t="s">
        <v>761</v>
      </c>
      <c r="S1357" s="36" t="s">
        <v>762</v>
      </c>
      <c r="T1357" s="36" t="s">
        <v>763</v>
      </c>
      <c r="U1357" s="36" t="s">
        <v>764</v>
      </c>
      <c r="V1357" s="40">
        <v>46143</v>
      </c>
      <c r="W1357" s="36"/>
      <c r="X1357" s="36">
        <v>0</v>
      </c>
      <c r="Y1357" s="36"/>
      <c r="Z1357" s="36">
        <v>0</v>
      </c>
      <c r="AA1357" s="36">
        <v>0</v>
      </c>
      <c r="AB1357" s="36"/>
      <c r="AC1357" s="36" t="str">
        <f t="shared" si="9"/>
        <v>PC26</v>
      </c>
      <c r="AD1357" s="36" t="str">
        <f>VLOOKUP(D1357,Oficial!A:C,3,0)</f>
        <v>Bienes y Servicios</v>
      </c>
    </row>
    <row r="1358" spans="1:30" x14ac:dyDescent="0.25">
      <c r="A1358" s="36" t="s">
        <v>27</v>
      </c>
      <c r="B1358" s="36" t="s">
        <v>2183</v>
      </c>
      <c r="C1358" s="36" t="s">
        <v>28</v>
      </c>
      <c r="D1358" s="36" t="s">
        <v>2183</v>
      </c>
      <c r="E1358" s="36" t="s">
        <v>30</v>
      </c>
      <c r="F1358" s="36" t="s">
        <v>569</v>
      </c>
      <c r="G1358" s="37" t="s">
        <v>615</v>
      </c>
      <c r="H1358" s="36" t="s">
        <v>2184</v>
      </c>
      <c r="I1358" s="36" t="s">
        <v>2185</v>
      </c>
      <c r="J1358" s="36">
        <v>11</v>
      </c>
      <c r="K1358" s="36" t="s">
        <v>2193</v>
      </c>
      <c r="L1358" s="36">
        <v>4</v>
      </c>
      <c r="M1358" s="36">
        <v>4</v>
      </c>
      <c r="N1358" s="38">
        <v>30000</v>
      </c>
      <c r="O1358" s="38">
        <v>120000</v>
      </c>
      <c r="P1358" s="36">
        <v>1</v>
      </c>
      <c r="Q1358" s="40">
        <v>46143</v>
      </c>
      <c r="R1358" s="36" t="s">
        <v>761</v>
      </c>
      <c r="S1358" s="36" t="s">
        <v>762</v>
      </c>
      <c r="T1358" s="36" t="s">
        <v>763</v>
      </c>
      <c r="U1358" s="36" t="s">
        <v>764</v>
      </c>
      <c r="V1358" s="40">
        <v>46143</v>
      </c>
      <c r="W1358" s="36"/>
      <c r="X1358" s="36">
        <v>0</v>
      </c>
      <c r="Y1358" s="36"/>
      <c r="Z1358" s="36">
        <v>0</v>
      </c>
      <c r="AA1358" s="36">
        <v>0</v>
      </c>
      <c r="AB1358" s="36"/>
      <c r="AC1358" s="36" t="str">
        <f t="shared" si="9"/>
        <v>PC26</v>
      </c>
      <c r="AD1358" s="36" t="str">
        <f>VLOOKUP(D1358,Oficial!A:C,3,0)</f>
        <v>Bienes y Servicios</v>
      </c>
    </row>
    <row r="1359" spans="1:30" x14ac:dyDescent="0.25">
      <c r="A1359" s="36" t="s">
        <v>27</v>
      </c>
      <c r="B1359" s="36" t="s">
        <v>2183</v>
      </c>
      <c r="C1359" s="36" t="s">
        <v>28</v>
      </c>
      <c r="D1359" s="36" t="s">
        <v>2183</v>
      </c>
      <c r="E1359" s="36" t="s">
        <v>30</v>
      </c>
      <c r="F1359" s="36" t="s">
        <v>569</v>
      </c>
      <c r="G1359" s="37" t="s">
        <v>615</v>
      </c>
      <c r="H1359" s="36" t="s">
        <v>2184</v>
      </c>
      <c r="I1359" s="36" t="s">
        <v>2185</v>
      </c>
      <c r="J1359" s="36">
        <v>11</v>
      </c>
      <c r="K1359" s="36" t="s">
        <v>2194</v>
      </c>
      <c r="L1359" s="36">
        <v>4</v>
      </c>
      <c r="M1359" s="36">
        <v>12</v>
      </c>
      <c r="N1359" s="38">
        <v>4584</v>
      </c>
      <c r="O1359" s="38">
        <v>55008</v>
      </c>
      <c r="P1359" s="36">
        <v>1</v>
      </c>
      <c r="Q1359" s="40">
        <v>46143</v>
      </c>
      <c r="R1359" s="36" t="s">
        <v>761</v>
      </c>
      <c r="S1359" s="36" t="s">
        <v>762</v>
      </c>
      <c r="T1359" s="36" t="s">
        <v>763</v>
      </c>
      <c r="U1359" s="36" t="s">
        <v>764</v>
      </c>
      <c r="V1359" s="40">
        <v>46143</v>
      </c>
      <c r="W1359" s="36"/>
      <c r="X1359" s="36">
        <v>0</v>
      </c>
      <c r="Y1359" s="36"/>
      <c r="Z1359" s="36">
        <v>0</v>
      </c>
      <c r="AA1359" s="36">
        <v>0</v>
      </c>
      <c r="AB1359" s="36"/>
      <c r="AC1359" s="36" t="str">
        <f t="shared" si="9"/>
        <v>PC26</v>
      </c>
      <c r="AD1359" s="36" t="str">
        <f>VLOOKUP(D1359,Oficial!A:C,3,0)</f>
        <v>Bienes y Servicios</v>
      </c>
    </row>
    <row r="1360" spans="1:30" x14ac:dyDescent="0.25">
      <c r="A1360" s="36" t="s">
        <v>27</v>
      </c>
      <c r="B1360" s="36" t="s">
        <v>2183</v>
      </c>
      <c r="C1360" s="36" t="s">
        <v>28</v>
      </c>
      <c r="D1360" s="36" t="s">
        <v>2183</v>
      </c>
      <c r="E1360" s="36" t="s">
        <v>30</v>
      </c>
      <c r="F1360" s="36" t="s">
        <v>569</v>
      </c>
      <c r="G1360" s="37" t="s">
        <v>615</v>
      </c>
      <c r="H1360" s="36" t="s">
        <v>2184</v>
      </c>
      <c r="I1360" s="36" t="s">
        <v>2185</v>
      </c>
      <c r="J1360" s="36">
        <v>11</v>
      </c>
      <c r="K1360" s="36" t="s">
        <v>2195</v>
      </c>
      <c r="L1360" s="36">
        <v>4</v>
      </c>
      <c r="M1360" s="36">
        <v>20</v>
      </c>
      <c r="N1360" s="38">
        <v>1500</v>
      </c>
      <c r="O1360" s="38">
        <v>30000</v>
      </c>
      <c r="P1360" s="36">
        <v>1</v>
      </c>
      <c r="Q1360" s="40">
        <v>46143</v>
      </c>
      <c r="R1360" s="36" t="s">
        <v>761</v>
      </c>
      <c r="S1360" s="36" t="s">
        <v>762</v>
      </c>
      <c r="T1360" s="36" t="s">
        <v>763</v>
      </c>
      <c r="U1360" s="36" t="s">
        <v>764</v>
      </c>
      <c r="V1360" s="40">
        <v>46143</v>
      </c>
      <c r="W1360" s="36"/>
      <c r="X1360" s="36">
        <v>0</v>
      </c>
      <c r="Y1360" s="36"/>
      <c r="Z1360" s="36">
        <v>0</v>
      </c>
      <c r="AA1360" s="36">
        <v>0</v>
      </c>
      <c r="AB1360" s="36"/>
      <c r="AC1360" s="36" t="str">
        <f t="shared" si="9"/>
        <v>PC26</v>
      </c>
      <c r="AD1360" s="36" t="str">
        <f>VLOOKUP(D1360,Oficial!A:C,3,0)</f>
        <v>Bienes y Servicios</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TD MEMO</vt:lpstr>
      <vt:lpstr>TD (2)</vt:lpstr>
      <vt:lpstr>TD3</vt:lpstr>
      <vt:lpstr>Hoja6</vt:lpstr>
      <vt:lpstr>Hoja16</vt:lpstr>
      <vt:lpstr>TD</vt:lpstr>
      <vt:lpstr>Oficial Panel</vt:lpstr>
      <vt:lpstr>Oficial</vt:lpstr>
      <vt:lpstr>OficialReal</vt:lpstr>
      <vt:lpstr>ListadoProyectos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Nicolas Asencio Moreira</cp:lastModifiedBy>
  <dcterms:created xsi:type="dcterms:W3CDTF">2026-01-02T14:23:01Z</dcterms:created>
  <dcterms:modified xsi:type="dcterms:W3CDTF">2026-01-26T19:06:56Z</dcterms:modified>
</cp:coreProperties>
</file>